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as\Downloads\Abhiram_Vendor_Spend_Procurement_Project\"/>
    </mc:Choice>
  </mc:AlternateContent>
  <xr:revisionPtr revIDLastSave="0" documentId="13_ncr:1_{EB2489BB-768B-4F98-8EF0-1E8AA9AA4CBF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Raw_Data" sheetId="1" r:id="rId1"/>
    <sheet name="Cleaned_Data" sheetId="2" r:id="rId2"/>
    <sheet name="Excel_Analysis" sheetId="3" r:id="rId3"/>
    <sheet name="Dashboard" sheetId="4" r:id="rId4"/>
    <sheet name="Project_Guide" sheetId="5" r:id="rId5"/>
    <sheet name="Data_Diction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" l="1"/>
  <c r="C35" i="3" s="1"/>
  <c r="B34" i="3"/>
  <c r="C34" i="3" s="1"/>
  <c r="J33" i="3"/>
  <c r="K33" i="3" s="1"/>
  <c r="B33" i="3"/>
  <c r="C33" i="3" s="1"/>
  <c r="J32" i="3"/>
  <c r="K32" i="3" s="1"/>
  <c r="B32" i="3"/>
  <c r="C32" i="3" s="1"/>
  <c r="J31" i="3"/>
  <c r="K31" i="3" s="1"/>
  <c r="B31" i="3"/>
  <c r="C31" i="3" s="1"/>
  <c r="J30" i="3"/>
  <c r="K30" i="3" s="1"/>
  <c r="B30" i="3"/>
  <c r="C30" i="3" s="1"/>
  <c r="J29" i="3"/>
  <c r="K29" i="3" s="1"/>
  <c r="J28" i="3"/>
  <c r="K28" i="3" s="1"/>
  <c r="C25" i="3"/>
  <c r="B25" i="3"/>
  <c r="C24" i="3"/>
  <c r="B24" i="3"/>
  <c r="M23" i="3"/>
  <c r="L23" i="3"/>
  <c r="N23" i="3" s="1"/>
  <c r="J23" i="3"/>
  <c r="K23" i="3" s="1"/>
  <c r="C23" i="3"/>
  <c r="B23" i="3"/>
  <c r="M22" i="3"/>
  <c r="L22" i="3"/>
  <c r="N22" i="3" s="1"/>
  <c r="J22" i="3"/>
  <c r="K22" i="3" s="1"/>
  <c r="C22" i="3"/>
  <c r="B22" i="3"/>
  <c r="M21" i="3"/>
  <c r="L21" i="3"/>
  <c r="N21" i="3" s="1"/>
  <c r="J21" i="3"/>
  <c r="K21" i="3" s="1"/>
  <c r="C21" i="3"/>
  <c r="B21" i="3"/>
  <c r="M20" i="3"/>
  <c r="L20" i="3"/>
  <c r="N20" i="3" s="1"/>
  <c r="J20" i="3"/>
  <c r="K20" i="3" s="1"/>
  <c r="C20" i="3"/>
  <c r="B20" i="3"/>
  <c r="M19" i="3"/>
  <c r="L19" i="3"/>
  <c r="N19" i="3" s="1"/>
  <c r="J19" i="3"/>
  <c r="K19" i="3" s="1"/>
  <c r="C19" i="3"/>
  <c r="B19" i="3"/>
  <c r="M18" i="3"/>
  <c r="L18" i="3"/>
  <c r="N18" i="3" s="1"/>
  <c r="J18" i="3"/>
  <c r="K18" i="3" s="1"/>
  <c r="C18" i="3"/>
  <c r="B18" i="3"/>
  <c r="M17" i="3"/>
  <c r="L17" i="3"/>
  <c r="N17" i="3" s="1"/>
  <c r="J17" i="3"/>
  <c r="K17" i="3" s="1"/>
  <c r="C17" i="3"/>
  <c r="B17" i="3"/>
  <c r="M16" i="3"/>
  <c r="L16" i="3"/>
  <c r="N16" i="3" s="1"/>
  <c r="J16" i="3"/>
  <c r="K16" i="3" s="1"/>
  <c r="C16" i="3"/>
  <c r="B16" i="3"/>
  <c r="M15" i="3"/>
  <c r="L15" i="3"/>
  <c r="N15" i="3" s="1"/>
  <c r="J15" i="3"/>
  <c r="K15" i="3" s="1"/>
  <c r="C15" i="3"/>
  <c r="B15" i="3"/>
  <c r="M14" i="3"/>
  <c r="L14" i="3"/>
  <c r="N14" i="3" s="1"/>
  <c r="J14" i="3"/>
  <c r="K14" i="3" s="1"/>
  <c r="C14" i="3"/>
  <c r="B14" i="3"/>
  <c r="M13" i="3"/>
  <c r="L13" i="3"/>
  <c r="N13" i="3" s="1"/>
  <c r="J13" i="3"/>
  <c r="K13" i="3" s="1"/>
  <c r="C13" i="3"/>
  <c r="B13" i="3"/>
  <c r="M12" i="3"/>
  <c r="L12" i="3"/>
  <c r="N12" i="3" s="1"/>
  <c r="J12" i="3"/>
  <c r="K12" i="3" s="1"/>
  <c r="C12" i="3"/>
  <c r="B12" i="3"/>
  <c r="M11" i="3"/>
  <c r="L11" i="3"/>
  <c r="N11" i="3" s="1"/>
  <c r="J11" i="3"/>
  <c r="K11" i="3" s="1"/>
  <c r="C11" i="3"/>
  <c r="B11" i="3"/>
  <c r="M10" i="3"/>
  <c r="L10" i="3"/>
  <c r="N10" i="3" s="1"/>
  <c r="J10" i="3"/>
  <c r="K10" i="3" s="1"/>
  <c r="C10" i="3"/>
  <c r="B10" i="3"/>
  <c r="M9" i="3"/>
  <c r="L9" i="3"/>
  <c r="N9" i="3" s="1"/>
  <c r="J9" i="3"/>
  <c r="K9" i="3" s="1"/>
  <c r="C9" i="3"/>
  <c r="B9" i="3"/>
  <c r="M8" i="3"/>
  <c r="L8" i="3"/>
  <c r="N8" i="3" s="1"/>
  <c r="J8" i="3"/>
  <c r="K8" i="3" s="1"/>
  <c r="C8" i="3"/>
  <c r="B8" i="3"/>
  <c r="E4" i="3"/>
  <c r="D4" i="3"/>
  <c r="G5" i="4" s="1"/>
  <c r="B4" i="3"/>
  <c r="D5" i="4" s="1"/>
  <c r="A4" i="3"/>
  <c r="C4" i="3" s="1"/>
  <c r="F4" i="3" l="1"/>
  <c r="J5" i="4" s="1"/>
  <c r="A5" i="4"/>
</calcChain>
</file>

<file path=xl/sharedStrings.xml><?xml version="1.0" encoding="utf-8"?>
<sst xmlns="http://schemas.openxmlformats.org/spreadsheetml/2006/main" count="67861" uniqueCount="2860">
  <si>
    <t>PO_Number</t>
  </si>
  <si>
    <t>PO_Date</t>
  </si>
  <si>
    <t>Vendor_ID</t>
  </si>
  <si>
    <t>Vendor_Name</t>
  </si>
  <si>
    <t>Department</t>
  </si>
  <si>
    <t>Category</t>
  </si>
  <si>
    <t>Item_ID</t>
  </si>
  <si>
    <t>Item_Description</t>
  </si>
  <si>
    <t>Quantity</t>
  </si>
  <si>
    <t>Unit_Price_INR</t>
  </si>
  <si>
    <t>PO_Amount_INR</t>
  </si>
  <si>
    <t>Payment_Terms</t>
  </si>
  <si>
    <t>Expected_Delivery_Date</t>
  </si>
  <si>
    <t>Actual_Delivery_Date</t>
  </si>
  <si>
    <t>Region</t>
  </si>
  <si>
    <t>Buyer</t>
  </si>
  <si>
    <t>PO_Status</t>
  </si>
  <si>
    <t>Delivery_Status</t>
  </si>
  <si>
    <t>PO202500001</t>
  </si>
  <si>
    <t>V002</t>
  </si>
  <si>
    <t>Metro Business Supplies</t>
  </si>
  <si>
    <t>Finance</t>
  </si>
  <si>
    <t>Office Supplies</t>
  </si>
  <si>
    <t>ITM001</t>
  </si>
  <si>
    <t>A4 Copier Paper - 500 Sheets</t>
  </si>
  <si>
    <t>Net 30</t>
  </si>
  <si>
    <t>West</t>
  </si>
  <si>
    <t>Kavya Iyer</t>
  </si>
  <si>
    <t>Closed</t>
  </si>
  <si>
    <t>On Time</t>
  </si>
  <si>
    <t>PO202600002</t>
  </si>
  <si>
    <t>Sales &amp; Marketing</t>
  </si>
  <si>
    <t>ITM003</t>
  </si>
  <si>
    <t>Ergonomic Office Chair</t>
  </si>
  <si>
    <t>Net 45</t>
  </si>
  <si>
    <t>Ishita Shah</t>
  </si>
  <si>
    <t>PO202500003</t>
  </si>
  <si>
    <t>V003</t>
  </si>
  <si>
    <t>Prime Workplace India</t>
  </si>
  <si>
    <t>Operations</t>
  </si>
  <si>
    <t>Facilities</t>
  </si>
  <si>
    <t>ITM010</t>
  </si>
  <si>
    <t>Printer Maintenance Kit</t>
  </si>
  <si>
    <t>South</t>
  </si>
  <si>
    <t>Rohit Mehta</t>
  </si>
  <si>
    <t>PO202500004</t>
  </si>
  <si>
    <t>V015</t>
  </si>
  <si>
    <t>TalentBridge Consulting</t>
  </si>
  <si>
    <t>IT</t>
  </si>
  <si>
    <t>Professional Services</t>
  </si>
  <si>
    <t>ITM020</t>
  </si>
  <si>
    <t>Audit Support - Monthly</t>
  </si>
  <si>
    <t>Net 60</t>
  </si>
  <si>
    <t>Vikram Reddy</t>
  </si>
  <si>
    <t>PO202500005</t>
  </si>
  <si>
    <t>V005</t>
  </si>
  <si>
    <t>Vertex Digital Systems</t>
  </si>
  <si>
    <t>Technology</t>
  </si>
  <si>
    <t>ITM006</t>
  </si>
  <si>
    <t>Business Laptop - Standard</t>
  </si>
  <si>
    <t>East</t>
  </si>
  <si>
    <t>PO202500006</t>
  </si>
  <si>
    <t>ITM013</t>
  </si>
  <si>
    <t>Electrical Maintenance Service</t>
  </si>
  <si>
    <t>Ananya Rao</t>
  </si>
  <si>
    <t>PO202500007</t>
  </si>
  <si>
    <t>V016</t>
  </si>
  <si>
    <t>StratEdge Partners</t>
  </si>
  <si>
    <t>ITM022</t>
  </si>
  <si>
    <t>Data Reporting Support - Monthly</t>
  </si>
  <si>
    <t>PO202600008</t>
  </si>
  <si>
    <t>V006</t>
  </si>
  <si>
    <t>CoreTech Solutions</t>
  </si>
  <si>
    <t>Human Resources</t>
  </si>
  <si>
    <t>ITM007</t>
  </si>
  <si>
    <t>USB-C Docking Station</t>
  </si>
  <si>
    <t>North</t>
  </si>
  <si>
    <t>Neha Kapoor</t>
  </si>
  <si>
    <t>PO202500009</t>
  </si>
  <si>
    <t>PO202500010</t>
  </si>
  <si>
    <t>V011</t>
  </si>
  <si>
    <t>ProSafe Equipment</t>
  </si>
  <si>
    <t>Safety</t>
  </si>
  <si>
    <t>ITM014</t>
  </si>
  <si>
    <t>Safety Gloves - Box</t>
  </si>
  <si>
    <t>PO202500011</t>
  </si>
  <si>
    <t>ITM005</t>
  </si>
  <si>
    <t>24-inch Business Monitor</t>
  </si>
  <si>
    <t>PO202600012</t>
  </si>
  <si>
    <t>V012</t>
  </si>
  <si>
    <t>BrightReach Media</t>
  </si>
  <si>
    <t>Marketing</t>
  </si>
  <si>
    <t>ITM017</t>
  </si>
  <si>
    <t>Digital Marketing Campaign</t>
  </si>
  <si>
    <t>Arjun Nair</t>
  </si>
  <si>
    <t>PO202500013</t>
  </si>
  <si>
    <t>V010</t>
  </si>
  <si>
    <t>SafeGuard Industrial</t>
  </si>
  <si>
    <t>ITM015</t>
  </si>
  <si>
    <t>Safety Helmet</t>
  </si>
  <si>
    <t>PO202500014</t>
  </si>
  <si>
    <t>ITM004</t>
  </si>
  <si>
    <t>Wireless Keyboard &amp; Mouse</t>
  </si>
  <si>
    <t>PO202500015</t>
  </si>
  <si>
    <t>V014</t>
  </si>
  <si>
    <t>Insight Advisory Services</t>
  </si>
  <si>
    <t>PO202500016</t>
  </si>
  <si>
    <t>V013</t>
  </si>
  <si>
    <t>MarketCraft Communications</t>
  </si>
  <si>
    <t>ITM018</t>
  </si>
  <si>
    <t>Printed Marketing Materials</t>
  </si>
  <si>
    <t>PO202500017</t>
  </si>
  <si>
    <t>Administration</t>
  </si>
  <si>
    <t>ITM019</t>
  </si>
  <si>
    <t>Training Workshop - Per Batch</t>
  </si>
  <si>
    <t>Meera Joshi</t>
  </si>
  <si>
    <t>PO202500018</t>
  </si>
  <si>
    <t>V004</t>
  </si>
  <si>
    <t>Nexa Technologies</t>
  </si>
  <si>
    <t>PO202500019</t>
  </si>
  <si>
    <t>ITM009</t>
  </si>
  <si>
    <t>Annual Software License</t>
  </si>
  <si>
    <t>PO202600020</t>
  </si>
  <si>
    <t>PO202500021</t>
  </si>
  <si>
    <t>PO202500022</t>
  </si>
  <si>
    <t>PO202500023</t>
  </si>
  <si>
    <t>PO202500024</t>
  </si>
  <si>
    <t>ITM008</t>
  </si>
  <si>
    <t>Network Switch - 24 Port</t>
  </si>
  <si>
    <t>Late</t>
  </si>
  <si>
    <t>PO202500025</t>
  </si>
  <si>
    <t>V007</t>
  </si>
  <si>
    <t>SecureNet Systems</t>
  </si>
  <si>
    <t>PO202600026</t>
  </si>
  <si>
    <t>V008</t>
  </si>
  <si>
    <t>FacilityPro Services</t>
  </si>
  <si>
    <t>ITM012</t>
  </si>
  <si>
    <t>LED Panel Light</t>
  </si>
  <si>
    <t>PO202500027</t>
  </si>
  <si>
    <t>PO202500028</t>
  </si>
  <si>
    <t>PO202500029</t>
  </si>
  <si>
    <t>PO202500030</t>
  </si>
  <si>
    <t>V001</t>
  </si>
  <si>
    <t>Apex Office Solutions</t>
  </si>
  <si>
    <t>PO202500031</t>
  </si>
  <si>
    <t>PO202500032</t>
  </si>
  <si>
    <t>PO202600033</t>
  </si>
  <si>
    <t>V009</t>
  </si>
  <si>
    <t>Urban Maintenance Co.</t>
  </si>
  <si>
    <t>ITM011</t>
  </si>
  <si>
    <t>Cleaning Supplies Kit</t>
  </si>
  <si>
    <t>PO202500034</t>
  </si>
  <si>
    <t>PO202600035</t>
  </si>
  <si>
    <t>PO202500036</t>
  </si>
  <si>
    <t>PO202500037</t>
  </si>
  <si>
    <t>PO202500038</t>
  </si>
  <si>
    <t>PO202500039</t>
  </si>
  <si>
    <t>PO202500040</t>
  </si>
  <si>
    <t>PO202500041</t>
  </si>
  <si>
    <t>PO202600042</t>
  </si>
  <si>
    <t>ITM002</t>
  </si>
  <si>
    <t>Black Toner Cartridge</t>
  </si>
  <si>
    <t>PO202600043</t>
  </si>
  <si>
    <t>PO202600044</t>
  </si>
  <si>
    <t>PO202600045</t>
  </si>
  <si>
    <t>ITM021</t>
  </si>
  <si>
    <t>Recruitment Service Fee</t>
  </si>
  <si>
    <t>Open</t>
  </si>
  <si>
    <t>PO202500046</t>
  </si>
  <si>
    <t>PO202500047</t>
  </si>
  <si>
    <t>PO202600048</t>
  </si>
  <si>
    <t>PO202600049</t>
  </si>
  <si>
    <t>PO202500050</t>
  </si>
  <si>
    <t>PO202500051</t>
  </si>
  <si>
    <t>PO202500052</t>
  </si>
  <si>
    <t>PO202500053</t>
  </si>
  <si>
    <t>PO202600054</t>
  </si>
  <si>
    <t>PO202500055</t>
  </si>
  <si>
    <t>PO202500056</t>
  </si>
  <si>
    <t>PO202600057</t>
  </si>
  <si>
    <t>PO202500058</t>
  </si>
  <si>
    <t>PO202500059</t>
  </si>
  <si>
    <t>PO202500060</t>
  </si>
  <si>
    <t>PO202600061</t>
  </si>
  <si>
    <t>PO202500062</t>
  </si>
  <si>
    <t>PO202500063</t>
  </si>
  <si>
    <t>PO202500064</t>
  </si>
  <si>
    <t>PO202500065</t>
  </si>
  <si>
    <t>PO202500066</t>
  </si>
  <si>
    <t>PO202500067</t>
  </si>
  <si>
    <t>PO202500068</t>
  </si>
  <si>
    <t>PO202500069</t>
  </si>
  <si>
    <t>PO202600070</t>
  </si>
  <si>
    <t>PO202500071</t>
  </si>
  <si>
    <t>PO202500072</t>
  </si>
  <si>
    <t>PO202500073</t>
  </si>
  <si>
    <t>PO202600074</t>
  </si>
  <si>
    <t>ITM016</t>
  </si>
  <si>
    <t>First Aid Refill Kit</t>
  </si>
  <si>
    <t>PO202500075</t>
  </si>
  <si>
    <t>PO202500076</t>
  </si>
  <si>
    <t>PO202600077</t>
  </si>
  <si>
    <t>PO202600078</t>
  </si>
  <si>
    <t>PO202600079</t>
  </si>
  <si>
    <t>PO202600080</t>
  </si>
  <si>
    <t>PO202600081</t>
  </si>
  <si>
    <t>PO202500082</t>
  </si>
  <si>
    <t>PO202500083</t>
  </si>
  <si>
    <t>PO202500084</t>
  </si>
  <si>
    <t>PO202500085</t>
  </si>
  <si>
    <t>PO202500086</t>
  </si>
  <si>
    <t>PO202600087</t>
  </si>
  <si>
    <t>PO202500088</t>
  </si>
  <si>
    <t>PO202500089</t>
  </si>
  <si>
    <t>PO202500090</t>
  </si>
  <si>
    <t>PO202500091</t>
  </si>
  <si>
    <t>PO202500092</t>
  </si>
  <si>
    <t>PO202600093</t>
  </si>
  <si>
    <t>PO202600094</t>
  </si>
  <si>
    <t>PO202500095</t>
  </si>
  <si>
    <t>PO202600096</t>
  </si>
  <si>
    <t>PO202500097</t>
  </si>
  <si>
    <t>PO202600098</t>
  </si>
  <si>
    <t>PO202600099</t>
  </si>
  <si>
    <t>PO202500100</t>
  </si>
  <si>
    <t>PO202600101</t>
  </si>
  <si>
    <t>PO202600102</t>
  </si>
  <si>
    <t>PO202500103</t>
  </si>
  <si>
    <t>PO202500104</t>
  </si>
  <si>
    <t>PO202500105</t>
  </si>
  <si>
    <t>PO202500106</t>
  </si>
  <si>
    <t>PO202500107</t>
  </si>
  <si>
    <t>PO202500108</t>
  </si>
  <si>
    <t>PO202500109</t>
  </si>
  <si>
    <t>PO202500110</t>
  </si>
  <si>
    <t>PO202600111</t>
  </si>
  <si>
    <t>PO202500112</t>
  </si>
  <si>
    <t>PO202500113</t>
  </si>
  <si>
    <t>PO202500114</t>
  </si>
  <si>
    <t>PO202500115</t>
  </si>
  <si>
    <t>PO202500116</t>
  </si>
  <si>
    <t>PO202600117</t>
  </si>
  <si>
    <t>PO202500118</t>
  </si>
  <si>
    <t>PO202600119</t>
  </si>
  <si>
    <t>PO202500120</t>
  </si>
  <si>
    <t>PO202600121</t>
  </si>
  <si>
    <t>PO202500122</t>
  </si>
  <si>
    <t>PO202500123</t>
  </si>
  <si>
    <t>PO202500124</t>
  </si>
  <si>
    <t>PO202500125</t>
  </si>
  <si>
    <t>PO202600126</t>
  </si>
  <si>
    <t>PO202600127</t>
  </si>
  <si>
    <t>PO202600128</t>
  </si>
  <si>
    <t>PO202600129</t>
  </si>
  <si>
    <t>PO202500130</t>
  </si>
  <si>
    <t>PO202500131</t>
  </si>
  <si>
    <t>PO202500132</t>
  </si>
  <si>
    <t>PO202500133</t>
  </si>
  <si>
    <t>PO202500134</t>
  </si>
  <si>
    <t>PO202500135</t>
  </si>
  <si>
    <t>PO202500136</t>
  </si>
  <si>
    <t>PO202500137</t>
  </si>
  <si>
    <t>PO202500138</t>
  </si>
  <si>
    <t>PO202500139</t>
  </si>
  <si>
    <t>PO202500140</t>
  </si>
  <si>
    <t>PO202500141</t>
  </si>
  <si>
    <t>PO202600142</t>
  </si>
  <si>
    <t>safety</t>
  </si>
  <si>
    <t>PO202500143</t>
  </si>
  <si>
    <t>PO202500144</t>
  </si>
  <si>
    <t>PO202500145</t>
  </si>
  <si>
    <t>PO202600146</t>
  </si>
  <si>
    <t>PO202500147</t>
  </si>
  <si>
    <t>PO202500148</t>
  </si>
  <si>
    <t>PO202500149</t>
  </si>
  <si>
    <t>PO202600150</t>
  </si>
  <si>
    <t>PO202600151</t>
  </si>
  <si>
    <t>PO202500152</t>
  </si>
  <si>
    <t>PO202500153</t>
  </si>
  <si>
    <t>PO202500154</t>
  </si>
  <si>
    <t>PO202500155</t>
  </si>
  <si>
    <t>PO202600156</t>
  </si>
  <si>
    <t>PO202600157</t>
  </si>
  <si>
    <t>PO202600158</t>
  </si>
  <si>
    <t>PO202500159</t>
  </si>
  <si>
    <t>PO202500160</t>
  </si>
  <si>
    <t>PO202500161</t>
  </si>
  <si>
    <t>PO202500162</t>
  </si>
  <si>
    <t>PO202600163</t>
  </si>
  <si>
    <t>PO202500164</t>
  </si>
  <si>
    <t>PO202500165</t>
  </si>
  <si>
    <t>PO202600166</t>
  </si>
  <si>
    <t>PO202500167</t>
  </si>
  <si>
    <t>PO202600168</t>
  </si>
  <si>
    <t>PO202500169</t>
  </si>
  <si>
    <t>PO202500170</t>
  </si>
  <si>
    <t>PO202600171</t>
  </si>
  <si>
    <t>PO202500172</t>
  </si>
  <si>
    <t>PO202500173</t>
  </si>
  <si>
    <t>PO202500174</t>
  </si>
  <si>
    <t>PO202500175</t>
  </si>
  <si>
    <t>PO202600176</t>
  </si>
  <si>
    <t>PO202600177</t>
  </si>
  <si>
    <t>PO202500178</t>
  </si>
  <si>
    <t>PO202500179</t>
  </si>
  <si>
    <t>PO202500180</t>
  </si>
  <si>
    <t>PO202600181</t>
  </si>
  <si>
    <t>PO202600182</t>
  </si>
  <si>
    <t>PO202600183</t>
  </si>
  <si>
    <t>PO202600184</t>
  </si>
  <si>
    <t>PO202500185</t>
  </si>
  <si>
    <t>PO202600186</t>
  </si>
  <si>
    <t>PO202600187</t>
  </si>
  <si>
    <t>PO202600188</t>
  </si>
  <si>
    <t>PO202500189</t>
  </si>
  <si>
    <t>PO202500190</t>
  </si>
  <si>
    <t>PO202600191</t>
  </si>
  <si>
    <t>PO202500192</t>
  </si>
  <si>
    <t>PO202600193</t>
  </si>
  <si>
    <t>PO202500194</t>
  </si>
  <si>
    <t>PO202500195</t>
  </si>
  <si>
    <t>PO202500196</t>
  </si>
  <si>
    <t>PO202500197</t>
  </si>
  <si>
    <t>PO202500198</t>
  </si>
  <si>
    <t>PO202500199</t>
  </si>
  <si>
    <t>PO202500200</t>
  </si>
  <si>
    <t>PO202600201</t>
  </si>
  <si>
    <t>PO202500202</t>
  </si>
  <si>
    <t>PO202500203</t>
  </si>
  <si>
    <t>PO202500204</t>
  </si>
  <si>
    <t>PO202500205</t>
  </si>
  <si>
    <t>PO202500206</t>
  </si>
  <si>
    <t>PO202500207</t>
  </si>
  <si>
    <t>PO202500208</t>
  </si>
  <si>
    <t>PO202500209</t>
  </si>
  <si>
    <t>PO202500210</t>
  </si>
  <si>
    <t>PO202500211</t>
  </si>
  <si>
    <t>PO202600212</t>
  </si>
  <si>
    <t>PO202500213</t>
  </si>
  <si>
    <t>PO202500214</t>
  </si>
  <si>
    <t>PO202600215</t>
  </si>
  <si>
    <t>PO202600216</t>
  </si>
  <si>
    <t>PO202500217</t>
  </si>
  <si>
    <t>PO202500218</t>
  </si>
  <si>
    <t>PO202500219</t>
  </si>
  <si>
    <t>PO202500220</t>
  </si>
  <si>
    <t>PO202500221</t>
  </si>
  <si>
    <t>PO202500222</t>
  </si>
  <si>
    <t>PO202500223</t>
  </si>
  <si>
    <t>PO202500224</t>
  </si>
  <si>
    <t>PO202500225</t>
  </si>
  <si>
    <t>PO202500226</t>
  </si>
  <si>
    <t>PO202500227</t>
  </si>
  <si>
    <t>PO202600228</t>
  </si>
  <si>
    <t>PO202500229</t>
  </si>
  <si>
    <t>PO202600230</t>
  </si>
  <si>
    <t>PO202500231</t>
  </si>
  <si>
    <t>PO202600232</t>
  </si>
  <si>
    <t>PO202500233</t>
  </si>
  <si>
    <t>PO202500234</t>
  </si>
  <si>
    <t>PO202500235</t>
  </si>
  <si>
    <t>PO202500236</t>
  </si>
  <si>
    <t>PO202500237</t>
  </si>
  <si>
    <t>PO202500238</t>
  </si>
  <si>
    <t>PO202500239</t>
  </si>
  <si>
    <t>PO202600240</t>
  </si>
  <si>
    <t>PO202500241</t>
  </si>
  <si>
    <t>PO202600242</t>
  </si>
  <si>
    <t>PO202500243</t>
  </si>
  <si>
    <t>PO202500244</t>
  </si>
  <si>
    <t>PO202500245</t>
  </si>
  <si>
    <t>PO202600246</t>
  </si>
  <si>
    <t>PO202600247</t>
  </si>
  <si>
    <t>PO202500248</t>
  </si>
  <si>
    <t>PO202500249</t>
  </si>
  <si>
    <t>PO202500250</t>
  </si>
  <si>
    <t>PO202500251</t>
  </si>
  <si>
    <t>Net45</t>
  </si>
  <si>
    <t>PO202500252</t>
  </si>
  <si>
    <t>PO202500253</t>
  </si>
  <si>
    <t>PO202500254</t>
  </si>
  <si>
    <t>PO202500255</t>
  </si>
  <si>
    <t>PO202500256</t>
  </si>
  <si>
    <t>PO202500257</t>
  </si>
  <si>
    <t>PO202600258</t>
  </si>
  <si>
    <t>PO202600259</t>
  </si>
  <si>
    <t>PO202500260</t>
  </si>
  <si>
    <t>PO202600261</t>
  </si>
  <si>
    <t>PO202500262</t>
  </si>
  <si>
    <t>PO202600263</t>
  </si>
  <si>
    <t>PO202600264</t>
  </si>
  <si>
    <t>PO202500265</t>
  </si>
  <si>
    <t>PO202500266</t>
  </si>
  <si>
    <t>PO202600267</t>
  </si>
  <si>
    <t>PO202500268</t>
  </si>
  <si>
    <t>PO202500269</t>
  </si>
  <si>
    <t>PO202600270</t>
  </si>
  <si>
    <t>PO202500271</t>
  </si>
  <si>
    <t>PO202500272</t>
  </si>
  <si>
    <t>PO202500273</t>
  </si>
  <si>
    <t>PO202500274</t>
  </si>
  <si>
    <t>PO202500275</t>
  </si>
  <si>
    <t>PO202500276</t>
  </si>
  <si>
    <t>PO202500277</t>
  </si>
  <si>
    <t>PO202500278</t>
  </si>
  <si>
    <t>PO202500279</t>
  </si>
  <si>
    <t>PO202500280</t>
  </si>
  <si>
    <t>PO202500281</t>
  </si>
  <si>
    <t>PO202500282</t>
  </si>
  <si>
    <t>PO202600283</t>
  </si>
  <si>
    <t>PO202500284</t>
  </si>
  <si>
    <t>PO202600285</t>
  </si>
  <si>
    <t>PO202500286</t>
  </si>
  <si>
    <t>PO202600287</t>
  </si>
  <si>
    <t>PO202600288</t>
  </si>
  <si>
    <t>PO202500289</t>
  </si>
  <si>
    <t>PO202600290</t>
  </si>
  <si>
    <t>PO202500291</t>
  </si>
  <si>
    <t>PO202500292</t>
  </si>
  <si>
    <t>PO202500293</t>
  </si>
  <si>
    <t>PO202500294</t>
  </si>
  <si>
    <t>PO202500295</t>
  </si>
  <si>
    <t>PO202600296</t>
  </si>
  <si>
    <t>PO202600297</t>
  </si>
  <si>
    <t>VIKRAM REDDY</t>
  </si>
  <si>
    <t>PO202600298</t>
  </si>
  <si>
    <t>PO202600299</t>
  </si>
  <si>
    <t>PO202500300</t>
  </si>
  <si>
    <t>PO202600301</t>
  </si>
  <si>
    <t>PO202600302</t>
  </si>
  <si>
    <t>PO202500303</t>
  </si>
  <si>
    <t>PO202500304</t>
  </si>
  <si>
    <t>PO202600305</t>
  </si>
  <si>
    <t>PO202500306</t>
  </si>
  <si>
    <t>PO202500307</t>
  </si>
  <si>
    <t>PO202500308</t>
  </si>
  <si>
    <t>PO202600309</t>
  </si>
  <si>
    <t>PO202500310</t>
  </si>
  <si>
    <t>PO202500311</t>
  </si>
  <si>
    <t>PO202500312</t>
  </si>
  <si>
    <t>PO202500313</t>
  </si>
  <si>
    <t>PO202500314</t>
  </si>
  <si>
    <t>PO202500315</t>
  </si>
  <si>
    <t>PO202600316</t>
  </si>
  <si>
    <t>PO202500317</t>
  </si>
  <si>
    <t>PO202500318</t>
  </si>
  <si>
    <t>PO202600319</t>
  </si>
  <si>
    <t>PO202500320</t>
  </si>
  <si>
    <t>PO202600321</t>
  </si>
  <si>
    <t>PO202500322</t>
  </si>
  <si>
    <t>PO202600323</t>
  </si>
  <si>
    <t>PO202600324</t>
  </si>
  <si>
    <t>PO202500325</t>
  </si>
  <si>
    <t>PO202500326</t>
  </si>
  <si>
    <t>PO202500327</t>
  </si>
  <si>
    <t>PO202500328</t>
  </si>
  <si>
    <t>PO202500329</t>
  </si>
  <si>
    <t>PO202500330</t>
  </si>
  <si>
    <t>PO202600331</t>
  </si>
  <si>
    <t>PO202500332</t>
  </si>
  <si>
    <t>PO202500333</t>
  </si>
  <si>
    <t>PO202500334</t>
  </si>
  <si>
    <t>PO202500335</t>
  </si>
  <si>
    <t>PO202600336</t>
  </si>
  <si>
    <t>PO202500337</t>
  </si>
  <si>
    <t>PO202600338</t>
  </si>
  <si>
    <t>PO202500339</t>
  </si>
  <si>
    <t>PO202500340</t>
  </si>
  <si>
    <t>PO202500341</t>
  </si>
  <si>
    <t>PO202500342</t>
  </si>
  <si>
    <t>PO202600343</t>
  </si>
  <si>
    <t>PO202500344</t>
  </si>
  <si>
    <t>PO202500345</t>
  </si>
  <si>
    <t>PO202600346</t>
  </si>
  <si>
    <t>PO202600347</t>
  </si>
  <si>
    <t>PO202500348</t>
  </si>
  <si>
    <t>PO202600349</t>
  </si>
  <si>
    <t>PO202600350</t>
  </si>
  <si>
    <t>PO202500351</t>
  </si>
  <si>
    <t>PO202500352</t>
  </si>
  <si>
    <t>PO202500353</t>
  </si>
  <si>
    <t>PO202500354</t>
  </si>
  <si>
    <t>PO202500355</t>
  </si>
  <si>
    <t>PO202500356</t>
  </si>
  <si>
    <t>PO202500357</t>
  </si>
  <si>
    <t>PO202600358</t>
  </si>
  <si>
    <t>PO202500359</t>
  </si>
  <si>
    <t>PO202500360</t>
  </si>
  <si>
    <t>PO202500361</t>
  </si>
  <si>
    <t>PO202600362</t>
  </si>
  <si>
    <t>PO202600363</t>
  </si>
  <si>
    <t>PO202600364</t>
  </si>
  <si>
    <t>PO202500365</t>
  </si>
  <si>
    <t>PO202600366</t>
  </si>
  <si>
    <t>PO202500367</t>
  </si>
  <si>
    <t>PO202500368</t>
  </si>
  <si>
    <t>PO202500369</t>
  </si>
  <si>
    <t>PO202600370</t>
  </si>
  <si>
    <t>marketing</t>
  </si>
  <si>
    <t>PO202500371</t>
  </si>
  <si>
    <t>PO202500372</t>
  </si>
  <si>
    <t>PO202500373</t>
  </si>
  <si>
    <t>PO202500374</t>
  </si>
  <si>
    <t>PO202500375</t>
  </si>
  <si>
    <t>PO202500376</t>
  </si>
  <si>
    <t>PO202500377</t>
  </si>
  <si>
    <t>PO202500378</t>
  </si>
  <si>
    <t>PO202500379</t>
  </si>
  <si>
    <t>PO202500380</t>
  </si>
  <si>
    <t>PO202500381</t>
  </si>
  <si>
    <t>PO202600382</t>
  </si>
  <si>
    <t>PO202500383</t>
  </si>
  <si>
    <t>PO202600384</t>
  </si>
  <si>
    <t>PO202500385</t>
  </si>
  <si>
    <t>PO202500386</t>
  </si>
  <si>
    <t>PO202500387</t>
  </si>
  <si>
    <t>PO202500388</t>
  </si>
  <si>
    <t>PO202500389</t>
  </si>
  <si>
    <t>PO202600390</t>
  </si>
  <si>
    <t>PO202600391</t>
  </si>
  <si>
    <t>PO202500392</t>
  </si>
  <si>
    <t>PO202600393</t>
  </si>
  <si>
    <t>PO202500394</t>
  </si>
  <si>
    <t>PO202500395</t>
  </si>
  <si>
    <t>PO202500396</t>
  </si>
  <si>
    <t>PO202500397</t>
  </si>
  <si>
    <t>PO202600398</t>
  </si>
  <si>
    <t>PO202500399</t>
  </si>
  <si>
    <t>PO202500400</t>
  </si>
  <si>
    <t>PO202500401</t>
  </si>
  <si>
    <t>PO202500402</t>
  </si>
  <si>
    <t>Net30</t>
  </si>
  <si>
    <t>PO202600403</t>
  </si>
  <si>
    <t>PO202500404</t>
  </si>
  <si>
    <t>PO202600405</t>
  </si>
  <si>
    <t>PO202600406</t>
  </si>
  <si>
    <t>PO202500407</t>
  </si>
  <si>
    <t>PO202500408</t>
  </si>
  <si>
    <t>PO202500409</t>
  </si>
  <si>
    <t>PO202500410</t>
  </si>
  <si>
    <t>PO202600411</t>
  </si>
  <si>
    <t>PO202500412</t>
  </si>
  <si>
    <t>PO202500413</t>
  </si>
  <si>
    <t>PO202500414</t>
  </si>
  <si>
    <t>PO202600415</t>
  </si>
  <si>
    <t>PO202500416</t>
  </si>
  <si>
    <t>PO202600417</t>
  </si>
  <si>
    <t>PO202500418</t>
  </si>
  <si>
    <t>PO202600419</t>
  </si>
  <si>
    <t>PO202500420</t>
  </si>
  <si>
    <t>PO202500421</t>
  </si>
  <si>
    <t>PO202600422</t>
  </si>
  <si>
    <t>PO202500423</t>
  </si>
  <si>
    <t>PO202600424</t>
  </si>
  <si>
    <t>PO202500425</t>
  </si>
  <si>
    <t>PO202600426</t>
  </si>
  <si>
    <t>PO202500427</t>
  </si>
  <si>
    <t>PO202500428</t>
  </si>
  <si>
    <t>PO202500429</t>
  </si>
  <si>
    <t>PO202500430</t>
  </si>
  <si>
    <t>PO202500431</t>
  </si>
  <si>
    <t>PO202500432</t>
  </si>
  <si>
    <t>PO202500433</t>
  </si>
  <si>
    <t>PO202500434</t>
  </si>
  <si>
    <t>PO202500435</t>
  </si>
  <si>
    <t>PO202500436</t>
  </si>
  <si>
    <t>PO202600437</t>
  </si>
  <si>
    <t>PO202500438</t>
  </si>
  <si>
    <t>PO202600439</t>
  </si>
  <si>
    <t>PO202600440</t>
  </si>
  <si>
    <t>PO202500441</t>
  </si>
  <si>
    <t>PO202500442</t>
  </si>
  <si>
    <t>PO202600443</t>
  </si>
  <si>
    <t>PO202500444</t>
  </si>
  <si>
    <t>PO202500445</t>
  </si>
  <si>
    <t>PO202600446</t>
  </si>
  <si>
    <t>PO202500447</t>
  </si>
  <si>
    <t>PO202600448</t>
  </si>
  <si>
    <t>PO202500449</t>
  </si>
  <si>
    <t>PO202500450</t>
  </si>
  <si>
    <t>PO202500451</t>
  </si>
  <si>
    <t>PO202500452</t>
  </si>
  <si>
    <t>PO202600453</t>
  </si>
  <si>
    <t>PO202500454</t>
  </si>
  <si>
    <t>PO202500455</t>
  </si>
  <si>
    <t>PO202500456</t>
  </si>
  <si>
    <t>PO202500457</t>
  </si>
  <si>
    <t>PO202600458</t>
  </si>
  <si>
    <t>PO202500459</t>
  </si>
  <si>
    <t>PO202500460</t>
  </si>
  <si>
    <t>PO202600461</t>
  </si>
  <si>
    <t>PO202600462</t>
  </si>
  <si>
    <t>PO202500463</t>
  </si>
  <si>
    <t>PO202500464</t>
  </si>
  <si>
    <t>PO202500465</t>
  </si>
  <si>
    <t>PO202600466</t>
  </si>
  <si>
    <t>PO202600467</t>
  </si>
  <si>
    <t>PO202500468</t>
  </si>
  <si>
    <t>PO202500469</t>
  </si>
  <si>
    <t>PO202500470</t>
  </si>
  <si>
    <t>PO202500471</t>
  </si>
  <si>
    <t>PO202600472</t>
  </si>
  <si>
    <t>PO202500473</t>
  </si>
  <si>
    <t>PO202500474</t>
  </si>
  <si>
    <t>PO202600475</t>
  </si>
  <si>
    <t>PO202500476</t>
  </si>
  <si>
    <t>PO202500477</t>
  </si>
  <si>
    <t>PO202500478</t>
  </si>
  <si>
    <t>PO202500479</t>
  </si>
  <si>
    <t>PO202500480</t>
  </si>
  <si>
    <t>PO202500481</t>
  </si>
  <si>
    <t>PO202500482</t>
  </si>
  <si>
    <t>PO202500483</t>
  </si>
  <si>
    <t>PO202500484</t>
  </si>
  <si>
    <t>PO202600485</t>
  </si>
  <si>
    <t>PO202600486</t>
  </si>
  <si>
    <t>PO202500487</t>
  </si>
  <si>
    <t>PO202500488</t>
  </si>
  <si>
    <t>PO202500489</t>
  </si>
  <si>
    <t>PO202600490</t>
  </si>
  <si>
    <t>PO202500491</t>
  </si>
  <si>
    <t>PO202500492</t>
  </si>
  <si>
    <t>PO202600493</t>
  </si>
  <si>
    <t>PO202500494</t>
  </si>
  <si>
    <t>PO202600495</t>
  </si>
  <si>
    <t>PO202500496</t>
  </si>
  <si>
    <t>PO202600497</t>
  </si>
  <si>
    <t>PO202500498</t>
  </si>
  <si>
    <t>PO202500499</t>
  </si>
  <si>
    <t>PO202500500</t>
  </si>
  <si>
    <t>PO202600501</t>
  </si>
  <si>
    <t>PO202500502</t>
  </si>
  <si>
    <t>PO202600503</t>
  </si>
  <si>
    <t>PO202500504</t>
  </si>
  <si>
    <t>PO202500505</t>
  </si>
  <si>
    <t>PO202500506</t>
  </si>
  <si>
    <t>PO202500507</t>
  </si>
  <si>
    <t>PO202600508</t>
  </si>
  <si>
    <t>PO202500509</t>
  </si>
  <si>
    <t>PO202600510</t>
  </si>
  <si>
    <t>PO202600511</t>
  </si>
  <si>
    <t>PO202600512</t>
  </si>
  <si>
    <t>PO202500513</t>
  </si>
  <si>
    <t>PO202600514</t>
  </si>
  <si>
    <t>PO202500515</t>
  </si>
  <si>
    <t>PO202500516</t>
  </si>
  <si>
    <t>PO202500517</t>
  </si>
  <si>
    <t>PO202600518</t>
  </si>
  <si>
    <t>PO202500519</t>
  </si>
  <si>
    <t>PO202500520</t>
  </si>
  <si>
    <t>PO202600521</t>
  </si>
  <si>
    <t>PO202500522</t>
  </si>
  <si>
    <t>PO202600523</t>
  </si>
  <si>
    <t>PO202600524</t>
  </si>
  <si>
    <t>PO202500525</t>
  </si>
  <si>
    <t>PO202500526</t>
  </si>
  <si>
    <t>PO202500527</t>
  </si>
  <si>
    <t>PO202600528</t>
  </si>
  <si>
    <t>PO202500529</t>
  </si>
  <si>
    <t>PO202500530</t>
  </si>
  <si>
    <t>PO202600531</t>
  </si>
  <si>
    <t>PO202500532</t>
  </si>
  <si>
    <t>PO202600533</t>
  </si>
  <si>
    <t>PO202500534</t>
  </si>
  <si>
    <t>PO202500535</t>
  </si>
  <si>
    <t>PO202500536</t>
  </si>
  <si>
    <t>PO202600537</t>
  </si>
  <si>
    <t>PO202500538</t>
  </si>
  <si>
    <t>PO202500539</t>
  </si>
  <si>
    <t>PO202500540</t>
  </si>
  <si>
    <t>PO202600541</t>
  </si>
  <si>
    <t>PO202500542</t>
  </si>
  <si>
    <t>PO202500543</t>
  </si>
  <si>
    <t>PO202500544</t>
  </si>
  <si>
    <t>PO202500545</t>
  </si>
  <si>
    <t>PO202600546</t>
  </si>
  <si>
    <t>PO202500547</t>
  </si>
  <si>
    <t>PO202500548</t>
  </si>
  <si>
    <t>PO202500549</t>
  </si>
  <si>
    <t>PO202500550</t>
  </si>
  <si>
    <t>PO202500551</t>
  </si>
  <si>
    <t>PO202600552</t>
  </si>
  <si>
    <t>PO202500553</t>
  </si>
  <si>
    <t>PO202600554</t>
  </si>
  <si>
    <t>PO202600555</t>
  </si>
  <si>
    <t>PO202500556</t>
  </si>
  <si>
    <t>PO202500557</t>
  </si>
  <si>
    <t>PO202500558</t>
  </si>
  <si>
    <t>PO202500559</t>
  </si>
  <si>
    <t>PO202500560</t>
  </si>
  <si>
    <t>PO202600561</t>
  </si>
  <si>
    <t>PO202600562</t>
  </si>
  <si>
    <t>PO202500563</t>
  </si>
  <si>
    <t>PO202600564</t>
  </si>
  <si>
    <t>PO202500565</t>
  </si>
  <si>
    <t>PO202500566</t>
  </si>
  <si>
    <t>PO202600567</t>
  </si>
  <si>
    <t>PO202600568</t>
  </si>
  <si>
    <t>PO202500569</t>
  </si>
  <si>
    <t>PO202600570</t>
  </si>
  <si>
    <t>PO202500571</t>
  </si>
  <si>
    <t>PO202500572</t>
  </si>
  <si>
    <t>PO202500573</t>
  </si>
  <si>
    <t>PO202500574</t>
  </si>
  <si>
    <t>PO202500575</t>
  </si>
  <si>
    <t>PO202500576</t>
  </si>
  <si>
    <t>PO202600577</t>
  </si>
  <si>
    <t>PO202500578</t>
  </si>
  <si>
    <t>PO202500579</t>
  </si>
  <si>
    <t>PO202600580</t>
  </si>
  <si>
    <t>PO202600581</t>
  </si>
  <si>
    <t>PO202500582</t>
  </si>
  <si>
    <t>PO202500583</t>
  </si>
  <si>
    <t>PO202600584</t>
  </si>
  <si>
    <t>PO202500585</t>
  </si>
  <si>
    <t>PO202500586</t>
  </si>
  <si>
    <t>PO202500587</t>
  </si>
  <si>
    <t>PO202500588</t>
  </si>
  <si>
    <t>PO202500589</t>
  </si>
  <si>
    <t>NEHA KAPOOR</t>
  </si>
  <si>
    <t>PO202500590</t>
  </si>
  <si>
    <t>PO202500591</t>
  </si>
  <si>
    <t>PO202500592</t>
  </si>
  <si>
    <t>PO202600593</t>
  </si>
  <si>
    <t>PO202500594</t>
  </si>
  <si>
    <t>PO202500595</t>
  </si>
  <si>
    <t>PO202500596</t>
  </si>
  <si>
    <t>PO202500597</t>
  </si>
  <si>
    <t>PO202600598</t>
  </si>
  <si>
    <t>PO202500599</t>
  </si>
  <si>
    <t>PO202500600</t>
  </si>
  <si>
    <t>PO202600601</t>
  </si>
  <si>
    <t>PO202500602</t>
  </si>
  <si>
    <t>PO202500603</t>
  </si>
  <si>
    <t>PO202600604</t>
  </si>
  <si>
    <t>PO202500605</t>
  </si>
  <si>
    <t>PO202500606</t>
  </si>
  <si>
    <t>PO202600607</t>
  </si>
  <si>
    <t>PO202600608</t>
  </si>
  <si>
    <t>PO202500609</t>
  </si>
  <si>
    <t>PO202600610</t>
  </si>
  <si>
    <t>PO202500611</t>
  </si>
  <si>
    <t>PO202500612</t>
  </si>
  <si>
    <t>PO202500613</t>
  </si>
  <si>
    <t>PO202500614</t>
  </si>
  <si>
    <t>PO202500615</t>
  </si>
  <si>
    <t>PO202600616</t>
  </si>
  <si>
    <t>PO202500617</t>
  </si>
  <si>
    <t>PO202500618</t>
  </si>
  <si>
    <t>PO202500619</t>
  </si>
  <si>
    <t>PO202600620</t>
  </si>
  <si>
    <t>PO202500621</t>
  </si>
  <si>
    <t>PO202500622</t>
  </si>
  <si>
    <t>PO202500623</t>
  </si>
  <si>
    <t>PO202500624</t>
  </si>
  <si>
    <t>PO202500625</t>
  </si>
  <si>
    <t>PO202600626</t>
  </si>
  <si>
    <t>PO202600627</t>
  </si>
  <si>
    <t>PO202500628</t>
  </si>
  <si>
    <t>PO202500629</t>
  </si>
  <si>
    <t>PO202600630</t>
  </si>
  <si>
    <t>PO202500631</t>
  </si>
  <si>
    <t>PO202500632</t>
  </si>
  <si>
    <t>PO202500633</t>
  </si>
  <si>
    <t>PO202500634</t>
  </si>
  <si>
    <t>PO202500635</t>
  </si>
  <si>
    <t>PO202500636</t>
  </si>
  <si>
    <t>PO202500637</t>
  </si>
  <si>
    <t>PO202600638</t>
  </si>
  <si>
    <t>PO202500639</t>
  </si>
  <si>
    <t>PO202600640</t>
  </si>
  <si>
    <t>PO202500641</t>
  </si>
  <si>
    <t>PO202500642</t>
  </si>
  <si>
    <t>PO202500643</t>
  </si>
  <si>
    <t>PO202500644</t>
  </si>
  <si>
    <t>PO202500645</t>
  </si>
  <si>
    <t>PO202500646</t>
  </si>
  <si>
    <t>PO202500647</t>
  </si>
  <si>
    <t>PO202500648</t>
  </si>
  <si>
    <t>PO202500649</t>
  </si>
  <si>
    <t>PO202500650</t>
  </si>
  <si>
    <t>PO202500651</t>
  </si>
  <si>
    <t>PO202500652</t>
  </si>
  <si>
    <t>PO202500653</t>
  </si>
  <si>
    <t>PO202500654</t>
  </si>
  <si>
    <t>PO202600655</t>
  </si>
  <si>
    <t>PO202600656</t>
  </si>
  <si>
    <t>PO202600657</t>
  </si>
  <si>
    <t>PO202500658</t>
  </si>
  <si>
    <t>PO202500659</t>
  </si>
  <si>
    <t>PO202600660</t>
  </si>
  <si>
    <t>PO202500661</t>
  </si>
  <si>
    <t>PO202600662</t>
  </si>
  <si>
    <t>PO202500663</t>
  </si>
  <si>
    <t>PO202600664</t>
  </si>
  <si>
    <t>PO202600665</t>
  </si>
  <si>
    <t>PO202500666</t>
  </si>
  <si>
    <t>PO202600667</t>
  </si>
  <si>
    <t>PO202500668</t>
  </si>
  <si>
    <t>PO202500669</t>
  </si>
  <si>
    <t>PO202500670</t>
  </si>
  <si>
    <t>PO202600671</t>
  </si>
  <si>
    <t>PO202600672</t>
  </si>
  <si>
    <t>PO202600673</t>
  </si>
  <si>
    <t>PO202500674</t>
  </si>
  <si>
    <t>PO202500675</t>
  </si>
  <si>
    <t>PO202500676</t>
  </si>
  <si>
    <t>PO202500677</t>
  </si>
  <si>
    <t>PO202500678</t>
  </si>
  <si>
    <t>PO202600679</t>
  </si>
  <si>
    <t>PO202600680</t>
  </si>
  <si>
    <t>PO202500681</t>
  </si>
  <si>
    <t>PO202500682</t>
  </si>
  <si>
    <t>PO202500683</t>
  </si>
  <si>
    <t>PO202600684</t>
  </si>
  <si>
    <t>PO202500685</t>
  </si>
  <si>
    <t>PO202500686</t>
  </si>
  <si>
    <t>PO202500687</t>
  </si>
  <si>
    <t>PO202500688</t>
  </si>
  <si>
    <t>PO202500689</t>
  </si>
  <si>
    <t>PO202500690</t>
  </si>
  <si>
    <t>PO202600691</t>
  </si>
  <si>
    <t>PO202600692</t>
  </si>
  <si>
    <t>PO202600693</t>
  </si>
  <si>
    <t>PO202500694</t>
  </si>
  <si>
    <t>PO202500695</t>
  </si>
  <si>
    <t>PO202500696</t>
  </si>
  <si>
    <t>PO202600697</t>
  </si>
  <si>
    <t>PO202600698</t>
  </si>
  <si>
    <t>PO202500699</t>
  </si>
  <si>
    <t>PO202600700</t>
  </si>
  <si>
    <t>PO202500701</t>
  </si>
  <si>
    <t>PO202500702</t>
  </si>
  <si>
    <t>PO202600703</t>
  </si>
  <si>
    <t>PO202500704</t>
  </si>
  <si>
    <t>PO202600705</t>
  </si>
  <si>
    <t>PO202500706</t>
  </si>
  <si>
    <t>PO202600707</t>
  </si>
  <si>
    <t>PO202500708</t>
  </si>
  <si>
    <t>PO202500709</t>
  </si>
  <si>
    <t>PO202600710</t>
  </si>
  <si>
    <t>PO202500711</t>
  </si>
  <si>
    <t>PO202500712</t>
  </si>
  <si>
    <t>PO202600713</t>
  </si>
  <si>
    <t>PO202600714</t>
  </si>
  <si>
    <t>PO202500715</t>
  </si>
  <si>
    <t>PO202500716</t>
  </si>
  <si>
    <t>PO202500717</t>
  </si>
  <si>
    <t>PO202500718</t>
  </si>
  <si>
    <t>PO202500719</t>
  </si>
  <si>
    <t>PO202500720</t>
  </si>
  <si>
    <t>PO202500721</t>
  </si>
  <si>
    <t>PO202600722</t>
  </si>
  <si>
    <t>PO202600723</t>
  </si>
  <si>
    <t>PO202500724</t>
  </si>
  <si>
    <t>PO202600725</t>
  </si>
  <si>
    <t>PO202500726</t>
  </si>
  <si>
    <t>PO202600727</t>
  </si>
  <si>
    <t>PO202600728</t>
  </si>
  <si>
    <t>PO202500729</t>
  </si>
  <si>
    <t>PO202500730</t>
  </si>
  <si>
    <t>PO202600731</t>
  </si>
  <si>
    <t>PO202500732</t>
  </si>
  <si>
    <t>PO202500733</t>
  </si>
  <si>
    <t>PO202500734</t>
  </si>
  <si>
    <t>PO202500735</t>
  </si>
  <si>
    <t>PO202600736</t>
  </si>
  <si>
    <t>PO202500737</t>
  </si>
  <si>
    <t>PO202600738</t>
  </si>
  <si>
    <t>PO202600739</t>
  </si>
  <si>
    <t>PO202500740</t>
  </si>
  <si>
    <t>PO202500741</t>
  </si>
  <si>
    <t>PO202500742</t>
  </si>
  <si>
    <t>PO202500743</t>
  </si>
  <si>
    <t>PO202500744</t>
  </si>
  <si>
    <t>PO202500745</t>
  </si>
  <si>
    <t>PO202500746</t>
  </si>
  <si>
    <t>PO202600747</t>
  </si>
  <si>
    <t>PO202500748</t>
  </si>
  <si>
    <t>PO202600749</t>
  </si>
  <si>
    <t>PO202500750</t>
  </si>
  <si>
    <t>PO202600751</t>
  </si>
  <si>
    <t>PO202600752</t>
  </si>
  <si>
    <t>PO202500753</t>
  </si>
  <si>
    <t>PO202500754</t>
  </si>
  <si>
    <t>PO202500755</t>
  </si>
  <si>
    <t>PO202500756</t>
  </si>
  <si>
    <t>PO202500757</t>
  </si>
  <si>
    <t>PO202600758</t>
  </si>
  <si>
    <t>PO202500759</t>
  </si>
  <si>
    <t>PO202500760</t>
  </si>
  <si>
    <t>PO202500761</t>
  </si>
  <si>
    <t>PO202500762</t>
  </si>
  <si>
    <t>PO202500763</t>
  </si>
  <si>
    <t>PO202500764</t>
  </si>
  <si>
    <t>PO202500765</t>
  </si>
  <si>
    <t>PO202600766</t>
  </si>
  <si>
    <t>PO202500767</t>
  </si>
  <si>
    <t>PO202500768</t>
  </si>
  <si>
    <t>PO202500769</t>
  </si>
  <si>
    <t>PO202600770</t>
  </si>
  <si>
    <t>PO202500771</t>
  </si>
  <si>
    <t>PO202500772</t>
  </si>
  <si>
    <t>PO202600773</t>
  </si>
  <si>
    <t>PO202500774</t>
  </si>
  <si>
    <t>PO202600775</t>
  </si>
  <si>
    <t>PO202600776</t>
  </si>
  <si>
    <t>PO202500777</t>
  </si>
  <si>
    <t>PO202500778</t>
  </si>
  <si>
    <t>PO202600779</t>
  </si>
  <si>
    <t>PO202500780</t>
  </si>
  <si>
    <t>PO202500781</t>
  </si>
  <si>
    <t>PO202500782</t>
  </si>
  <si>
    <t>PO202500783</t>
  </si>
  <si>
    <t>PO202500784</t>
  </si>
  <si>
    <t>PO202500785</t>
  </si>
  <si>
    <t>PO202600786</t>
  </si>
  <si>
    <t>PO202500787</t>
  </si>
  <si>
    <t>PO202500788</t>
  </si>
  <si>
    <t>PO202600789</t>
  </si>
  <si>
    <t>PO202500790</t>
  </si>
  <si>
    <t>PO202500791</t>
  </si>
  <si>
    <t>PO202500792</t>
  </si>
  <si>
    <t>PO202500793</t>
  </si>
  <si>
    <t>PO202600794</t>
  </si>
  <si>
    <t>PO202500795</t>
  </si>
  <si>
    <t>PO202500796</t>
  </si>
  <si>
    <t>PO202500797</t>
  </si>
  <si>
    <t>PO202600798</t>
  </si>
  <si>
    <t>PO202500799</t>
  </si>
  <si>
    <t>PO202600800</t>
  </si>
  <si>
    <t>PO202600801</t>
  </si>
  <si>
    <t>PO202500802</t>
  </si>
  <si>
    <t>PO202500803</t>
  </si>
  <si>
    <t>PO202500804</t>
  </si>
  <si>
    <t>PO202500805</t>
  </si>
  <si>
    <t>PO202500806</t>
  </si>
  <si>
    <t>PO202500807</t>
  </si>
  <si>
    <t>PO202600808</t>
  </si>
  <si>
    <t>PO202600809</t>
  </si>
  <si>
    <t>PO202600810</t>
  </si>
  <si>
    <t>PO202500811</t>
  </si>
  <si>
    <t>PO202500812</t>
  </si>
  <si>
    <t>PO202500813</t>
  </si>
  <si>
    <t>PO202500814</t>
  </si>
  <si>
    <t>PO202600815</t>
  </si>
  <si>
    <t>PO202600816</t>
  </si>
  <si>
    <t>PO202500817</t>
  </si>
  <si>
    <t>PO202600818</t>
  </si>
  <si>
    <t>PO202500819</t>
  </si>
  <si>
    <t>PO202600820</t>
  </si>
  <si>
    <t>PO202500821</t>
  </si>
  <si>
    <t>PO202600822</t>
  </si>
  <si>
    <t>PO202500823</t>
  </si>
  <si>
    <t>PO202600824</t>
  </si>
  <si>
    <t>PO202500825</t>
  </si>
  <si>
    <t>PO202500826</t>
  </si>
  <si>
    <t>PO202600827</t>
  </si>
  <si>
    <t>PO202600828</t>
  </si>
  <si>
    <t>PO202500829</t>
  </si>
  <si>
    <t>PO202500830</t>
  </si>
  <si>
    <t>PO202600831</t>
  </si>
  <si>
    <t>PO202600832</t>
  </si>
  <si>
    <t>PO202500833</t>
  </si>
  <si>
    <t>PO202500834</t>
  </si>
  <si>
    <t>PO202500835</t>
  </si>
  <si>
    <t>PO202500836</t>
  </si>
  <si>
    <t>PO202600837</t>
  </si>
  <si>
    <t>PO202500838</t>
  </si>
  <si>
    <t>PO202500839</t>
  </si>
  <si>
    <t>PO202500840</t>
  </si>
  <si>
    <t>PO202500841</t>
  </si>
  <si>
    <t>PO202500842</t>
  </si>
  <si>
    <t>PO202500843</t>
  </si>
  <si>
    <t>PO202600844</t>
  </si>
  <si>
    <t>PO202500845</t>
  </si>
  <si>
    <t>PO202600846</t>
  </si>
  <si>
    <t>PO202500847</t>
  </si>
  <si>
    <t>PO202500848</t>
  </si>
  <si>
    <t>PO202500849</t>
  </si>
  <si>
    <t>PO202600850</t>
  </si>
  <si>
    <t>PO202500851</t>
  </si>
  <si>
    <t>PO202500852</t>
  </si>
  <si>
    <t>PO202500853</t>
  </si>
  <si>
    <t>PO202600854</t>
  </si>
  <si>
    <t>PO202500855</t>
  </si>
  <si>
    <t>PO202500856</t>
  </si>
  <si>
    <t>PO202500857</t>
  </si>
  <si>
    <t>PO202600858</t>
  </si>
  <si>
    <t>PO202500859</t>
  </si>
  <si>
    <t>PO202500860</t>
  </si>
  <si>
    <t>PO202500861</t>
  </si>
  <si>
    <t>PO202500862</t>
  </si>
  <si>
    <t>PO202500863</t>
  </si>
  <si>
    <t>PO202500864</t>
  </si>
  <si>
    <t>PO202500865</t>
  </si>
  <si>
    <t>PO202500866</t>
  </si>
  <si>
    <t>PO202500867</t>
  </si>
  <si>
    <t>PO202600868</t>
  </si>
  <si>
    <t>PO202500869</t>
  </si>
  <si>
    <t>PO202500870</t>
  </si>
  <si>
    <t>PO202600871</t>
  </si>
  <si>
    <t>PO202500872</t>
  </si>
  <si>
    <t>PO202500873</t>
  </si>
  <si>
    <t>PO202500874</t>
  </si>
  <si>
    <t>PO202500875</t>
  </si>
  <si>
    <t>PO202500876</t>
  </si>
  <si>
    <t>PO202500877</t>
  </si>
  <si>
    <t>PO202600878</t>
  </si>
  <si>
    <t>PO202500879</t>
  </si>
  <si>
    <t>PO202500880</t>
  </si>
  <si>
    <t>PO202600881</t>
  </si>
  <si>
    <t>PO202500882</t>
  </si>
  <si>
    <t>PO202500883</t>
  </si>
  <si>
    <t>PO202600884</t>
  </si>
  <si>
    <t>PO202500885</t>
  </si>
  <si>
    <t>PO202500886</t>
  </si>
  <si>
    <t>PO202600887</t>
  </si>
  <si>
    <t>PO202500888</t>
  </si>
  <si>
    <t>PO202500889</t>
  </si>
  <si>
    <t>PO202500890</t>
  </si>
  <si>
    <t>PO202500891</t>
  </si>
  <si>
    <t>PO202600892</t>
  </si>
  <si>
    <t>PO202500893</t>
  </si>
  <si>
    <t>PO202600894</t>
  </si>
  <si>
    <t>PO202600895</t>
  </si>
  <si>
    <t>PO202500896</t>
  </si>
  <si>
    <t>PO202600897</t>
  </si>
  <si>
    <t>PO202500898</t>
  </si>
  <si>
    <t>PO202500899</t>
  </si>
  <si>
    <t>PO202500900</t>
  </si>
  <si>
    <t>PO202500901</t>
  </si>
  <si>
    <t>PO202600902</t>
  </si>
  <si>
    <t>PO202500903</t>
  </si>
  <si>
    <t>PO202600904</t>
  </si>
  <si>
    <t>PO202600905</t>
  </si>
  <si>
    <t>PO202600906</t>
  </si>
  <si>
    <t>PO202500907</t>
  </si>
  <si>
    <t>PO202600908</t>
  </si>
  <si>
    <t>PO202600909</t>
  </si>
  <si>
    <t>PO202500910</t>
  </si>
  <si>
    <t>PO202600911</t>
  </si>
  <si>
    <t>PO202500912</t>
  </si>
  <si>
    <t>office supplies</t>
  </si>
  <si>
    <t>PO202600913</t>
  </si>
  <si>
    <t>PO202500914</t>
  </si>
  <si>
    <t>PO202500915</t>
  </si>
  <si>
    <t>PO202500916</t>
  </si>
  <si>
    <t>PO202500917</t>
  </si>
  <si>
    <t>PO202500918</t>
  </si>
  <si>
    <t>PO202600919</t>
  </si>
  <si>
    <t>PO202500920</t>
  </si>
  <si>
    <t>PO202500921</t>
  </si>
  <si>
    <t>PO202500922</t>
  </si>
  <si>
    <t>PO202500923</t>
  </si>
  <si>
    <t>PO202600924</t>
  </si>
  <si>
    <t>PO202500925</t>
  </si>
  <si>
    <t>PO202600926</t>
  </si>
  <si>
    <t>PO202600927</t>
  </si>
  <si>
    <t>PO202600928</t>
  </si>
  <si>
    <t>PO202600929</t>
  </si>
  <si>
    <t>PO202500930</t>
  </si>
  <si>
    <t>PO202600931</t>
  </si>
  <si>
    <t>PO202500932</t>
  </si>
  <si>
    <t>PO202500933</t>
  </si>
  <si>
    <t>PO202500934</t>
  </si>
  <si>
    <t>PO202500935</t>
  </si>
  <si>
    <t>PO202500936</t>
  </si>
  <si>
    <t>PO202500937</t>
  </si>
  <si>
    <t>PO202500938</t>
  </si>
  <si>
    <t>PO202500939</t>
  </si>
  <si>
    <t>PO202600940</t>
  </si>
  <si>
    <t>PO202500941</t>
  </si>
  <si>
    <t>PO202500942</t>
  </si>
  <si>
    <t>PO202500943</t>
  </si>
  <si>
    <t>PO202500944</t>
  </si>
  <si>
    <t>PO202600945</t>
  </si>
  <si>
    <t>PO202500946</t>
  </si>
  <si>
    <t>PO202500947</t>
  </si>
  <si>
    <t>PO202500948</t>
  </si>
  <si>
    <t>PO202500949</t>
  </si>
  <si>
    <t>PO202500950</t>
  </si>
  <si>
    <t>PO202500951</t>
  </si>
  <si>
    <t>PO202500952</t>
  </si>
  <si>
    <t>PO202500953</t>
  </si>
  <si>
    <t>PO202500954</t>
  </si>
  <si>
    <t>PO202500955</t>
  </si>
  <si>
    <t>PO202600956</t>
  </si>
  <si>
    <t>PO202500957</t>
  </si>
  <si>
    <t>PO202600958</t>
  </si>
  <si>
    <t>PO202500959</t>
  </si>
  <si>
    <t>PO202500960</t>
  </si>
  <si>
    <t>PO202500961</t>
  </si>
  <si>
    <t>PO202500962</t>
  </si>
  <si>
    <t>PO202500963</t>
  </si>
  <si>
    <t>PO202500964</t>
  </si>
  <si>
    <t>PO202500965</t>
  </si>
  <si>
    <t>PO202500966</t>
  </si>
  <si>
    <t>PO202600967</t>
  </si>
  <si>
    <t>PO202500968</t>
  </si>
  <si>
    <t>PO202500969</t>
  </si>
  <si>
    <t>PO202600970</t>
  </si>
  <si>
    <t>PO202500971</t>
  </si>
  <si>
    <t>PO202500972</t>
  </si>
  <si>
    <t>PO202500973</t>
  </si>
  <si>
    <t>PO202600974</t>
  </si>
  <si>
    <t>PO202500975</t>
  </si>
  <si>
    <t>PO202600976</t>
  </si>
  <si>
    <t>PO202600977</t>
  </si>
  <si>
    <t>PO202500978</t>
  </si>
  <si>
    <t>PO202600979</t>
  </si>
  <si>
    <t>PO202500980</t>
  </si>
  <si>
    <t>PO202600981</t>
  </si>
  <si>
    <t>PO202600982</t>
  </si>
  <si>
    <t>technology</t>
  </si>
  <si>
    <t>PO202600983</t>
  </si>
  <si>
    <t>PO202600984</t>
  </si>
  <si>
    <t>PO202600985</t>
  </si>
  <si>
    <t>PO202500986</t>
  </si>
  <si>
    <t>PO202600987</t>
  </si>
  <si>
    <t>PO202600988</t>
  </si>
  <si>
    <t>PO202500989</t>
  </si>
  <si>
    <t>PO202500990</t>
  </si>
  <si>
    <t>PO202600991</t>
  </si>
  <si>
    <t>PO202500992</t>
  </si>
  <si>
    <t>PO202500993</t>
  </si>
  <si>
    <t>PO202500994</t>
  </si>
  <si>
    <t>PO202500995</t>
  </si>
  <si>
    <t>PO202500996</t>
  </si>
  <si>
    <t>PO202500997</t>
  </si>
  <si>
    <t>PO202600998</t>
  </si>
  <si>
    <t>PO202600999</t>
  </si>
  <si>
    <t>PO202601000</t>
  </si>
  <si>
    <t>PO202501001</t>
  </si>
  <si>
    <t>PO202501002</t>
  </si>
  <si>
    <t>PO202601003</t>
  </si>
  <si>
    <t>PO202601004</t>
  </si>
  <si>
    <t>PO202501005</t>
  </si>
  <si>
    <t>PO202501006</t>
  </si>
  <si>
    <t>PO202601007</t>
  </si>
  <si>
    <t>PO202501008</t>
  </si>
  <si>
    <t>PO202601009</t>
  </si>
  <si>
    <t>PO202501010</t>
  </si>
  <si>
    <t>PO202501011</t>
  </si>
  <si>
    <t>PO202601012</t>
  </si>
  <si>
    <t>PO202601013</t>
  </si>
  <si>
    <t>PO202501014</t>
  </si>
  <si>
    <t>PO202501015</t>
  </si>
  <si>
    <t>PO202601016</t>
  </si>
  <si>
    <t>PO202601017</t>
  </si>
  <si>
    <t>PO202501018</t>
  </si>
  <si>
    <t>PO202601019</t>
  </si>
  <si>
    <t>PO202601020</t>
  </si>
  <si>
    <t>PO202501021</t>
  </si>
  <si>
    <t>PO202501022</t>
  </si>
  <si>
    <t>PO202501023</t>
  </si>
  <si>
    <t>PO202501024</t>
  </si>
  <si>
    <t>PO202601025</t>
  </si>
  <si>
    <t>PO202601026</t>
  </si>
  <si>
    <t>PO202501027</t>
  </si>
  <si>
    <t>PO202501028</t>
  </si>
  <si>
    <t>PO202501029</t>
  </si>
  <si>
    <t>PO202501030</t>
  </si>
  <si>
    <t>PO202501031</t>
  </si>
  <si>
    <t>PO202501032</t>
  </si>
  <si>
    <t>PO202601033</t>
  </si>
  <si>
    <t>PO202501034</t>
  </si>
  <si>
    <t>PO202501035</t>
  </si>
  <si>
    <t>PO202601036</t>
  </si>
  <si>
    <t>PO202601037</t>
  </si>
  <si>
    <t>PO202501038</t>
  </si>
  <si>
    <t>PO202501039</t>
  </si>
  <si>
    <t>PO202601040</t>
  </si>
  <si>
    <t>PO202501041</t>
  </si>
  <si>
    <t>PO202601042</t>
  </si>
  <si>
    <t>PO202501043</t>
  </si>
  <si>
    <t>PO202501044</t>
  </si>
  <si>
    <t>PO202501045</t>
  </si>
  <si>
    <t>PO202501046</t>
  </si>
  <si>
    <t>PO202601047</t>
  </si>
  <si>
    <t>PO202501048</t>
  </si>
  <si>
    <t>PO202501049</t>
  </si>
  <si>
    <t>PO202501050</t>
  </si>
  <si>
    <t>PO202501051</t>
  </si>
  <si>
    <t>PO202601052</t>
  </si>
  <si>
    <t>PO202501053</t>
  </si>
  <si>
    <t>PO202601054</t>
  </si>
  <si>
    <t>PO202501055</t>
  </si>
  <si>
    <t>PO202501056</t>
  </si>
  <si>
    <t>PO202601057</t>
  </si>
  <si>
    <t>PO202601058</t>
  </si>
  <si>
    <t>PO202501059</t>
  </si>
  <si>
    <t>PO202601060</t>
  </si>
  <si>
    <t>PO202501061</t>
  </si>
  <si>
    <t>PO202501062</t>
  </si>
  <si>
    <t>PO202501063</t>
  </si>
  <si>
    <t>PO202601064</t>
  </si>
  <si>
    <t>PO202501065</t>
  </si>
  <si>
    <t>PO202501066</t>
  </si>
  <si>
    <t>PO202601067</t>
  </si>
  <si>
    <t>PO202501068</t>
  </si>
  <si>
    <t>PO202501069</t>
  </si>
  <si>
    <t>PO202501070</t>
  </si>
  <si>
    <t>PO202601071</t>
  </si>
  <si>
    <t>PO202501072</t>
  </si>
  <si>
    <t>PO202501073</t>
  </si>
  <si>
    <t>PO202601074</t>
  </si>
  <si>
    <t>PO202601075</t>
  </si>
  <si>
    <t>PO202601076</t>
  </si>
  <si>
    <t>PO202501077</t>
  </si>
  <si>
    <t>PO202501078</t>
  </si>
  <si>
    <t>PO202501079</t>
  </si>
  <si>
    <t>PO202501080</t>
  </si>
  <si>
    <t>PO202501081</t>
  </si>
  <si>
    <t>PO202501082</t>
  </si>
  <si>
    <t>PO202601083</t>
  </si>
  <si>
    <t>PO202601084</t>
  </si>
  <si>
    <t>PO202601085</t>
  </si>
  <si>
    <t>PO202501086</t>
  </si>
  <si>
    <t>PO202601087</t>
  </si>
  <si>
    <t>PO202501088</t>
  </si>
  <si>
    <t>PO202501089</t>
  </si>
  <si>
    <t>PO202501090</t>
  </si>
  <si>
    <t>PO202501091</t>
  </si>
  <si>
    <t>PO202501092</t>
  </si>
  <si>
    <t>PO202501093</t>
  </si>
  <si>
    <t>PO202601094</t>
  </si>
  <si>
    <t>PO202501095</t>
  </si>
  <si>
    <t>PO202501096</t>
  </si>
  <si>
    <t>PO202501097</t>
  </si>
  <si>
    <t>PO202501098</t>
  </si>
  <si>
    <t>PO202501099</t>
  </si>
  <si>
    <t>PO202501100</t>
  </si>
  <si>
    <t>PO202501101</t>
  </si>
  <si>
    <t>PO202501102</t>
  </si>
  <si>
    <t>PO202501103</t>
  </si>
  <si>
    <t>PO202501104</t>
  </si>
  <si>
    <t>PO202601105</t>
  </si>
  <si>
    <t>PO202501106</t>
  </si>
  <si>
    <t>PO202501107</t>
  </si>
  <si>
    <t>PO202601108</t>
  </si>
  <si>
    <t>PO202501109</t>
  </si>
  <si>
    <t>PO202501110</t>
  </si>
  <si>
    <t>PO202501111</t>
  </si>
  <si>
    <t>PO202501112</t>
  </si>
  <si>
    <t>PO202501113</t>
  </si>
  <si>
    <t>PO202601114</t>
  </si>
  <si>
    <t>PO202601115</t>
  </si>
  <si>
    <t>PO202501116</t>
  </si>
  <si>
    <t>PO202501117</t>
  </si>
  <si>
    <t>PO202501118</t>
  </si>
  <si>
    <t>PO202601119</t>
  </si>
  <si>
    <t>PO202601120</t>
  </si>
  <si>
    <t>PO202501121</t>
  </si>
  <si>
    <t>PO202601122</t>
  </si>
  <si>
    <t>PO202501123</t>
  </si>
  <si>
    <t>PO202601124</t>
  </si>
  <si>
    <t>PO202501125</t>
  </si>
  <si>
    <t>PO202501126</t>
  </si>
  <si>
    <t>PO202501127</t>
  </si>
  <si>
    <t>PO202601128</t>
  </si>
  <si>
    <t>PO202601129</t>
  </si>
  <si>
    <t>PO202501130</t>
  </si>
  <si>
    <t>PO202601131</t>
  </si>
  <si>
    <t>PO202501132</t>
  </si>
  <si>
    <t>PO202501133</t>
  </si>
  <si>
    <t>PO202601134</t>
  </si>
  <si>
    <t>PO202601135</t>
  </si>
  <si>
    <t>PO202501136</t>
  </si>
  <si>
    <t>PO202501137</t>
  </si>
  <si>
    <t>PO202501138</t>
  </si>
  <si>
    <t>PO202601139</t>
  </si>
  <si>
    <t>PO202501140</t>
  </si>
  <si>
    <t>PO202601141</t>
  </si>
  <si>
    <t>PO202601142</t>
  </si>
  <si>
    <t>PO202501143</t>
  </si>
  <si>
    <t>PO202501144</t>
  </si>
  <si>
    <t>PO202501145</t>
  </si>
  <si>
    <t>PO202601146</t>
  </si>
  <si>
    <t>PO202501147</t>
  </si>
  <si>
    <t>PO202501148</t>
  </si>
  <si>
    <t>PO202601149</t>
  </si>
  <si>
    <t>PO202501150</t>
  </si>
  <si>
    <t>PO202501151</t>
  </si>
  <si>
    <t>PO202601152</t>
  </si>
  <si>
    <t>PO202501153</t>
  </si>
  <si>
    <t>PO202501154</t>
  </si>
  <si>
    <t>PO202601155</t>
  </si>
  <si>
    <t>PO202501156</t>
  </si>
  <si>
    <t>PO202501157</t>
  </si>
  <si>
    <t>PO202601158</t>
  </si>
  <si>
    <t>PO202601159</t>
  </si>
  <si>
    <t>PO202501160</t>
  </si>
  <si>
    <t>PO202501161</t>
  </si>
  <si>
    <t>PO202501162</t>
  </si>
  <si>
    <t>PO202501163</t>
  </si>
  <si>
    <t>PO202501164</t>
  </si>
  <si>
    <t>PO202601165</t>
  </si>
  <si>
    <t>PO202501166</t>
  </si>
  <si>
    <t>PO202501167</t>
  </si>
  <si>
    <t>PO202601168</t>
  </si>
  <si>
    <t>PO202601169</t>
  </si>
  <si>
    <t>PO202501170</t>
  </si>
  <si>
    <t>PO202501171</t>
  </si>
  <si>
    <t>PO202501172</t>
  </si>
  <si>
    <t>PO202501173</t>
  </si>
  <si>
    <t>PO202501174</t>
  </si>
  <si>
    <t>PO202601175</t>
  </si>
  <si>
    <t>PO202601176</t>
  </si>
  <si>
    <t>PO202601177</t>
  </si>
  <si>
    <t>PO202601178</t>
  </si>
  <si>
    <t>PO202601179</t>
  </si>
  <si>
    <t>PO202501180</t>
  </si>
  <si>
    <t>PO202501181</t>
  </si>
  <si>
    <t>PO202501182</t>
  </si>
  <si>
    <t>PO202501183</t>
  </si>
  <si>
    <t>PO202501184</t>
  </si>
  <si>
    <t>PO202501185</t>
  </si>
  <si>
    <t>PO202501186</t>
  </si>
  <si>
    <t>PO202501187</t>
  </si>
  <si>
    <t>PO202501188</t>
  </si>
  <si>
    <t>PO202501189</t>
  </si>
  <si>
    <t>PO202601190</t>
  </si>
  <si>
    <t>PO202501191</t>
  </si>
  <si>
    <t>PO202601192</t>
  </si>
  <si>
    <t>PO202601193</t>
  </si>
  <si>
    <t>PO202601194</t>
  </si>
  <si>
    <t>PO202601195</t>
  </si>
  <si>
    <t>PO202501196</t>
  </si>
  <si>
    <t>PO202501197</t>
  </si>
  <si>
    <t>PO202501198</t>
  </si>
  <si>
    <t>PO202501199</t>
  </si>
  <si>
    <t>PO202501200</t>
  </si>
  <si>
    <t>PO202601201</t>
  </si>
  <si>
    <t>PO202501202</t>
  </si>
  <si>
    <t>PO202501203</t>
  </si>
  <si>
    <t>PO202501204</t>
  </si>
  <si>
    <t>PO202501205</t>
  </si>
  <si>
    <t>PO202501206</t>
  </si>
  <si>
    <t>PO202501207</t>
  </si>
  <si>
    <t>PO202601208</t>
  </si>
  <si>
    <t>PO202501209</t>
  </si>
  <si>
    <t>PO202601210</t>
  </si>
  <si>
    <t>PO202501211</t>
  </si>
  <si>
    <t>PO202501212</t>
  </si>
  <si>
    <t>PO202601213</t>
  </si>
  <si>
    <t>PO202501214</t>
  </si>
  <si>
    <t>PO202501215</t>
  </si>
  <si>
    <t>PO202501216</t>
  </si>
  <si>
    <t>PO202601217</t>
  </si>
  <si>
    <t>PO202601218</t>
  </si>
  <si>
    <t>PO202501219</t>
  </si>
  <si>
    <t>PO202501220</t>
  </si>
  <si>
    <t>PO202501221</t>
  </si>
  <si>
    <t>PO202601222</t>
  </si>
  <si>
    <t>PO202501223</t>
  </si>
  <si>
    <t>PO202601224</t>
  </si>
  <si>
    <t>PO202501225</t>
  </si>
  <si>
    <t>PO202601226</t>
  </si>
  <si>
    <t>PO202501227</t>
  </si>
  <si>
    <t>PO202601228</t>
  </si>
  <si>
    <t>PO202501229</t>
  </si>
  <si>
    <t>PO202501230</t>
  </si>
  <si>
    <t>PO202501231</t>
  </si>
  <si>
    <t>PO202601232</t>
  </si>
  <si>
    <t>PO202601233</t>
  </si>
  <si>
    <t>PO202501234</t>
  </si>
  <si>
    <t>PO202601235</t>
  </si>
  <si>
    <t>PO202601236</t>
  </si>
  <si>
    <t>PO202501237</t>
  </si>
  <si>
    <t>PO202601238</t>
  </si>
  <si>
    <t>PO202501239</t>
  </si>
  <si>
    <t>PO202501240</t>
  </si>
  <si>
    <t>PO202601241</t>
  </si>
  <si>
    <t>PO202501242</t>
  </si>
  <si>
    <t>PO202501243</t>
  </si>
  <si>
    <t>PO202601244</t>
  </si>
  <si>
    <t>PO202601245</t>
  </si>
  <si>
    <t>PO202601246</t>
  </si>
  <si>
    <t>PO202501247</t>
  </si>
  <si>
    <t>PO202601248</t>
  </si>
  <si>
    <t>PO202601249</t>
  </si>
  <si>
    <t>PO202501250</t>
  </si>
  <si>
    <t>PO202501251</t>
  </si>
  <si>
    <t>PO202501252</t>
  </si>
  <si>
    <t>PO202501253</t>
  </si>
  <si>
    <t>PO202501254</t>
  </si>
  <si>
    <t>ANANYA RAO</t>
  </si>
  <si>
    <t>PO202501255</t>
  </si>
  <si>
    <t>PO202601256</t>
  </si>
  <si>
    <t>PO202501257</t>
  </si>
  <si>
    <t>PO202601258</t>
  </si>
  <si>
    <t>PO202501259</t>
  </si>
  <si>
    <t>PO202501260</t>
  </si>
  <si>
    <t>PO202501261</t>
  </si>
  <si>
    <t>PO202501262</t>
  </si>
  <si>
    <t>PO202501263</t>
  </si>
  <si>
    <t>PO202501264</t>
  </si>
  <si>
    <t>PO202501265</t>
  </si>
  <si>
    <t>PO202501266</t>
  </si>
  <si>
    <t>PO202601267</t>
  </si>
  <si>
    <t>PO202501268</t>
  </si>
  <si>
    <t>PO202601269</t>
  </si>
  <si>
    <t>PO202501270</t>
  </si>
  <si>
    <t>PO202601271</t>
  </si>
  <si>
    <t>PO202501272</t>
  </si>
  <si>
    <t>PO202501273</t>
  </si>
  <si>
    <t>PO202501274</t>
  </si>
  <si>
    <t>PO202501275</t>
  </si>
  <si>
    <t>PO202601276</t>
  </si>
  <si>
    <t>PO202501277</t>
  </si>
  <si>
    <t>PO202601278</t>
  </si>
  <si>
    <t>PO202601279</t>
  </si>
  <si>
    <t>PO202501280</t>
  </si>
  <si>
    <t>PO202501281</t>
  </si>
  <si>
    <t>PO202501282</t>
  </si>
  <si>
    <t>PO202501283</t>
  </si>
  <si>
    <t>PO202501284</t>
  </si>
  <si>
    <t>PO202601285</t>
  </si>
  <si>
    <t>PO202501286</t>
  </si>
  <si>
    <t>PO202601287</t>
  </si>
  <si>
    <t>PO202501288</t>
  </si>
  <si>
    <t>PO202501289</t>
  </si>
  <si>
    <t>PO202501290</t>
  </si>
  <si>
    <t>PO202601291</t>
  </si>
  <si>
    <t>PO202501292</t>
  </si>
  <si>
    <t>PO202601293</t>
  </si>
  <si>
    <t>PO202601294</t>
  </si>
  <si>
    <t>PO202501295</t>
  </si>
  <si>
    <t>PO202501296</t>
  </si>
  <si>
    <t>PO202501297</t>
  </si>
  <si>
    <t>PO202501298</t>
  </si>
  <si>
    <t>PO202501299</t>
  </si>
  <si>
    <t>PO202601300</t>
  </si>
  <si>
    <t>PO202601301</t>
  </si>
  <si>
    <t>PO202501302</t>
  </si>
  <si>
    <t>PO202601303</t>
  </si>
  <si>
    <t>PO202501304</t>
  </si>
  <si>
    <t>PO202501305</t>
  </si>
  <si>
    <t>PO202501306</t>
  </si>
  <si>
    <t>PO202601307</t>
  </si>
  <si>
    <t>PO202501308</t>
  </si>
  <si>
    <t>PO202501309</t>
  </si>
  <si>
    <t>PO202501310</t>
  </si>
  <si>
    <t>PO202501311</t>
  </si>
  <si>
    <t>PO202601312</t>
  </si>
  <si>
    <t>PO202501313</t>
  </si>
  <si>
    <t>PO202501314</t>
  </si>
  <si>
    <t>PO202501315</t>
  </si>
  <si>
    <t>PO202501316</t>
  </si>
  <si>
    <t>PO202501317</t>
  </si>
  <si>
    <t>PO202501318</t>
  </si>
  <si>
    <t>PO202501319</t>
  </si>
  <si>
    <t>PO202501320</t>
  </si>
  <si>
    <t>PO202601321</t>
  </si>
  <si>
    <t>PO202601322</t>
  </si>
  <si>
    <t>PO202501323</t>
  </si>
  <si>
    <t>PO202501324</t>
  </si>
  <si>
    <t>PO202501325</t>
  </si>
  <si>
    <t>PO202601326</t>
  </si>
  <si>
    <t>PO202501327</t>
  </si>
  <si>
    <t>PO202501328</t>
  </si>
  <si>
    <t>PO202501329</t>
  </si>
  <si>
    <t>PO202501330</t>
  </si>
  <si>
    <t>PO202501331</t>
  </si>
  <si>
    <t>PO202601332</t>
  </si>
  <si>
    <t>PO202501333</t>
  </si>
  <si>
    <t>PO202501334</t>
  </si>
  <si>
    <t>PO202501335</t>
  </si>
  <si>
    <t>PO202601336</t>
  </si>
  <si>
    <t>PO202601337</t>
  </si>
  <si>
    <t>PO202601338</t>
  </si>
  <si>
    <t>PO202601339</t>
  </si>
  <si>
    <t>PO202501340</t>
  </si>
  <si>
    <t>PO202501341</t>
  </si>
  <si>
    <t>PO202501342</t>
  </si>
  <si>
    <t>PO202501343</t>
  </si>
  <si>
    <t>PO202501344</t>
  </si>
  <si>
    <t>PO202501345</t>
  </si>
  <si>
    <t>PO202601346</t>
  </si>
  <si>
    <t>PO202501347</t>
  </si>
  <si>
    <t>PO202601348</t>
  </si>
  <si>
    <t>PO202501349</t>
  </si>
  <si>
    <t>PO202601350</t>
  </si>
  <si>
    <t>PO202501351</t>
  </si>
  <si>
    <t>PO202501352</t>
  </si>
  <si>
    <t>PO202501353</t>
  </si>
  <si>
    <t>PO202601354</t>
  </si>
  <si>
    <t>PO202601355</t>
  </si>
  <si>
    <t>PO202501356</t>
  </si>
  <si>
    <t>PO202501357</t>
  </si>
  <si>
    <t>PO202501358</t>
  </si>
  <si>
    <t>PO202501359</t>
  </si>
  <si>
    <t>PO202501360</t>
  </si>
  <si>
    <t>PO202601361</t>
  </si>
  <si>
    <t>PO202501362</t>
  </si>
  <si>
    <t>PO202601363</t>
  </si>
  <si>
    <t>PO202601364</t>
  </si>
  <si>
    <t>PO202501365</t>
  </si>
  <si>
    <t>PO202501366</t>
  </si>
  <si>
    <t>PO202601367</t>
  </si>
  <si>
    <t>PO202501368</t>
  </si>
  <si>
    <t>PO202601369</t>
  </si>
  <si>
    <t>PO202601370</t>
  </si>
  <si>
    <t>PO202501371</t>
  </si>
  <si>
    <t>PO202601372</t>
  </si>
  <si>
    <t>PO202501373</t>
  </si>
  <si>
    <t>PO202501374</t>
  </si>
  <si>
    <t>PO202601375</t>
  </si>
  <si>
    <t>PO202601376</t>
  </si>
  <si>
    <t>PO202501377</t>
  </si>
  <si>
    <t>PO202501378</t>
  </si>
  <si>
    <t>PO202601379</t>
  </si>
  <si>
    <t>PO202501380</t>
  </si>
  <si>
    <t>PO202501381</t>
  </si>
  <si>
    <t>PO202501382</t>
  </si>
  <si>
    <t>PO202501383</t>
  </si>
  <si>
    <t>PO202501384</t>
  </si>
  <si>
    <t>PO202501385</t>
  </si>
  <si>
    <t>PO202501386</t>
  </si>
  <si>
    <t>PO202501387</t>
  </si>
  <si>
    <t>PO202601388</t>
  </si>
  <si>
    <t>PO202501389</t>
  </si>
  <si>
    <t>PO202601390</t>
  </si>
  <si>
    <t>PO202501391</t>
  </si>
  <si>
    <t>PO202501392</t>
  </si>
  <si>
    <t>PO202501393</t>
  </si>
  <si>
    <t>PO202501394</t>
  </si>
  <si>
    <t>PO202601395</t>
  </si>
  <si>
    <t>PO202501396</t>
  </si>
  <si>
    <t>PO202501397</t>
  </si>
  <si>
    <t>PO202501398</t>
  </si>
  <si>
    <t>PO202601399</t>
  </si>
  <si>
    <t>PO202601400</t>
  </si>
  <si>
    <t>PO202501401</t>
  </si>
  <si>
    <t>PO202601402</t>
  </si>
  <si>
    <t>PO202501403</t>
  </si>
  <si>
    <t>PO202501404</t>
  </si>
  <si>
    <t>PO202601405</t>
  </si>
  <si>
    <t>PO202501406</t>
  </si>
  <si>
    <t>PO202601407</t>
  </si>
  <si>
    <t>PO202601408</t>
  </si>
  <si>
    <t>PO202501409</t>
  </si>
  <si>
    <t>PO202601410</t>
  </si>
  <si>
    <t>PO202601411</t>
  </si>
  <si>
    <t>PO202501412</t>
  </si>
  <si>
    <t>PO202501413</t>
  </si>
  <si>
    <t>PO202501414</t>
  </si>
  <si>
    <t>PO202601415</t>
  </si>
  <si>
    <t>PO202501416</t>
  </si>
  <si>
    <t>PO202501417</t>
  </si>
  <si>
    <t>PO202501418</t>
  </si>
  <si>
    <t>PO202501419</t>
  </si>
  <si>
    <t>PO202501420</t>
  </si>
  <si>
    <t>PO202501421</t>
  </si>
  <si>
    <t>PO202501422</t>
  </si>
  <si>
    <t>PO202501423</t>
  </si>
  <si>
    <t>PO202501424</t>
  </si>
  <si>
    <t>PO202601425</t>
  </si>
  <si>
    <t>PO202501426</t>
  </si>
  <si>
    <t>PO202501427</t>
  </si>
  <si>
    <t>PO202501428</t>
  </si>
  <si>
    <t>PO202501429</t>
  </si>
  <si>
    <t>PO202501430</t>
  </si>
  <si>
    <t>PO202501431</t>
  </si>
  <si>
    <t>PO202601432</t>
  </si>
  <si>
    <t>PO202501433</t>
  </si>
  <si>
    <t>PO202501434</t>
  </si>
  <si>
    <t>PO202601435</t>
  </si>
  <si>
    <t>PO202601436</t>
  </si>
  <si>
    <t>PO202601437</t>
  </si>
  <si>
    <t>PO202501438</t>
  </si>
  <si>
    <t>PO202601439</t>
  </si>
  <si>
    <t>PO202501440</t>
  </si>
  <si>
    <t>PO202501441</t>
  </si>
  <si>
    <t>PO202501442</t>
  </si>
  <si>
    <t>PO202501443</t>
  </si>
  <si>
    <t>PO202501444</t>
  </si>
  <si>
    <t>PO202601445</t>
  </si>
  <si>
    <t>PO202501446</t>
  </si>
  <si>
    <t>PO202501447</t>
  </si>
  <si>
    <t>PO202501448</t>
  </si>
  <si>
    <t>PO202601449</t>
  </si>
  <si>
    <t>PO202601450</t>
  </si>
  <si>
    <t>PO202501451</t>
  </si>
  <si>
    <t>PO202501452</t>
  </si>
  <si>
    <t>PO202501453</t>
  </si>
  <si>
    <t>PO202501454</t>
  </si>
  <si>
    <t>PO202501455</t>
  </si>
  <si>
    <t>PO202601456</t>
  </si>
  <si>
    <t>PO202501457</t>
  </si>
  <si>
    <t>PO202501458</t>
  </si>
  <si>
    <t>PO202501459</t>
  </si>
  <si>
    <t>PO202601460</t>
  </si>
  <si>
    <t>PO202501461</t>
  </si>
  <si>
    <t>PO202501462</t>
  </si>
  <si>
    <t>PO202501463</t>
  </si>
  <si>
    <t>PO202501464</t>
  </si>
  <si>
    <t>PO202601465</t>
  </si>
  <si>
    <t>PO202601466</t>
  </si>
  <si>
    <t>PO202501467</t>
  </si>
  <si>
    <t>PO202501468</t>
  </si>
  <si>
    <t>PO202501469</t>
  </si>
  <si>
    <t>PO202501470</t>
  </si>
  <si>
    <t>PO202501471</t>
  </si>
  <si>
    <t>PO202601472</t>
  </si>
  <si>
    <t>PO202501473</t>
  </si>
  <si>
    <t>PO202501474</t>
  </si>
  <si>
    <t>PO202501475</t>
  </si>
  <si>
    <t>PO202501476</t>
  </si>
  <si>
    <t>PO202601477</t>
  </si>
  <si>
    <t>PO202501478</t>
  </si>
  <si>
    <t>PO202501479</t>
  </si>
  <si>
    <t>PO202501480</t>
  </si>
  <si>
    <t>PO202601481</t>
  </si>
  <si>
    <t>PO202501482</t>
  </si>
  <si>
    <t>PO202501483</t>
  </si>
  <si>
    <t>PO202501484</t>
  </si>
  <si>
    <t>PO202501485</t>
  </si>
  <si>
    <t>PO202501486</t>
  </si>
  <si>
    <t>PO202501487</t>
  </si>
  <si>
    <t>PO202501488</t>
  </si>
  <si>
    <t>PO202501489</t>
  </si>
  <si>
    <t>PO202501490</t>
  </si>
  <si>
    <t>PO202501491</t>
  </si>
  <si>
    <t>PO202501492</t>
  </si>
  <si>
    <t>PO202501493</t>
  </si>
  <si>
    <t>PO202501494</t>
  </si>
  <si>
    <t>PO202501495</t>
  </si>
  <si>
    <t>PO202601496</t>
  </si>
  <si>
    <t>PO202501497</t>
  </si>
  <si>
    <t>PO202601498</t>
  </si>
  <si>
    <t>PO202601499</t>
  </si>
  <si>
    <t>PO202501500</t>
  </si>
  <si>
    <t>PO202501501</t>
  </si>
  <si>
    <t>PO202501502</t>
  </si>
  <si>
    <t>PO202601503</t>
  </si>
  <si>
    <t>PO202501504</t>
  </si>
  <si>
    <t>PO202501505</t>
  </si>
  <si>
    <t>PO202501506</t>
  </si>
  <si>
    <t>PO202501507</t>
  </si>
  <si>
    <t>PO202601508</t>
  </si>
  <si>
    <t>PO202501509</t>
  </si>
  <si>
    <t>PO202501510</t>
  </si>
  <si>
    <t>PO202501511</t>
  </si>
  <si>
    <t>PO202501512</t>
  </si>
  <si>
    <t>PO202501513</t>
  </si>
  <si>
    <t>PO202501514</t>
  </si>
  <si>
    <t>PO202501515</t>
  </si>
  <si>
    <t>PO202501516</t>
  </si>
  <si>
    <t>PO202601517</t>
  </si>
  <si>
    <t>PO202501518</t>
  </si>
  <si>
    <t>PO202601519</t>
  </si>
  <si>
    <t>PO202501520</t>
  </si>
  <si>
    <t>PO202501521</t>
  </si>
  <si>
    <t>PO202601522</t>
  </si>
  <si>
    <t>PO202501523</t>
  </si>
  <si>
    <t>PO202501524</t>
  </si>
  <si>
    <t>PO202601525</t>
  </si>
  <si>
    <t>PO202501526</t>
  </si>
  <si>
    <t>PO202501527</t>
  </si>
  <si>
    <t>PO202501528</t>
  </si>
  <si>
    <t>PO202501529</t>
  </si>
  <si>
    <t>PO202601530</t>
  </si>
  <si>
    <t>PO202501531</t>
  </si>
  <si>
    <t>PO202501532</t>
  </si>
  <si>
    <t>PO202601533</t>
  </si>
  <si>
    <t>PO202501534</t>
  </si>
  <si>
    <t>PO202501535</t>
  </si>
  <si>
    <t>PO202601536</t>
  </si>
  <si>
    <t>PO202501537</t>
  </si>
  <si>
    <t>PO202501538</t>
  </si>
  <si>
    <t>PO202501539</t>
  </si>
  <si>
    <t>PO202601540</t>
  </si>
  <si>
    <t>PO202501541</t>
  </si>
  <si>
    <t>PO202501542</t>
  </si>
  <si>
    <t>PO202601543</t>
  </si>
  <si>
    <t>PO202601544</t>
  </si>
  <si>
    <t>PO202501545</t>
  </si>
  <si>
    <t>PO202501546</t>
  </si>
  <si>
    <t>PO202501547</t>
  </si>
  <si>
    <t>PO202601548</t>
  </si>
  <si>
    <t>PO202601549</t>
  </si>
  <si>
    <t>PO202501550</t>
  </si>
  <si>
    <t>PO202501551</t>
  </si>
  <si>
    <t>PO202501552</t>
  </si>
  <si>
    <t>PO202501553</t>
  </si>
  <si>
    <t>PO202601554</t>
  </si>
  <si>
    <t>PO202501555</t>
  </si>
  <si>
    <t>PO202501556</t>
  </si>
  <si>
    <t>PO202601557</t>
  </si>
  <si>
    <t>PO202501558</t>
  </si>
  <si>
    <t>PO202501559</t>
  </si>
  <si>
    <t>PO202501560</t>
  </si>
  <si>
    <t>PO202601561</t>
  </si>
  <si>
    <t>PO202501562</t>
  </si>
  <si>
    <t>PO202601563</t>
  </si>
  <si>
    <t>PO202501564</t>
  </si>
  <si>
    <t>PO202501565</t>
  </si>
  <si>
    <t>PO202601566</t>
  </si>
  <si>
    <t>PO202501567</t>
  </si>
  <si>
    <t>PO202601568</t>
  </si>
  <si>
    <t>PO202501569</t>
  </si>
  <si>
    <t>PO202601570</t>
  </si>
  <si>
    <t>PO202601571</t>
  </si>
  <si>
    <t>PO202501572</t>
  </si>
  <si>
    <t>PO202501573</t>
  </si>
  <si>
    <t>PO202501574</t>
  </si>
  <si>
    <t>PO202601575</t>
  </si>
  <si>
    <t>PO202501576</t>
  </si>
  <si>
    <t>PO202601577</t>
  </si>
  <si>
    <t>PO202601578</t>
  </si>
  <si>
    <t>PO202501579</t>
  </si>
  <si>
    <t>PO202501580</t>
  </si>
  <si>
    <t>PO202601581</t>
  </si>
  <si>
    <t>PO202501582</t>
  </si>
  <si>
    <t>PO202501583</t>
  </si>
  <si>
    <t>PO202501584</t>
  </si>
  <si>
    <t>PO202601585</t>
  </si>
  <si>
    <t>PO202601586</t>
  </si>
  <si>
    <t>PO202601587</t>
  </si>
  <si>
    <t>PO202501588</t>
  </si>
  <si>
    <t>PO202601589</t>
  </si>
  <si>
    <t>PO202501590</t>
  </si>
  <si>
    <t>PO202501591</t>
  </si>
  <si>
    <t>PO202601592</t>
  </si>
  <si>
    <t>PO202501593</t>
  </si>
  <si>
    <t>PO202501594</t>
  </si>
  <si>
    <t>PO202601595</t>
  </si>
  <si>
    <t>PO202501596</t>
  </si>
  <si>
    <t>PO202601597</t>
  </si>
  <si>
    <t>PO202501598</t>
  </si>
  <si>
    <t>PO202501599</t>
  </si>
  <si>
    <t>PO202501600</t>
  </si>
  <si>
    <t>PO202501601</t>
  </si>
  <si>
    <t>PO202501602</t>
  </si>
  <si>
    <t>PO202501603</t>
  </si>
  <si>
    <t>PO202501604</t>
  </si>
  <si>
    <t>PO202601605</t>
  </si>
  <si>
    <t>PO202501606</t>
  </si>
  <si>
    <t>PO202501607</t>
  </si>
  <si>
    <t>PO202601608</t>
  </si>
  <si>
    <t>PO202601609</t>
  </si>
  <si>
    <t>PO202501610</t>
  </si>
  <si>
    <t>PO202501611</t>
  </si>
  <si>
    <t>PO202501612</t>
  </si>
  <si>
    <t>PO202601613</t>
  </si>
  <si>
    <t>PO202501614</t>
  </si>
  <si>
    <t>PO202601615</t>
  </si>
  <si>
    <t>PO202601616</t>
  </si>
  <si>
    <t>PO202601617</t>
  </si>
  <si>
    <t>PO202601618</t>
  </si>
  <si>
    <t>PO202501619</t>
  </si>
  <si>
    <t>PO202601620</t>
  </si>
  <si>
    <t>PO202501621</t>
  </si>
  <si>
    <t>PO202601622</t>
  </si>
  <si>
    <t>PO202501623</t>
  </si>
  <si>
    <t>PO202501624</t>
  </si>
  <si>
    <t>PO202501625</t>
  </si>
  <si>
    <t>PO202601626</t>
  </si>
  <si>
    <t>PO202601627</t>
  </si>
  <si>
    <t>PO202601628</t>
  </si>
  <si>
    <t>PO202501629</t>
  </si>
  <si>
    <t>PO202501630</t>
  </si>
  <si>
    <t>PO202501631</t>
  </si>
  <si>
    <t>PO202501632</t>
  </si>
  <si>
    <t>PO202501633</t>
  </si>
  <si>
    <t>PO202501634</t>
  </si>
  <si>
    <t>PO202501635</t>
  </si>
  <si>
    <t>PO202601636</t>
  </si>
  <si>
    <t>PO202501637</t>
  </si>
  <si>
    <t>PO202501638</t>
  </si>
  <si>
    <t>PO202601639</t>
  </si>
  <si>
    <t>PO202501640</t>
  </si>
  <si>
    <t>PO202501641</t>
  </si>
  <si>
    <t>PO202601642</t>
  </si>
  <si>
    <t>PO202501643</t>
  </si>
  <si>
    <t>PO202501644</t>
  </si>
  <si>
    <t>PO202601645</t>
  </si>
  <si>
    <t>PO202501646</t>
  </si>
  <si>
    <t>PO202601647</t>
  </si>
  <si>
    <t>PO202501648</t>
  </si>
  <si>
    <t>PO202501649</t>
  </si>
  <si>
    <t>PO202501650</t>
  </si>
  <si>
    <t>PO202501651</t>
  </si>
  <si>
    <t>PO202501652</t>
  </si>
  <si>
    <t>PO202501653</t>
  </si>
  <si>
    <t>PO202501654</t>
  </si>
  <si>
    <t>PO202501655</t>
  </si>
  <si>
    <t>PO202601656</t>
  </si>
  <si>
    <t>PO202601657</t>
  </si>
  <si>
    <t>PO202501658</t>
  </si>
  <si>
    <t>PO202501659</t>
  </si>
  <si>
    <t>PO202501660</t>
  </si>
  <si>
    <t>PO202601661</t>
  </si>
  <si>
    <t>PO202501662</t>
  </si>
  <si>
    <t>PO202501663</t>
  </si>
  <si>
    <t>PO202501664</t>
  </si>
  <si>
    <t>PO202501665</t>
  </si>
  <si>
    <t>PO202501666</t>
  </si>
  <si>
    <t>PO202501667</t>
  </si>
  <si>
    <t>PO202501668</t>
  </si>
  <si>
    <t>PO202501669</t>
  </si>
  <si>
    <t>PO202601670</t>
  </si>
  <si>
    <t>PO202501671</t>
  </si>
  <si>
    <t>PO202601672</t>
  </si>
  <si>
    <t>PO202501673</t>
  </si>
  <si>
    <t>PO202601674</t>
  </si>
  <si>
    <t>PO202501675</t>
  </si>
  <si>
    <t>PO202501676</t>
  </si>
  <si>
    <t>PO202601677</t>
  </si>
  <si>
    <t>PO202501678</t>
  </si>
  <si>
    <t>PO202501679</t>
  </si>
  <si>
    <t>PO202501680</t>
  </si>
  <si>
    <t>PO202601681</t>
  </si>
  <si>
    <t>PO202501682</t>
  </si>
  <si>
    <t>PO202501683</t>
  </si>
  <si>
    <t>PO202501684</t>
  </si>
  <si>
    <t>PO202601685</t>
  </si>
  <si>
    <t>PO202501686</t>
  </si>
  <si>
    <t>PO202501687</t>
  </si>
  <si>
    <t>PO202601688</t>
  </si>
  <si>
    <t>PO202601689</t>
  </si>
  <si>
    <t>PO202501690</t>
  </si>
  <si>
    <t>PO202601691</t>
  </si>
  <si>
    <t>PO202501692</t>
  </si>
  <si>
    <t>PO202601693</t>
  </si>
  <si>
    <t>PO202501694</t>
  </si>
  <si>
    <t>PO202501695</t>
  </si>
  <si>
    <t>PO202501696</t>
  </si>
  <si>
    <t>PO202501697</t>
  </si>
  <si>
    <t>PO202501698</t>
  </si>
  <si>
    <t>PO202601699</t>
  </si>
  <si>
    <t>PO202601700</t>
  </si>
  <si>
    <t>PO202601701</t>
  </si>
  <si>
    <t>PO202601702</t>
  </si>
  <si>
    <t>PO202501703</t>
  </si>
  <si>
    <t>PO202501704</t>
  </si>
  <si>
    <t>PO202601705</t>
  </si>
  <si>
    <t>PO202601706</t>
  </si>
  <si>
    <t>PO202601707</t>
  </si>
  <si>
    <t>PO202601708</t>
  </si>
  <si>
    <t>PO202501709</t>
  </si>
  <si>
    <t>PO202501710</t>
  </si>
  <si>
    <t>PO202501711</t>
  </si>
  <si>
    <t>PO202601712</t>
  </si>
  <si>
    <t>PO202501713</t>
  </si>
  <si>
    <t>PO202601714</t>
  </si>
  <si>
    <t>PO202601715</t>
  </si>
  <si>
    <t>PO202501716</t>
  </si>
  <si>
    <t>PO202501717</t>
  </si>
  <si>
    <t>PO202501718</t>
  </si>
  <si>
    <t>PO202601719</t>
  </si>
  <si>
    <t>PO202601720</t>
  </si>
  <si>
    <t>PO202601721</t>
  </si>
  <si>
    <t>PO202501722</t>
  </si>
  <si>
    <t>PO202601723</t>
  </si>
  <si>
    <t>PO202501724</t>
  </si>
  <si>
    <t>PO202501725</t>
  </si>
  <si>
    <t>PO202601726</t>
  </si>
  <si>
    <t>PO202501727</t>
  </si>
  <si>
    <t>PO202501728</t>
  </si>
  <si>
    <t>PO202501729</t>
  </si>
  <si>
    <t>PO202601730</t>
  </si>
  <si>
    <t>PO202601731</t>
  </si>
  <si>
    <t>PO202601732</t>
  </si>
  <si>
    <t>PO202501733</t>
  </si>
  <si>
    <t>PO202601734</t>
  </si>
  <si>
    <t>PO202501735</t>
  </si>
  <si>
    <t>PO202501736</t>
  </si>
  <si>
    <t>PO202601737</t>
  </si>
  <si>
    <t>PO202601738</t>
  </si>
  <si>
    <t>PO202501739</t>
  </si>
  <si>
    <t>PO202501740</t>
  </si>
  <si>
    <t>PO202501741</t>
  </si>
  <si>
    <t>PO202501742</t>
  </si>
  <si>
    <t>PO202601743</t>
  </si>
  <si>
    <t>PO202501744</t>
  </si>
  <si>
    <t>PO202501745</t>
  </si>
  <si>
    <t>PO202501746</t>
  </si>
  <si>
    <t>PO202501747</t>
  </si>
  <si>
    <t>PO202501748</t>
  </si>
  <si>
    <t>PO202601749</t>
  </si>
  <si>
    <t>PO202501750</t>
  </si>
  <si>
    <t>PO202501751</t>
  </si>
  <si>
    <t>PO202601752</t>
  </si>
  <si>
    <t>PO202601753</t>
  </si>
  <si>
    <t>PO202501754</t>
  </si>
  <si>
    <t>PO202501755</t>
  </si>
  <si>
    <t>PO202501756</t>
  </si>
  <si>
    <t>PO202601757</t>
  </si>
  <si>
    <t>PO202501758</t>
  </si>
  <si>
    <t>PO202501759</t>
  </si>
  <si>
    <t>PO202501760</t>
  </si>
  <si>
    <t>PO202501761</t>
  </si>
  <si>
    <t>PO202601762</t>
  </si>
  <si>
    <t>PO202601763</t>
  </si>
  <si>
    <t>PO202601764</t>
  </si>
  <si>
    <t>PO202501765</t>
  </si>
  <si>
    <t>PO202501766</t>
  </si>
  <si>
    <t>PO202501767</t>
  </si>
  <si>
    <t>PO202601768</t>
  </si>
  <si>
    <t>PO202501769</t>
  </si>
  <si>
    <t>PO202501770</t>
  </si>
  <si>
    <t>PO202501771</t>
  </si>
  <si>
    <t>PO202501772</t>
  </si>
  <si>
    <t>PO202501773</t>
  </si>
  <si>
    <t>PO202601774</t>
  </si>
  <si>
    <t>PO202601775</t>
  </si>
  <si>
    <t>PO202501776</t>
  </si>
  <si>
    <t>PO202501777</t>
  </si>
  <si>
    <t>PO202601778</t>
  </si>
  <si>
    <t>PO202501779</t>
  </si>
  <si>
    <t>PO202501780</t>
  </si>
  <si>
    <t>PO202501781</t>
  </si>
  <si>
    <t>PO202601782</t>
  </si>
  <si>
    <t>PO202601783</t>
  </si>
  <si>
    <t>PO202501784</t>
  </si>
  <si>
    <t>PO202501785</t>
  </si>
  <si>
    <t>PO202501786</t>
  </si>
  <si>
    <t>PO202501787</t>
  </si>
  <si>
    <t>PO202501788</t>
  </si>
  <si>
    <t>PO202601789</t>
  </si>
  <si>
    <t>PO202501790</t>
  </si>
  <si>
    <t>PO202501791</t>
  </si>
  <si>
    <t>PO202601792</t>
  </si>
  <si>
    <t>PO202601793</t>
  </si>
  <si>
    <t>PO202501794</t>
  </si>
  <si>
    <t>PO202501795</t>
  </si>
  <si>
    <t>PO202501796</t>
  </si>
  <si>
    <t>PO202501797</t>
  </si>
  <si>
    <t>PO202501798</t>
  </si>
  <si>
    <t>PO202601799</t>
  </si>
  <si>
    <t>PO202601800</t>
  </si>
  <si>
    <t>PO202501801</t>
  </si>
  <si>
    <t>PO202501802</t>
  </si>
  <si>
    <t>PO202501803</t>
  </si>
  <si>
    <t>PO202601804</t>
  </si>
  <si>
    <t>PO202601805</t>
  </si>
  <si>
    <t>PO202501806</t>
  </si>
  <si>
    <t>PO202501807</t>
  </si>
  <si>
    <t>PO202601808</t>
  </si>
  <si>
    <t>PO202601809</t>
  </si>
  <si>
    <t>PO202501810</t>
  </si>
  <si>
    <t>PO202501811</t>
  </si>
  <si>
    <t>PO202501812</t>
  </si>
  <si>
    <t>PO202501813</t>
  </si>
  <si>
    <t>PO202501814</t>
  </si>
  <si>
    <t>PO202501815</t>
  </si>
  <si>
    <t>PO202501816</t>
  </si>
  <si>
    <t>PO202501817</t>
  </si>
  <si>
    <t>PO202501818</t>
  </si>
  <si>
    <t>PO202501819</t>
  </si>
  <si>
    <t>PO202601820</t>
  </si>
  <si>
    <t>PO202501821</t>
  </si>
  <si>
    <t>PO202501822</t>
  </si>
  <si>
    <t>PO202501823</t>
  </si>
  <si>
    <t>PO202501824</t>
  </si>
  <si>
    <t>PO202501825</t>
  </si>
  <si>
    <t>PO202501826</t>
  </si>
  <si>
    <t>PO202501827</t>
  </si>
  <si>
    <t>PO202601828</t>
  </si>
  <si>
    <t>PO202601829</t>
  </si>
  <si>
    <t>PO202601830</t>
  </si>
  <si>
    <t>PO202501831</t>
  </si>
  <si>
    <t>PO202601832</t>
  </si>
  <si>
    <t>PO202601833</t>
  </si>
  <si>
    <t>PO202601834</t>
  </si>
  <si>
    <t>PO202601835</t>
  </si>
  <si>
    <t>PO202501836</t>
  </si>
  <si>
    <t>PO202501837</t>
  </si>
  <si>
    <t>PO202601838</t>
  </si>
  <si>
    <t>PO202501839</t>
  </si>
  <si>
    <t>PO202601840</t>
  </si>
  <si>
    <t>PO202601841</t>
  </si>
  <si>
    <t>PO202501842</t>
  </si>
  <si>
    <t>PO202501843</t>
  </si>
  <si>
    <t>PO202501844</t>
  </si>
  <si>
    <t>PO202501845</t>
  </si>
  <si>
    <t>PO202501846</t>
  </si>
  <si>
    <t>PO202601847</t>
  </si>
  <si>
    <t>PO202601848</t>
  </si>
  <si>
    <t>PO202601849</t>
  </si>
  <si>
    <t>PO202501850</t>
  </si>
  <si>
    <t>PO202501851</t>
  </si>
  <si>
    <t>PO202501852</t>
  </si>
  <si>
    <t>PO202501853</t>
  </si>
  <si>
    <t>PO202601854</t>
  </si>
  <si>
    <t>PO202601855</t>
  </si>
  <si>
    <t>PO202501856</t>
  </si>
  <si>
    <t>PO202601857</t>
  </si>
  <si>
    <t>PO202501858</t>
  </si>
  <si>
    <t>PO202501859</t>
  </si>
  <si>
    <t>PO202501860</t>
  </si>
  <si>
    <t>PO202601861</t>
  </si>
  <si>
    <t>PO202501862</t>
  </si>
  <si>
    <t>PO202501863</t>
  </si>
  <si>
    <t>PO202501864</t>
  </si>
  <si>
    <t>PO202501865</t>
  </si>
  <si>
    <t>PO202501866</t>
  </si>
  <si>
    <t>PO202501867</t>
  </si>
  <si>
    <t>PO202501868</t>
  </si>
  <si>
    <t>PO202501869</t>
  </si>
  <si>
    <t>PO202501870</t>
  </si>
  <si>
    <t>PO202501871</t>
  </si>
  <si>
    <t>PO202501872</t>
  </si>
  <si>
    <t>PO202501873</t>
  </si>
  <si>
    <t>PO202601874</t>
  </si>
  <si>
    <t>PO202501875</t>
  </si>
  <si>
    <t>PO202601876</t>
  </si>
  <si>
    <t>PO202601877</t>
  </si>
  <si>
    <t>PO202501878</t>
  </si>
  <si>
    <t>PO202501879</t>
  </si>
  <si>
    <t>PO202601880</t>
  </si>
  <si>
    <t>PO202601881</t>
  </si>
  <si>
    <t>PO202501882</t>
  </si>
  <si>
    <t>PO202601883</t>
  </si>
  <si>
    <t>PO202501884</t>
  </si>
  <si>
    <t>PO202501885</t>
  </si>
  <si>
    <t>PO202601886</t>
  </si>
  <si>
    <t>PO202601887</t>
  </si>
  <si>
    <t>PO202601888</t>
  </si>
  <si>
    <t>PO202601889</t>
  </si>
  <si>
    <t>PO202601890</t>
  </si>
  <si>
    <t>PO202501891</t>
  </si>
  <si>
    <t>PO202501892</t>
  </si>
  <si>
    <t>PO202601893</t>
  </si>
  <si>
    <t>PO202501894</t>
  </si>
  <si>
    <t>PO202501895</t>
  </si>
  <si>
    <t>PO202601896</t>
  </si>
  <si>
    <t>PO202501897</t>
  </si>
  <si>
    <t>PO202601898</t>
  </si>
  <si>
    <t>PO202601899</t>
  </si>
  <si>
    <t>PO202501900</t>
  </si>
  <si>
    <t>PO202501901</t>
  </si>
  <si>
    <t>PO202601902</t>
  </si>
  <si>
    <t>PO202501903</t>
  </si>
  <si>
    <t>PO202601904</t>
  </si>
  <si>
    <t>PO202501905</t>
  </si>
  <si>
    <t>PO202601906</t>
  </si>
  <si>
    <t>PO202501907</t>
  </si>
  <si>
    <t>PO202601908</t>
  </si>
  <si>
    <t>PO202601909</t>
  </si>
  <si>
    <t>PO202501910</t>
  </si>
  <si>
    <t>PO202501911</t>
  </si>
  <si>
    <t>PO202501912</t>
  </si>
  <si>
    <t>PO202501913</t>
  </si>
  <si>
    <t>PO202601914</t>
  </si>
  <si>
    <t>PO202601915</t>
  </si>
  <si>
    <t>PO202501916</t>
  </si>
  <si>
    <t>PO202501917</t>
  </si>
  <si>
    <t>PO202501918</t>
  </si>
  <si>
    <t>PO202501919</t>
  </si>
  <si>
    <t>PO202601920</t>
  </si>
  <si>
    <t>PO202601921</t>
  </si>
  <si>
    <t>PO202501922</t>
  </si>
  <si>
    <t>PO202501923</t>
  </si>
  <si>
    <t>PO202501924</t>
  </si>
  <si>
    <t>PO202601925</t>
  </si>
  <si>
    <t>PO202501926</t>
  </si>
  <si>
    <t>PO202501927</t>
  </si>
  <si>
    <t>PO202501928</t>
  </si>
  <si>
    <t>PO202501929</t>
  </si>
  <si>
    <t>PO202601930</t>
  </si>
  <si>
    <t>PO202601931</t>
  </si>
  <si>
    <t>PO202601932</t>
  </si>
  <si>
    <t>PO202601933</t>
  </si>
  <si>
    <t>PO202501934</t>
  </si>
  <si>
    <t>PO202501935</t>
  </si>
  <si>
    <t>PO202501936</t>
  </si>
  <si>
    <t>PO202501937</t>
  </si>
  <si>
    <t>PO202501938</t>
  </si>
  <si>
    <t>PO202501939</t>
  </si>
  <si>
    <t>PO202601940</t>
  </si>
  <si>
    <t>PO202601941</t>
  </si>
  <si>
    <t>PO202501942</t>
  </si>
  <si>
    <t>PO202501943</t>
  </si>
  <si>
    <t>PO202501944</t>
  </si>
  <si>
    <t>PO202501945</t>
  </si>
  <si>
    <t>PO202501946</t>
  </si>
  <si>
    <t>PO202501947</t>
  </si>
  <si>
    <t>PO202501948</t>
  </si>
  <si>
    <t>PO202501949</t>
  </si>
  <si>
    <t>PO202601950</t>
  </si>
  <si>
    <t>PO202501951</t>
  </si>
  <si>
    <t>PO202501952</t>
  </si>
  <si>
    <t>PO202601953</t>
  </si>
  <si>
    <t>PO202501954</t>
  </si>
  <si>
    <t>PO202501955</t>
  </si>
  <si>
    <t>PO202501956</t>
  </si>
  <si>
    <t>PO202501957</t>
  </si>
  <si>
    <t>PO202601958</t>
  </si>
  <si>
    <t>PO202501959</t>
  </si>
  <si>
    <t>PO202501960</t>
  </si>
  <si>
    <t>PO202501961</t>
  </si>
  <si>
    <t>PO202501962</t>
  </si>
  <si>
    <t>PO202501963</t>
  </si>
  <si>
    <t>PO202601964</t>
  </si>
  <si>
    <t>PO202501965</t>
  </si>
  <si>
    <t>PO202501966</t>
  </si>
  <si>
    <t>PO202501967</t>
  </si>
  <si>
    <t>PO202501968</t>
  </si>
  <si>
    <t>PO202501969</t>
  </si>
  <si>
    <t>PO202501970</t>
  </si>
  <si>
    <t>PO202601971</t>
  </si>
  <si>
    <t>PO202501972</t>
  </si>
  <si>
    <t>PO202501973</t>
  </si>
  <si>
    <t>PO202601974</t>
  </si>
  <si>
    <t>PO202501975</t>
  </si>
  <si>
    <t>PO202601976</t>
  </si>
  <si>
    <t>PO202501977</t>
  </si>
  <si>
    <t>PO202501978</t>
  </si>
  <si>
    <t>PO202601979</t>
  </si>
  <si>
    <t>PO202601980</t>
  </si>
  <si>
    <t>PO202501981</t>
  </si>
  <si>
    <t>PO202601982</t>
  </si>
  <si>
    <t>PO202501983</t>
  </si>
  <si>
    <t>PO202501984</t>
  </si>
  <si>
    <t>PO202601985</t>
  </si>
  <si>
    <t>PO202601986</t>
  </si>
  <si>
    <t>PO202601987</t>
  </si>
  <si>
    <t>PO202601988</t>
  </si>
  <si>
    <t>PO202601989</t>
  </si>
  <si>
    <t>PO202601990</t>
  </si>
  <si>
    <t>PO202501991</t>
  </si>
  <si>
    <t>PO202501992</t>
  </si>
  <si>
    <t>PO202601993</t>
  </si>
  <si>
    <t>PO202501994</t>
  </si>
  <si>
    <t>PO202501995</t>
  </si>
  <si>
    <t>PO202501996</t>
  </si>
  <si>
    <t>PO202501997</t>
  </si>
  <si>
    <t>PO202601998</t>
  </si>
  <si>
    <t>PO202601999</t>
  </si>
  <si>
    <t>PO202502000</t>
  </si>
  <si>
    <t>PO202502001</t>
  </si>
  <si>
    <t>PO202502002</t>
  </si>
  <si>
    <t>PO202602003</t>
  </si>
  <si>
    <t>PO202602004</t>
  </si>
  <si>
    <t>PO202602005</t>
  </si>
  <si>
    <t>PO202502006</t>
  </si>
  <si>
    <t>PO202502007</t>
  </si>
  <si>
    <t>PO202602008</t>
  </si>
  <si>
    <t>PO202602009</t>
  </si>
  <si>
    <t>PO202602010</t>
  </si>
  <si>
    <t>PO202502011</t>
  </si>
  <si>
    <t>PO202502012</t>
  </si>
  <si>
    <t>PO202502013</t>
  </si>
  <si>
    <t>PO202502014</t>
  </si>
  <si>
    <t>PO202502015</t>
  </si>
  <si>
    <t>PO202502016</t>
  </si>
  <si>
    <t>PO202602017</t>
  </si>
  <si>
    <t>PO202502018</t>
  </si>
  <si>
    <t>PO202602019</t>
  </si>
  <si>
    <t>PO202502020</t>
  </si>
  <si>
    <t>PO202602021</t>
  </si>
  <si>
    <t>PO202502022</t>
  </si>
  <si>
    <t>PO202502023</t>
  </si>
  <si>
    <t>PO202502024</t>
  </si>
  <si>
    <t>PO202502025</t>
  </si>
  <si>
    <t>PO202502026</t>
  </si>
  <si>
    <t>PO202602027</t>
  </si>
  <si>
    <t>PO202502028</t>
  </si>
  <si>
    <t>PO202602029</t>
  </si>
  <si>
    <t>PO202502030</t>
  </si>
  <si>
    <t>PO202602031</t>
  </si>
  <si>
    <t>PO202502032</t>
  </si>
  <si>
    <t>PO202502033</t>
  </si>
  <si>
    <t>PO202602034</t>
  </si>
  <si>
    <t>PO202502035</t>
  </si>
  <si>
    <t>PO202602036</t>
  </si>
  <si>
    <t>PO202502037</t>
  </si>
  <si>
    <t>PO202602038</t>
  </si>
  <si>
    <t>PO202502039</t>
  </si>
  <si>
    <t>PO202602040</t>
  </si>
  <si>
    <t>PO202502041</t>
  </si>
  <si>
    <t>PO202602042</t>
  </si>
  <si>
    <t>PO202502043</t>
  </si>
  <si>
    <t>PO202502044</t>
  </si>
  <si>
    <t>PO202502045</t>
  </si>
  <si>
    <t>PO202502046</t>
  </si>
  <si>
    <t>PO202602047</t>
  </si>
  <si>
    <t>PO202502048</t>
  </si>
  <si>
    <t>PO202602049</t>
  </si>
  <si>
    <t>PO202502050</t>
  </si>
  <si>
    <t>PO202502051</t>
  </si>
  <si>
    <t>PO202602052</t>
  </si>
  <si>
    <t>PO202502053</t>
  </si>
  <si>
    <t>PO202502054</t>
  </si>
  <si>
    <t>PO202502055</t>
  </si>
  <si>
    <t>PO202602056</t>
  </si>
  <si>
    <t>PO202502057</t>
  </si>
  <si>
    <t>PO202502058</t>
  </si>
  <si>
    <t>PO202502059</t>
  </si>
  <si>
    <t>PO202602060</t>
  </si>
  <si>
    <t>PO202602061</t>
  </si>
  <si>
    <t>PO202502062</t>
  </si>
  <si>
    <t>PO202602063</t>
  </si>
  <si>
    <t>PO202502064</t>
  </si>
  <si>
    <t>PO202502065</t>
  </si>
  <si>
    <t>PO202502066</t>
  </si>
  <si>
    <t>PO202502067</t>
  </si>
  <si>
    <t>PO202502068</t>
  </si>
  <si>
    <t>PO202502069</t>
  </si>
  <si>
    <t>PO202602070</t>
  </si>
  <si>
    <t>PO202602071</t>
  </si>
  <si>
    <t>PO202502072</t>
  </si>
  <si>
    <t>PO202602073</t>
  </si>
  <si>
    <t>PO202502074</t>
  </si>
  <si>
    <t>PO202602075</t>
  </si>
  <si>
    <t>PO202502076</t>
  </si>
  <si>
    <t>PO202602077</t>
  </si>
  <si>
    <t>PO202502078</t>
  </si>
  <si>
    <t>PO202502079</t>
  </si>
  <si>
    <t>PO202602080</t>
  </si>
  <si>
    <t>PO202602081</t>
  </si>
  <si>
    <t>PO202502082</t>
  </si>
  <si>
    <t>PO202602083</t>
  </si>
  <si>
    <t>PO202602084</t>
  </si>
  <si>
    <t>PO202602085</t>
  </si>
  <si>
    <t>PO202602086</t>
  </si>
  <si>
    <t>PO202602087</t>
  </si>
  <si>
    <t>PO202602088</t>
  </si>
  <si>
    <t>PO202502089</t>
  </si>
  <si>
    <t>PO202502090</t>
  </si>
  <si>
    <t>PO202502091</t>
  </si>
  <si>
    <t>PO202602092</t>
  </si>
  <si>
    <t>PO202602093</t>
  </si>
  <si>
    <t>PO202502094</t>
  </si>
  <si>
    <t>PO202602095</t>
  </si>
  <si>
    <t>PO202502096</t>
  </si>
  <si>
    <t>PO202502097</t>
  </si>
  <si>
    <t>PO202502098</t>
  </si>
  <si>
    <t>PO202502099</t>
  </si>
  <si>
    <t>PO202602100</t>
  </si>
  <si>
    <t>PO202502101</t>
  </si>
  <si>
    <t>PO202602102</t>
  </si>
  <si>
    <t>PO202502103</t>
  </si>
  <si>
    <t>PO202502104</t>
  </si>
  <si>
    <t>PO202502105</t>
  </si>
  <si>
    <t>PO202502106</t>
  </si>
  <si>
    <t>PO202502107</t>
  </si>
  <si>
    <t>PO202602108</t>
  </si>
  <si>
    <t>PO202502109</t>
  </si>
  <si>
    <t>PO202502110</t>
  </si>
  <si>
    <t>PO202502111</t>
  </si>
  <si>
    <t>PO202502112</t>
  </si>
  <si>
    <t>PO202502113</t>
  </si>
  <si>
    <t>PO202602114</t>
  </si>
  <si>
    <t>PO202602115</t>
  </si>
  <si>
    <t>PO202502116</t>
  </si>
  <si>
    <t>PO202502117</t>
  </si>
  <si>
    <t>PO202502118</t>
  </si>
  <si>
    <t>PO202502119</t>
  </si>
  <si>
    <t>PO202502120</t>
  </si>
  <si>
    <t>PO202502121</t>
  </si>
  <si>
    <t>PO202502122</t>
  </si>
  <si>
    <t>PO202502123</t>
  </si>
  <si>
    <t>PO202502124</t>
  </si>
  <si>
    <t>PO202502125</t>
  </si>
  <si>
    <t>PO202602126</t>
  </si>
  <si>
    <t>PO202502127</t>
  </si>
  <si>
    <t>PO202602128</t>
  </si>
  <si>
    <t>PO202602129</t>
  </si>
  <si>
    <t>PO202502130</t>
  </si>
  <si>
    <t>PO202502131</t>
  </si>
  <si>
    <t>PO202502132</t>
  </si>
  <si>
    <t>PO202502133</t>
  </si>
  <si>
    <t>PO202502134</t>
  </si>
  <si>
    <t>PO202602135</t>
  </si>
  <si>
    <t>PO202502136</t>
  </si>
  <si>
    <t>PO202502137</t>
  </si>
  <si>
    <t>PO202502138</t>
  </si>
  <si>
    <t>PO202502139</t>
  </si>
  <si>
    <t>PO202502140</t>
  </si>
  <si>
    <t>PO202602141</t>
  </si>
  <si>
    <t>PO202602142</t>
  </si>
  <si>
    <t>PO202502143</t>
  </si>
  <si>
    <t>PO202502144</t>
  </si>
  <si>
    <t>PO202502145</t>
  </si>
  <si>
    <t>PO202502146</t>
  </si>
  <si>
    <t>PO202602147</t>
  </si>
  <si>
    <t>KAVYA IYER</t>
  </si>
  <si>
    <t>PO202502148</t>
  </si>
  <si>
    <t>PO202602149</t>
  </si>
  <si>
    <t>PO202502150</t>
  </si>
  <si>
    <t>PO202502151</t>
  </si>
  <si>
    <t>PO202602152</t>
  </si>
  <si>
    <t>PO202502153</t>
  </si>
  <si>
    <t>PO202602154</t>
  </si>
  <si>
    <t>PO202502155</t>
  </si>
  <si>
    <t>PO202502156</t>
  </si>
  <si>
    <t>PO202502157</t>
  </si>
  <si>
    <t>PO202602158</t>
  </si>
  <si>
    <t>PO202602159</t>
  </si>
  <si>
    <t>PO202602160</t>
  </si>
  <si>
    <t>PO202502161</t>
  </si>
  <si>
    <t>PO202602162</t>
  </si>
  <si>
    <t>PO202502163</t>
  </si>
  <si>
    <t>PO202502164</t>
  </si>
  <si>
    <t>PO202502165</t>
  </si>
  <si>
    <t>PO202502166</t>
  </si>
  <si>
    <t>PO202502167</t>
  </si>
  <si>
    <t>PO202502168</t>
  </si>
  <si>
    <t>PO202502169</t>
  </si>
  <si>
    <t>PO202602170</t>
  </si>
  <si>
    <t>PO202602171</t>
  </si>
  <si>
    <t>PO202602172</t>
  </si>
  <si>
    <t>PO202502173</t>
  </si>
  <si>
    <t>PO202502174</t>
  </si>
  <si>
    <t>PO202502175</t>
  </si>
  <si>
    <t>PO202602176</t>
  </si>
  <si>
    <t>PO202602177</t>
  </si>
  <si>
    <t>PO202502178</t>
  </si>
  <si>
    <t>PO202502179</t>
  </si>
  <si>
    <t>PO202502180</t>
  </si>
  <si>
    <t>PO202602181</t>
  </si>
  <si>
    <t>PO202502182</t>
  </si>
  <si>
    <t>PO202502183</t>
  </si>
  <si>
    <t>PO202602184</t>
  </si>
  <si>
    <t>PO202602185</t>
  </si>
  <si>
    <t>PO202502186</t>
  </si>
  <si>
    <t>PO202502187</t>
  </si>
  <si>
    <t>PO202502188</t>
  </si>
  <si>
    <t>PO202502189</t>
  </si>
  <si>
    <t>PO202602190</t>
  </si>
  <si>
    <t>PO202502191</t>
  </si>
  <si>
    <t>PO202502192</t>
  </si>
  <si>
    <t>PO202602193</t>
  </si>
  <si>
    <t>PO202502194</t>
  </si>
  <si>
    <t>PO202602195</t>
  </si>
  <si>
    <t>PO202602196</t>
  </si>
  <si>
    <t>PO202502197</t>
  </si>
  <si>
    <t>PO202602198</t>
  </si>
  <si>
    <t>PO202602199</t>
  </si>
  <si>
    <t>PO202502200</t>
  </si>
  <si>
    <t>PO202602201</t>
  </si>
  <si>
    <t>PO202602202</t>
  </si>
  <si>
    <t>PO202502203</t>
  </si>
  <si>
    <t>PO202602204</t>
  </si>
  <si>
    <t>PO202502205</t>
  </si>
  <si>
    <t>PO202502206</t>
  </si>
  <si>
    <t>PO202502207</t>
  </si>
  <si>
    <t>PO202502208</t>
  </si>
  <si>
    <t>PO202502209</t>
  </si>
  <si>
    <t>PO202502210</t>
  </si>
  <si>
    <t>PO202502211</t>
  </si>
  <si>
    <t>PO202502212</t>
  </si>
  <si>
    <t>PO202502213</t>
  </si>
  <si>
    <t>PO202602214</t>
  </si>
  <si>
    <t>PO202502215</t>
  </si>
  <si>
    <t>PO202602216</t>
  </si>
  <si>
    <t>PO202602217</t>
  </si>
  <si>
    <t>PO202502218</t>
  </si>
  <si>
    <t>PO202502219</t>
  </si>
  <si>
    <t>PO202502220</t>
  </si>
  <si>
    <t>PO202502221</t>
  </si>
  <si>
    <t>PO202602222</t>
  </si>
  <si>
    <t>PO202502223</t>
  </si>
  <si>
    <t>PO202602224</t>
  </si>
  <si>
    <t>PO202502225</t>
  </si>
  <si>
    <t>PO202602226</t>
  </si>
  <si>
    <t>PO202502227</t>
  </si>
  <si>
    <t>PO202602228</t>
  </si>
  <si>
    <t>PO202502229</t>
  </si>
  <si>
    <t>PO202502230</t>
  </si>
  <si>
    <t>PO202602231</t>
  </si>
  <si>
    <t>PO202602232</t>
  </si>
  <si>
    <t>PO202502233</t>
  </si>
  <si>
    <t>PO202502234</t>
  </si>
  <si>
    <t>PO202602235</t>
  </si>
  <si>
    <t>PO202502236</t>
  </si>
  <si>
    <t>PO202602237</t>
  </si>
  <si>
    <t>PO202602238</t>
  </si>
  <si>
    <t>PO202502239</t>
  </si>
  <si>
    <t>PO202502240</t>
  </si>
  <si>
    <t>PO202502241</t>
  </si>
  <si>
    <t>PO202602242</t>
  </si>
  <si>
    <t>PO202502243</t>
  </si>
  <si>
    <t>PO202602244</t>
  </si>
  <si>
    <t>PO202502245</t>
  </si>
  <si>
    <t>PO202602246</t>
  </si>
  <si>
    <t>PO202502247</t>
  </si>
  <si>
    <t>PO202502248</t>
  </si>
  <si>
    <t>PO202502249</t>
  </si>
  <si>
    <t>PO202502250</t>
  </si>
  <si>
    <t>PO202502251</t>
  </si>
  <si>
    <t>PO202502252</t>
  </si>
  <si>
    <t>PO202502253</t>
  </si>
  <si>
    <t>PO202502254</t>
  </si>
  <si>
    <t>PO202502255</t>
  </si>
  <si>
    <t>PO202502256</t>
  </si>
  <si>
    <t>PO202502257</t>
  </si>
  <si>
    <t>PO202502258</t>
  </si>
  <si>
    <t>PO202602259</t>
  </si>
  <si>
    <t>PO202502260</t>
  </si>
  <si>
    <t>PO202602261</t>
  </si>
  <si>
    <t>PO202502262</t>
  </si>
  <si>
    <t>PO202502263</t>
  </si>
  <si>
    <t>PO202602264</t>
  </si>
  <si>
    <t>PO202502265</t>
  </si>
  <si>
    <t>PO202502266</t>
  </si>
  <si>
    <t>PO202502267</t>
  </si>
  <si>
    <t>PO202602268</t>
  </si>
  <si>
    <t>PO202502269</t>
  </si>
  <si>
    <t>PO202602270</t>
  </si>
  <si>
    <t>PO202602271</t>
  </si>
  <si>
    <t>PO202602272</t>
  </si>
  <si>
    <t>PO202502273</t>
  </si>
  <si>
    <t>PO202602274</t>
  </si>
  <si>
    <t>PO202502275</t>
  </si>
  <si>
    <t>PO202502276</t>
  </si>
  <si>
    <t>PO202602277</t>
  </si>
  <si>
    <t>PO202502278</t>
  </si>
  <si>
    <t>PO202502279</t>
  </si>
  <si>
    <t>PO202602280</t>
  </si>
  <si>
    <t>PO202502281</t>
  </si>
  <si>
    <t>PO202502282</t>
  </si>
  <si>
    <t>PO202602283</t>
  </si>
  <si>
    <t>PO202502284</t>
  </si>
  <si>
    <t>PO202602285</t>
  </si>
  <si>
    <t>PO202602286</t>
  </si>
  <si>
    <t>PO202502287</t>
  </si>
  <si>
    <t>PO202602288</t>
  </si>
  <si>
    <t>PO202602289</t>
  </si>
  <si>
    <t>PO202602290</t>
  </si>
  <si>
    <t>PO202602291</t>
  </si>
  <si>
    <t>PO202602292</t>
  </si>
  <si>
    <t>PO202602293</t>
  </si>
  <si>
    <t>PO202602294</t>
  </si>
  <si>
    <t>PO202502295</t>
  </si>
  <si>
    <t>PO202502296</t>
  </si>
  <si>
    <t>PO202502297</t>
  </si>
  <si>
    <t>PO202502298</t>
  </si>
  <si>
    <t>PO202502299</t>
  </si>
  <si>
    <t>PO202502300</t>
  </si>
  <si>
    <t>PO202502301</t>
  </si>
  <si>
    <t>PO202602302</t>
  </si>
  <si>
    <t>PO202502303</t>
  </si>
  <si>
    <t>PO202502304</t>
  </si>
  <si>
    <t>PO202502305</t>
  </si>
  <si>
    <t>PO202502306</t>
  </si>
  <si>
    <t>PO202602307</t>
  </si>
  <si>
    <t>PO202602308</t>
  </si>
  <si>
    <t>PO202602309</t>
  </si>
  <si>
    <t>PO202502310</t>
  </si>
  <si>
    <t>PO202502311</t>
  </si>
  <si>
    <t>PO202502312</t>
  </si>
  <si>
    <t>PO202502313</t>
  </si>
  <si>
    <t>PO202602314</t>
  </si>
  <si>
    <t>PO202502315</t>
  </si>
  <si>
    <t>PO202602316</t>
  </si>
  <si>
    <t>PO202602317</t>
  </si>
  <si>
    <t>PO202502318</t>
  </si>
  <si>
    <t>PO202502319</t>
  </si>
  <si>
    <t>PO202502320</t>
  </si>
  <si>
    <t>PO202502321</t>
  </si>
  <si>
    <t>PO202602322</t>
  </si>
  <si>
    <t>PO202502323</t>
  </si>
  <si>
    <t>PO202602324</t>
  </si>
  <si>
    <t>PO202602325</t>
  </si>
  <si>
    <t>PO202502326</t>
  </si>
  <si>
    <t>PO202502327</t>
  </si>
  <si>
    <t>PO202502328</t>
  </si>
  <si>
    <t>PO202502329</t>
  </si>
  <si>
    <t>PO202602330</t>
  </si>
  <si>
    <t>PO202502331</t>
  </si>
  <si>
    <t>PO202502332</t>
  </si>
  <si>
    <t>PO202502333</t>
  </si>
  <si>
    <t>PO202502334</t>
  </si>
  <si>
    <t>PO202502335</t>
  </si>
  <si>
    <t>PO202502336</t>
  </si>
  <si>
    <t>PO202602337</t>
  </si>
  <si>
    <t>PO202502338</t>
  </si>
  <si>
    <t>PO202502339</t>
  </si>
  <si>
    <t>PO202502340</t>
  </si>
  <si>
    <t>PO202502341</t>
  </si>
  <si>
    <t>PO202502342</t>
  </si>
  <si>
    <t>PO202602343</t>
  </si>
  <si>
    <t>PO202502344</t>
  </si>
  <si>
    <t>PO202602345</t>
  </si>
  <si>
    <t>PO202502346</t>
  </si>
  <si>
    <t>PO202502347</t>
  </si>
  <si>
    <t>PO202502348</t>
  </si>
  <si>
    <t>PO202502349</t>
  </si>
  <si>
    <t>PO202502350</t>
  </si>
  <si>
    <t>PO202502351</t>
  </si>
  <si>
    <t>PO202502352</t>
  </si>
  <si>
    <t>PO202502353</t>
  </si>
  <si>
    <t>PO202502354</t>
  </si>
  <si>
    <t>PO202502355</t>
  </si>
  <si>
    <t>PO202602356</t>
  </si>
  <si>
    <t>PO202502357</t>
  </si>
  <si>
    <t>PO202502358</t>
  </si>
  <si>
    <t>PO202602359</t>
  </si>
  <si>
    <t>PO202502360</t>
  </si>
  <si>
    <t>PO202502361</t>
  </si>
  <si>
    <t>PO202602362</t>
  </si>
  <si>
    <t>PO202502363</t>
  </si>
  <si>
    <t>PO202502364</t>
  </si>
  <si>
    <t>PO202602365</t>
  </si>
  <si>
    <t>PO202502366</t>
  </si>
  <si>
    <t>PO202602367</t>
  </si>
  <si>
    <t>PO202502368</t>
  </si>
  <si>
    <t>PO202502369</t>
  </si>
  <si>
    <t>PO202602370</t>
  </si>
  <si>
    <t>PO202602371</t>
  </si>
  <si>
    <t>PO202602372</t>
  </si>
  <si>
    <t>PO202502373</t>
  </si>
  <si>
    <t>PO202502374</t>
  </si>
  <si>
    <t>PO202602375</t>
  </si>
  <si>
    <t>PO202502376</t>
  </si>
  <si>
    <t>PO202502377</t>
  </si>
  <si>
    <t>PO202502378</t>
  </si>
  <si>
    <t>PO202502379</t>
  </si>
  <si>
    <t>PO202502380</t>
  </si>
  <si>
    <t>PO202502381</t>
  </si>
  <si>
    <t>PO202502382</t>
  </si>
  <si>
    <t>PO202502383</t>
  </si>
  <si>
    <t>PO202602384</t>
  </si>
  <si>
    <t>PO202502385</t>
  </si>
  <si>
    <t>PO202502386</t>
  </si>
  <si>
    <t>PO202502387</t>
  </si>
  <si>
    <t>PO202502388</t>
  </si>
  <si>
    <t>PO202502389</t>
  </si>
  <si>
    <t>PO202502390</t>
  </si>
  <si>
    <t>PO202502391</t>
  </si>
  <si>
    <t>PO202502392</t>
  </si>
  <si>
    <t>PO202602393</t>
  </si>
  <si>
    <t>PO202502394</t>
  </si>
  <si>
    <t>PO202602395</t>
  </si>
  <si>
    <t>PO202502396</t>
  </si>
  <si>
    <t>PO202502397</t>
  </si>
  <si>
    <t>PO202502398</t>
  </si>
  <si>
    <t>PO202602399</t>
  </si>
  <si>
    <t>PO202502400</t>
  </si>
  <si>
    <t>PO202502401</t>
  </si>
  <si>
    <t>PO202502402</t>
  </si>
  <si>
    <t>PO202502403</t>
  </si>
  <si>
    <t>PO202502404</t>
  </si>
  <si>
    <t>PO202602405</t>
  </si>
  <si>
    <t>PO202602406</t>
  </si>
  <si>
    <t>PO202502407</t>
  </si>
  <si>
    <t>PO202602408</t>
  </si>
  <si>
    <t>PO202602409</t>
  </si>
  <si>
    <t>PO202502410</t>
  </si>
  <si>
    <t>PO202502411</t>
  </si>
  <si>
    <t>PO202502412</t>
  </si>
  <si>
    <t>PO202502413</t>
  </si>
  <si>
    <t>PO202602414</t>
  </si>
  <si>
    <t>PO202502415</t>
  </si>
  <si>
    <t>PO202502416</t>
  </si>
  <si>
    <t>PO202602417</t>
  </si>
  <si>
    <t>PO202602418</t>
  </si>
  <si>
    <t>PO202502419</t>
  </si>
  <si>
    <t>PO202502420</t>
  </si>
  <si>
    <t>PO202502421</t>
  </si>
  <si>
    <t>PO202502422</t>
  </si>
  <si>
    <t>PO202502423</t>
  </si>
  <si>
    <t>PO202502424</t>
  </si>
  <si>
    <t>PO202602425</t>
  </si>
  <si>
    <t>PO202502426</t>
  </si>
  <si>
    <t>PO202602427</t>
  </si>
  <si>
    <t>PO202502428</t>
  </si>
  <si>
    <t>PO202602429</t>
  </si>
  <si>
    <t>PO202502430</t>
  </si>
  <si>
    <t>PO202602431</t>
  </si>
  <si>
    <t>PO202602432</t>
  </si>
  <si>
    <t>PO202602433</t>
  </si>
  <si>
    <t>PO202502434</t>
  </si>
  <si>
    <t>PO202602435</t>
  </si>
  <si>
    <t>PO202602436</t>
  </si>
  <si>
    <t>PO202502437</t>
  </si>
  <si>
    <t>PO202502438</t>
  </si>
  <si>
    <t>PO202502439</t>
  </si>
  <si>
    <t>PO202502440</t>
  </si>
  <si>
    <t>PO202502441</t>
  </si>
  <si>
    <t>PO202502442</t>
  </si>
  <si>
    <t>PO202602443</t>
  </si>
  <si>
    <t>PO202502444</t>
  </si>
  <si>
    <t>PO202602445</t>
  </si>
  <si>
    <t>PO202502446</t>
  </si>
  <si>
    <t>PO202502447</t>
  </si>
  <si>
    <t>PO202502448</t>
  </si>
  <si>
    <t>PO202502449</t>
  </si>
  <si>
    <t>PO202602450</t>
  </si>
  <si>
    <t>PO202502451</t>
  </si>
  <si>
    <t>PO202502452</t>
  </si>
  <si>
    <t>PO202502453</t>
  </si>
  <si>
    <t>PO202502454</t>
  </si>
  <si>
    <t>PO202502455</t>
  </si>
  <si>
    <t>PO202502456</t>
  </si>
  <si>
    <t>PO202502457</t>
  </si>
  <si>
    <t>PO202502458</t>
  </si>
  <si>
    <t>PO202502459</t>
  </si>
  <si>
    <t>PO202602460</t>
  </si>
  <si>
    <t>PO202602461</t>
  </si>
  <si>
    <t>PO202602462</t>
  </si>
  <si>
    <t>PO202502463</t>
  </si>
  <si>
    <t>PO202502464</t>
  </si>
  <si>
    <t>PO202602465</t>
  </si>
  <si>
    <t>PO202502466</t>
  </si>
  <si>
    <t>PO202502467</t>
  </si>
  <si>
    <t>PO202602468</t>
  </si>
  <si>
    <t>PO202502469</t>
  </si>
  <si>
    <t>PO202602470</t>
  </si>
  <si>
    <t>PO202502471</t>
  </si>
  <si>
    <t>PO202602472</t>
  </si>
  <si>
    <t>PO202502473</t>
  </si>
  <si>
    <t>PO202502474</t>
  </si>
  <si>
    <t>PO202502475</t>
  </si>
  <si>
    <t>PO202502476</t>
  </si>
  <si>
    <t>PO202502477</t>
  </si>
  <si>
    <t>PO202502478</t>
  </si>
  <si>
    <t>PO202602479</t>
  </si>
  <si>
    <t>PO202502480</t>
  </si>
  <si>
    <t>PO202602481</t>
  </si>
  <si>
    <t>PO202502482</t>
  </si>
  <si>
    <t>PO202502483</t>
  </si>
  <si>
    <t>PO202502484</t>
  </si>
  <si>
    <t>PO202502485</t>
  </si>
  <si>
    <t>PO202502486</t>
  </si>
  <si>
    <t>PO202502487</t>
  </si>
  <si>
    <t>PO202602488</t>
  </si>
  <si>
    <t>PO202502489</t>
  </si>
  <si>
    <t>PO202502490</t>
  </si>
  <si>
    <t>PO202502491</t>
  </si>
  <si>
    <t>PO202502492</t>
  </si>
  <si>
    <t>PO202502493</t>
  </si>
  <si>
    <t>PO202502494</t>
  </si>
  <si>
    <t>PO202502495</t>
  </si>
  <si>
    <t>PO202502496</t>
  </si>
  <si>
    <t>PO202502497</t>
  </si>
  <si>
    <t>PO202502498</t>
  </si>
  <si>
    <t>PO202502499</t>
  </si>
  <si>
    <t>PO202502500</t>
  </si>
  <si>
    <t>PO202502501</t>
  </si>
  <si>
    <t>PO202502502</t>
  </si>
  <si>
    <t>PO202602503</t>
  </si>
  <si>
    <t>PO202502504</t>
  </si>
  <si>
    <t>PO202502505</t>
  </si>
  <si>
    <t>PO202602506</t>
  </si>
  <si>
    <t>PO202502507</t>
  </si>
  <si>
    <t>PO202502508</t>
  </si>
  <si>
    <t>PO202502509</t>
  </si>
  <si>
    <t>PO202502510</t>
  </si>
  <si>
    <t>PO202602511</t>
  </si>
  <si>
    <t>PO202502512</t>
  </si>
  <si>
    <t>PO202602513</t>
  </si>
  <si>
    <t>PO202502514</t>
  </si>
  <si>
    <t>PO202502515</t>
  </si>
  <si>
    <t>PO202502516</t>
  </si>
  <si>
    <t>PO202602517</t>
  </si>
  <si>
    <t>PO202602518</t>
  </si>
  <si>
    <t>PO202502519</t>
  </si>
  <si>
    <t>PO202502520</t>
  </si>
  <si>
    <t>PO202602521</t>
  </si>
  <si>
    <t>PO202502522</t>
  </si>
  <si>
    <t>PO202502523</t>
  </si>
  <si>
    <t>PO202502524</t>
  </si>
  <si>
    <t>PO202602525</t>
  </si>
  <si>
    <t>PO202502526</t>
  </si>
  <si>
    <t>PO202602527</t>
  </si>
  <si>
    <t>PO202502528</t>
  </si>
  <si>
    <t>PO202602529</t>
  </si>
  <si>
    <t>PO202502530</t>
  </si>
  <si>
    <t>PO202502531</t>
  </si>
  <si>
    <t>PO202602532</t>
  </si>
  <si>
    <t>PO202502533</t>
  </si>
  <si>
    <t>PO202502534</t>
  </si>
  <si>
    <t>PO202502535</t>
  </si>
  <si>
    <t>PO202602536</t>
  </si>
  <si>
    <t>PO202502537</t>
  </si>
  <si>
    <t>PO202502538</t>
  </si>
  <si>
    <t>PO202502539</t>
  </si>
  <si>
    <t>PO202502540</t>
  </si>
  <si>
    <t>PO202502541</t>
  </si>
  <si>
    <t>PO202502542</t>
  </si>
  <si>
    <t>PO202602543</t>
  </si>
  <si>
    <t>PO202502544</t>
  </si>
  <si>
    <t>PO202602545</t>
  </si>
  <si>
    <t>PO202602546</t>
  </si>
  <si>
    <t>PO202502547</t>
  </si>
  <si>
    <t>PO202502548</t>
  </si>
  <si>
    <t>PO202502549</t>
  </si>
  <si>
    <t>PO202502550</t>
  </si>
  <si>
    <t>PO202502551</t>
  </si>
  <si>
    <t>PO202502552</t>
  </si>
  <si>
    <t>PO202502553</t>
  </si>
  <si>
    <t>PO202502554</t>
  </si>
  <si>
    <t>PO202502555</t>
  </si>
  <si>
    <t>PO202502556</t>
  </si>
  <si>
    <t>PO202602557</t>
  </si>
  <si>
    <t>PO202502558</t>
  </si>
  <si>
    <t>PO202502559</t>
  </si>
  <si>
    <t>PO202502560</t>
  </si>
  <si>
    <t>PO202502561</t>
  </si>
  <si>
    <t>PO202502562</t>
  </si>
  <si>
    <t>PO202502563</t>
  </si>
  <si>
    <t>PO202502564</t>
  </si>
  <si>
    <t>PO202502565</t>
  </si>
  <si>
    <t>PO202602566</t>
  </si>
  <si>
    <t>PO202502567</t>
  </si>
  <si>
    <t>PO202602568</t>
  </si>
  <si>
    <t>PO202502569</t>
  </si>
  <si>
    <t>PO202502570</t>
  </si>
  <si>
    <t>PO202602571</t>
  </si>
  <si>
    <t>PO202502572</t>
  </si>
  <si>
    <t>PO202502573</t>
  </si>
  <si>
    <t>PO202502574</t>
  </si>
  <si>
    <t>PO202602575</t>
  </si>
  <si>
    <t>PO202502576</t>
  </si>
  <si>
    <t>PO202502577</t>
  </si>
  <si>
    <t>PO202502578</t>
  </si>
  <si>
    <t>PO202602579</t>
  </si>
  <si>
    <t>PO202502580</t>
  </si>
  <si>
    <t>PO202502581</t>
  </si>
  <si>
    <t>PO202502582</t>
  </si>
  <si>
    <t>PO202502583</t>
  </si>
  <si>
    <t>PO202602584</t>
  </si>
  <si>
    <t>PO202502585</t>
  </si>
  <si>
    <t>PO202502586</t>
  </si>
  <si>
    <t>PO202602587</t>
  </si>
  <si>
    <t>PO202502588</t>
  </si>
  <si>
    <t>professional services</t>
  </si>
  <si>
    <t>PO202502589</t>
  </si>
  <si>
    <t>PO202502590</t>
  </si>
  <si>
    <t>PO202502591</t>
  </si>
  <si>
    <t>PO202602592</t>
  </si>
  <si>
    <t>PO202602593</t>
  </si>
  <si>
    <t>PO202502594</t>
  </si>
  <si>
    <t>PO202502595</t>
  </si>
  <si>
    <t>PO202602596</t>
  </si>
  <si>
    <t>PO202602597</t>
  </si>
  <si>
    <t>PO202502598</t>
  </si>
  <si>
    <t>PO202602599</t>
  </si>
  <si>
    <t>PO202502600</t>
  </si>
  <si>
    <t>Year</t>
  </si>
  <si>
    <t>Month</t>
  </si>
  <si>
    <t>Year_Month</t>
  </si>
  <si>
    <t>Days_Late</t>
  </si>
  <si>
    <t>On_Time_Flag</t>
  </si>
  <si>
    <t>Apr</t>
  </si>
  <si>
    <t>2025-04</t>
  </si>
  <si>
    <t>Jun</t>
  </si>
  <si>
    <t>2026-06</t>
  </si>
  <si>
    <t>Dec</t>
  </si>
  <si>
    <t>2025-12</t>
  </si>
  <si>
    <t>Mar</t>
  </si>
  <si>
    <t>2025-03</t>
  </si>
  <si>
    <t>Oct</t>
  </si>
  <si>
    <t>2025-10</t>
  </si>
  <si>
    <t>Feb</t>
  </si>
  <si>
    <t>2025-02</t>
  </si>
  <si>
    <t>Sep</t>
  </si>
  <si>
    <t>2025-09</t>
  </si>
  <si>
    <t>2026-03</t>
  </si>
  <si>
    <t>2025-06</t>
  </si>
  <si>
    <t>Jan</t>
  </si>
  <si>
    <t>2026-01</t>
  </si>
  <si>
    <t>Jul</t>
  </si>
  <si>
    <t>2025-07</t>
  </si>
  <si>
    <t>Aug</t>
  </si>
  <si>
    <t>2025-08</t>
  </si>
  <si>
    <t>Nov</t>
  </si>
  <si>
    <t>2025-11</t>
  </si>
  <si>
    <t>2026-02</t>
  </si>
  <si>
    <t>May</t>
  </si>
  <si>
    <t>2025-05</t>
  </si>
  <si>
    <t>2025-01</t>
  </si>
  <si>
    <t>2026-05</t>
  </si>
  <si>
    <t>2026-04</t>
  </si>
  <si>
    <t>Excel Analysis</t>
  </si>
  <si>
    <t>Total Spend</t>
  </si>
  <si>
    <t>Total POs</t>
  </si>
  <si>
    <t>Average PO Value</t>
  </si>
  <si>
    <t>On-Time Delivery %</t>
  </si>
  <si>
    <t>Late POs</t>
  </si>
  <si>
    <t>Top 3 Vendor Share</t>
  </si>
  <si>
    <t>Spend_INR</t>
  </si>
  <si>
    <t>PO_Count</t>
  </si>
  <si>
    <t>Vendor</t>
  </si>
  <si>
    <t>Spend_Share</t>
  </si>
  <si>
    <t>Closed_POs</t>
  </si>
  <si>
    <t>Late_POs</t>
  </si>
  <si>
    <t>On_Time_%</t>
  </si>
  <si>
    <t>Lowest_Price_Vendor</t>
  </si>
  <si>
    <t>Avg_Low_Price</t>
  </si>
  <si>
    <t>Highest_Price_Vendor</t>
  </si>
  <si>
    <t>Avg_High_Price</t>
  </si>
  <si>
    <t>Price_Gap_%</t>
  </si>
  <si>
    <t>Vendor Spend &amp; Procurement Analytics</t>
  </si>
  <si>
    <t>On_Time_Pct</t>
  </si>
  <si>
    <t>On-Time Delivery</t>
  </si>
  <si>
    <t>Validated Findings &amp; Recommendations</t>
  </si>
  <si>
    <t>1. Technology is the largest spend category at ₹58,810,102, representing 37.3% of total procurement spend.</t>
  </si>
  <si>
    <t>2. CoreTech Solutions is the largest vendor at ₹25,491,861 (16.1% of spend), but its on-time delivery rate is only 77.6%.</t>
  </si>
  <si>
    <t>3. The top three vendors account for 37.1% of total spend, showing a meaningful but not extreme concentration risk.</t>
  </si>
  <si>
    <t>4. The largest same-item price gap is for Network Switch - 24 Port: average prices differ by 20.0% between CoreTech Solutions and Vertex Digital Systems.</t>
  </si>
  <si>
    <t>5. Metro Business Supplies offers relatively lower office-supply pricing but has an on-time rate of 77.9%; vendor selection should balance cost and delivery reliability.</t>
  </si>
  <si>
    <t>6. Vertex Digital Systems has an on-time rate of 92.9%, materially stronger than CoreTech, but generally at higher technology-item prices.</t>
  </si>
  <si>
    <t>Recommendation: use item-level price benchmarks during vendor negotiations, review high-spend vendors with weaker delivery performance, and consider split-award sourcing where lower price and higher reliability come from different vendors.</t>
  </si>
  <si>
    <t>VENDOR SPEND &amp; PROCUREMENT ANALYTICS</t>
  </si>
  <si>
    <t>Business Scenario</t>
  </si>
  <si>
    <t>A multi-location company wants to understand procurement spend, vendor concentration, price inconsistencies, and delivery performance to identify cost-saving and vendor-management opportunities.</t>
  </si>
  <si>
    <t>Target Role</t>
  </si>
  <si>
    <t>Entry-level Business Analyst / Data Analyst</t>
  </si>
  <si>
    <t>Tools Used</t>
  </si>
  <si>
    <t>Excel, SQL, Power BI</t>
  </si>
  <si>
    <t>Data Period</t>
  </si>
  <si>
    <t>January 2025 to June 2026</t>
  </si>
  <si>
    <t>Dataset Size</t>
  </si>
  <si>
    <t>2,600 purchase-order line records</t>
  </si>
  <si>
    <t>Currency</t>
  </si>
  <si>
    <t>Indian Rupees (INR)</t>
  </si>
  <si>
    <t>Workflow</t>
  </si>
  <si>
    <t>Raw data → Data cleaning → Excel analysis → SQL analysis → Power BI-ready model → Business insights</t>
  </si>
  <si>
    <t>Business Questions</t>
  </si>
  <si>
    <t>1</t>
  </si>
  <si>
    <t>How much is the company spending, and how is spend changing over time?</t>
  </si>
  <si>
    <t>2</t>
  </si>
  <si>
    <t>Which vendors, categories, departments, and regions account for the most spend?</t>
  </si>
  <si>
    <t>3</t>
  </si>
  <si>
    <t>Is procurement overly dependent on a small number of vendors?</t>
  </si>
  <si>
    <t>4</t>
  </si>
  <si>
    <t>Are different vendors charging materially different prices for the same items?</t>
  </si>
  <si>
    <t>5</t>
  </si>
  <si>
    <t>Which vendors provide the best balance of cost and delivery reliability?</t>
  </si>
  <si>
    <t>6</t>
  </si>
  <si>
    <t>Where are late deliveries concentrated?</t>
  </si>
  <si>
    <t>7</t>
  </si>
  <si>
    <t>What practical actions could management take based on the findings?</t>
  </si>
  <si>
    <t>Cleaning Performed</t>
  </si>
  <si>
    <t>Trimmed vendor names; standardized category capitalization; standardized payment terms; standardized buyer names; retained legitimate blank actual-delivery dates for open POs.</t>
  </si>
  <si>
    <t>Portfolio Note</t>
  </si>
  <si>
    <t>This is a synthetic portfolio dataset created to demonstrate a realistic procurement analytics workflow. Findings shown in the workbook are calculated from the generated data.</t>
  </si>
  <si>
    <t>Field</t>
  </si>
  <si>
    <t>Description</t>
  </si>
  <si>
    <t>Unique purchase-order line identifier in this project.</t>
  </si>
  <si>
    <t>Date the purchase order was created.</t>
  </si>
  <si>
    <t>Unique vendor identifier.</t>
  </si>
  <si>
    <t>Vendor supplying the product or service.</t>
  </si>
  <si>
    <t>Internal department responsible for the purchase.</t>
  </si>
  <si>
    <t>High-level procurement category.</t>
  </si>
  <si>
    <t>Unique item/service identifier.</t>
  </si>
  <si>
    <t>Description of the purchased item or service.</t>
  </si>
  <si>
    <t>Number of units purchased.</t>
  </si>
  <si>
    <t>Price paid per unit in INR.</t>
  </si>
  <si>
    <t>Quantity multiplied by unit price.</t>
  </si>
  <si>
    <t>Agreed payment terms with the vendor.</t>
  </si>
  <si>
    <t>Expected delivery date.</t>
  </si>
  <si>
    <t>Actual delivery date; blank for open POs.</t>
  </si>
  <si>
    <t>Region associated with the purchase.</t>
  </si>
  <si>
    <t>Employee responsible for the procurement transaction.</t>
  </si>
  <si>
    <t>Closed or Open.</t>
  </si>
  <si>
    <t>On Time, Late, or Open.</t>
  </si>
  <si>
    <t>Year of PO_Date.</t>
  </si>
  <si>
    <t>Month abbreviation of PO_Date.</t>
  </si>
  <si>
    <t>Year-month key for trend analysis.</t>
  </si>
  <si>
    <t>Days delivered after the expected date; zero if on time/early, blank if open.</t>
  </si>
  <si>
    <t>1 for on-time closed PO, 0 for late closed PO, blank for open 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</si>
</sst>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.00"/>
    <numFmt numFmtId="166" formatCode="\₹#,##0"/>
    <numFmt numFmtId="167" formatCode="0.0%"/>
    <numFmt numFmtId="168" formatCode="0.0"/>
  </numFmts>
  <fonts count="7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1F1F1F"/>
      <name val="Carlito"/>
    </font>
    <font>
      <b/>
      <sz val="16"/>
      <color rgb="FFFFFFFF"/>
      <name val="Carlito"/>
    </font>
    <font>
      <b/>
      <sz val="14"/>
      <color rgb="FF1F4E78"/>
      <name val="Carlito"/>
    </font>
    <font>
      <b/>
      <sz val="18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3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166" fontId="5" fillId="4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66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Procurement Spend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Spend_INR</c:v>
          </c:tx>
          <c:marker>
            <c:symbol val="none"/>
          </c:marker>
          <c:cat>
            <c:strRef>
              <c:f>Excel_Analysis!$A$8:$A$25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Excel_Analysis!$B$8:$B$25</c:f>
              <c:numCache>
                <c:formatCode>\₹#,##0</c:formatCode>
                <c:ptCount val="18"/>
                <c:pt idx="0">
                  <c:v>8281696.4500000011</c:v>
                </c:pt>
                <c:pt idx="1">
                  <c:v>6915595.3000000017</c:v>
                </c:pt>
                <c:pt idx="2">
                  <c:v>10956499.01</c:v>
                </c:pt>
                <c:pt idx="3">
                  <c:v>7751137.6500000013</c:v>
                </c:pt>
                <c:pt idx="4">
                  <c:v>9736516.9699999969</c:v>
                </c:pt>
                <c:pt idx="5">
                  <c:v>8315221.04</c:v>
                </c:pt>
                <c:pt idx="6">
                  <c:v>7115578.1800000016</c:v>
                </c:pt>
                <c:pt idx="7">
                  <c:v>9123032.4299999997</c:v>
                </c:pt>
                <c:pt idx="8">
                  <c:v>8475354.9799999986</c:v>
                </c:pt>
                <c:pt idx="9">
                  <c:v>9567563.7099999934</c:v>
                </c:pt>
                <c:pt idx="10">
                  <c:v>10569728.999999998</c:v>
                </c:pt>
                <c:pt idx="11">
                  <c:v>8023721.0599999996</c:v>
                </c:pt>
                <c:pt idx="12">
                  <c:v>8460833.2199999988</c:v>
                </c:pt>
                <c:pt idx="13">
                  <c:v>7735946.2999999998</c:v>
                </c:pt>
                <c:pt idx="14">
                  <c:v>11864690.369999999</c:v>
                </c:pt>
                <c:pt idx="15">
                  <c:v>7781307.9099999992</c:v>
                </c:pt>
                <c:pt idx="16">
                  <c:v>8439161.410000002</c:v>
                </c:pt>
                <c:pt idx="17">
                  <c:v>8750483.2900000028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56-4620-9AE2-432FEDDE3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Spend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Spend_INR</c:v>
          </c:tx>
          <c:invertIfNegative val="1"/>
          <c:cat>
            <c:strRef>
              <c:f>Excel_Analysis!$A$30:$A$35</c:f>
              <c:strCache>
                <c:ptCount val="6"/>
                <c:pt idx="0">
                  <c:v>Technology</c:v>
                </c:pt>
                <c:pt idx="1">
                  <c:v>Professional Services</c:v>
                </c:pt>
                <c:pt idx="2">
                  <c:v>Office Supplies</c:v>
                </c:pt>
                <c:pt idx="3">
                  <c:v>Facilities</c:v>
                </c:pt>
                <c:pt idx="4">
                  <c:v>Safety</c:v>
                </c:pt>
                <c:pt idx="5">
                  <c:v>Marketing</c:v>
                </c:pt>
              </c:strCache>
            </c:strRef>
          </c:cat>
          <c:val>
            <c:numRef>
              <c:f>Excel_Analysis!$B$30:$B$35</c:f>
              <c:numCache>
                <c:formatCode>\₹#,##0</c:formatCode>
                <c:ptCount val="6"/>
                <c:pt idx="0">
                  <c:v>58810101.969999991</c:v>
                </c:pt>
                <c:pt idx="1">
                  <c:v>41040093.159999996</c:v>
                </c:pt>
                <c:pt idx="2">
                  <c:v>24028236.29999999</c:v>
                </c:pt>
                <c:pt idx="3">
                  <c:v>18700032.43999999</c:v>
                </c:pt>
                <c:pt idx="4">
                  <c:v>9877382.1699999999</c:v>
                </c:pt>
                <c:pt idx="5">
                  <c:v>5408222.2400000021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2-45FE-80F5-5700ED568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Vendors by Spend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Spend_INR</c:v>
          </c:tx>
          <c:invertIfNegative val="1"/>
          <c:cat>
            <c:strRef>
              <c:f>Excel_Analysis!$I$8:$I$15</c:f>
              <c:strCache>
                <c:ptCount val="8"/>
                <c:pt idx="0">
                  <c:v>CoreTech Solutions</c:v>
                </c:pt>
                <c:pt idx="1">
                  <c:v>Insight Advisory Services</c:v>
                </c:pt>
                <c:pt idx="2">
                  <c:v>Prime Workplace India</c:v>
                </c:pt>
                <c:pt idx="3">
                  <c:v>Nexa Technologies</c:v>
                </c:pt>
                <c:pt idx="4">
                  <c:v>Apex Office Solutions</c:v>
                </c:pt>
                <c:pt idx="5">
                  <c:v>TalentBridge Consulting</c:v>
                </c:pt>
                <c:pt idx="6">
                  <c:v>SecureNet Systems</c:v>
                </c:pt>
                <c:pt idx="7">
                  <c:v>Vertex Digital Systems</c:v>
                </c:pt>
              </c:strCache>
            </c:strRef>
          </c:cat>
          <c:val>
            <c:numRef>
              <c:f>Excel_Analysis!$J$8:$J$15</c:f>
              <c:numCache>
                <c:formatCode>\₹#,##0</c:formatCode>
                <c:ptCount val="8"/>
                <c:pt idx="0">
                  <c:v>25491861.140000015</c:v>
                </c:pt>
                <c:pt idx="1">
                  <c:v>20279625.900000013</c:v>
                </c:pt>
                <c:pt idx="2">
                  <c:v>12793887.470000006</c:v>
                </c:pt>
                <c:pt idx="3">
                  <c:v>12263849.780000005</c:v>
                </c:pt>
                <c:pt idx="4">
                  <c:v>12072508.370000005</c:v>
                </c:pt>
                <c:pt idx="5">
                  <c:v>11774496.599999987</c:v>
                </c:pt>
                <c:pt idx="6">
                  <c:v>11127771.659999998</c:v>
                </c:pt>
                <c:pt idx="7">
                  <c:v>9926619.3899999969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6-424D-88BB-CB1113588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On-Time Delivery % - Top Spend Vendors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On_Time_Pct</c:v>
          </c:tx>
          <c:invertIfNegative val="1"/>
          <c:cat>
            <c:strRef>
              <c:f>Dashboard!$N$2:$N$9</c:f>
              <c:strCache>
                <c:ptCount val="8"/>
                <c:pt idx="0">
                  <c:v>CoreTech Solutions</c:v>
                </c:pt>
                <c:pt idx="1">
                  <c:v>Insight Advisory Services</c:v>
                </c:pt>
                <c:pt idx="2">
                  <c:v>Prime Workplace India</c:v>
                </c:pt>
                <c:pt idx="3">
                  <c:v>Nexa Technologies</c:v>
                </c:pt>
                <c:pt idx="4">
                  <c:v>Apex Office Solutions</c:v>
                </c:pt>
                <c:pt idx="5">
                  <c:v>TalentBridge Consulting</c:v>
                </c:pt>
                <c:pt idx="6">
                  <c:v>SecureNet Systems</c:v>
                </c:pt>
                <c:pt idx="7">
                  <c:v>Vertex Digital Systems</c:v>
                </c:pt>
              </c:strCache>
            </c:strRef>
          </c:cat>
          <c:val>
            <c:numRef>
              <c:f>Dashboard!$O$2:$O$9</c:f>
              <c:numCache>
                <c:formatCode>0.0</c:formatCode>
                <c:ptCount val="8"/>
                <c:pt idx="0">
                  <c:v>77.599999999999994</c:v>
                </c:pt>
                <c:pt idx="1">
                  <c:v>93.9</c:v>
                </c:pt>
                <c:pt idx="2">
                  <c:v>96.1</c:v>
                </c:pt>
                <c:pt idx="3">
                  <c:v>88.6</c:v>
                </c:pt>
                <c:pt idx="4">
                  <c:v>92.9</c:v>
                </c:pt>
                <c:pt idx="5">
                  <c:v>95.3</c:v>
                </c:pt>
                <c:pt idx="6">
                  <c:v>94.5</c:v>
                </c:pt>
                <c:pt idx="7">
                  <c:v>92.9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3-462C-A21D-2F1D2587B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ProcurementTable" displayName="RawProcurementTable" ref="A1:R2601" totalsRowShown="0">
  <tableColumns count="18">
    <tableColumn id="1" xr3:uid="{00000000-0010-0000-0000-000001000000}" name="PO_Number"/>
    <tableColumn id="2" xr3:uid="{00000000-0010-0000-0000-000002000000}" name="PO_Date"/>
    <tableColumn id="3" xr3:uid="{00000000-0010-0000-0000-000003000000}" name="Vendor_ID"/>
    <tableColumn id="4" xr3:uid="{00000000-0010-0000-0000-000004000000}" name="Vendor_Name"/>
    <tableColumn id="5" xr3:uid="{00000000-0010-0000-0000-000005000000}" name="Department"/>
    <tableColumn id="6" xr3:uid="{00000000-0010-0000-0000-000006000000}" name="Category"/>
    <tableColumn id="7" xr3:uid="{00000000-0010-0000-0000-000007000000}" name="Item_ID"/>
    <tableColumn id="8" xr3:uid="{00000000-0010-0000-0000-000008000000}" name="Item_Description"/>
    <tableColumn id="9" xr3:uid="{00000000-0010-0000-0000-000009000000}" name="Quantity"/>
    <tableColumn id="10" xr3:uid="{00000000-0010-0000-0000-00000A000000}" name="Unit_Price_INR"/>
    <tableColumn id="11" xr3:uid="{00000000-0010-0000-0000-00000B000000}" name="PO_Amount_INR"/>
    <tableColumn id="12" xr3:uid="{00000000-0010-0000-0000-00000C000000}" name="Payment_Terms"/>
    <tableColumn id="13" xr3:uid="{00000000-0010-0000-0000-00000D000000}" name="Expected_Delivery_Date"/>
    <tableColumn id="14" xr3:uid="{00000000-0010-0000-0000-00000E000000}" name="Actual_Delivery_Date"/>
    <tableColumn id="15" xr3:uid="{00000000-0010-0000-0000-00000F000000}" name="Region"/>
    <tableColumn id="16" xr3:uid="{00000000-0010-0000-0000-000010000000}" name="Buyer"/>
    <tableColumn id="17" xr3:uid="{00000000-0010-0000-0000-000011000000}" name="PO_Status"/>
    <tableColumn id="18" xr3:uid="{00000000-0010-0000-0000-000012000000}" name="Delivery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ProcurementTable" displayName="CleanProcurementTable" ref="A1:W2601" totalsRowShown="0">
  <tableColumns count="23">
    <tableColumn id="1" xr3:uid="{00000000-0010-0000-0100-000001000000}" name="PO_Number"/>
    <tableColumn id="2" xr3:uid="{00000000-0010-0000-0100-000002000000}" name="PO_Date"/>
    <tableColumn id="3" xr3:uid="{00000000-0010-0000-0100-000003000000}" name="Vendor_ID"/>
    <tableColumn id="4" xr3:uid="{00000000-0010-0000-0100-000004000000}" name="Vendor_Name"/>
    <tableColumn id="5" xr3:uid="{00000000-0010-0000-0100-000005000000}" name="Department"/>
    <tableColumn id="6" xr3:uid="{00000000-0010-0000-0100-000006000000}" name="Category"/>
    <tableColumn id="7" xr3:uid="{00000000-0010-0000-0100-000007000000}" name="Item_ID"/>
    <tableColumn id="8" xr3:uid="{00000000-0010-0000-0100-000008000000}" name="Item_Description"/>
    <tableColumn id="9" xr3:uid="{00000000-0010-0000-0100-000009000000}" name="Quantity"/>
    <tableColumn id="10" xr3:uid="{00000000-0010-0000-0100-00000A000000}" name="Unit_Price_INR"/>
    <tableColumn id="11" xr3:uid="{00000000-0010-0000-0100-00000B000000}" name="PO_Amount_INR"/>
    <tableColumn id="12" xr3:uid="{00000000-0010-0000-0100-00000C000000}" name="Payment_Terms"/>
    <tableColumn id="13" xr3:uid="{00000000-0010-0000-0100-00000D000000}" name="Expected_Delivery_Date"/>
    <tableColumn id="14" xr3:uid="{00000000-0010-0000-0100-00000E000000}" name="Actual_Delivery_Date"/>
    <tableColumn id="15" xr3:uid="{00000000-0010-0000-0100-00000F000000}" name="Region"/>
    <tableColumn id="16" xr3:uid="{00000000-0010-0000-0100-000010000000}" name="Buyer"/>
    <tableColumn id="17" xr3:uid="{00000000-0010-0000-0100-000011000000}" name="PO_Status"/>
    <tableColumn id="18" xr3:uid="{00000000-0010-0000-0100-000012000000}" name="Delivery_Status"/>
    <tableColumn id="19" xr3:uid="{00000000-0010-0000-0100-000013000000}" name="Year"/>
    <tableColumn id="20" xr3:uid="{00000000-0010-0000-0100-000014000000}" name="Month"/>
    <tableColumn id="21" xr3:uid="{00000000-0010-0000-0100-000015000000}" name="Year_Month"/>
    <tableColumn id="22" xr3:uid="{00000000-0010-0000-0100-000016000000}" name="Days_Late"/>
    <tableColumn id="23" xr3:uid="{00000000-0010-0000-0100-000017000000}" name="On_Time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01"/>
  <sheetViews>
    <sheetView workbookViewId="0"/>
  </sheetViews>
  <sheetFormatPr defaultRowHeight="14"/>
  <cols>
    <col min="1" max="1" width="16" customWidth="1"/>
    <col min="2" max="2" width="13" customWidth="1"/>
    <col min="3" max="3" width="11" customWidth="1"/>
    <col min="4" max="4" width="27" customWidth="1"/>
    <col min="5" max="6" width="20" customWidth="1"/>
    <col min="7" max="7" width="11" customWidth="1"/>
    <col min="8" max="8" width="31" customWidth="1"/>
    <col min="9" max="9" width="11" customWidth="1"/>
    <col min="10" max="10" width="15" customWidth="1"/>
    <col min="11" max="11" width="17" customWidth="1"/>
    <col min="12" max="12" width="14" customWidth="1"/>
    <col min="13" max="14" width="20" customWidth="1"/>
    <col min="15" max="15" width="11" customWidth="1"/>
    <col min="16" max="16" width="19" customWidth="1"/>
    <col min="17" max="17" width="13" customWidth="1"/>
    <col min="18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45772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39</v>
      </c>
      <c r="J2" s="3">
        <v>232.61</v>
      </c>
      <c r="K2" s="3">
        <v>9071.7900000000009</v>
      </c>
      <c r="L2" t="s">
        <v>25</v>
      </c>
      <c r="M2" s="2">
        <v>45778</v>
      </c>
      <c r="N2" s="2">
        <v>45778</v>
      </c>
      <c r="O2" t="s">
        <v>26</v>
      </c>
      <c r="P2" t="s">
        <v>27</v>
      </c>
      <c r="Q2" t="s">
        <v>28</v>
      </c>
      <c r="R2" t="s">
        <v>29</v>
      </c>
    </row>
    <row r="3" spans="1:18">
      <c r="A3" t="s">
        <v>30</v>
      </c>
      <c r="B3" s="2">
        <v>46175</v>
      </c>
      <c r="C3" t="s">
        <v>19</v>
      </c>
      <c r="D3" t="s">
        <v>20</v>
      </c>
      <c r="E3" t="s">
        <v>31</v>
      </c>
      <c r="F3" t="s">
        <v>22</v>
      </c>
      <c r="G3" t="s">
        <v>32</v>
      </c>
      <c r="H3" t="s">
        <v>33</v>
      </c>
      <c r="I3">
        <v>8</v>
      </c>
      <c r="J3" s="3">
        <v>7237.73</v>
      </c>
      <c r="K3" s="3">
        <v>57901.84</v>
      </c>
      <c r="L3" t="s">
        <v>34</v>
      </c>
      <c r="M3" s="2">
        <v>46189</v>
      </c>
      <c r="N3" s="2">
        <v>46189</v>
      </c>
      <c r="O3" t="s">
        <v>26</v>
      </c>
      <c r="P3" t="s">
        <v>35</v>
      </c>
      <c r="Q3" t="s">
        <v>28</v>
      </c>
      <c r="R3" t="s">
        <v>29</v>
      </c>
    </row>
    <row r="4" spans="1:18">
      <c r="A4" t="s">
        <v>36</v>
      </c>
      <c r="B4" s="2">
        <v>46006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14</v>
      </c>
      <c r="J4" s="3">
        <v>5597.17</v>
      </c>
      <c r="K4" s="3">
        <v>78360.38</v>
      </c>
      <c r="L4" t="s">
        <v>34</v>
      </c>
      <c r="M4" s="2">
        <v>46016</v>
      </c>
      <c r="N4" s="2">
        <v>46016</v>
      </c>
      <c r="O4" t="s">
        <v>43</v>
      </c>
      <c r="P4" t="s">
        <v>44</v>
      </c>
      <c r="Q4" t="s">
        <v>28</v>
      </c>
      <c r="R4" t="s">
        <v>29</v>
      </c>
    </row>
    <row r="5" spans="1:18">
      <c r="A5" t="s">
        <v>45</v>
      </c>
      <c r="B5" s="2">
        <v>45738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>
        <v>1</v>
      </c>
      <c r="J5" s="3">
        <v>53142.53</v>
      </c>
      <c r="K5" s="3">
        <v>53142.53</v>
      </c>
      <c r="L5" t="s">
        <v>52</v>
      </c>
      <c r="M5" s="2">
        <v>45755</v>
      </c>
      <c r="N5" s="2">
        <v>45755</v>
      </c>
      <c r="O5" t="s">
        <v>43</v>
      </c>
      <c r="P5" t="s">
        <v>53</v>
      </c>
      <c r="Q5" t="s">
        <v>28</v>
      </c>
      <c r="R5" t="s">
        <v>29</v>
      </c>
    </row>
    <row r="6" spans="1:18">
      <c r="A6" t="s">
        <v>54</v>
      </c>
      <c r="B6" s="2">
        <v>45942</v>
      </c>
      <c r="C6" t="s">
        <v>55</v>
      </c>
      <c r="D6" t="s">
        <v>56</v>
      </c>
      <c r="E6" t="s">
        <v>48</v>
      </c>
      <c r="F6" t="s">
        <v>57</v>
      </c>
      <c r="G6" t="s">
        <v>58</v>
      </c>
      <c r="H6" t="s">
        <v>59</v>
      </c>
      <c r="I6">
        <v>2</v>
      </c>
      <c r="J6" s="3">
        <v>64463.55</v>
      </c>
      <c r="K6" s="3">
        <v>128927.1</v>
      </c>
      <c r="L6" t="s">
        <v>25</v>
      </c>
      <c r="M6" s="2">
        <v>45956</v>
      </c>
      <c r="N6" s="2">
        <v>45955</v>
      </c>
      <c r="O6" t="s">
        <v>60</v>
      </c>
      <c r="P6" t="s">
        <v>53</v>
      </c>
      <c r="Q6" t="s">
        <v>28</v>
      </c>
      <c r="R6" t="s">
        <v>29</v>
      </c>
    </row>
    <row r="7" spans="1:18">
      <c r="A7" t="s">
        <v>61</v>
      </c>
      <c r="B7" s="2">
        <v>45715</v>
      </c>
      <c r="C7" t="s">
        <v>37</v>
      </c>
      <c r="D7" t="s">
        <v>38</v>
      </c>
      <c r="E7" t="s">
        <v>39</v>
      </c>
      <c r="F7" t="s">
        <v>40</v>
      </c>
      <c r="G7" t="s">
        <v>62</v>
      </c>
      <c r="H7" t="s">
        <v>63</v>
      </c>
      <c r="I7">
        <v>6</v>
      </c>
      <c r="J7" s="3">
        <v>19379.080000000002</v>
      </c>
      <c r="K7" s="3">
        <v>116274.48</v>
      </c>
      <c r="L7" t="s">
        <v>52</v>
      </c>
      <c r="M7" s="2">
        <v>45723</v>
      </c>
      <c r="N7" s="2">
        <v>45720</v>
      </c>
      <c r="O7" t="s">
        <v>60</v>
      </c>
      <c r="P7" t="s">
        <v>64</v>
      </c>
      <c r="Q7" t="s">
        <v>28</v>
      </c>
      <c r="R7" t="s">
        <v>29</v>
      </c>
    </row>
    <row r="8" spans="1:18">
      <c r="A8" t="s">
        <v>65</v>
      </c>
      <c r="B8" s="2">
        <v>45929</v>
      </c>
      <c r="C8" t="s">
        <v>66</v>
      </c>
      <c r="D8" t="s">
        <v>67</v>
      </c>
      <c r="E8" t="s">
        <v>48</v>
      </c>
      <c r="F8" t="s">
        <v>49</v>
      </c>
      <c r="G8" t="s">
        <v>68</v>
      </c>
      <c r="H8" t="s">
        <v>69</v>
      </c>
      <c r="I8">
        <v>1</v>
      </c>
      <c r="J8" s="3">
        <v>46371.25</v>
      </c>
      <c r="K8" s="3">
        <v>46371.25</v>
      </c>
      <c r="L8" t="s">
        <v>34</v>
      </c>
      <c r="M8" s="2">
        <v>45936</v>
      </c>
      <c r="N8" s="2">
        <v>45936</v>
      </c>
      <c r="O8" t="s">
        <v>43</v>
      </c>
      <c r="P8" t="s">
        <v>53</v>
      </c>
      <c r="Q8" t="s">
        <v>28</v>
      </c>
      <c r="R8" t="s">
        <v>29</v>
      </c>
    </row>
    <row r="9" spans="1:18">
      <c r="A9" t="s">
        <v>70</v>
      </c>
      <c r="B9" s="2">
        <v>46090</v>
      </c>
      <c r="C9" t="s">
        <v>71</v>
      </c>
      <c r="D9" t="s">
        <v>72</v>
      </c>
      <c r="E9" t="s">
        <v>73</v>
      </c>
      <c r="F9" t="s">
        <v>57</v>
      </c>
      <c r="G9" t="s">
        <v>74</v>
      </c>
      <c r="H9" t="s">
        <v>75</v>
      </c>
      <c r="I9">
        <v>14</v>
      </c>
      <c r="J9" s="3">
        <v>8482.8700000000008</v>
      </c>
      <c r="K9" s="3">
        <v>118760.18</v>
      </c>
      <c r="L9" t="s">
        <v>34</v>
      </c>
      <c r="M9" s="2">
        <v>46095</v>
      </c>
      <c r="N9" s="2">
        <v>46095</v>
      </c>
      <c r="O9" t="s">
        <v>76</v>
      </c>
      <c r="P9" t="s">
        <v>77</v>
      </c>
      <c r="Q9" t="s">
        <v>28</v>
      </c>
      <c r="R9" t="s">
        <v>29</v>
      </c>
    </row>
    <row r="10" spans="1:18">
      <c r="A10" t="s">
        <v>78</v>
      </c>
      <c r="B10" s="2">
        <v>45772</v>
      </c>
      <c r="C10" t="s">
        <v>37</v>
      </c>
      <c r="D10" t="s">
        <v>38</v>
      </c>
      <c r="E10" t="s">
        <v>39</v>
      </c>
      <c r="F10" t="s">
        <v>22</v>
      </c>
      <c r="G10" t="s">
        <v>32</v>
      </c>
      <c r="H10" t="s">
        <v>33</v>
      </c>
      <c r="I10">
        <v>9</v>
      </c>
      <c r="J10" s="3">
        <v>8210</v>
      </c>
      <c r="K10" s="3">
        <v>73890</v>
      </c>
      <c r="L10" t="s">
        <v>52</v>
      </c>
      <c r="M10" s="2">
        <v>45789</v>
      </c>
      <c r="N10" s="2">
        <v>45789</v>
      </c>
      <c r="O10" t="s">
        <v>76</v>
      </c>
      <c r="P10" t="s">
        <v>64</v>
      </c>
      <c r="Q10" t="s">
        <v>28</v>
      </c>
      <c r="R10" t="s">
        <v>29</v>
      </c>
    </row>
    <row r="11" spans="1:18">
      <c r="A11" t="s">
        <v>79</v>
      </c>
      <c r="B11" s="2">
        <v>45814</v>
      </c>
      <c r="C11" t="s">
        <v>80</v>
      </c>
      <c r="D11" t="s">
        <v>81</v>
      </c>
      <c r="E11" t="s">
        <v>39</v>
      </c>
      <c r="F11" t="s">
        <v>82</v>
      </c>
      <c r="G11" t="s">
        <v>83</v>
      </c>
      <c r="H11" t="s">
        <v>84</v>
      </c>
      <c r="I11">
        <v>12</v>
      </c>
      <c r="J11" s="3">
        <v>686.72</v>
      </c>
      <c r="K11" s="3">
        <v>8240.64</v>
      </c>
      <c r="L11" t="s">
        <v>25</v>
      </c>
      <c r="M11" s="2">
        <v>45824</v>
      </c>
      <c r="N11" s="2">
        <v>45822</v>
      </c>
      <c r="O11" t="s">
        <v>26</v>
      </c>
      <c r="P11" t="s">
        <v>64</v>
      </c>
      <c r="Q11" t="s">
        <v>28</v>
      </c>
      <c r="R11" t="s">
        <v>29</v>
      </c>
    </row>
    <row r="12" spans="1:18">
      <c r="A12" t="s">
        <v>85</v>
      </c>
      <c r="B12" s="2">
        <v>45745</v>
      </c>
      <c r="C12" t="s">
        <v>71</v>
      </c>
      <c r="D12" t="s">
        <v>72</v>
      </c>
      <c r="E12" t="s">
        <v>48</v>
      </c>
      <c r="F12" t="s">
        <v>57</v>
      </c>
      <c r="G12" t="s">
        <v>86</v>
      </c>
      <c r="H12" t="s">
        <v>87</v>
      </c>
      <c r="I12">
        <v>3</v>
      </c>
      <c r="J12" s="3">
        <v>10652.85</v>
      </c>
      <c r="K12" s="3">
        <v>31958.55</v>
      </c>
      <c r="L12" t="s">
        <v>52</v>
      </c>
      <c r="M12" s="2">
        <v>45754</v>
      </c>
      <c r="N12" s="2">
        <v>45751</v>
      </c>
      <c r="O12" t="s">
        <v>26</v>
      </c>
      <c r="P12" t="s">
        <v>53</v>
      </c>
      <c r="Q12" t="s">
        <v>28</v>
      </c>
      <c r="R12" t="s">
        <v>29</v>
      </c>
    </row>
    <row r="13" spans="1:18">
      <c r="A13" t="s">
        <v>88</v>
      </c>
      <c r="B13" s="2">
        <v>46040</v>
      </c>
      <c r="C13" t="s">
        <v>89</v>
      </c>
      <c r="D13" t="s">
        <v>90</v>
      </c>
      <c r="E13" t="s">
        <v>31</v>
      </c>
      <c r="F13" t="s">
        <v>91</v>
      </c>
      <c r="G13" t="s">
        <v>92</v>
      </c>
      <c r="H13" t="s">
        <v>93</v>
      </c>
      <c r="I13">
        <v>3</v>
      </c>
      <c r="J13" s="3">
        <v>41597.96</v>
      </c>
      <c r="K13" s="3">
        <v>124793.88</v>
      </c>
      <c r="L13" t="s">
        <v>25</v>
      </c>
      <c r="M13" s="2">
        <v>46053</v>
      </c>
      <c r="N13" s="2">
        <v>46052</v>
      </c>
      <c r="O13" t="s">
        <v>43</v>
      </c>
      <c r="P13" t="s">
        <v>94</v>
      </c>
      <c r="Q13" t="s">
        <v>28</v>
      </c>
      <c r="R13" t="s">
        <v>29</v>
      </c>
    </row>
    <row r="14" spans="1:18">
      <c r="A14" t="s">
        <v>95</v>
      </c>
      <c r="B14" s="2">
        <v>45996</v>
      </c>
      <c r="C14" t="s">
        <v>96</v>
      </c>
      <c r="D14" t="s">
        <v>97</v>
      </c>
      <c r="E14" t="s">
        <v>39</v>
      </c>
      <c r="F14" t="s">
        <v>82</v>
      </c>
      <c r="G14" t="s">
        <v>98</v>
      </c>
      <c r="H14" t="s">
        <v>99</v>
      </c>
      <c r="I14">
        <v>41</v>
      </c>
      <c r="J14" s="3">
        <v>1128.8699999999999</v>
      </c>
      <c r="K14" s="3">
        <v>46283.67</v>
      </c>
      <c r="L14" t="s">
        <v>34</v>
      </c>
      <c r="M14" s="2">
        <v>46010</v>
      </c>
      <c r="N14" s="2">
        <v>46007</v>
      </c>
      <c r="O14" t="s">
        <v>26</v>
      </c>
      <c r="P14" t="s">
        <v>64</v>
      </c>
      <c r="Q14" t="s">
        <v>28</v>
      </c>
      <c r="R14" t="s">
        <v>29</v>
      </c>
    </row>
    <row r="15" spans="1:18">
      <c r="A15" t="s">
        <v>100</v>
      </c>
      <c r="B15" s="2">
        <v>46020</v>
      </c>
      <c r="C15" t="s">
        <v>71</v>
      </c>
      <c r="D15" t="s">
        <v>72</v>
      </c>
      <c r="E15" t="s">
        <v>73</v>
      </c>
      <c r="F15" t="s">
        <v>57</v>
      </c>
      <c r="G15" t="s">
        <v>101</v>
      </c>
      <c r="H15" t="s">
        <v>102</v>
      </c>
      <c r="I15">
        <v>11</v>
      </c>
      <c r="J15" s="3">
        <v>1765.28</v>
      </c>
      <c r="K15" s="3">
        <v>19418.080000000002</v>
      </c>
      <c r="L15" t="s">
        <v>34</v>
      </c>
      <c r="M15" s="2">
        <v>46025</v>
      </c>
      <c r="N15" s="2">
        <v>46023</v>
      </c>
      <c r="O15" t="s">
        <v>43</v>
      </c>
      <c r="P15" t="s">
        <v>77</v>
      </c>
      <c r="Q15" t="s">
        <v>28</v>
      </c>
      <c r="R15" t="s">
        <v>29</v>
      </c>
    </row>
    <row r="16" spans="1:18">
      <c r="A16" t="s">
        <v>103</v>
      </c>
      <c r="B16" s="2">
        <v>45854</v>
      </c>
      <c r="C16" t="s">
        <v>104</v>
      </c>
      <c r="D16" t="s">
        <v>105</v>
      </c>
      <c r="E16" t="s">
        <v>73</v>
      </c>
      <c r="F16" t="s">
        <v>49</v>
      </c>
      <c r="G16" t="s">
        <v>50</v>
      </c>
      <c r="H16" t="s">
        <v>51</v>
      </c>
      <c r="I16">
        <v>1</v>
      </c>
      <c r="J16" s="3">
        <v>51089.09</v>
      </c>
      <c r="K16" s="3">
        <v>51089.09</v>
      </c>
      <c r="L16" t="s">
        <v>25</v>
      </c>
      <c r="M16" s="2">
        <v>45866</v>
      </c>
      <c r="N16" s="2">
        <v>45866</v>
      </c>
      <c r="O16" t="s">
        <v>43</v>
      </c>
      <c r="P16" t="s">
        <v>77</v>
      </c>
      <c r="Q16" t="s">
        <v>28</v>
      </c>
      <c r="R16" t="s">
        <v>29</v>
      </c>
    </row>
    <row r="17" spans="1:18">
      <c r="A17" t="s">
        <v>106</v>
      </c>
      <c r="B17" s="2">
        <v>45900</v>
      </c>
      <c r="C17" t="s">
        <v>107</v>
      </c>
      <c r="D17" t="s">
        <v>108</v>
      </c>
      <c r="E17" t="s">
        <v>31</v>
      </c>
      <c r="F17" t="s">
        <v>91</v>
      </c>
      <c r="G17" t="s">
        <v>109</v>
      </c>
      <c r="H17" t="s">
        <v>110</v>
      </c>
      <c r="I17">
        <v>1</v>
      </c>
      <c r="J17" s="3">
        <v>13403.74</v>
      </c>
      <c r="K17" s="3">
        <v>13403.74</v>
      </c>
      <c r="L17" t="s">
        <v>25</v>
      </c>
      <c r="M17" s="2">
        <v>45911</v>
      </c>
      <c r="N17" s="2">
        <v>45908</v>
      </c>
      <c r="O17" t="s">
        <v>60</v>
      </c>
      <c r="P17" t="s">
        <v>94</v>
      </c>
      <c r="Q17" t="s">
        <v>28</v>
      </c>
      <c r="R17" t="s">
        <v>29</v>
      </c>
    </row>
    <row r="18" spans="1:18">
      <c r="A18" t="s">
        <v>111</v>
      </c>
      <c r="B18" s="2">
        <v>45852</v>
      </c>
      <c r="C18" t="s">
        <v>46</v>
      </c>
      <c r="D18" t="s">
        <v>47</v>
      </c>
      <c r="E18" t="s">
        <v>112</v>
      </c>
      <c r="F18" t="s">
        <v>49</v>
      </c>
      <c r="G18" t="s">
        <v>113</v>
      </c>
      <c r="H18" t="s">
        <v>114</v>
      </c>
      <c r="I18">
        <v>3</v>
      </c>
      <c r="J18" s="3">
        <v>38876.04</v>
      </c>
      <c r="K18" s="3">
        <v>116628.12</v>
      </c>
      <c r="L18" t="s">
        <v>25</v>
      </c>
      <c r="M18" s="2">
        <v>45864</v>
      </c>
      <c r="N18" s="2">
        <v>45863</v>
      </c>
      <c r="O18" t="s">
        <v>43</v>
      </c>
      <c r="P18" t="s">
        <v>115</v>
      </c>
      <c r="Q18" t="s">
        <v>28</v>
      </c>
      <c r="R18" t="s">
        <v>29</v>
      </c>
    </row>
    <row r="19" spans="1:18">
      <c r="A19" t="s">
        <v>116</v>
      </c>
      <c r="B19" s="2">
        <v>45728</v>
      </c>
      <c r="C19" t="s">
        <v>117</v>
      </c>
      <c r="D19" t="s">
        <v>118</v>
      </c>
      <c r="E19" t="s">
        <v>48</v>
      </c>
      <c r="F19" t="s">
        <v>57</v>
      </c>
      <c r="G19" t="s">
        <v>74</v>
      </c>
      <c r="H19" t="s">
        <v>75</v>
      </c>
      <c r="I19">
        <v>4</v>
      </c>
      <c r="J19" s="3">
        <v>9071.98</v>
      </c>
      <c r="K19" s="3">
        <v>36287.919999999998</v>
      </c>
      <c r="L19" t="s">
        <v>25</v>
      </c>
      <c r="M19" s="2">
        <v>45742</v>
      </c>
      <c r="N19" s="2">
        <v>45742</v>
      </c>
      <c r="O19" t="s">
        <v>76</v>
      </c>
      <c r="P19" t="s">
        <v>53</v>
      </c>
      <c r="Q19" t="s">
        <v>28</v>
      </c>
      <c r="R19" t="s">
        <v>29</v>
      </c>
    </row>
    <row r="20" spans="1:18">
      <c r="A20" t="s">
        <v>119</v>
      </c>
      <c r="B20" s="2">
        <v>45979</v>
      </c>
      <c r="C20" t="s">
        <v>55</v>
      </c>
      <c r="D20" t="s">
        <v>56</v>
      </c>
      <c r="E20" t="s">
        <v>73</v>
      </c>
      <c r="F20" t="s">
        <v>57</v>
      </c>
      <c r="G20" t="s">
        <v>120</v>
      </c>
      <c r="H20" t="s">
        <v>121</v>
      </c>
      <c r="I20">
        <v>2</v>
      </c>
      <c r="J20" s="3">
        <v>24019.48</v>
      </c>
      <c r="K20" s="3">
        <v>48038.96</v>
      </c>
      <c r="L20" t="s">
        <v>25</v>
      </c>
      <c r="M20" s="2">
        <v>45984</v>
      </c>
      <c r="N20" s="2">
        <v>45984</v>
      </c>
      <c r="O20" t="s">
        <v>26</v>
      </c>
      <c r="P20" t="s">
        <v>77</v>
      </c>
      <c r="Q20" t="s">
        <v>28</v>
      </c>
      <c r="R20" t="s">
        <v>29</v>
      </c>
    </row>
    <row r="21" spans="1:18">
      <c r="A21" t="s">
        <v>122</v>
      </c>
      <c r="B21" s="2">
        <v>46036</v>
      </c>
      <c r="C21" t="s">
        <v>55</v>
      </c>
      <c r="D21" t="s">
        <v>56</v>
      </c>
      <c r="E21" t="s">
        <v>73</v>
      </c>
      <c r="F21" t="s">
        <v>57</v>
      </c>
      <c r="G21" t="s">
        <v>120</v>
      </c>
      <c r="H21" t="s">
        <v>121</v>
      </c>
      <c r="I21">
        <v>1</v>
      </c>
      <c r="J21" s="3">
        <v>25479.69</v>
      </c>
      <c r="K21" s="3">
        <v>25479.69</v>
      </c>
      <c r="L21" t="s">
        <v>52</v>
      </c>
      <c r="M21" s="2">
        <v>46051</v>
      </c>
      <c r="N21" s="2">
        <v>46049</v>
      </c>
      <c r="O21" t="s">
        <v>43</v>
      </c>
      <c r="P21" t="s">
        <v>77</v>
      </c>
      <c r="Q21" t="s">
        <v>28</v>
      </c>
      <c r="R21" t="s">
        <v>29</v>
      </c>
    </row>
    <row r="22" spans="1:18">
      <c r="A22" t="s">
        <v>123</v>
      </c>
      <c r="B22" s="2">
        <v>45928</v>
      </c>
      <c r="C22" t="s">
        <v>96</v>
      </c>
      <c r="D22" t="s">
        <v>97</v>
      </c>
      <c r="E22" t="s">
        <v>39</v>
      </c>
      <c r="F22" t="s">
        <v>82</v>
      </c>
      <c r="G22" t="s">
        <v>83</v>
      </c>
      <c r="H22" t="s">
        <v>84</v>
      </c>
      <c r="I22">
        <v>50</v>
      </c>
      <c r="J22" s="3">
        <v>737.7</v>
      </c>
      <c r="K22" s="3">
        <v>36885</v>
      </c>
      <c r="L22" t="s">
        <v>25</v>
      </c>
      <c r="M22" s="2">
        <v>45938</v>
      </c>
      <c r="N22" s="2">
        <v>45936</v>
      </c>
      <c r="O22" t="s">
        <v>76</v>
      </c>
      <c r="P22" t="s">
        <v>64</v>
      </c>
      <c r="Q22" t="s">
        <v>28</v>
      </c>
      <c r="R22" t="s">
        <v>29</v>
      </c>
    </row>
    <row r="23" spans="1:18">
      <c r="A23" t="s">
        <v>124</v>
      </c>
      <c r="B23" s="2">
        <v>45752</v>
      </c>
      <c r="C23" t="s">
        <v>55</v>
      </c>
      <c r="D23" t="s">
        <v>56</v>
      </c>
      <c r="E23" t="s">
        <v>48</v>
      </c>
      <c r="F23" t="s">
        <v>57</v>
      </c>
      <c r="G23" t="s">
        <v>101</v>
      </c>
      <c r="H23" t="s">
        <v>102</v>
      </c>
      <c r="I23">
        <v>21</v>
      </c>
      <c r="J23" s="3">
        <v>1941.6</v>
      </c>
      <c r="K23" s="3">
        <v>40773.599999999999</v>
      </c>
      <c r="L23" t="s">
        <v>34</v>
      </c>
      <c r="M23" s="2">
        <v>45759</v>
      </c>
      <c r="N23" s="2">
        <v>45756</v>
      </c>
      <c r="O23" t="s">
        <v>43</v>
      </c>
      <c r="P23" t="s">
        <v>53</v>
      </c>
      <c r="Q23" t="s">
        <v>28</v>
      </c>
      <c r="R23" t="s">
        <v>29</v>
      </c>
    </row>
    <row r="24" spans="1:18">
      <c r="A24" t="s">
        <v>125</v>
      </c>
      <c r="B24" s="2">
        <v>45810</v>
      </c>
      <c r="C24" t="s">
        <v>117</v>
      </c>
      <c r="D24" t="s">
        <v>118</v>
      </c>
      <c r="E24" t="s">
        <v>48</v>
      </c>
      <c r="F24" t="s">
        <v>57</v>
      </c>
      <c r="G24" t="s">
        <v>74</v>
      </c>
      <c r="H24" t="s">
        <v>75</v>
      </c>
      <c r="I24">
        <v>15</v>
      </c>
      <c r="J24" s="3">
        <v>8615.1</v>
      </c>
      <c r="K24" s="3">
        <v>129226.5</v>
      </c>
      <c r="L24" t="s">
        <v>52</v>
      </c>
      <c r="M24" s="2">
        <v>45827</v>
      </c>
      <c r="N24" s="2">
        <v>45827</v>
      </c>
      <c r="O24" t="s">
        <v>26</v>
      </c>
      <c r="P24" t="s">
        <v>53</v>
      </c>
      <c r="Q24" t="s">
        <v>28</v>
      </c>
      <c r="R24" t="s">
        <v>29</v>
      </c>
    </row>
    <row r="25" spans="1:18">
      <c r="A25" t="s">
        <v>126</v>
      </c>
      <c r="B25" s="2">
        <v>45763</v>
      </c>
      <c r="C25" t="s">
        <v>71</v>
      </c>
      <c r="D25" t="s">
        <v>72</v>
      </c>
      <c r="E25" t="s">
        <v>31</v>
      </c>
      <c r="F25" t="s">
        <v>57</v>
      </c>
      <c r="G25" t="s">
        <v>127</v>
      </c>
      <c r="H25" t="s">
        <v>128</v>
      </c>
      <c r="I25">
        <v>4</v>
      </c>
      <c r="J25" s="3">
        <v>15950.26</v>
      </c>
      <c r="K25" s="3">
        <v>63801.04</v>
      </c>
      <c r="L25" t="s">
        <v>34</v>
      </c>
      <c r="M25" s="2">
        <v>45781</v>
      </c>
      <c r="N25" s="2">
        <v>45795</v>
      </c>
      <c r="O25" t="s">
        <v>60</v>
      </c>
      <c r="P25" t="s">
        <v>94</v>
      </c>
      <c r="Q25" t="s">
        <v>28</v>
      </c>
      <c r="R25" t="s">
        <v>129</v>
      </c>
    </row>
    <row r="26" spans="1:18">
      <c r="A26" t="s">
        <v>130</v>
      </c>
      <c r="B26" s="2">
        <v>45912</v>
      </c>
      <c r="C26" t="s">
        <v>131</v>
      </c>
      <c r="D26" t="s">
        <v>132</v>
      </c>
      <c r="E26" t="s">
        <v>48</v>
      </c>
      <c r="F26" t="s">
        <v>57</v>
      </c>
      <c r="G26" t="s">
        <v>74</v>
      </c>
      <c r="H26" t="s">
        <v>75</v>
      </c>
      <c r="I26">
        <v>4</v>
      </c>
      <c r="J26" s="3">
        <v>9416.3700000000008</v>
      </c>
      <c r="K26" s="3">
        <v>37665.480000000003</v>
      </c>
      <c r="L26" t="s">
        <v>25</v>
      </c>
      <c r="M26" s="2">
        <v>45920</v>
      </c>
      <c r="N26" s="2">
        <v>45917</v>
      </c>
      <c r="O26" t="s">
        <v>26</v>
      </c>
      <c r="P26" t="s">
        <v>53</v>
      </c>
      <c r="Q26" t="s">
        <v>28</v>
      </c>
      <c r="R26" t="s">
        <v>29</v>
      </c>
    </row>
    <row r="27" spans="1:18">
      <c r="A27" t="s">
        <v>133</v>
      </c>
      <c r="B27" s="2">
        <v>46066</v>
      </c>
      <c r="C27" t="s">
        <v>134</v>
      </c>
      <c r="D27" t="s">
        <v>135</v>
      </c>
      <c r="E27" t="s">
        <v>112</v>
      </c>
      <c r="F27" t="s">
        <v>40</v>
      </c>
      <c r="G27" t="s">
        <v>136</v>
      </c>
      <c r="H27" t="s">
        <v>137</v>
      </c>
      <c r="I27">
        <v>58</v>
      </c>
      <c r="J27" s="3">
        <v>1643.35</v>
      </c>
      <c r="K27" s="3">
        <v>95314.3</v>
      </c>
      <c r="L27" t="s">
        <v>25</v>
      </c>
      <c r="M27" s="2">
        <v>46079</v>
      </c>
      <c r="N27" s="2">
        <v>46079</v>
      </c>
      <c r="O27" t="s">
        <v>76</v>
      </c>
      <c r="P27" t="s">
        <v>115</v>
      </c>
      <c r="Q27" t="s">
        <v>28</v>
      </c>
      <c r="R27" t="s">
        <v>29</v>
      </c>
    </row>
    <row r="28" spans="1:18">
      <c r="A28" t="s">
        <v>138</v>
      </c>
      <c r="B28" s="2">
        <v>45929</v>
      </c>
      <c r="C28" t="s">
        <v>71</v>
      </c>
      <c r="D28" t="s">
        <v>72</v>
      </c>
      <c r="E28" t="s">
        <v>31</v>
      </c>
      <c r="F28" t="s">
        <v>57</v>
      </c>
      <c r="G28" t="s">
        <v>120</v>
      </c>
      <c r="H28" t="s">
        <v>121</v>
      </c>
      <c r="I28">
        <v>2</v>
      </c>
      <c r="J28" s="3">
        <v>20460.16</v>
      </c>
      <c r="K28" s="3">
        <v>40920.32</v>
      </c>
      <c r="L28" t="s">
        <v>25</v>
      </c>
      <c r="M28" s="2">
        <v>45940</v>
      </c>
      <c r="N28" s="2">
        <v>45939</v>
      </c>
      <c r="O28" t="s">
        <v>60</v>
      </c>
      <c r="P28" t="s">
        <v>94</v>
      </c>
      <c r="Q28" t="s">
        <v>28</v>
      </c>
      <c r="R28" t="s">
        <v>29</v>
      </c>
    </row>
    <row r="29" spans="1:18">
      <c r="A29" t="s">
        <v>139</v>
      </c>
      <c r="B29" s="2">
        <v>45859</v>
      </c>
      <c r="C29" t="s">
        <v>80</v>
      </c>
      <c r="D29" t="s">
        <v>81</v>
      </c>
      <c r="E29" t="s">
        <v>39</v>
      </c>
      <c r="F29" t="s">
        <v>82</v>
      </c>
      <c r="G29" t="s">
        <v>98</v>
      </c>
      <c r="H29" t="s">
        <v>99</v>
      </c>
      <c r="I29">
        <v>12</v>
      </c>
      <c r="J29" s="3">
        <v>1114.03</v>
      </c>
      <c r="K29" s="3">
        <v>13368.36</v>
      </c>
      <c r="L29" t="s">
        <v>34</v>
      </c>
      <c r="M29" s="2">
        <v>45875</v>
      </c>
      <c r="N29" s="2">
        <v>45873</v>
      </c>
      <c r="O29" t="s">
        <v>76</v>
      </c>
      <c r="P29" t="s">
        <v>44</v>
      </c>
      <c r="Q29" t="s">
        <v>28</v>
      </c>
      <c r="R29" t="s">
        <v>29</v>
      </c>
    </row>
    <row r="30" spans="1:18">
      <c r="A30" t="s">
        <v>140</v>
      </c>
      <c r="B30" s="2">
        <v>45960</v>
      </c>
      <c r="C30" t="s">
        <v>80</v>
      </c>
      <c r="D30" t="s">
        <v>81</v>
      </c>
      <c r="E30" t="s">
        <v>39</v>
      </c>
      <c r="F30" t="s">
        <v>82</v>
      </c>
      <c r="G30" t="s">
        <v>98</v>
      </c>
      <c r="H30" t="s">
        <v>99</v>
      </c>
      <c r="I30">
        <v>44</v>
      </c>
      <c r="J30" s="3">
        <v>1137.57</v>
      </c>
      <c r="K30" s="3">
        <v>50053.08</v>
      </c>
      <c r="L30" t="s">
        <v>25</v>
      </c>
      <c r="M30" s="2">
        <v>45974</v>
      </c>
      <c r="N30" s="2">
        <v>45974</v>
      </c>
      <c r="O30" t="s">
        <v>26</v>
      </c>
      <c r="P30" t="s">
        <v>44</v>
      </c>
      <c r="Q30" t="s">
        <v>28</v>
      </c>
      <c r="R30" t="s">
        <v>29</v>
      </c>
    </row>
    <row r="31" spans="1:18">
      <c r="A31" t="s">
        <v>141</v>
      </c>
      <c r="B31" s="2">
        <v>45987</v>
      </c>
      <c r="C31" t="s">
        <v>142</v>
      </c>
      <c r="D31" t="s">
        <v>143</v>
      </c>
      <c r="E31" t="s">
        <v>73</v>
      </c>
      <c r="F31" t="s">
        <v>22</v>
      </c>
      <c r="G31" t="s">
        <v>32</v>
      </c>
      <c r="H31" t="s">
        <v>33</v>
      </c>
      <c r="I31">
        <v>13</v>
      </c>
      <c r="J31" s="3">
        <v>8120.63</v>
      </c>
      <c r="K31" s="3">
        <v>105568.19</v>
      </c>
      <c r="L31" t="s">
        <v>25</v>
      </c>
      <c r="M31" s="2">
        <v>46003</v>
      </c>
      <c r="N31" s="2">
        <v>46003</v>
      </c>
      <c r="O31" t="s">
        <v>76</v>
      </c>
      <c r="P31" t="s">
        <v>77</v>
      </c>
      <c r="Q31" t="s">
        <v>28</v>
      </c>
      <c r="R31" t="s">
        <v>29</v>
      </c>
    </row>
    <row r="32" spans="1:18">
      <c r="A32" t="s">
        <v>144</v>
      </c>
      <c r="B32" s="2">
        <v>45808</v>
      </c>
      <c r="C32" t="s">
        <v>104</v>
      </c>
      <c r="D32" t="s">
        <v>105</v>
      </c>
      <c r="E32" t="s">
        <v>21</v>
      </c>
      <c r="F32" t="s">
        <v>49</v>
      </c>
      <c r="G32" t="s">
        <v>113</v>
      </c>
      <c r="H32" t="s">
        <v>114</v>
      </c>
      <c r="I32">
        <v>3</v>
      </c>
      <c r="J32" s="3">
        <v>39510.589999999997</v>
      </c>
      <c r="K32" s="3">
        <v>118531.77</v>
      </c>
      <c r="L32" t="s">
        <v>25</v>
      </c>
      <c r="M32" s="2">
        <v>45816</v>
      </c>
      <c r="N32" s="2">
        <v>45813</v>
      </c>
      <c r="O32" t="s">
        <v>26</v>
      </c>
      <c r="P32" t="s">
        <v>27</v>
      </c>
      <c r="Q32" t="s">
        <v>28</v>
      </c>
      <c r="R32" t="s">
        <v>29</v>
      </c>
    </row>
    <row r="33" spans="1:18">
      <c r="A33" t="s">
        <v>145</v>
      </c>
      <c r="B33" s="2">
        <v>45882</v>
      </c>
      <c r="C33" t="s">
        <v>104</v>
      </c>
      <c r="D33" t="s">
        <v>105</v>
      </c>
      <c r="E33" t="s">
        <v>112</v>
      </c>
      <c r="F33" t="s">
        <v>49</v>
      </c>
      <c r="G33" t="s">
        <v>68</v>
      </c>
      <c r="H33" t="s">
        <v>69</v>
      </c>
      <c r="I33">
        <v>1</v>
      </c>
      <c r="J33" s="3">
        <v>47156.54</v>
      </c>
      <c r="K33" s="3">
        <v>47156.54</v>
      </c>
      <c r="L33" t="s">
        <v>34</v>
      </c>
      <c r="M33" s="2">
        <v>45894</v>
      </c>
      <c r="N33" s="2">
        <v>45891</v>
      </c>
      <c r="O33" t="s">
        <v>76</v>
      </c>
      <c r="P33" t="s">
        <v>115</v>
      </c>
      <c r="Q33" t="s">
        <v>28</v>
      </c>
      <c r="R33" t="s">
        <v>29</v>
      </c>
    </row>
    <row r="34" spans="1:18">
      <c r="A34" t="s">
        <v>146</v>
      </c>
      <c r="B34" s="2">
        <v>46174</v>
      </c>
      <c r="C34" t="s">
        <v>147</v>
      </c>
      <c r="D34" t="s">
        <v>148</v>
      </c>
      <c r="E34" t="s">
        <v>112</v>
      </c>
      <c r="F34" t="s">
        <v>40</v>
      </c>
      <c r="G34" t="s">
        <v>149</v>
      </c>
      <c r="H34" t="s">
        <v>150</v>
      </c>
      <c r="I34">
        <v>21</v>
      </c>
      <c r="J34" s="3">
        <v>1299.53</v>
      </c>
      <c r="K34" s="3">
        <v>27290.13</v>
      </c>
      <c r="L34" t="s">
        <v>34</v>
      </c>
      <c r="M34" s="2">
        <v>46191</v>
      </c>
      <c r="N34" s="2">
        <v>46189</v>
      </c>
      <c r="O34" t="s">
        <v>60</v>
      </c>
      <c r="P34" t="s">
        <v>115</v>
      </c>
      <c r="Q34" t="s">
        <v>28</v>
      </c>
      <c r="R34" t="s">
        <v>29</v>
      </c>
    </row>
    <row r="35" spans="1:18">
      <c r="A35" t="s">
        <v>151</v>
      </c>
      <c r="B35" s="2">
        <v>45939</v>
      </c>
      <c r="C35" t="s">
        <v>55</v>
      </c>
      <c r="D35" t="s">
        <v>56</v>
      </c>
      <c r="E35" t="s">
        <v>48</v>
      </c>
      <c r="F35" t="s">
        <v>57</v>
      </c>
      <c r="G35" t="s">
        <v>58</v>
      </c>
      <c r="H35" t="s">
        <v>59</v>
      </c>
      <c r="I35">
        <v>2</v>
      </c>
      <c r="J35" s="3">
        <v>65730.73</v>
      </c>
      <c r="K35" s="3">
        <v>131461.46</v>
      </c>
      <c r="L35" t="s">
        <v>34</v>
      </c>
      <c r="M35" s="2">
        <v>45946</v>
      </c>
      <c r="N35" s="2">
        <v>45943</v>
      </c>
      <c r="O35" t="s">
        <v>26</v>
      </c>
      <c r="P35" t="s">
        <v>53</v>
      </c>
      <c r="Q35" t="s">
        <v>28</v>
      </c>
      <c r="R35" t="s">
        <v>29</v>
      </c>
    </row>
    <row r="36" spans="1:18">
      <c r="A36" t="s">
        <v>152</v>
      </c>
      <c r="B36" s="2">
        <v>46082</v>
      </c>
      <c r="C36" t="s">
        <v>117</v>
      </c>
      <c r="D36" t="s">
        <v>118</v>
      </c>
      <c r="E36" t="s">
        <v>31</v>
      </c>
      <c r="F36" t="s">
        <v>57</v>
      </c>
      <c r="G36" t="s">
        <v>101</v>
      </c>
      <c r="H36" t="s">
        <v>102</v>
      </c>
      <c r="I36">
        <v>54</v>
      </c>
      <c r="J36" s="3">
        <v>1809.03</v>
      </c>
      <c r="K36" s="3">
        <v>97687.62</v>
      </c>
      <c r="L36" t="s">
        <v>52</v>
      </c>
      <c r="M36" s="2">
        <v>46096</v>
      </c>
      <c r="N36" s="2">
        <v>46096</v>
      </c>
      <c r="O36" t="s">
        <v>60</v>
      </c>
      <c r="P36" t="s">
        <v>35</v>
      </c>
      <c r="Q36" t="s">
        <v>28</v>
      </c>
      <c r="R36" t="s">
        <v>29</v>
      </c>
    </row>
    <row r="37" spans="1:18">
      <c r="A37" t="s">
        <v>153</v>
      </c>
      <c r="B37" s="2">
        <v>45963</v>
      </c>
      <c r="C37" t="s">
        <v>134</v>
      </c>
      <c r="D37" t="s">
        <v>135</v>
      </c>
      <c r="E37" t="s">
        <v>112</v>
      </c>
      <c r="F37" t="s">
        <v>40</v>
      </c>
      <c r="G37" t="s">
        <v>149</v>
      </c>
      <c r="H37" t="s">
        <v>150</v>
      </c>
      <c r="I37">
        <v>36</v>
      </c>
      <c r="J37" s="3">
        <v>1329.16</v>
      </c>
      <c r="K37" s="3">
        <v>47849.760000000002</v>
      </c>
      <c r="L37" t="s">
        <v>34</v>
      </c>
      <c r="M37" s="2">
        <v>45968</v>
      </c>
      <c r="N37" s="2">
        <v>45965</v>
      </c>
      <c r="O37" t="s">
        <v>60</v>
      </c>
      <c r="P37" t="s">
        <v>115</v>
      </c>
      <c r="Q37" t="s">
        <v>28</v>
      </c>
      <c r="R37" t="s">
        <v>29</v>
      </c>
    </row>
    <row r="38" spans="1:18">
      <c r="A38" t="s">
        <v>154</v>
      </c>
      <c r="B38" s="2">
        <v>45685</v>
      </c>
      <c r="C38" t="s">
        <v>104</v>
      </c>
      <c r="D38" t="s">
        <v>105</v>
      </c>
      <c r="E38" t="s">
        <v>73</v>
      </c>
      <c r="F38" t="s">
        <v>49</v>
      </c>
      <c r="G38" t="s">
        <v>50</v>
      </c>
      <c r="H38" t="s">
        <v>51</v>
      </c>
      <c r="I38">
        <v>1</v>
      </c>
      <c r="J38" s="3">
        <v>51694.21</v>
      </c>
      <c r="K38" s="3">
        <v>51694.21</v>
      </c>
      <c r="L38" t="s">
        <v>25</v>
      </c>
      <c r="M38" s="2">
        <v>45697</v>
      </c>
      <c r="N38" s="2">
        <v>45694</v>
      </c>
      <c r="O38" t="s">
        <v>60</v>
      </c>
      <c r="P38" t="s">
        <v>77</v>
      </c>
      <c r="Q38" t="s">
        <v>28</v>
      </c>
      <c r="R38" t="s">
        <v>29</v>
      </c>
    </row>
    <row r="39" spans="1:18">
      <c r="A39" t="s">
        <v>155</v>
      </c>
      <c r="B39" s="2">
        <v>45741</v>
      </c>
      <c r="C39" t="s">
        <v>55</v>
      </c>
      <c r="D39" t="s">
        <v>56</v>
      </c>
      <c r="E39" t="s">
        <v>48</v>
      </c>
      <c r="F39" t="s">
        <v>57</v>
      </c>
      <c r="G39" t="s">
        <v>58</v>
      </c>
      <c r="H39" t="s">
        <v>59</v>
      </c>
      <c r="I39">
        <v>1</v>
      </c>
      <c r="J39" s="3">
        <v>61042.98</v>
      </c>
      <c r="K39" s="3">
        <v>61042.98</v>
      </c>
      <c r="L39" t="s">
        <v>25</v>
      </c>
      <c r="M39" s="2">
        <v>45758</v>
      </c>
      <c r="N39" s="2">
        <v>45763</v>
      </c>
      <c r="O39" t="s">
        <v>43</v>
      </c>
      <c r="P39" t="s">
        <v>53</v>
      </c>
      <c r="Q39" t="s">
        <v>28</v>
      </c>
      <c r="R39" t="s">
        <v>129</v>
      </c>
    </row>
    <row r="40" spans="1:18">
      <c r="A40" t="s">
        <v>156</v>
      </c>
      <c r="B40" s="2">
        <v>45902</v>
      </c>
      <c r="C40" t="s">
        <v>71</v>
      </c>
      <c r="D40" t="s">
        <v>72</v>
      </c>
      <c r="E40" t="s">
        <v>48</v>
      </c>
      <c r="F40" t="s">
        <v>57</v>
      </c>
      <c r="G40" t="s">
        <v>74</v>
      </c>
      <c r="H40" t="s">
        <v>75</v>
      </c>
      <c r="I40">
        <v>3</v>
      </c>
      <c r="J40" s="3">
        <v>8334.0400000000009</v>
      </c>
      <c r="K40" s="3">
        <v>25002.12</v>
      </c>
      <c r="L40" t="s">
        <v>34</v>
      </c>
      <c r="M40" s="2">
        <v>45916</v>
      </c>
      <c r="N40" s="2">
        <v>45916</v>
      </c>
      <c r="O40" t="s">
        <v>26</v>
      </c>
      <c r="P40" t="s">
        <v>53</v>
      </c>
      <c r="Q40" t="s">
        <v>28</v>
      </c>
      <c r="R40" t="s">
        <v>29</v>
      </c>
    </row>
    <row r="41" spans="1:18">
      <c r="A41" t="s">
        <v>157</v>
      </c>
      <c r="B41" s="2">
        <v>45768</v>
      </c>
      <c r="C41" t="s">
        <v>104</v>
      </c>
      <c r="D41" t="s">
        <v>105</v>
      </c>
      <c r="E41" t="s">
        <v>112</v>
      </c>
      <c r="F41" t="s">
        <v>49</v>
      </c>
      <c r="G41" t="s">
        <v>68</v>
      </c>
      <c r="H41" t="s">
        <v>69</v>
      </c>
      <c r="I41">
        <v>1</v>
      </c>
      <c r="J41" s="3">
        <v>49168.86</v>
      </c>
      <c r="K41" s="3">
        <v>49168.86</v>
      </c>
      <c r="L41" t="s">
        <v>25</v>
      </c>
      <c r="M41" s="2">
        <v>45782</v>
      </c>
      <c r="N41" s="2">
        <v>45781</v>
      </c>
      <c r="O41" t="s">
        <v>76</v>
      </c>
      <c r="P41" t="s">
        <v>115</v>
      </c>
      <c r="Q41" t="s">
        <v>28</v>
      </c>
      <c r="R41" t="s">
        <v>29</v>
      </c>
    </row>
    <row r="42" spans="1:18">
      <c r="A42" t="s">
        <v>158</v>
      </c>
      <c r="B42" s="2">
        <v>45700</v>
      </c>
      <c r="C42" t="s">
        <v>46</v>
      </c>
      <c r="D42" t="s">
        <v>47</v>
      </c>
      <c r="E42" t="s">
        <v>73</v>
      </c>
      <c r="F42" t="s">
        <v>49</v>
      </c>
      <c r="G42" t="s">
        <v>113</v>
      </c>
      <c r="H42" t="s">
        <v>114</v>
      </c>
      <c r="I42">
        <v>2</v>
      </c>
      <c r="J42" s="3">
        <v>39905.83</v>
      </c>
      <c r="K42" s="3">
        <v>79811.66</v>
      </c>
      <c r="L42" t="s">
        <v>52</v>
      </c>
      <c r="M42" s="2">
        <v>45718</v>
      </c>
      <c r="N42" s="2">
        <v>45715</v>
      </c>
      <c r="O42" t="s">
        <v>60</v>
      </c>
      <c r="P42" t="s">
        <v>77</v>
      </c>
      <c r="Q42" t="s">
        <v>28</v>
      </c>
      <c r="R42" t="s">
        <v>29</v>
      </c>
    </row>
    <row r="43" spans="1:18">
      <c r="A43" t="s">
        <v>159</v>
      </c>
      <c r="B43" s="2">
        <v>46103</v>
      </c>
      <c r="C43" t="s">
        <v>19</v>
      </c>
      <c r="D43" t="s">
        <v>20</v>
      </c>
      <c r="E43" t="s">
        <v>31</v>
      </c>
      <c r="F43" t="s">
        <v>22</v>
      </c>
      <c r="G43" t="s">
        <v>160</v>
      </c>
      <c r="H43" t="s">
        <v>161</v>
      </c>
      <c r="I43">
        <v>13</v>
      </c>
      <c r="J43" s="3">
        <v>3054.78</v>
      </c>
      <c r="K43" s="3">
        <v>39712.14</v>
      </c>
      <c r="L43" t="s">
        <v>25</v>
      </c>
      <c r="M43" s="2">
        <v>46115</v>
      </c>
      <c r="N43" s="2">
        <v>46113</v>
      </c>
      <c r="O43" t="s">
        <v>26</v>
      </c>
      <c r="P43" t="s">
        <v>94</v>
      </c>
      <c r="Q43" t="s">
        <v>28</v>
      </c>
      <c r="R43" t="s">
        <v>29</v>
      </c>
    </row>
    <row r="44" spans="1:18">
      <c r="A44" t="s">
        <v>162</v>
      </c>
      <c r="B44" s="2">
        <v>46046</v>
      </c>
      <c r="C44" t="s">
        <v>71</v>
      </c>
      <c r="D44" t="s">
        <v>72</v>
      </c>
      <c r="E44" t="s">
        <v>31</v>
      </c>
      <c r="F44" t="s">
        <v>57</v>
      </c>
      <c r="G44" t="s">
        <v>86</v>
      </c>
      <c r="H44" t="s">
        <v>87</v>
      </c>
      <c r="I44">
        <v>5</v>
      </c>
      <c r="J44" s="3">
        <v>10109.790000000001</v>
      </c>
      <c r="K44" s="3">
        <v>50548.95</v>
      </c>
      <c r="L44" t="s">
        <v>34</v>
      </c>
      <c r="M44" s="2">
        <v>46056</v>
      </c>
      <c r="N44" s="2">
        <v>46054</v>
      </c>
      <c r="O44" t="s">
        <v>26</v>
      </c>
      <c r="P44" t="s">
        <v>94</v>
      </c>
      <c r="Q44" t="s">
        <v>28</v>
      </c>
      <c r="R44" t="s">
        <v>29</v>
      </c>
    </row>
    <row r="45" spans="1:18">
      <c r="A45" t="s">
        <v>163</v>
      </c>
      <c r="B45" s="2">
        <v>46158</v>
      </c>
      <c r="C45" t="s">
        <v>104</v>
      </c>
      <c r="D45" t="s">
        <v>105</v>
      </c>
      <c r="E45" t="s">
        <v>21</v>
      </c>
      <c r="F45" t="s">
        <v>49</v>
      </c>
      <c r="G45" t="s">
        <v>68</v>
      </c>
      <c r="H45" t="s">
        <v>69</v>
      </c>
      <c r="I45">
        <v>1</v>
      </c>
      <c r="J45" s="3">
        <v>46154.49</v>
      </c>
      <c r="K45" s="3">
        <v>46154.49</v>
      </c>
      <c r="L45" t="s">
        <v>25</v>
      </c>
      <c r="M45" s="2">
        <v>46166</v>
      </c>
      <c r="N45" s="2">
        <v>46165</v>
      </c>
      <c r="O45" t="s">
        <v>76</v>
      </c>
      <c r="P45" t="s">
        <v>27</v>
      </c>
      <c r="Q45" t="s">
        <v>28</v>
      </c>
      <c r="R45" t="s">
        <v>29</v>
      </c>
    </row>
    <row r="46" spans="1:18">
      <c r="A46" t="s">
        <v>164</v>
      </c>
      <c r="B46" s="2">
        <v>46201</v>
      </c>
      <c r="C46" t="s">
        <v>104</v>
      </c>
      <c r="D46" t="s">
        <v>105</v>
      </c>
      <c r="E46" t="s">
        <v>112</v>
      </c>
      <c r="F46" t="s">
        <v>49</v>
      </c>
      <c r="G46" t="s">
        <v>165</v>
      </c>
      <c r="H46" t="s">
        <v>166</v>
      </c>
      <c r="I46">
        <v>1</v>
      </c>
      <c r="J46" s="3">
        <v>45037.67</v>
      </c>
      <c r="K46" s="3">
        <v>45037.67</v>
      </c>
      <c r="L46" t="s">
        <v>34</v>
      </c>
      <c r="M46" s="2">
        <v>46210</v>
      </c>
      <c r="N46" s="2"/>
      <c r="O46" t="s">
        <v>26</v>
      </c>
      <c r="P46" t="s">
        <v>115</v>
      </c>
      <c r="Q46" t="s">
        <v>167</v>
      </c>
      <c r="R46" t="s">
        <v>167</v>
      </c>
    </row>
    <row r="47" spans="1:18">
      <c r="A47" t="s">
        <v>168</v>
      </c>
      <c r="B47" s="2">
        <v>45941</v>
      </c>
      <c r="C47" t="s">
        <v>66</v>
      </c>
      <c r="D47" t="s">
        <v>67</v>
      </c>
      <c r="E47" t="s">
        <v>112</v>
      </c>
      <c r="F47" t="s">
        <v>49</v>
      </c>
      <c r="G47" t="s">
        <v>165</v>
      </c>
      <c r="H47" t="s">
        <v>166</v>
      </c>
      <c r="I47">
        <v>1</v>
      </c>
      <c r="J47" s="3">
        <v>45174.98</v>
      </c>
      <c r="K47" s="3">
        <v>45174.98</v>
      </c>
      <c r="L47" t="s">
        <v>25</v>
      </c>
      <c r="M47" s="2">
        <v>45949</v>
      </c>
      <c r="N47" s="2">
        <v>45947</v>
      </c>
      <c r="O47" t="s">
        <v>26</v>
      </c>
      <c r="P47" t="s">
        <v>115</v>
      </c>
      <c r="Q47" t="s">
        <v>28</v>
      </c>
      <c r="R47" t="s">
        <v>29</v>
      </c>
    </row>
    <row r="48" spans="1:18">
      <c r="A48" t="s">
        <v>169</v>
      </c>
      <c r="B48" s="2">
        <v>45957</v>
      </c>
      <c r="C48" t="s">
        <v>147</v>
      </c>
      <c r="D48" t="s">
        <v>148</v>
      </c>
      <c r="E48" t="s">
        <v>39</v>
      </c>
      <c r="F48" t="s">
        <v>40</v>
      </c>
      <c r="G48" t="s">
        <v>41</v>
      </c>
      <c r="H48" t="s">
        <v>42</v>
      </c>
      <c r="I48">
        <v>8</v>
      </c>
      <c r="J48" s="3">
        <v>5244.48</v>
      </c>
      <c r="K48" s="3">
        <v>41955.839999999997</v>
      </c>
      <c r="L48" t="s">
        <v>52</v>
      </c>
      <c r="M48" s="2">
        <v>45969</v>
      </c>
      <c r="N48" s="2">
        <v>45968</v>
      </c>
      <c r="O48" t="s">
        <v>76</v>
      </c>
      <c r="P48" t="s">
        <v>44</v>
      </c>
      <c r="Q48" t="s">
        <v>28</v>
      </c>
      <c r="R48" t="s">
        <v>29</v>
      </c>
    </row>
    <row r="49" spans="1:18">
      <c r="A49" t="s">
        <v>170</v>
      </c>
      <c r="B49" s="2">
        <v>46068</v>
      </c>
      <c r="C49" t="s">
        <v>142</v>
      </c>
      <c r="D49" t="s">
        <v>143</v>
      </c>
      <c r="E49" t="s">
        <v>31</v>
      </c>
      <c r="F49" t="s">
        <v>22</v>
      </c>
      <c r="G49" t="s">
        <v>23</v>
      </c>
      <c r="H49" t="s">
        <v>24</v>
      </c>
      <c r="I49">
        <v>24</v>
      </c>
      <c r="J49" s="3">
        <v>253.09</v>
      </c>
      <c r="K49" s="3">
        <v>6074.16</v>
      </c>
      <c r="L49" t="s">
        <v>34</v>
      </c>
      <c r="M49" s="2">
        <v>46074</v>
      </c>
      <c r="N49" s="2">
        <v>46074</v>
      </c>
      <c r="O49" t="s">
        <v>60</v>
      </c>
      <c r="P49" t="s">
        <v>94</v>
      </c>
      <c r="Q49" t="s">
        <v>28</v>
      </c>
      <c r="R49" t="s">
        <v>29</v>
      </c>
    </row>
    <row r="50" spans="1:18">
      <c r="A50" t="s">
        <v>171</v>
      </c>
      <c r="B50" s="2">
        <v>46193</v>
      </c>
      <c r="C50" t="s">
        <v>37</v>
      </c>
      <c r="D50" t="s">
        <v>38</v>
      </c>
      <c r="E50" t="s">
        <v>112</v>
      </c>
      <c r="F50" t="s">
        <v>40</v>
      </c>
      <c r="G50" t="s">
        <v>62</v>
      </c>
      <c r="H50" t="s">
        <v>63</v>
      </c>
      <c r="I50">
        <v>2</v>
      </c>
      <c r="J50" s="3">
        <v>20109.59</v>
      </c>
      <c r="K50" s="3">
        <v>40219.18</v>
      </c>
      <c r="L50" t="s">
        <v>25</v>
      </c>
      <c r="M50" s="2">
        <v>46210</v>
      </c>
      <c r="N50" s="2"/>
      <c r="O50" t="s">
        <v>26</v>
      </c>
      <c r="P50" t="s">
        <v>115</v>
      </c>
      <c r="Q50" t="s">
        <v>167</v>
      </c>
      <c r="R50" t="s">
        <v>167</v>
      </c>
    </row>
    <row r="51" spans="1:18">
      <c r="A51" t="s">
        <v>172</v>
      </c>
      <c r="B51" s="2">
        <v>45734</v>
      </c>
      <c r="C51" t="s">
        <v>71</v>
      </c>
      <c r="D51" t="s">
        <v>72</v>
      </c>
      <c r="E51" t="s">
        <v>73</v>
      </c>
      <c r="F51" t="s">
        <v>57</v>
      </c>
      <c r="G51" t="s">
        <v>127</v>
      </c>
      <c r="H51" t="s">
        <v>128</v>
      </c>
      <c r="I51">
        <v>5</v>
      </c>
      <c r="J51" s="3">
        <v>14721.39</v>
      </c>
      <c r="K51" s="3">
        <v>73606.95</v>
      </c>
      <c r="L51" t="s">
        <v>25</v>
      </c>
      <c r="M51" s="2">
        <v>45750</v>
      </c>
      <c r="N51" s="2">
        <v>45747</v>
      </c>
      <c r="O51" t="s">
        <v>26</v>
      </c>
      <c r="P51" t="s">
        <v>77</v>
      </c>
      <c r="Q51" t="s">
        <v>28</v>
      </c>
      <c r="R51" t="s">
        <v>29</v>
      </c>
    </row>
    <row r="52" spans="1:18">
      <c r="A52" t="s">
        <v>173</v>
      </c>
      <c r="B52" s="2">
        <v>45860</v>
      </c>
      <c r="C52" t="s">
        <v>37</v>
      </c>
      <c r="D52" t="s">
        <v>38</v>
      </c>
      <c r="E52" t="s">
        <v>31</v>
      </c>
      <c r="F52" t="s">
        <v>22</v>
      </c>
      <c r="G52" t="s">
        <v>23</v>
      </c>
      <c r="H52" t="s">
        <v>24</v>
      </c>
      <c r="I52">
        <v>9</v>
      </c>
      <c r="J52" s="3">
        <v>271.17</v>
      </c>
      <c r="K52" s="3">
        <v>2440.5300000000002</v>
      </c>
      <c r="L52" t="s">
        <v>34</v>
      </c>
      <c r="M52" s="2">
        <v>45865</v>
      </c>
      <c r="N52" s="2">
        <v>45863</v>
      </c>
      <c r="O52" t="s">
        <v>76</v>
      </c>
      <c r="P52" t="s">
        <v>35</v>
      </c>
      <c r="Q52" t="s">
        <v>28</v>
      </c>
      <c r="R52" t="s">
        <v>29</v>
      </c>
    </row>
    <row r="53" spans="1:18">
      <c r="A53" t="s">
        <v>174</v>
      </c>
      <c r="B53" s="2">
        <v>45785</v>
      </c>
      <c r="C53" t="s">
        <v>46</v>
      </c>
      <c r="D53" t="s">
        <v>47</v>
      </c>
      <c r="E53" t="s">
        <v>21</v>
      </c>
      <c r="F53" t="s">
        <v>49</v>
      </c>
      <c r="G53" t="s">
        <v>165</v>
      </c>
      <c r="H53" t="s">
        <v>166</v>
      </c>
      <c r="I53">
        <v>1</v>
      </c>
      <c r="J53" s="3">
        <v>47911.86</v>
      </c>
      <c r="K53" s="3">
        <v>47911.86</v>
      </c>
      <c r="L53" t="s">
        <v>34</v>
      </c>
      <c r="M53" s="2">
        <v>45799</v>
      </c>
      <c r="N53" s="2">
        <v>45807</v>
      </c>
      <c r="O53" t="s">
        <v>76</v>
      </c>
      <c r="P53" t="s">
        <v>27</v>
      </c>
      <c r="Q53" t="s">
        <v>28</v>
      </c>
      <c r="R53" t="s">
        <v>129</v>
      </c>
    </row>
    <row r="54" spans="1:18">
      <c r="A54" t="s">
        <v>175</v>
      </c>
      <c r="B54" s="2">
        <v>45751</v>
      </c>
      <c r="C54" t="s">
        <v>71</v>
      </c>
      <c r="D54" t="s">
        <v>72</v>
      </c>
      <c r="E54" t="s">
        <v>48</v>
      </c>
      <c r="F54" t="s">
        <v>57</v>
      </c>
      <c r="G54" t="s">
        <v>120</v>
      </c>
      <c r="H54" t="s">
        <v>121</v>
      </c>
      <c r="I54">
        <v>3</v>
      </c>
      <c r="J54" s="3">
        <v>20717.88</v>
      </c>
      <c r="K54" s="3">
        <v>62153.64</v>
      </c>
      <c r="L54" t="s">
        <v>52</v>
      </c>
      <c r="M54" s="2">
        <v>45763</v>
      </c>
      <c r="N54" s="2">
        <v>45760</v>
      </c>
      <c r="O54" t="s">
        <v>26</v>
      </c>
      <c r="P54" t="s">
        <v>53</v>
      </c>
      <c r="Q54" t="s">
        <v>28</v>
      </c>
      <c r="R54" t="s">
        <v>29</v>
      </c>
    </row>
    <row r="55" spans="1:18">
      <c r="A55" t="s">
        <v>176</v>
      </c>
      <c r="B55" s="2">
        <v>46139</v>
      </c>
      <c r="C55" t="s">
        <v>131</v>
      </c>
      <c r="D55" t="s">
        <v>132</v>
      </c>
      <c r="E55" t="s">
        <v>21</v>
      </c>
      <c r="F55" t="s">
        <v>57</v>
      </c>
      <c r="G55" t="s">
        <v>101</v>
      </c>
      <c r="H55" t="s">
        <v>102</v>
      </c>
      <c r="I55">
        <v>49</v>
      </c>
      <c r="J55" s="3">
        <v>1867.53</v>
      </c>
      <c r="K55" s="3">
        <v>91508.97</v>
      </c>
      <c r="L55" t="s">
        <v>34</v>
      </c>
      <c r="M55" s="2">
        <v>46151</v>
      </c>
      <c r="N55" s="2">
        <v>46148</v>
      </c>
      <c r="O55" t="s">
        <v>43</v>
      </c>
      <c r="P55" t="s">
        <v>27</v>
      </c>
      <c r="Q55" t="s">
        <v>28</v>
      </c>
      <c r="R55" t="s">
        <v>29</v>
      </c>
    </row>
    <row r="56" spans="1:18">
      <c r="A56" t="s">
        <v>177</v>
      </c>
      <c r="B56" s="2">
        <v>45748</v>
      </c>
      <c r="C56" t="s">
        <v>46</v>
      </c>
      <c r="D56" t="s">
        <v>47</v>
      </c>
      <c r="E56" t="s">
        <v>21</v>
      </c>
      <c r="F56" t="s">
        <v>49</v>
      </c>
      <c r="G56" t="s">
        <v>113</v>
      </c>
      <c r="H56" t="s">
        <v>114</v>
      </c>
      <c r="I56">
        <v>2</v>
      </c>
      <c r="J56" s="3">
        <v>40635.81</v>
      </c>
      <c r="K56" s="3">
        <v>81271.62</v>
      </c>
      <c r="L56" t="s">
        <v>34</v>
      </c>
      <c r="M56" s="2">
        <v>45753</v>
      </c>
      <c r="N56" s="2">
        <v>45751</v>
      </c>
      <c r="O56" t="s">
        <v>60</v>
      </c>
      <c r="P56" t="s">
        <v>27</v>
      </c>
      <c r="Q56" t="s">
        <v>28</v>
      </c>
      <c r="R56" t="s">
        <v>29</v>
      </c>
    </row>
    <row r="57" spans="1:18">
      <c r="A57" t="s">
        <v>178</v>
      </c>
      <c r="B57" s="2">
        <v>45710</v>
      </c>
      <c r="C57" t="s">
        <v>131</v>
      </c>
      <c r="D57" t="s">
        <v>132</v>
      </c>
      <c r="E57" t="s">
        <v>31</v>
      </c>
      <c r="F57" t="s">
        <v>57</v>
      </c>
      <c r="G57" t="s">
        <v>74</v>
      </c>
      <c r="H57" t="s">
        <v>75</v>
      </c>
      <c r="I57">
        <v>1</v>
      </c>
      <c r="J57" s="3">
        <v>9110.9</v>
      </c>
      <c r="K57" s="3">
        <v>9110.9</v>
      </c>
      <c r="L57" t="s">
        <v>34</v>
      </c>
      <c r="M57" s="2">
        <v>45725</v>
      </c>
      <c r="N57" s="2">
        <v>45724</v>
      </c>
      <c r="O57" t="s">
        <v>76</v>
      </c>
      <c r="P57" t="s">
        <v>94</v>
      </c>
      <c r="Q57" t="s">
        <v>28</v>
      </c>
      <c r="R57" t="s">
        <v>29</v>
      </c>
    </row>
    <row r="58" spans="1:18">
      <c r="A58" t="s">
        <v>179</v>
      </c>
      <c r="B58" s="2">
        <v>46075</v>
      </c>
      <c r="C58" t="s">
        <v>37</v>
      </c>
      <c r="D58" t="s">
        <v>38</v>
      </c>
      <c r="E58" t="s">
        <v>112</v>
      </c>
      <c r="F58" t="s">
        <v>22</v>
      </c>
      <c r="G58" t="s">
        <v>160</v>
      </c>
      <c r="H58" t="s">
        <v>161</v>
      </c>
      <c r="I58">
        <v>3</v>
      </c>
      <c r="J58" s="3">
        <v>3638.09</v>
      </c>
      <c r="K58" s="3">
        <v>10914.27</v>
      </c>
      <c r="L58" t="s">
        <v>25</v>
      </c>
      <c r="M58" s="2">
        <v>46087</v>
      </c>
      <c r="N58" s="2">
        <v>46085</v>
      </c>
      <c r="O58" t="s">
        <v>76</v>
      </c>
      <c r="P58" t="s">
        <v>115</v>
      </c>
      <c r="Q58" t="s">
        <v>28</v>
      </c>
      <c r="R58" t="s">
        <v>29</v>
      </c>
    </row>
    <row r="59" spans="1:18">
      <c r="A59" t="s">
        <v>180</v>
      </c>
      <c r="B59" s="2">
        <v>45907</v>
      </c>
      <c r="C59" t="s">
        <v>19</v>
      </c>
      <c r="D59" t="s">
        <v>20</v>
      </c>
      <c r="E59" t="s">
        <v>39</v>
      </c>
      <c r="F59" t="s">
        <v>22</v>
      </c>
      <c r="G59" t="s">
        <v>32</v>
      </c>
      <c r="H59" t="s">
        <v>33</v>
      </c>
      <c r="I59">
        <v>14</v>
      </c>
      <c r="J59" s="3">
        <v>7537.92</v>
      </c>
      <c r="K59" s="3">
        <v>105530.88</v>
      </c>
      <c r="L59" t="s">
        <v>25</v>
      </c>
      <c r="M59" s="2">
        <v>45913</v>
      </c>
      <c r="N59" s="2">
        <v>45910</v>
      </c>
      <c r="O59" t="s">
        <v>76</v>
      </c>
      <c r="P59" t="s">
        <v>64</v>
      </c>
      <c r="Q59" t="s">
        <v>28</v>
      </c>
      <c r="R59" t="s">
        <v>29</v>
      </c>
    </row>
    <row r="60" spans="1:18">
      <c r="A60" t="s">
        <v>181</v>
      </c>
      <c r="B60" s="2">
        <v>45947</v>
      </c>
      <c r="C60" t="s">
        <v>104</v>
      </c>
      <c r="D60" t="s">
        <v>105</v>
      </c>
      <c r="E60" t="s">
        <v>48</v>
      </c>
      <c r="F60" t="s">
        <v>49</v>
      </c>
      <c r="G60" t="s">
        <v>50</v>
      </c>
      <c r="H60" t="s">
        <v>51</v>
      </c>
      <c r="I60">
        <v>1</v>
      </c>
      <c r="J60" s="3">
        <v>52186.720000000001</v>
      </c>
      <c r="K60" s="3">
        <v>52186.720000000001</v>
      </c>
      <c r="L60" t="s">
        <v>25</v>
      </c>
      <c r="M60" s="2">
        <v>45960</v>
      </c>
      <c r="N60" s="2">
        <v>45957</v>
      </c>
      <c r="O60" t="s">
        <v>76</v>
      </c>
      <c r="P60" t="s">
        <v>53</v>
      </c>
      <c r="Q60" t="s">
        <v>28</v>
      </c>
      <c r="R60" t="s">
        <v>29</v>
      </c>
    </row>
    <row r="61" spans="1:18">
      <c r="A61" t="s">
        <v>182</v>
      </c>
      <c r="B61" s="2">
        <v>45902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42</v>
      </c>
      <c r="I61">
        <v>15</v>
      </c>
      <c r="J61" s="3">
        <v>5792.84</v>
      </c>
      <c r="K61" s="3">
        <v>86892.6</v>
      </c>
      <c r="L61" t="s">
        <v>25</v>
      </c>
      <c r="M61" s="2">
        <v>45919</v>
      </c>
      <c r="N61" s="2">
        <v>45918</v>
      </c>
      <c r="O61" t="s">
        <v>43</v>
      </c>
      <c r="P61" t="s">
        <v>64</v>
      </c>
      <c r="Q61" t="s">
        <v>28</v>
      </c>
      <c r="R61" t="s">
        <v>29</v>
      </c>
    </row>
    <row r="62" spans="1:18">
      <c r="A62" t="s">
        <v>183</v>
      </c>
      <c r="B62" s="2">
        <v>46108</v>
      </c>
      <c r="C62" t="s">
        <v>142</v>
      </c>
      <c r="D62" t="s">
        <v>143</v>
      </c>
      <c r="E62" t="s">
        <v>112</v>
      </c>
      <c r="F62" t="s">
        <v>22</v>
      </c>
      <c r="G62" t="s">
        <v>32</v>
      </c>
      <c r="H62" t="s">
        <v>33</v>
      </c>
      <c r="I62">
        <v>3</v>
      </c>
      <c r="J62" s="3">
        <v>8585.36</v>
      </c>
      <c r="K62" s="3">
        <v>25756.080000000002</v>
      </c>
      <c r="L62" t="s">
        <v>25</v>
      </c>
      <c r="M62" s="2">
        <v>46114</v>
      </c>
      <c r="N62" s="2">
        <v>46112</v>
      </c>
      <c r="O62" t="s">
        <v>60</v>
      </c>
      <c r="P62" t="s">
        <v>115</v>
      </c>
      <c r="Q62" t="s">
        <v>28</v>
      </c>
      <c r="R62" t="s">
        <v>29</v>
      </c>
    </row>
    <row r="63" spans="1:18">
      <c r="A63" t="s">
        <v>184</v>
      </c>
      <c r="B63" s="2">
        <v>45694</v>
      </c>
      <c r="C63" t="s">
        <v>80</v>
      </c>
      <c r="D63" t="s">
        <v>81</v>
      </c>
      <c r="E63" t="s">
        <v>39</v>
      </c>
      <c r="F63" t="s">
        <v>82</v>
      </c>
      <c r="G63" t="s">
        <v>98</v>
      </c>
      <c r="H63" t="s">
        <v>99</v>
      </c>
      <c r="I63">
        <v>32</v>
      </c>
      <c r="J63" s="3">
        <v>1122.23</v>
      </c>
      <c r="K63" s="3">
        <v>35911.360000000001</v>
      </c>
      <c r="L63" t="s">
        <v>25</v>
      </c>
      <c r="M63" s="2">
        <v>45700</v>
      </c>
      <c r="N63" s="2">
        <v>45700</v>
      </c>
      <c r="O63" t="s">
        <v>76</v>
      </c>
      <c r="P63" t="s">
        <v>64</v>
      </c>
      <c r="Q63" t="s">
        <v>28</v>
      </c>
      <c r="R63" t="s">
        <v>29</v>
      </c>
    </row>
    <row r="64" spans="1:18">
      <c r="A64" t="s">
        <v>185</v>
      </c>
      <c r="B64" s="2">
        <v>45705</v>
      </c>
      <c r="C64" t="s">
        <v>134</v>
      </c>
      <c r="D64" t="s">
        <v>135</v>
      </c>
      <c r="E64" t="s">
        <v>39</v>
      </c>
      <c r="F64" t="s">
        <v>40</v>
      </c>
      <c r="G64" t="s">
        <v>136</v>
      </c>
      <c r="H64" t="s">
        <v>137</v>
      </c>
      <c r="I64">
        <v>31</v>
      </c>
      <c r="J64" s="3">
        <v>1620.26</v>
      </c>
      <c r="K64" s="3">
        <v>50228.06</v>
      </c>
      <c r="L64" t="s">
        <v>25</v>
      </c>
      <c r="M64" s="2">
        <v>45719</v>
      </c>
      <c r="N64" s="2">
        <v>45718</v>
      </c>
      <c r="O64" t="s">
        <v>43</v>
      </c>
      <c r="P64" t="s">
        <v>44</v>
      </c>
      <c r="Q64" t="s">
        <v>28</v>
      </c>
      <c r="R64" t="s">
        <v>29</v>
      </c>
    </row>
    <row r="65" spans="1:18">
      <c r="A65" t="s">
        <v>186</v>
      </c>
      <c r="B65" s="2">
        <v>45904</v>
      </c>
      <c r="C65" t="s">
        <v>107</v>
      </c>
      <c r="D65" t="s">
        <v>108</v>
      </c>
      <c r="E65" t="s">
        <v>31</v>
      </c>
      <c r="F65" t="s">
        <v>91</v>
      </c>
      <c r="G65" t="s">
        <v>109</v>
      </c>
      <c r="H65" t="s">
        <v>110</v>
      </c>
      <c r="I65">
        <v>1</v>
      </c>
      <c r="J65" s="3">
        <v>13768.72</v>
      </c>
      <c r="K65" s="3">
        <v>13768.72</v>
      </c>
      <c r="L65" t="s">
        <v>34</v>
      </c>
      <c r="M65" s="2">
        <v>45921</v>
      </c>
      <c r="N65" s="2">
        <v>45919</v>
      </c>
      <c r="O65" t="s">
        <v>26</v>
      </c>
      <c r="P65" t="s">
        <v>94</v>
      </c>
      <c r="Q65" t="s">
        <v>28</v>
      </c>
      <c r="R65" t="s">
        <v>29</v>
      </c>
    </row>
    <row r="66" spans="1:18">
      <c r="A66" t="s">
        <v>187</v>
      </c>
      <c r="B66" s="2">
        <v>45964</v>
      </c>
      <c r="C66" t="s">
        <v>66</v>
      </c>
      <c r="D66" t="s">
        <v>67</v>
      </c>
      <c r="E66" t="s">
        <v>73</v>
      </c>
      <c r="F66" t="s">
        <v>49</v>
      </c>
      <c r="G66" t="s">
        <v>68</v>
      </c>
      <c r="H66" t="s">
        <v>69</v>
      </c>
      <c r="I66">
        <v>2</v>
      </c>
      <c r="J66" s="3">
        <v>45532.4</v>
      </c>
      <c r="K66" s="3">
        <v>91064.8</v>
      </c>
      <c r="L66" t="s">
        <v>25</v>
      </c>
      <c r="M66" s="2">
        <v>45982</v>
      </c>
      <c r="N66" s="2">
        <v>45981</v>
      </c>
      <c r="O66" t="s">
        <v>76</v>
      </c>
      <c r="P66" t="s">
        <v>77</v>
      </c>
      <c r="Q66" t="s">
        <v>28</v>
      </c>
      <c r="R66" t="s">
        <v>29</v>
      </c>
    </row>
    <row r="67" spans="1:18">
      <c r="A67" t="s">
        <v>188</v>
      </c>
      <c r="B67" s="2">
        <v>45960</v>
      </c>
      <c r="C67" t="s">
        <v>104</v>
      </c>
      <c r="D67" t="s">
        <v>105</v>
      </c>
      <c r="E67" t="s">
        <v>48</v>
      </c>
      <c r="F67" t="s">
        <v>49</v>
      </c>
      <c r="G67" t="s">
        <v>165</v>
      </c>
      <c r="H67" t="s">
        <v>166</v>
      </c>
      <c r="I67">
        <v>1</v>
      </c>
      <c r="J67" s="3">
        <v>46703.519999999997</v>
      </c>
      <c r="K67" s="3">
        <v>46703.519999999997</v>
      </c>
      <c r="L67" t="s">
        <v>34</v>
      </c>
      <c r="M67" s="2">
        <v>45974</v>
      </c>
      <c r="N67" s="2">
        <v>45972</v>
      </c>
      <c r="O67" t="s">
        <v>26</v>
      </c>
      <c r="P67" t="s">
        <v>53</v>
      </c>
      <c r="Q67" t="s">
        <v>28</v>
      </c>
      <c r="R67" t="s">
        <v>29</v>
      </c>
    </row>
    <row r="68" spans="1:18">
      <c r="A68" t="s">
        <v>189</v>
      </c>
      <c r="B68" s="2">
        <v>45882</v>
      </c>
      <c r="C68" t="s">
        <v>19</v>
      </c>
      <c r="D68" t="s">
        <v>20</v>
      </c>
      <c r="E68" t="s">
        <v>31</v>
      </c>
      <c r="F68" t="s">
        <v>22</v>
      </c>
      <c r="G68" t="s">
        <v>32</v>
      </c>
      <c r="H68" t="s">
        <v>33</v>
      </c>
      <c r="I68">
        <v>3</v>
      </c>
      <c r="J68" s="3">
        <v>7408.34</v>
      </c>
      <c r="K68" s="3">
        <v>22225.02</v>
      </c>
      <c r="L68" t="s">
        <v>34</v>
      </c>
      <c r="M68" s="2">
        <v>45897</v>
      </c>
      <c r="N68" s="2">
        <v>45909</v>
      </c>
      <c r="O68" t="s">
        <v>76</v>
      </c>
      <c r="P68" t="s">
        <v>35</v>
      </c>
      <c r="Q68" t="s">
        <v>28</v>
      </c>
      <c r="R68" t="s">
        <v>129</v>
      </c>
    </row>
    <row r="69" spans="1:18">
      <c r="A69" t="s">
        <v>190</v>
      </c>
      <c r="B69" s="2">
        <v>45692</v>
      </c>
      <c r="C69" t="s">
        <v>55</v>
      </c>
      <c r="D69" t="s">
        <v>56</v>
      </c>
      <c r="E69" t="s">
        <v>48</v>
      </c>
      <c r="F69" t="s">
        <v>57</v>
      </c>
      <c r="G69" t="s">
        <v>58</v>
      </c>
      <c r="H69" t="s">
        <v>59</v>
      </c>
      <c r="I69">
        <v>4</v>
      </c>
      <c r="J69" s="3">
        <v>63015.43</v>
      </c>
      <c r="K69" s="3">
        <v>252061.72</v>
      </c>
      <c r="L69" t="s">
        <v>25</v>
      </c>
      <c r="M69" s="2">
        <v>45699</v>
      </c>
      <c r="N69" s="2">
        <v>45697</v>
      </c>
      <c r="O69" t="s">
        <v>76</v>
      </c>
      <c r="P69" t="s">
        <v>53</v>
      </c>
      <c r="Q69" t="s">
        <v>28</v>
      </c>
      <c r="R69" t="s">
        <v>29</v>
      </c>
    </row>
    <row r="70" spans="1:18">
      <c r="A70" t="s">
        <v>191</v>
      </c>
      <c r="B70" s="2">
        <v>45960</v>
      </c>
      <c r="C70" t="s">
        <v>37</v>
      </c>
      <c r="D70" t="s">
        <v>38</v>
      </c>
      <c r="E70" t="s">
        <v>21</v>
      </c>
      <c r="F70" t="s">
        <v>22</v>
      </c>
      <c r="G70" t="s">
        <v>160</v>
      </c>
      <c r="H70" t="s">
        <v>161</v>
      </c>
      <c r="I70">
        <v>4</v>
      </c>
      <c r="J70" s="3">
        <v>3278.38</v>
      </c>
      <c r="K70" s="3">
        <v>13113.52</v>
      </c>
      <c r="L70" t="s">
        <v>52</v>
      </c>
      <c r="M70" s="2">
        <v>45978</v>
      </c>
      <c r="N70" s="2">
        <v>45975</v>
      </c>
      <c r="O70" t="s">
        <v>76</v>
      </c>
      <c r="P70" t="s">
        <v>27</v>
      </c>
      <c r="Q70" t="s">
        <v>28</v>
      </c>
      <c r="R70" t="s">
        <v>29</v>
      </c>
    </row>
    <row r="71" spans="1:18">
      <c r="A71" t="s">
        <v>192</v>
      </c>
      <c r="B71" s="2">
        <v>46062</v>
      </c>
      <c r="C71" t="s">
        <v>71</v>
      </c>
      <c r="D71" t="s">
        <v>72</v>
      </c>
      <c r="E71" t="s">
        <v>31</v>
      </c>
      <c r="F71" t="s">
        <v>57</v>
      </c>
      <c r="G71" t="s">
        <v>58</v>
      </c>
      <c r="H71" t="s">
        <v>59</v>
      </c>
      <c r="I71">
        <v>7</v>
      </c>
      <c r="J71" s="3">
        <v>54326.89</v>
      </c>
      <c r="K71" s="3">
        <v>380288.23</v>
      </c>
      <c r="L71" t="s">
        <v>25</v>
      </c>
      <c r="M71" s="2">
        <v>46080</v>
      </c>
      <c r="N71" s="2">
        <v>46078</v>
      </c>
      <c r="O71" t="s">
        <v>26</v>
      </c>
      <c r="P71" t="s">
        <v>35</v>
      </c>
      <c r="Q71" t="s">
        <v>28</v>
      </c>
      <c r="R71" t="s">
        <v>29</v>
      </c>
    </row>
    <row r="72" spans="1:18">
      <c r="A72" t="s">
        <v>193</v>
      </c>
      <c r="B72" s="2">
        <v>45683</v>
      </c>
      <c r="C72" t="s">
        <v>134</v>
      </c>
      <c r="D72" t="s">
        <v>135</v>
      </c>
      <c r="E72" t="s">
        <v>112</v>
      </c>
      <c r="F72" t="s">
        <v>40</v>
      </c>
      <c r="G72" t="s">
        <v>149</v>
      </c>
      <c r="H72" t="s">
        <v>150</v>
      </c>
      <c r="I72">
        <v>34</v>
      </c>
      <c r="J72" s="3">
        <v>1373.2</v>
      </c>
      <c r="K72" s="3">
        <v>46688.800000000003</v>
      </c>
      <c r="L72" t="s">
        <v>25</v>
      </c>
      <c r="M72" s="2">
        <v>45699</v>
      </c>
      <c r="N72" s="2">
        <v>45696</v>
      </c>
      <c r="O72" t="s">
        <v>43</v>
      </c>
      <c r="P72" t="s">
        <v>115</v>
      </c>
      <c r="Q72" t="s">
        <v>28</v>
      </c>
      <c r="R72" t="s">
        <v>29</v>
      </c>
    </row>
    <row r="73" spans="1:18">
      <c r="A73" t="s">
        <v>194</v>
      </c>
      <c r="B73" s="2">
        <v>45776</v>
      </c>
      <c r="C73" t="s">
        <v>142</v>
      </c>
      <c r="D73" t="s">
        <v>143</v>
      </c>
      <c r="E73" t="s">
        <v>112</v>
      </c>
      <c r="F73" t="s">
        <v>22</v>
      </c>
      <c r="G73" t="s">
        <v>160</v>
      </c>
      <c r="H73" t="s">
        <v>161</v>
      </c>
      <c r="I73">
        <v>12</v>
      </c>
      <c r="J73" s="3">
        <v>3406.93</v>
      </c>
      <c r="K73" s="3">
        <v>40883.160000000003</v>
      </c>
      <c r="L73" t="s">
        <v>34</v>
      </c>
      <c r="M73" s="2">
        <v>45792</v>
      </c>
      <c r="N73" s="2">
        <v>45789</v>
      </c>
      <c r="O73" t="s">
        <v>26</v>
      </c>
      <c r="P73" t="s">
        <v>115</v>
      </c>
      <c r="Q73" t="s">
        <v>28</v>
      </c>
      <c r="R73" t="s">
        <v>29</v>
      </c>
    </row>
    <row r="74" spans="1:18">
      <c r="A74" t="s">
        <v>195</v>
      </c>
      <c r="B74" s="2">
        <v>45944</v>
      </c>
      <c r="C74" t="s">
        <v>66</v>
      </c>
      <c r="D74" t="s">
        <v>67</v>
      </c>
      <c r="E74" t="s">
        <v>73</v>
      </c>
      <c r="F74" t="s">
        <v>49</v>
      </c>
      <c r="G74" t="s">
        <v>68</v>
      </c>
      <c r="H74" t="s">
        <v>69</v>
      </c>
      <c r="I74">
        <v>1</v>
      </c>
      <c r="J74" s="3">
        <v>48282.28</v>
      </c>
      <c r="K74" s="3">
        <v>48282.28</v>
      </c>
      <c r="L74" t="s">
        <v>25</v>
      </c>
      <c r="M74" s="2">
        <v>45959</v>
      </c>
      <c r="N74" s="2">
        <v>45957</v>
      </c>
      <c r="O74" t="s">
        <v>76</v>
      </c>
      <c r="P74" t="s">
        <v>77</v>
      </c>
      <c r="Q74" t="s">
        <v>28</v>
      </c>
      <c r="R74" t="s">
        <v>29</v>
      </c>
    </row>
    <row r="75" spans="1:18">
      <c r="A75" t="s">
        <v>196</v>
      </c>
      <c r="B75" s="2">
        <v>46123</v>
      </c>
      <c r="C75" t="s">
        <v>80</v>
      </c>
      <c r="D75" t="s">
        <v>81</v>
      </c>
      <c r="E75" t="s">
        <v>39</v>
      </c>
      <c r="F75" t="s">
        <v>82</v>
      </c>
      <c r="G75" t="s">
        <v>197</v>
      </c>
      <c r="H75" t="s">
        <v>198</v>
      </c>
      <c r="I75">
        <v>26</v>
      </c>
      <c r="J75" s="3">
        <v>1924.28</v>
      </c>
      <c r="K75" s="3">
        <v>50031.28</v>
      </c>
      <c r="L75" t="s">
        <v>25</v>
      </c>
      <c r="M75" s="2">
        <v>46131</v>
      </c>
      <c r="N75" s="2">
        <v>46130</v>
      </c>
      <c r="O75" t="s">
        <v>26</v>
      </c>
      <c r="P75" t="s">
        <v>64</v>
      </c>
      <c r="Q75" t="s">
        <v>28</v>
      </c>
      <c r="R75" t="s">
        <v>29</v>
      </c>
    </row>
    <row r="76" spans="1:18">
      <c r="A76" t="s">
        <v>199</v>
      </c>
      <c r="B76" s="2">
        <v>45896</v>
      </c>
      <c r="C76" t="s">
        <v>96</v>
      </c>
      <c r="D76" t="s">
        <v>97</v>
      </c>
      <c r="E76" t="s">
        <v>39</v>
      </c>
      <c r="F76" t="s">
        <v>82</v>
      </c>
      <c r="G76" t="s">
        <v>83</v>
      </c>
      <c r="H76" t="s">
        <v>84</v>
      </c>
      <c r="I76">
        <v>13</v>
      </c>
      <c r="J76" s="3">
        <v>762.51</v>
      </c>
      <c r="K76" s="3">
        <v>9912.6299999999992</v>
      </c>
      <c r="L76" t="s">
        <v>25</v>
      </c>
      <c r="M76" s="2">
        <v>45909</v>
      </c>
      <c r="N76" s="2">
        <v>45908</v>
      </c>
      <c r="O76" t="s">
        <v>43</v>
      </c>
      <c r="P76" t="s">
        <v>64</v>
      </c>
      <c r="Q76" t="s">
        <v>28</v>
      </c>
      <c r="R76" t="s">
        <v>29</v>
      </c>
    </row>
    <row r="77" spans="1:18">
      <c r="A77" t="s">
        <v>200</v>
      </c>
      <c r="B77" s="2">
        <v>45673</v>
      </c>
      <c r="C77" t="s">
        <v>104</v>
      </c>
      <c r="D77" t="s">
        <v>105</v>
      </c>
      <c r="E77" t="s">
        <v>48</v>
      </c>
      <c r="F77" t="s">
        <v>49</v>
      </c>
      <c r="G77" t="s">
        <v>113</v>
      </c>
      <c r="H77" t="s">
        <v>114</v>
      </c>
      <c r="I77">
        <v>2</v>
      </c>
      <c r="J77" s="3">
        <v>36659.199999999997</v>
      </c>
      <c r="K77" s="3">
        <v>73318.399999999994</v>
      </c>
      <c r="L77" t="s">
        <v>25</v>
      </c>
      <c r="M77" s="2">
        <v>45686</v>
      </c>
      <c r="N77" s="2">
        <v>45686</v>
      </c>
      <c r="O77" t="s">
        <v>76</v>
      </c>
      <c r="P77" t="s">
        <v>53</v>
      </c>
      <c r="Q77" t="s">
        <v>28</v>
      </c>
      <c r="R77" t="s">
        <v>29</v>
      </c>
    </row>
    <row r="78" spans="1:18">
      <c r="A78" t="s">
        <v>201</v>
      </c>
      <c r="B78" s="2">
        <v>46120</v>
      </c>
      <c r="C78" t="s">
        <v>37</v>
      </c>
      <c r="D78" t="s">
        <v>38</v>
      </c>
      <c r="E78" t="s">
        <v>112</v>
      </c>
      <c r="F78" t="s">
        <v>22</v>
      </c>
      <c r="G78" t="s">
        <v>32</v>
      </c>
      <c r="H78" t="s">
        <v>33</v>
      </c>
      <c r="I78">
        <v>9</v>
      </c>
      <c r="J78" s="3">
        <v>9183.19</v>
      </c>
      <c r="K78" s="3">
        <v>82648.710000000006</v>
      </c>
      <c r="L78" t="s">
        <v>25</v>
      </c>
      <c r="M78" s="2">
        <v>46129</v>
      </c>
      <c r="N78" s="2">
        <v>46129</v>
      </c>
      <c r="O78" t="s">
        <v>60</v>
      </c>
      <c r="P78" t="s">
        <v>115</v>
      </c>
      <c r="Q78" t="s">
        <v>28</v>
      </c>
      <c r="R78" t="s">
        <v>29</v>
      </c>
    </row>
    <row r="79" spans="1:18">
      <c r="A79" t="s">
        <v>202</v>
      </c>
      <c r="B79" s="2">
        <v>46094</v>
      </c>
      <c r="C79" t="s">
        <v>131</v>
      </c>
      <c r="D79" t="s">
        <v>132</v>
      </c>
      <c r="E79" t="s">
        <v>31</v>
      </c>
      <c r="F79" t="s">
        <v>57</v>
      </c>
      <c r="G79" t="s">
        <v>101</v>
      </c>
      <c r="H79" t="s">
        <v>102</v>
      </c>
      <c r="I79">
        <v>14</v>
      </c>
      <c r="J79" s="3">
        <v>1866.22</v>
      </c>
      <c r="K79" s="3">
        <v>26127.08</v>
      </c>
      <c r="L79" t="s">
        <v>25</v>
      </c>
      <c r="M79" s="2">
        <v>46100</v>
      </c>
      <c r="N79" s="2">
        <v>46098</v>
      </c>
      <c r="O79" t="s">
        <v>76</v>
      </c>
      <c r="P79" t="s">
        <v>35</v>
      </c>
      <c r="Q79" t="s">
        <v>28</v>
      </c>
      <c r="R79" t="s">
        <v>29</v>
      </c>
    </row>
    <row r="80" spans="1:18">
      <c r="A80" t="s">
        <v>203</v>
      </c>
      <c r="B80" s="2">
        <v>46175</v>
      </c>
      <c r="C80" t="s">
        <v>80</v>
      </c>
      <c r="D80" t="s">
        <v>81</v>
      </c>
      <c r="E80" t="s">
        <v>39</v>
      </c>
      <c r="F80" t="s">
        <v>82</v>
      </c>
      <c r="G80" t="s">
        <v>83</v>
      </c>
      <c r="H80" t="s">
        <v>84</v>
      </c>
      <c r="I80">
        <v>54</v>
      </c>
      <c r="J80" s="3">
        <v>696.71</v>
      </c>
      <c r="K80" s="3">
        <v>37622.339999999997</v>
      </c>
      <c r="L80" t="s">
        <v>25</v>
      </c>
      <c r="M80" s="2">
        <v>46188</v>
      </c>
      <c r="N80" s="2">
        <v>46187</v>
      </c>
      <c r="O80" t="s">
        <v>26</v>
      </c>
      <c r="P80" t="s">
        <v>44</v>
      </c>
      <c r="Q80" t="s">
        <v>28</v>
      </c>
      <c r="R80" t="s">
        <v>29</v>
      </c>
    </row>
    <row r="81" spans="1:18">
      <c r="A81" t="s">
        <v>204</v>
      </c>
      <c r="B81" s="2">
        <v>46066</v>
      </c>
      <c r="C81" t="s">
        <v>134</v>
      </c>
      <c r="D81" t="s">
        <v>135</v>
      </c>
      <c r="E81" t="s">
        <v>39</v>
      </c>
      <c r="F81" t="s">
        <v>40</v>
      </c>
      <c r="G81" t="s">
        <v>136</v>
      </c>
      <c r="H81" t="s">
        <v>137</v>
      </c>
      <c r="I81">
        <v>14</v>
      </c>
      <c r="J81" s="3">
        <v>1639.58</v>
      </c>
      <c r="K81" s="3">
        <v>22954.12</v>
      </c>
      <c r="L81" t="s">
        <v>25</v>
      </c>
      <c r="M81" s="2">
        <v>46081</v>
      </c>
      <c r="N81" s="2">
        <v>46081</v>
      </c>
      <c r="O81" t="s">
        <v>43</v>
      </c>
      <c r="P81" t="s">
        <v>64</v>
      </c>
      <c r="Q81" t="s">
        <v>28</v>
      </c>
      <c r="R81" t="s">
        <v>29</v>
      </c>
    </row>
    <row r="82" spans="1:18">
      <c r="A82" t="s">
        <v>205</v>
      </c>
      <c r="B82" s="2">
        <v>46100</v>
      </c>
      <c r="C82" t="s">
        <v>117</v>
      </c>
      <c r="D82" t="s">
        <v>118</v>
      </c>
      <c r="E82" t="s">
        <v>48</v>
      </c>
      <c r="F82" t="s">
        <v>57</v>
      </c>
      <c r="G82" t="s">
        <v>127</v>
      </c>
      <c r="H82" t="s">
        <v>128</v>
      </c>
      <c r="I82">
        <v>6</v>
      </c>
      <c r="J82" s="3">
        <v>17222.93</v>
      </c>
      <c r="K82" s="3">
        <v>103337.58</v>
      </c>
      <c r="L82" t="s">
        <v>52</v>
      </c>
      <c r="M82" s="2">
        <v>46115</v>
      </c>
      <c r="N82" s="2">
        <v>46113</v>
      </c>
      <c r="O82" t="s">
        <v>60</v>
      </c>
      <c r="P82" t="s">
        <v>53</v>
      </c>
      <c r="Q82" t="s">
        <v>28</v>
      </c>
      <c r="R82" t="s">
        <v>29</v>
      </c>
    </row>
    <row r="83" spans="1:18">
      <c r="A83" t="s">
        <v>206</v>
      </c>
      <c r="B83" s="2">
        <v>45952</v>
      </c>
      <c r="C83" t="s">
        <v>117</v>
      </c>
      <c r="D83" t="s">
        <v>118</v>
      </c>
      <c r="E83" t="s">
        <v>21</v>
      </c>
      <c r="F83" t="s">
        <v>57</v>
      </c>
      <c r="G83" t="s">
        <v>127</v>
      </c>
      <c r="H83" t="s">
        <v>128</v>
      </c>
      <c r="I83">
        <v>4</v>
      </c>
      <c r="J83" s="3">
        <v>16778.57</v>
      </c>
      <c r="K83" s="3">
        <v>67114.28</v>
      </c>
      <c r="L83" t="s">
        <v>25</v>
      </c>
      <c r="M83" s="2">
        <v>45970</v>
      </c>
      <c r="N83" s="2">
        <v>45968</v>
      </c>
      <c r="O83" t="s">
        <v>76</v>
      </c>
      <c r="P83" t="s">
        <v>27</v>
      </c>
      <c r="Q83" t="s">
        <v>28</v>
      </c>
      <c r="R83" t="s">
        <v>29</v>
      </c>
    </row>
    <row r="84" spans="1:18">
      <c r="A84" t="s">
        <v>207</v>
      </c>
      <c r="B84" s="2">
        <v>45684</v>
      </c>
      <c r="C84" t="s">
        <v>104</v>
      </c>
      <c r="D84" t="s">
        <v>105</v>
      </c>
      <c r="E84" t="s">
        <v>48</v>
      </c>
      <c r="F84" t="s">
        <v>49</v>
      </c>
      <c r="G84" t="s">
        <v>113</v>
      </c>
      <c r="H84" t="s">
        <v>114</v>
      </c>
      <c r="I84">
        <v>1</v>
      </c>
      <c r="J84" s="3">
        <v>38883.230000000003</v>
      </c>
      <c r="K84" s="3">
        <v>38883.230000000003</v>
      </c>
      <c r="L84" t="s">
        <v>52</v>
      </c>
      <c r="M84" s="2">
        <v>45694</v>
      </c>
      <c r="N84" s="2">
        <v>45693</v>
      </c>
      <c r="O84" t="s">
        <v>60</v>
      </c>
      <c r="P84" t="s">
        <v>53</v>
      </c>
      <c r="Q84" t="s">
        <v>28</v>
      </c>
      <c r="R84" t="s">
        <v>29</v>
      </c>
    </row>
    <row r="85" spans="1:18">
      <c r="A85" t="s">
        <v>208</v>
      </c>
      <c r="B85" s="2">
        <v>45689</v>
      </c>
      <c r="C85" t="s">
        <v>71</v>
      </c>
      <c r="D85" t="s">
        <v>72</v>
      </c>
      <c r="E85" t="s">
        <v>31</v>
      </c>
      <c r="F85" t="s">
        <v>57</v>
      </c>
      <c r="G85" t="s">
        <v>74</v>
      </c>
      <c r="H85" t="s">
        <v>75</v>
      </c>
      <c r="I85">
        <v>5</v>
      </c>
      <c r="J85" s="3">
        <v>7889.78</v>
      </c>
      <c r="K85" s="3">
        <v>39448.9</v>
      </c>
      <c r="L85" t="s">
        <v>52</v>
      </c>
      <c r="M85" s="2">
        <v>45705</v>
      </c>
      <c r="N85" s="2">
        <v>45705</v>
      </c>
      <c r="O85" t="s">
        <v>26</v>
      </c>
      <c r="P85" t="s">
        <v>94</v>
      </c>
      <c r="Q85" t="s">
        <v>28</v>
      </c>
      <c r="R85" t="s">
        <v>29</v>
      </c>
    </row>
    <row r="86" spans="1:18">
      <c r="A86" t="s">
        <v>209</v>
      </c>
      <c r="B86" s="2">
        <v>45936</v>
      </c>
      <c r="C86" t="s">
        <v>71</v>
      </c>
      <c r="D86" t="s">
        <v>72</v>
      </c>
      <c r="E86" t="s">
        <v>73</v>
      </c>
      <c r="F86" t="s">
        <v>57</v>
      </c>
      <c r="G86" t="s">
        <v>74</v>
      </c>
      <c r="H86" t="s">
        <v>75</v>
      </c>
      <c r="I86">
        <v>9</v>
      </c>
      <c r="J86" s="3">
        <v>7932.17</v>
      </c>
      <c r="K86" s="3">
        <v>71389.53</v>
      </c>
      <c r="L86" t="s">
        <v>25</v>
      </c>
      <c r="M86" s="2">
        <v>45942</v>
      </c>
      <c r="N86" s="2">
        <v>45942</v>
      </c>
      <c r="O86" t="s">
        <v>60</v>
      </c>
      <c r="P86" t="s">
        <v>77</v>
      </c>
      <c r="Q86" t="s">
        <v>28</v>
      </c>
      <c r="R86" t="s">
        <v>29</v>
      </c>
    </row>
    <row r="87" spans="1:18">
      <c r="A87" t="s">
        <v>210</v>
      </c>
      <c r="B87" s="2">
        <v>45704</v>
      </c>
      <c r="C87" t="s">
        <v>142</v>
      </c>
      <c r="D87" t="s">
        <v>143</v>
      </c>
      <c r="E87" t="s">
        <v>112</v>
      </c>
      <c r="F87" t="s">
        <v>22</v>
      </c>
      <c r="G87" t="s">
        <v>23</v>
      </c>
      <c r="H87" t="s">
        <v>24</v>
      </c>
      <c r="I87">
        <v>54</v>
      </c>
      <c r="J87" s="3">
        <v>271.41000000000003</v>
      </c>
      <c r="K87" s="3">
        <v>14656.14</v>
      </c>
      <c r="L87" t="s">
        <v>25</v>
      </c>
      <c r="M87" s="2">
        <v>45711</v>
      </c>
      <c r="N87" s="2">
        <v>45709</v>
      </c>
      <c r="O87" t="s">
        <v>43</v>
      </c>
      <c r="P87" t="s">
        <v>115</v>
      </c>
      <c r="Q87" t="s">
        <v>28</v>
      </c>
      <c r="R87" t="s">
        <v>29</v>
      </c>
    </row>
    <row r="88" spans="1:18">
      <c r="A88" t="s">
        <v>211</v>
      </c>
      <c r="B88" s="2">
        <v>46098</v>
      </c>
      <c r="C88" t="s">
        <v>71</v>
      </c>
      <c r="D88" t="s">
        <v>72</v>
      </c>
      <c r="E88" t="s">
        <v>73</v>
      </c>
      <c r="F88" t="s">
        <v>57</v>
      </c>
      <c r="G88" t="s">
        <v>86</v>
      </c>
      <c r="H88" t="s">
        <v>87</v>
      </c>
      <c r="I88">
        <v>6</v>
      </c>
      <c r="J88" s="3">
        <v>10548.74</v>
      </c>
      <c r="K88" s="3">
        <v>63292.44</v>
      </c>
      <c r="L88" t="s">
        <v>25</v>
      </c>
      <c r="M88" s="2">
        <v>46104</v>
      </c>
      <c r="N88" s="2">
        <v>46104</v>
      </c>
      <c r="O88" t="s">
        <v>60</v>
      </c>
      <c r="P88" t="s">
        <v>77</v>
      </c>
      <c r="Q88" t="s">
        <v>28</v>
      </c>
      <c r="R88" t="s">
        <v>29</v>
      </c>
    </row>
    <row r="89" spans="1:18">
      <c r="A89" t="s">
        <v>212</v>
      </c>
      <c r="B89" s="2">
        <v>45978</v>
      </c>
      <c r="C89" t="s">
        <v>142</v>
      </c>
      <c r="D89" t="s">
        <v>143</v>
      </c>
      <c r="E89" t="s">
        <v>31</v>
      </c>
      <c r="F89" t="s">
        <v>22</v>
      </c>
      <c r="G89" t="s">
        <v>32</v>
      </c>
      <c r="H89" t="s">
        <v>33</v>
      </c>
      <c r="I89">
        <v>1</v>
      </c>
      <c r="J89" s="3">
        <v>7568.85</v>
      </c>
      <c r="K89" s="3">
        <v>7568.85</v>
      </c>
      <c r="L89" t="s">
        <v>34</v>
      </c>
      <c r="M89" s="2">
        <v>45988</v>
      </c>
      <c r="N89" s="2">
        <v>45985</v>
      </c>
      <c r="O89" t="s">
        <v>76</v>
      </c>
      <c r="P89" t="s">
        <v>94</v>
      </c>
      <c r="Q89" t="s">
        <v>28</v>
      </c>
      <c r="R89" t="s">
        <v>29</v>
      </c>
    </row>
    <row r="90" spans="1:18">
      <c r="A90" t="s">
        <v>213</v>
      </c>
      <c r="B90" s="2">
        <v>45907</v>
      </c>
      <c r="C90" t="s">
        <v>37</v>
      </c>
      <c r="D90" t="s">
        <v>38</v>
      </c>
      <c r="E90" t="s">
        <v>73</v>
      </c>
      <c r="F90" t="s">
        <v>22</v>
      </c>
      <c r="G90" t="s">
        <v>160</v>
      </c>
      <c r="H90" t="s">
        <v>161</v>
      </c>
      <c r="I90">
        <v>4</v>
      </c>
      <c r="J90" s="3">
        <v>3461.92</v>
      </c>
      <c r="K90" s="3">
        <v>13847.68</v>
      </c>
      <c r="L90" t="s">
        <v>25</v>
      </c>
      <c r="M90" s="2">
        <v>45917</v>
      </c>
      <c r="N90" s="2">
        <v>45917</v>
      </c>
      <c r="O90" t="s">
        <v>43</v>
      </c>
      <c r="P90" t="s">
        <v>77</v>
      </c>
      <c r="Q90" t="s">
        <v>28</v>
      </c>
      <c r="R90" t="s">
        <v>29</v>
      </c>
    </row>
    <row r="91" spans="1:18">
      <c r="A91" t="s">
        <v>214</v>
      </c>
      <c r="B91" s="2">
        <v>46015</v>
      </c>
      <c r="C91" t="s">
        <v>104</v>
      </c>
      <c r="D91" t="s">
        <v>105</v>
      </c>
      <c r="E91" t="s">
        <v>112</v>
      </c>
      <c r="F91" t="s">
        <v>49</v>
      </c>
      <c r="G91" t="s">
        <v>50</v>
      </c>
      <c r="H91" t="s">
        <v>51</v>
      </c>
      <c r="I91">
        <v>1</v>
      </c>
      <c r="J91" s="3">
        <v>50605.36</v>
      </c>
      <c r="K91" s="3">
        <v>50605.36</v>
      </c>
      <c r="L91" t="s">
        <v>25</v>
      </c>
      <c r="M91" s="2">
        <v>46022</v>
      </c>
      <c r="N91" s="2">
        <v>46022</v>
      </c>
      <c r="O91" t="s">
        <v>60</v>
      </c>
      <c r="P91" t="s">
        <v>115</v>
      </c>
      <c r="Q91" t="s">
        <v>28</v>
      </c>
      <c r="R91" t="s">
        <v>29</v>
      </c>
    </row>
    <row r="92" spans="1:18">
      <c r="A92" t="s">
        <v>215</v>
      </c>
      <c r="B92" s="2">
        <v>45981</v>
      </c>
      <c r="C92" t="s">
        <v>147</v>
      </c>
      <c r="D92" t="s">
        <v>148</v>
      </c>
      <c r="E92" t="s">
        <v>39</v>
      </c>
      <c r="F92" t="s">
        <v>40</v>
      </c>
      <c r="G92" t="s">
        <v>136</v>
      </c>
      <c r="H92" t="s">
        <v>137</v>
      </c>
      <c r="I92">
        <v>27</v>
      </c>
      <c r="J92" s="3">
        <v>1604.95</v>
      </c>
      <c r="K92" s="3">
        <v>43333.65</v>
      </c>
      <c r="L92" t="s">
        <v>25</v>
      </c>
      <c r="M92" s="2">
        <v>45994</v>
      </c>
      <c r="N92" s="2">
        <v>46003</v>
      </c>
      <c r="O92" t="s">
        <v>43</v>
      </c>
      <c r="P92" t="s">
        <v>44</v>
      </c>
      <c r="Q92" t="s">
        <v>28</v>
      </c>
      <c r="R92" t="s">
        <v>129</v>
      </c>
    </row>
    <row r="93" spans="1:18">
      <c r="A93" t="s">
        <v>216</v>
      </c>
      <c r="B93" s="2">
        <v>45951</v>
      </c>
      <c r="C93" t="s">
        <v>19</v>
      </c>
      <c r="D93" t="s">
        <v>20</v>
      </c>
      <c r="E93" t="s">
        <v>112</v>
      </c>
      <c r="F93" t="s">
        <v>22</v>
      </c>
      <c r="G93" t="s">
        <v>32</v>
      </c>
      <c r="H93" t="s">
        <v>33</v>
      </c>
      <c r="I93">
        <v>10</v>
      </c>
      <c r="J93" s="3">
        <v>7647.74</v>
      </c>
      <c r="K93" s="3">
        <v>76477.399999999994</v>
      </c>
      <c r="L93" t="s">
        <v>25</v>
      </c>
      <c r="M93" s="2">
        <v>45964</v>
      </c>
      <c r="N93" s="2">
        <v>45964</v>
      </c>
      <c r="O93" t="s">
        <v>26</v>
      </c>
      <c r="P93" t="s">
        <v>115</v>
      </c>
      <c r="Q93" t="s">
        <v>28</v>
      </c>
      <c r="R93" t="s">
        <v>29</v>
      </c>
    </row>
    <row r="94" spans="1:18">
      <c r="A94" t="s">
        <v>217</v>
      </c>
      <c r="B94" s="2">
        <v>46145</v>
      </c>
      <c r="C94" t="s">
        <v>147</v>
      </c>
      <c r="D94" t="s">
        <v>148</v>
      </c>
      <c r="E94" t="s">
        <v>112</v>
      </c>
      <c r="F94" t="s">
        <v>40</v>
      </c>
      <c r="G94" t="s">
        <v>41</v>
      </c>
      <c r="H94" t="s">
        <v>42</v>
      </c>
      <c r="I94">
        <v>12</v>
      </c>
      <c r="J94" s="3">
        <v>5367.33</v>
      </c>
      <c r="K94" s="3">
        <v>64407.96</v>
      </c>
      <c r="L94" t="s">
        <v>25</v>
      </c>
      <c r="M94" s="2">
        <v>46151</v>
      </c>
      <c r="N94" s="2">
        <v>46150</v>
      </c>
      <c r="O94" t="s">
        <v>60</v>
      </c>
      <c r="P94" t="s">
        <v>115</v>
      </c>
      <c r="Q94" t="s">
        <v>28</v>
      </c>
      <c r="R94" t="s">
        <v>29</v>
      </c>
    </row>
    <row r="95" spans="1:18">
      <c r="A95" t="s">
        <v>218</v>
      </c>
      <c r="B95" s="2">
        <v>46194</v>
      </c>
      <c r="C95" t="s">
        <v>134</v>
      </c>
      <c r="D95" t="s">
        <v>135</v>
      </c>
      <c r="E95" t="s">
        <v>39</v>
      </c>
      <c r="F95" t="s">
        <v>40</v>
      </c>
      <c r="G95" t="s">
        <v>136</v>
      </c>
      <c r="H95" t="s">
        <v>137</v>
      </c>
      <c r="I95">
        <v>48</v>
      </c>
      <c r="J95" s="3">
        <v>1699.01</v>
      </c>
      <c r="K95" s="3">
        <v>81552.479999999996</v>
      </c>
      <c r="L95" t="s">
        <v>25</v>
      </c>
      <c r="M95" s="2">
        <v>46208</v>
      </c>
      <c r="N95" s="2">
        <v>46220</v>
      </c>
      <c r="O95" t="s">
        <v>43</v>
      </c>
      <c r="P95" t="s">
        <v>44</v>
      </c>
      <c r="Q95" t="s">
        <v>28</v>
      </c>
      <c r="R95" t="s">
        <v>129</v>
      </c>
    </row>
    <row r="96" spans="1:18">
      <c r="A96" t="s">
        <v>219</v>
      </c>
      <c r="B96" s="2">
        <v>45948</v>
      </c>
      <c r="C96" t="s">
        <v>104</v>
      </c>
      <c r="D96" t="s">
        <v>105</v>
      </c>
      <c r="E96" t="s">
        <v>112</v>
      </c>
      <c r="F96" t="s">
        <v>49</v>
      </c>
      <c r="G96" t="s">
        <v>50</v>
      </c>
      <c r="H96" t="s">
        <v>51</v>
      </c>
      <c r="I96">
        <v>1</v>
      </c>
      <c r="J96" s="3">
        <v>52647.22</v>
      </c>
      <c r="K96" s="3">
        <v>52647.22</v>
      </c>
      <c r="L96" t="s">
        <v>25</v>
      </c>
      <c r="M96" s="2">
        <v>45958</v>
      </c>
      <c r="N96" s="2">
        <v>45955</v>
      </c>
      <c r="O96" t="s">
        <v>43</v>
      </c>
      <c r="P96" t="s">
        <v>115</v>
      </c>
      <c r="Q96" t="s">
        <v>28</v>
      </c>
      <c r="R96" t="s">
        <v>29</v>
      </c>
    </row>
    <row r="97" spans="1:18">
      <c r="A97" t="s">
        <v>220</v>
      </c>
      <c r="B97" s="2">
        <v>46197</v>
      </c>
      <c r="C97" t="s">
        <v>104</v>
      </c>
      <c r="D97" t="s">
        <v>105</v>
      </c>
      <c r="E97" t="s">
        <v>48</v>
      </c>
      <c r="F97" t="s">
        <v>49</v>
      </c>
      <c r="G97" t="s">
        <v>113</v>
      </c>
      <c r="H97" t="s">
        <v>114</v>
      </c>
      <c r="I97">
        <v>1</v>
      </c>
      <c r="J97" s="3">
        <v>37096.5</v>
      </c>
      <c r="K97" s="3">
        <v>37096.5</v>
      </c>
      <c r="L97" t="s">
        <v>52</v>
      </c>
      <c r="M97" s="2">
        <v>46207</v>
      </c>
      <c r="N97" s="2"/>
      <c r="O97" t="s">
        <v>26</v>
      </c>
      <c r="P97" t="s">
        <v>53</v>
      </c>
      <c r="Q97" t="s">
        <v>167</v>
      </c>
      <c r="R97" t="s">
        <v>167</v>
      </c>
    </row>
    <row r="98" spans="1:18">
      <c r="A98" t="s">
        <v>221</v>
      </c>
      <c r="B98" s="2">
        <v>45761</v>
      </c>
      <c r="C98" t="s">
        <v>142</v>
      </c>
      <c r="D98" t="s">
        <v>143</v>
      </c>
      <c r="E98" t="s">
        <v>31</v>
      </c>
      <c r="F98" t="s">
        <v>22</v>
      </c>
      <c r="G98" t="s">
        <v>32</v>
      </c>
      <c r="H98" t="s">
        <v>33</v>
      </c>
      <c r="I98">
        <v>13</v>
      </c>
      <c r="J98" s="3">
        <v>7724.41</v>
      </c>
      <c r="K98" s="3">
        <v>100417.33</v>
      </c>
      <c r="L98" t="s">
        <v>25</v>
      </c>
      <c r="M98" s="2">
        <v>45775</v>
      </c>
      <c r="N98" s="2">
        <v>45772</v>
      </c>
      <c r="O98" t="s">
        <v>26</v>
      </c>
      <c r="P98" t="s">
        <v>94</v>
      </c>
      <c r="Q98" t="s">
        <v>28</v>
      </c>
      <c r="R98" t="s">
        <v>29</v>
      </c>
    </row>
    <row r="99" spans="1:18">
      <c r="A99" t="s">
        <v>222</v>
      </c>
      <c r="B99" s="2">
        <v>46106</v>
      </c>
      <c r="C99" t="s">
        <v>131</v>
      </c>
      <c r="D99" t="s">
        <v>132</v>
      </c>
      <c r="E99" t="s">
        <v>73</v>
      </c>
      <c r="F99" t="s">
        <v>57</v>
      </c>
      <c r="G99" t="s">
        <v>86</v>
      </c>
      <c r="H99" t="s">
        <v>87</v>
      </c>
      <c r="I99">
        <v>8</v>
      </c>
      <c r="J99" s="3">
        <v>11594.83</v>
      </c>
      <c r="K99" s="3">
        <v>92758.64</v>
      </c>
      <c r="L99" t="s">
        <v>52</v>
      </c>
      <c r="M99" s="2">
        <v>46114</v>
      </c>
      <c r="N99" s="2">
        <v>46112</v>
      </c>
      <c r="O99" t="s">
        <v>60</v>
      </c>
      <c r="P99" t="s">
        <v>77</v>
      </c>
      <c r="Q99" t="s">
        <v>28</v>
      </c>
      <c r="R99" t="s">
        <v>29</v>
      </c>
    </row>
    <row r="100" spans="1:18">
      <c r="A100" t="s">
        <v>223</v>
      </c>
      <c r="B100" s="2">
        <v>46109</v>
      </c>
      <c r="C100" t="s">
        <v>66</v>
      </c>
      <c r="D100" t="s">
        <v>67</v>
      </c>
      <c r="E100" t="s">
        <v>21</v>
      </c>
      <c r="F100" t="s">
        <v>49</v>
      </c>
      <c r="G100" t="s">
        <v>68</v>
      </c>
      <c r="H100" t="s">
        <v>69</v>
      </c>
      <c r="I100">
        <v>3</v>
      </c>
      <c r="J100" s="3">
        <v>48120.7</v>
      </c>
      <c r="K100" s="3">
        <v>144362.1</v>
      </c>
      <c r="L100" t="s">
        <v>34</v>
      </c>
      <c r="M100" s="2">
        <v>46116</v>
      </c>
      <c r="N100" s="2">
        <v>46116</v>
      </c>
      <c r="O100" t="s">
        <v>76</v>
      </c>
      <c r="P100" t="s">
        <v>27</v>
      </c>
      <c r="Q100" t="s">
        <v>28</v>
      </c>
      <c r="R100" t="s">
        <v>29</v>
      </c>
    </row>
    <row r="101" spans="1:18">
      <c r="A101" t="s">
        <v>224</v>
      </c>
      <c r="B101" s="2">
        <v>45949</v>
      </c>
      <c r="C101" t="s">
        <v>147</v>
      </c>
      <c r="D101" t="s">
        <v>148</v>
      </c>
      <c r="E101" t="s">
        <v>39</v>
      </c>
      <c r="F101" t="s">
        <v>40</v>
      </c>
      <c r="G101" t="s">
        <v>149</v>
      </c>
      <c r="H101" t="s">
        <v>150</v>
      </c>
      <c r="I101">
        <v>19</v>
      </c>
      <c r="J101" s="3">
        <v>1254.8599999999999</v>
      </c>
      <c r="K101" s="3">
        <v>23842.34</v>
      </c>
      <c r="L101" t="s">
        <v>52</v>
      </c>
      <c r="M101" s="2">
        <v>45967</v>
      </c>
      <c r="N101" s="2">
        <v>45965</v>
      </c>
      <c r="O101" t="s">
        <v>60</v>
      </c>
      <c r="P101" t="s">
        <v>64</v>
      </c>
      <c r="Q101" t="s">
        <v>28</v>
      </c>
      <c r="R101" t="s">
        <v>29</v>
      </c>
    </row>
    <row r="102" spans="1:18">
      <c r="A102" t="s">
        <v>225</v>
      </c>
      <c r="B102" s="2">
        <v>46063</v>
      </c>
      <c r="C102" t="s">
        <v>142</v>
      </c>
      <c r="D102" t="s">
        <v>143</v>
      </c>
      <c r="E102" t="s">
        <v>39</v>
      </c>
      <c r="F102" t="s">
        <v>22</v>
      </c>
      <c r="G102" t="s">
        <v>160</v>
      </c>
      <c r="H102" t="s">
        <v>161</v>
      </c>
      <c r="I102">
        <v>2</v>
      </c>
      <c r="J102" s="3">
        <v>3114.35</v>
      </c>
      <c r="K102" s="3">
        <v>6228.7</v>
      </c>
      <c r="L102" t="s">
        <v>34</v>
      </c>
      <c r="M102" s="2">
        <v>46081</v>
      </c>
      <c r="N102" s="2">
        <v>46079</v>
      </c>
      <c r="O102" t="s">
        <v>26</v>
      </c>
      <c r="P102" t="s">
        <v>64</v>
      </c>
      <c r="Q102" t="s">
        <v>28</v>
      </c>
      <c r="R102" t="s">
        <v>29</v>
      </c>
    </row>
    <row r="103" spans="1:18">
      <c r="A103" t="s">
        <v>226</v>
      </c>
      <c r="B103" s="2">
        <v>46138</v>
      </c>
      <c r="C103" t="s">
        <v>142</v>
      </c>
      <c r="D103" t="s">
        <v>143</v>
      </c>
      <c r="E103" t="s">
        <v>39</v>
      </c>
      <c r="F103" t="s">
        <v>22</v>
      </c>
      <c r="G103" t="s">
        <v>23</v>
      </c>
      <c r="H103" t="s">
        <v>24</v>
      </c>
      <c r="I103">
        <v>40</v>
      </c>
      <c r="J103" s="3">
        <v>253.61</v>
      </c>
      <c r="K103" s="3">
        <v>10144.4</v>
      </c>
      <c r="L103" t="s">
        <v>25</v>
      </c>
      <c r="M103" s="2">
        <v>46154</v>
      </c>
      <c r="N103" s="2">
        <v>46151</v>
      </c>
      <c r="O103" t="s">
        <v>76</v>
      </c>
      <c r="P103" t="s">
        <v>64</v>
      </c>
      <c r="Q103" t="s">
        <v>28</v>
      </c>
      <c r="R103" t="s">
        <v>29</v>
      </c>
    </row>
    <row r="104" spans="1:18">
      <c r="A104" t="s">
        <v>227</v>
      </c>
      <c r="B104" s="2">
        <v>45966</v>
      </c>
      <c r="C104" t="s">
        <v>96</v>
      </c>
      <c r="D104" t="s">
        <v>97</v>
      </c>
      <c r="E104" t="s">
        <v>39</v>
      </c>
      <c r="F104" t="s">
        <v>82</v>
      </c>
      <c r="G104" t="s">
        <v>197</v>
      </c>
      <c r="H104" t="s">
        <v>198</v>
      </c>
      <c r="I104">
        <v>36</v>
      </c>
      <c r="J104" s="3">
        <v>2057.3200000000002</v>
      </c>
      <c r="K104" s="3">
        <v>74063.520000000004</v>
      </c>
      <c r="L104" t="s">
        <v>34</v>
      </c>
      <c r="M104" s="2">
        <v>45980</v>
      </c>
      <c r="N104" s="2">
        <v>45979</v>
      </c>
      <c r="O104" t="s">
        <v>76</v>
      </c>
      <c r="P104" t="s">
        <v>44</v>
      </c>
      <c r="Q104" t="s">
        <v>28</v>
      </c>
      <c r="R104" t="s">
        <v>29</v>
      </c>
    </row>
    <row r="105" spans="1:18">
      <c r="A105" t="s">
        <v>228</v>
      </c>
      <c r="B105" s="2">
        <v>45659</v>
      </c>
      <c r="C105" t="s">
        <v>46</v>
      </c>
      <c r="D105" t="s">
        <v>47</v>
      </c>
      <c r="E105" t="s">
        <v>21</v>
      </c>
      <c r="F105" t="s">
        <v>49</v>
      </c>
      <c r="G105" t="s">
        <v>50</v>
      </c>
      <c r="H105" t="s">
        <v>51</v>
      </c>
      <c r="I105">
        <v>1</v>
      </c>
      <c r="J105" s="3">
        <v>53339.91</v>
      </c>
      <c r="K105" s="3">
        <v>53339.91</v>
      </c>
      <c r="L105" t="s">
        <v>25</v>
      </c>
      <c r="M105" s="2">
        <v>45665</v>
      </c>
      <c r="N105" s="2">
        <v>45665</v>
      </c>
      <c r="O105" t="s">
        <v>60</v>
      </c>
      <c r="P105" t="s">
        <v>27</v>
      </c>
      <c r="Q105" t="s">
        <v>28</v>
      </c>
      <c r="R105" t="s">
        <v>29</v>
      </c>
    </row>
    <row r="106" spans="1:18">
      <c r="A106" t="s">
        <v>229</v>
      </c>
      <c r="B106" s="2">
        <v>46011</v>
      </c>
      <c r="C106" t="s">
        <v>71</v>
      </c>
      <c r="D106" t="s">
        <v>72</v>
      </c>
      <c r="E106" t="s">
        <v>48</v>
      </c>
      <c r="F106" t="s">
        <v>57</v>
      </c>
      <c r="G106" t="s">
        <v>127</v>
      </c>
      <c r="H106" t="s">
        <v>128</v>
      </c>
      <c r="I106">
        <v>1</v>
      </c>
      <c r="J106" s="3">
        <v>15134</v>
      </c>
      <c r="K106" s="3">
        <v>15134</v>
      </c>
      <c r="L106" t="s">
        <v>34</v>
      </c>
      <c r="M106" s="2">
        <v>46021</v>
      </c>
      <c r="N106" s="2">
        <v>46020</v>
      </c>
      <c r="O106" t="s">
        <v>60</v>
      </c>
      <c r="P106" t="s">
        <v>53</v>
      </c>
      <c r="Q106" t="s">
        <v>28</v>
      </c>
      <c r="R106" t="s">
        <v>29</v>
      </c>
    </row>
    <row r="107" spans="1:18">
      <c r="A107" t="s">
        <v>230</v>
      </c>
      <c r="B107" s="2">
        <v>45722</v>
      </c>
      <c r="C107" t="s">
        <v>142</v>
      </c>
      <c r="D107" t="s">
        <v>143</v>
      </c>
      <c r="E107" t="s">
        <v>112</v>
      </c>
      <c r="F107" t="s">
        <v>22</v>
      </c>
      <c r="G107" t="s">
        <v>160</v>
      </c>
      <c r="H107" t="s">
        <v>161</v>
      </c>
      <c r="I107">
        <v>15</v>
      </c>
      <c r="J107" s="3">
        <v>3443.18</v>
      </c>
      <c r="K107" s="3">
        <v>51647.7</v>
      </c>
      <c r="L107" t="s">
        <v>25</v>
      </c>
      <c r="M107" s="2">
        <v>45727</v>
      </c>
      <c r="N107" s="2">
        <v>45725</v>
      </c>
      <c r="O107" t="s">
        <v>60</v>
      </c>
      <c r="P107" t="s">
        <v>115</v>
      </c>
      <c r="Q107" t="s">
        <v>28</v>
      </c>
      <c r="R107" t="s">
        <v>29</v>
      </c>
    </row>
    <row r="108" spans="1:18">
      <c r="A108" t="s">
        <v>231</v>
      </c>
      <c r="B108" s="2">
        <v>45853</v>
      </c>
      <c r="C108" t="s">
        <v>142</v>
      </c>
      <c r="D108" t="s">
        <v>143</v>
      </c>
      <c r="E108" t="s">
        <v>112</v>
      </c>
      <c r="F108" t="s">
        <v>22</v>
      </c>
      <c r="G108" t="s">
        <v>32</v>
      </c>
      <c r="H108" t="s">
        <v>33</v>
      </c>
      <c r="I108">
        <v>6</v>
      </c>
      <c r="J108" s="3">
        <v>8029.9</v>
      </c>
      <c r="K108" s="3">
        <v>48179.4</v>
      </c>
      <c r="L108" t="s">
        <v>52</v>
      </c>
      <c r="M108" s="2">
        <v>45864</v>
      </c>
      <c r="N108" s="2">
        <v>45861</v>
      </c>
      <c r="O108" t="s">
        <v>60</v>
      </c>
      <c r="P108" t="s">
        <v>115</v>
      </c>
      <c r="Q108" t="s">
        <v>28</v>
      </c>
      <c r="R108" t="s">
        <v>29</v>
      </c>
    </row>
    <row r="109" spans="1:18">
      <c r="A109" t="s">
        <v>232</v>
      </c>
      <c r="B109" s="2">
        <v>45849</v>
      </c>
      <c r="C109" t="s">
        <v>37</v>
      </c>
      <c r="D109" t="s">
        <v>38</v>
      </c>
      <c r="E109" t="s">
        <v>31</v>
      </c>
      <c r="F109" t="s">
        <v>22</v>
      </c>
      <c r="G109" t="s">
        <v>160</v>
      </c>
      <c r="H109" t="s">
        <v>161</v>
      </c>
      <c r="I109">
        <v>2</v>
      </c>
      <c r="J109" s="3">
        <v>3456.24</v>
      </c>
      <c r="K109" s="3">
        <v>6912.48</v>
      </c>
      <c r="L109" t="s">
        <v>25</v>
      </c>
      <c r="M109" s="2">
        <v>45860</v>
      </c>
      <c r="N109" s="2">
        <v>45859</v>
      </c>
      <c r="O109" t="s">
        <v>76</v>
      </c>
      <c r="P109" t="s">
        <v>94</v>
      </c>
      <c r="Q109" t="s">
        <v>28</v>
      </c>
      <c r="R109" t="s">
        <v>29</v>
      </c>
    </row>
    <row r="110" spans="1:18">
      <c r="A110" t="s">
        <v>233</v>
      </c>
      <c r="B110" s="2">
        <v>45739</v>
      </c>
      <c r="C110" t="s">
        <v>104</v>
      </c>
      <c r="D110" t="s">
        <v>105</v>
      </c>
      <c r="E110" t="s">
        <v>21</v>
      </c>
      <c r="F110" t="s">
        <v>49</v>
      </c>
      <c r="G110" t="s">
        <v>68</v>
      </c>
      <c r="H110" t="s">
        <v>69</v>
      </c>
      <c r="I110">
        <v>2</v>
      </c>
      <c r="J110" s="3">
        <v>47997.68</v>
      </c>
      <c r="K110" s="3">
        <v>95995.36</v>
      </c>
      <c r="L110" t="s">
        <v>34</v>
      </c>
      <c r="M110" s="2">
        <v>45744</v>
      </c>
      <c r="N110" s="2">
        <v>45742</v>
      </c>
      <c r="O110" t="s">
        <v>60</v>
      </c>
      <c r="P110" t="s">
        <v>27</v>
      </c>
      <c r="Q110" t="s">
        <v>28</v>
      </c>
      <c r="R110" t="s">
        <v>29</v>
      </c>
    </row>
    <row r="111" spans="1:18">
      <c r="A111" t="s">
        <v>234</v>
      </c>
      <c r="B111" s="2">
        <v>45716</v>
      </c>
      <c r="C111" t="s">
        <v>71</v>
      </c>
      <c r="D111" t="s">
        <v>72</v>
      </c>
      <c r="E111" t="s">
        <v>31</v>
      </c>
      <c r="F111" t="s">
        <v>57</v>
      </c>
      <c r="G111" t="s">
        <v>127</v>
      </c>
      <c r="H111" t="s">
        <v>128</v>
      </c>
      <c r="I111">
        <v>1</v>
      </c>
      <c r="J111" s="3">
        <v>15611.29</v>
      </c>
      <c r="K111" s="3">
        <v>15611.29</v>
      </c>
      <c r="L111" t="s">
        <v>25</v>
      </c>
      <c r="M111" s="2">
        <v>45723</v>
      </c>
      <c r="N111" s="2">
        <v>45720</v>
      </c>
      <c r="O111" t="s">
        <v>43</v>
      </c>
      <c r="P111" t="s">
        <v>94</v>
      </c>
      <c r="Q111" t="s">
        <v>28</v>
      </c>
      <c r="R111" t="s">
        <v>29</v>
      </c>
    </row>
    <row r="112" spans="1:18">
      <c r="A112" t="s">
        <v>235</v>
      </c>
      <c r="B112" s="2">
        <v>46033</v>
      </c>
      <c r="C112" t="s">
        <v>142</v>
      </c>
      <c r="D112" t="s">
        <v>143</v>
      </c>
      <c r="E112" t="s">
        <v>112</v>
      </c>
      <c r="F112" t="s">
        <v>22</v>
      </c>
      <c r="G112" t="s">
        <v>32</v>
      </c>
      <c r="H112" t="s">
        <v>33</v>
      </c>
      <c r="I112">
        <v>6</v>
      </c>
      <c r="J112" s="3">
        <v>8272.08</v>
      </c>
      <c r="K112" s="3">
        <v>49632.480000000003</v>
      </c>
      <c r="L112" t="s">
        <v>34</v>
      </c>
      <c r="M112" s="2">
        <v>46043</v>
      </c>
      <c r="N112" s="2">
        <v>46043</v>
      </c>
      <c r="O112" t="s">
        <v>76</v>
      </c>
      <c r="P112" t="s">
        <v>115</v>
      </c>
      <c r="Q112" t="s">
        <v>28</v>
      </c>
      <c r="R112" t="s">
        <v>29</v>
      </c>
    </row>
    <row r="113" spans="1:18">
      <c r="A113" t="s">
        <v>236</v>
      </c>
      <c r="B113" s="2">
        <v>45979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H113" t="s">
        <v>24</v>
      </c>
      <c r="I113">
        <v>29</v>
      </c>
      <c r="J113" s="3">
        <v>228.97</v>
      </c>
      <c r="K113" s="3">
        <v>6640.13</v>
      </c>
      <c r="L113" t="s">
        <v>25</v>
      </c>
      <c r="M113" s="2">
        <v>45992</v>
      </c>
      <c r="N113" s="2">
        <v>46006</v>
      </c>
      <c r="O113" t="s">
        <v>60</v>
      </c>
      <c r="P113" t="s">
        <v>27</v>
      </c>
      <c r="Q113" t="s">
        <v>28</v>
      </c>
      <c r="R113" t="s">
        <v>129</v>
      </c>
    </row>
    <row r="114" spans="1:18">
      <c r="A114" t="s">
        <v>237</v>
      </c>
      <c r="B114" s="2">
        <v>45950</v>
      </c>
      <c r="C114" t="s">
        <v>142</v>
      </c>
      <c r="D114" t="s">
        <v>143</v>
      </c>
      <c r="E114" t="s">
        <v>112</v>
      </c>
      <c r="F114" t="s">
        <v>22</v>
      </c>
      <c r="G114" t="s">
        <v>23</v>
      </c>
      <c r="H114" t="s">
        <v>24</v>
      </c>
      <c r="I114">
        <v>16</v>
      </c>
      <c r="J114" s="3">
        <v>251.04</v>
      </c>
      <c r="K114" s="3">
        <v>4016.64</v>
      </c>
      <c r="L114" t="s">
        <v>34</v>
      </c>
      <c r="M114" s="2">
        <v>45966</v>
      </c>
      <c r="N114" s="2">
        <v>45966</v>
      </c>
      <c r="O114" t="s">
        <v>76</v>
      </c>
      <c r="P114" t="s">
        <v>115</v>
      </c>
      <c r="Q114" t="s">
        <v>28</v>
      </c>
      <c r="R114" t="s">
        <v>29</v>
      </c>
    </row>
    <row r="115" spans="1:18">
      <c r="A115" t="s">
        <v>238</v>
      </c>
      <c r="B115" s="2">
        <v>45724</v>
      </c>
      <c r="C115" t="s">
        <v>46</v>
      </c>
      <c r="D115" t="s">
        <v>47</v>
      </c>
      <c r="E115" t="s">
        <v>21</v>
      </c>
      <c r="F115" t="s">
        <v>49</v>
      </c>
      <c r="G115" t="s">
        <v>50</v>
      </c>
      <c r="H115" t="s">
        <v>51</v>
      </c>
      <c r="I115">
        <v>1</v>
      </c>
      <c r="J115" s="3">
        <v>57515.47</v>
      </c>
      <c r="K115" s="3">
        <v>57515.47</v>
      </c>
      <c r="L115" t="s">
        <v>25</v>
      </c>
      <c r="M115" s="2">
        <v>45741</v>
      </c>
      <c r="N115" s="2">
        <v>45740</v>
      </c>
      <c r="O115" t="s">
        <v>26</v>
      </c>
      <c r="P115" t="s">
        <v>27</v>
      </c>
      <c r="Q115" t="s">
        <v>28</v>
      </c>
      <c r="R115" t="s">
        <v>29</v>
      </c>
    </row>
    <row r="116" spans="1:18">
      <c r="A116" t="s">
        <v>239</v>
      </c>
      <c r="B116" s="2">
        <v>45684</v>
      </c>
      <c r="C116" t="s">
        <v>117</v>
      </c>
      <c r="D116" t="s">
        <v>118</v>
      </c>
      <c r="E116" t="s">
        <v>31</v>
      </c>
      <c r="F116" t="s">
        <v>57</v>
      </c>
      <c r="G116" t="s">
        <v>127</v>
      </c>
      <c r="H116" t="s">
        <v>128</v>
      </c>
      <c r="I116">
        <v>2</v>
      </c>
      <c r="J116" s="3">
        <v>17115.68</v>
      </c>
      <c r="K116" s="3">
        <v>34231.360000000001</v>
      </c>
      <c r="L116" t="s">
        <v>25</v>
      </c>
      <c r="M116" s="2">
        <v>45693</v>
      </c>
      <c r="N116" s="2">
        <v>45690</v>
      </c>
      <c r="O116" t="s">
        <v>60</v>
      </c>
      <c r="P116" t="s">
        <v>94</v>
      </c>
      <c r="Q116" t="s">
        <v>28</v>
      </c>
      <c r="R116" t="s">
        <v>29</v>
      </c>
    </row>
    <row r="117" spans="1:18">
      <c r="A117" t="s">
        <v>240</v>
      </c>
      <c r="B117" s="2">
        <v>45733</v>
      </c>
      <c r="C117" t="s">
        <v>66</v>
      </c>
      <c r="D117" t="s">
        <v>67</v>
      </c>
      <c r="E117" t="s">
        <v>48</v>
      </c>
      <c r="F117" t="s">
        <v>49</v>
      </c>
      <c r="G117" t="s">
        <v>50</v>
      </c>
      <c r="H117" t="s">
        <v>51</v>
      </c>
      <c r="I117">
        <v>3</v>
      </c>
      <c r="J117" s="3">
        <v>51964.480000000003</v>
      </c>
      <c r="K117" s="3">
        <v>155893.44</v>
      </c>
      <c r="L117" t="s">
        <v>25</v>
      </c>
      <c r="M117" s="2">
        <v>45740</v>
      </c>
      <c r="N117" s="2">
        <v>45739</v>
      </c>
      <c r="O117" t="s">
        <v>43</v>
      </c>
      <c r="P117" t="s">
        <v>53</v>
      </c>
      <c r="Q117" t="s">
        <v>28</v>
      </c>
      <c r="R117" t="s">
        <v>29</v>
      </c>
    </row>
    <row r="118" spans="1:18">
      <c r="A118" t="s">
        <v>241</v>
      </c>
      <c r="B118" s="2">
        <v>46188</v>
      </c>
      <c r="C118" t="s">
        <v>134</v>
      </c>
      <c r="D118" t="s">
        <v>135</v>
      </c>
      <c r="E118" t="s">
        <v>39</v>
      </c>
      <c r="F118" t="s">
        <v>40</v>
      </c>
      <c r="G118" t="s">
        <v>149</v>
      </c>
      <c r="H118" t="s">
        <v>150</v>
      </c>
      <c r="I118">
        <v>23</v>
      </c>
      <c r="J118" s="3">
        <v>1410.32</v>
      </c>
      <c r="K118" s="3">
        <v>32437.360000000001</v>
      </c>
      <c r="L118" t="s">
        <v>34</v>
      </c>
      <c r="M118" s="2">
        <v>46206</v>
      </c>
      <c r="N118" s="2">
        <v>46205</v>
      </c>
      <c r="O118" t="s">
        <v>26</v>
      </c>
      <c r="P118" t="s">
        <v>44</v>
      </c>
      <c r="Q118" t="s">
        <v>28</v>
      </c>
      <c r="R118" t="s">
        <v>29</v>
      </c>
    </row>
    <row r="119" spans="1:18">
      <c r="A119" t="s">
        <v>242</v>
      </c>
      <c r="B119" s="2">
        <v>45753</v>
      </c>
      <c r="C119" t="s">
        <v>96</v>
      </c>
      <c r="D119" t="s">
        <v>97</v>
      </c>
      <c r="E119" t="s">
        <v>39</v>
      </c>
      <c r="F119" t="s">
        <v>82</v>
      </c>
      <c r="G119" t="s">
        <v>83</v>
      </c>
      <c r="H119" t="s">
        <v>84</v>
      </c>
      <c r="I119">
        <v>43</v>
      </c>
      <c r="J119" s="3">
        <v>738.98</v>
      </c>
      <c r="K119" s="3">
        <v>31776.14</v>
      </c>
      <c r="L119" t="s">
        <v>34</v>
      </c>
      <c r="M119" s="2">
        <v>45763</v>
      </c>
      <c r="N119" s="2">
        <v>45763</v>
      </c>
      <c r="O119" t="s">
        <v>43</v>
      </c>
      <c r="P119" t="s">
        <v>64</v>
      </c>
      <c r="Q119" t="s">
        <v>28</v>
      </c>
      <c r="R119" t="s">
        <v>29</v>
      </c>
    </row>
    <row r="120" spans="1:18">
      <c r="A120" t="s">
        <v>243</v>
      </c>
      <c r="B120" s="2">
        <v>46084</v>
      </c>
      <c r="C120" t="s">
        <v>96</v>
      </c>
      <c r="D120" t="s">
        <v>97</v>
      </c>
      <c r="E120" t="s">
        <v>39</v>
      </c>
      <c r="F120" t="s">
        <v>82</v>
      </c>
      <c r="G120" t="s">
        <v>197</v>
      </c>
      <c r="H120" t="s">
        <v>198</v>
      </c>
      <c r="I120">
        <v>35</v>
      </c>
      <c r="J120" s="3">
        <v>2218.77</v>
      </c>
      <c r="K120" s="3">
        <v>77656.95</v>
      </c>
      <c r="L120" t="s">
        <v>25</v>
      </c>
      <c r="M120" s="2">
        <v>46092</v>
      </c>
      <c r="N120" s="2">
        <v>46089</v>
      </c>
      <c r="O120" t="s">
        <v>43</v>
      </c>
      <c r="P120" t="s">
        <v>64</v>
      </c>
      <c r="Q120" t="s">
        <v>28</v>
      </c>
      <c r="R120" t="s">
        <v>29</v>
      </c>
    </row>
    <row r="121" spans="1:18">
      <c r="A121" t="s">
        <v>244</v>
      </c>
      <c r="B121" s="2">
        <v>45819</v>
      </c>
      <c r="C121" t="s">
        <v>107</v>
      </c>
      <c r="D121" t="s">
        <v>108</v>
      </c>
      <c r="E121" t="s">
        <v>31</v>
      </c>
      <c r="F121" t="s">
        <v>91</v>
      </c>
      <c r="G121" t="s">
        <v>109</v>
      </c>
      <c r="H121" t="s">
        <v>110</v>
      </c>
      <c r="I121">
        <v>1</v>
      </c>
      <c r="J121" s="3">
        <v>13586.82</v>
      </c>
      <c r="K121" s="3">
        <v>13586.82</v>
      </c>
      <c r="L121" t="s">
        <v>52</v>
      </c>
      <c r="M121" s="2">
        <v>45835</v>
      </c>
      <c r="N121" s="2">
        <v>45833</v>
      </c>
      <c r="O121" t="s">
        <v>26</v>
      </c>
      <c r="P121" t="s">
        <v>35</v>
      </c>
      <c r="Q121" t="s">
        <v>28</v>
      </c>
      <c r="R121" t="s">
        <v>29</v>
      </c>
    </row>
    <row r="122" spans="1:18">
      <c r="A122" t="s">
        <v>245</v>
      </c>
      <c r="B122" s="2">
        <v>46185</v>
      </c>
      <c r="C122" t="s">
        <v>104</v>
      </c>
      <c r="D122" t="s">
        <v>105</v>
      </c>
      <c r="E122" t="s">
        <v>21</v>
      </c>
      <c r="F122" t="s">
        <v>49</v>
      </c>
      <c r="G122" t="s">
        <v>113</v>
      </c>
      <c r="H122" t="s">
        <v>114</v>
      </c>
      <c r="I122">
        <v>1</v>
      </c>
      <c r="J122" s="3">
        <v>37327.879999999997</v>
      </c>
      <c r="K122" s="3">
        <v>37327.879999999997</v>
      </c>
      <c r="L122" t="s">
        <v>52</v>
      </c>
      <c r="M122" s="2">
        <v>46190</v>
      </c>
      <c r="N122" s="2">
        <v>46187</v>
      </c>
      <c r="O122" t="s">
        <v>60</v>
      </c>
      <c r="P122" t="s">
        <v>27</v>
      </c>
      <c r="Q122" t="s">
        <v>28</v>
      </c>
      <c r="R122" t="s">
        <v>29</v>
      </c>
    </row>
    <row r="123" spans="1:18">
      <c r="A123" t="s">
        <v>246</v>
      </c>
      <c r="B123" s="2">
        <v>45978</v>
      </c>
      <c r="C123" t="s">
        <v>96</v>
      </c>
      <c r="D123" t="s">
        <v>97</v>
      </c>
      <c r="E123" t="s">
        <v>39</v>
      </c>
      <c r="F123" t="s">
        <v>82</v>
      </c>
      <c r="G123" t="s">
        <v>98</v>
      </c>
      <c r="H123" t="s">
        <v>99</v>
      </c>
      <c r="I123">
        <v>6</v>
      </c>
      <c r="J123" s="3">
        <v>1147.29</v>
      </c>
      <c r="K123" s="3">
        <v>6883.74</v>
      </c>
      <c r="L123" t="s">
        <v>52</v>
      </c>
      <c r="M123" s="2">
        <v>45984</v>
      </c>
      <c r="N123" s="2">
        <v>45981</v>
      </c>
      <c r="O123" t="s">
        <v>26</v>
      </c>
      <c r="P123" t="s">
        <v>44</v>
      </c>
      <c r="Q123" t="s">
        <v>28</v>
      </c>
      <c r="R123" t="s">
        <v>29</v>
      </c>
    </row>
    <row r="124" spans="1:18">
      <c r="A124" t="s">
        <v>247</v>
      </c>
      <c r="B124" s="2">
        <v>45707</v>
      </c>
      <c r="C124" t="s">
        <v>142</v>
      </c>
      <c r="D124" t="s">
        <v>143</v>
      </c>
      <c r="E124" t="s">
        <v>31</v>
      </c>
      <c r="F124" t="s">
        <v>22</v>
      </c>
      <c r="G124" t="s">
        <v>32</v>
      </c>
      <c r="H124" t="s">
        <v>33</v>
      </c>
      <c r="I124">
        <v>14</v>
      </c>
      <c r="J124" s="3">
        <v>7864.76</v>
      </c>
      <c r="K124" s="3">
        <v>110106.64</v>
      </c>
      <c r="L124" t="s">
        <v>34</v>
      </c>
      <c r="M124" s="2">
        <v>45713</v>
      </c>
      <c r="N124" s="2">
        <v>45711</v>
      </c>
      <c r="O124" t="s">
        <v>60</v>
      </c>
      <c r="P124" t="s">
        <v>35</v>
      </c>
      <c r="Q124" t="s">
        <v>28</v>
      </c>
      <c r="R124" t="s">
        <v>29</v>
      </c>
    </row>
    <row r="125" spans="1:18">
      <c r="A125" t="s">
        <v>248</v>
      </c>
      <c r="B125" s="2">
        <v>45704</v>
      </c>
      <c r="C125" t="s">
        <v>107</v>
      </c>
      <c r="D125" t="s">
        <v>108</v>
      </c>
      <c r="E125" t="s">
        <v>31</v>
      </c>
      <c r="F125" t="s">
        <v>91</v>
      </c>
      <c r="G125" t="s">
        <v>109</v>
      </c>
      <c r="H125" t="s">
        <v>110</v>
      </c>
      <c r="I125">
        <v>3</v>
      </c>
      <c r="J125" s="3">
        <v>13291</v>
      </c>
      <c r="K125" s="3">
        <v>39873</v>
      </c>
      <c r="L125" t="s">
        <v>34</v>
      </c>
      <c r="M125" s="2">
        <v>45716</v>
      </c>
      <c r="N125" s="2">
        <v>45714</v>
      </c>
      <c r="O125" t="s">
        <v>43</v>
      </c>
      <c r="P125" t="s">
        <v>94</v>
      </c>
      <c r="Q125" t="s">
        <v>28</v>
      </c>
      <c r="R125" t="s">
        <v>29</v>
      </c>
    </row>
    <row r="126" spans="1:18">
      <c r="A126" t="s">
        <v>249</v>
      </c>
      <c r="B126" s="2">
        <v>45757</v>
      </c>
      <c r="C126" t="s">
        <v>66</v>
      </c>
      <c r="D126" t="s">
        <v>67</v>
      </c>
      <c r="E126" t="s">
        <v>48</v>
      </c>
      <c r="F126" t="s">
        <v>49</v>
      </c>
      <c r="G126" t="s">
        <v>165</v>
      </c>
      <c r="H126" t="s">
        <v>166</v>
      </c>
      <c r="I126">
        <v>3</v>
      </c>
      <c r="J126" s="3">
        <v>42686</v>
      </c>
      <c r="K126" s="3">
        <v>128058</v>
      </c>
      <c r="L126" t="s">
        <v>25</v>
      </c>
      <c r="M126" s="2">
        <v>45768</v>
      </c>
      <c r="N126" s="2">
        <v>45768</v>
      </c>
      <c r="O126" t="s">
        <v>76</v>
      </c>
      <c r="P126" t="s">
        <v>53</v>
      </c>
      <c r="Q126" t="s">
        <v>28</v>
      </c>
      <c r="R126" t="s">
        <v>29</v>
      </c>
    </row>
    <row r="127" spans="1:18">
      <c r="A127" t="s">
        <v>250</v>
      </c>
      <c r="B127" s="2">
        <v>46189</v>
      </c>
      <c r="C127" t="s">
        <v>142</v>
      </c>
      <c r="D127" t="s">
        <v>143</v>
      </c>
      <c r="E127" t="s">
        <v>31</v>
      </c>
      <c r="F127" t="s">
        <v>22</v>
      </c>
      <c r="G127" t="s">
        <v>23</v>
      </c>
      <c r="H127" t="s">
        <v>24</v>
      </c>
      <c r="I127">
        <v>15</v>
      </c>
      <c r="J127" s="3">
        <v>248.72</v>
      </c>
      <c r="K127" s="3">
        <v>3730.8</v>
      </c>
      <c r="L127" t="s">
        <v>25</v>
      </c>
      <c r="M127" s="2">
        <v>46200</v>
      </c>
      <c r="N127" s="2">
        <v>46198</v>
      </c>
      <c r="O127" t="s">
        <v>60</v>
      </c>
      <c r="P127" t="s">
        <v>35</v>
      </c>
      <c r="Q127" t="s">
        <v>28</v>
      </c>
      <c r="R127" t="s">
        <v>29</v>
      </c>
    </row>
    <row r="128" spans="1:18">
      <c r="A128" t="s">
        <v>251</v>
      </c>
      <c r="B128" s="2">
        <v>46035</v>
      </c>
      <c r="C128" t="s">
        <v>147</v>
      </c>
      <c r="D128" t="s">
        <v>148</v>
      </c>
      <c r="E128" t="s">
        <v>39</v>
      </c>
      <c r="F128" t="s">
        <v>40</v>
      </c>
      <c r="G128" t="s">
        <v>136</v>
      </c>
      <c r="H128" t="s">
        <v>137</v>
      </c>
      <c r="I128">
        <v>49</v>
      </c>
      <c r="J128" s="3">
        <v>1624.04</v>
      </c>
      <c r="K128" s="3">
        <v>79577.960000000006</v>
      </c>
      <c r="L128" t="s">
        <v>25</v>
      </c>
      <c r="M128" s="2">
        <v>46050</v>
      </c>
      <c r="N128" s="2">
        <v>46059</v>
      </c>
      <c r="O128" t="s">
        <v>26</v>
      </c>
      <c r="P128" t="s">
        <v>64</v>
      </c>
      <c r="Q128" t="s">
        <v>28</v>
      </c>
      <c r="R128" t="s">
        <v>129</v>
      </c>
    </row>
    <row r="129" spans="1:18">
      <c r="A129" t="s">
        <v>252</v>
      </c>
      <c r="B129" s="2">
        <v>46149</v>
      </c>
      <c r="C129" t="s">
        <v>142</v>
      </c>
      <c r="D129" t="s">
        <v>143</v>
      </c>
      <c r="E129" t="s">
        <v>31</v>
      </c>
      <c r="F129" t="s">
        <v>22</v>
      </c>
      <c r="G129" t="s">
        <v>160</v>
      </c>
      <c r="H129" t="s">
        <v>161</v>
      </c>
      <c r="I129">
        <v>1</v>
      </c>
      <c r="J129" s="3">
        <v>3216.99</v>
      </c>
      <c r="K129" s="3">
        <v>3216.99</v>
      </c>
      <c r="L129" t="s">
        <v>25</v>
      </c>
      <c r="M129" s="2">
        <v>46163</v>
      </c>
      <c r="N129" s="2">
        <v>46163</v>
      </c>
      <c r="O129" t="s">
        <v>60</v>
      </c>
      <c r="P129" t="s">
        <v>35</v>
      </c>
      <c r="Q129" t="s">
        <v>28</v>
      </c>
      <c r="R129" t="s">
        <v>29</v>
      </c>
    </row>
    <row r="130" spans="1:18">
      <c r="A130" t="s">
        <v>253</v>
      </c>
      <c r="B130" s="2">
        <v>46086</v>
      </c>
      <c r="C130" t="s">
        <v>66</v>
      </c>
      <c r="D130" t="s">
        <v>67</v>
      </c>
      <c r="E130" t="s">
        <v>48</v>
      </c>
      <c r="F130" t="s">
        <v>49</v>
      </c>
      <c r="G130" t="s">
        <v>68</v>
      </c>
      <c r="H130" t="s">
        <v>69</v>
      </c>
      <c r="I130">
        <v>1</v>
      </c>
      <c r="J130" s="3">
        <v>47781.05</v>
      </c>
      <c r="K130" s="3">
        <v>47781.05</v>
      </c>
      <c r="L130" t="s">
        <v>34</v>
      </c>
      <c r="M130" s="2">
        <v>46102</v>
      </c>
      <c r="N130" s="2">
        <v>46101</v>
      </c>
      <c r="O130" t="s">
        <v>60</v>
      </c>
      <c r="P130" t="s">
        <v>53</v>
      </c>
      <c r="Q130" t="s">
        <v>28</v>
      </c>
      <c r="R130" t="s">
        <v>29</v>
      </c>
    </row>
    <row r="131" spans="1:18">
      <c r="A131" t="s">
        <v>254</v>
      </c>
      <c r="B131" s="2">
        <v>46008</v>
      </c>
      <c r="C131" t="s">
        <v>104</v>
      </c>
      <c r="D131" t="s">
        <v>105</v>
      </c>
      <c r="E131" t="s">
        <v>48</v>
      </c>
      <c r="F131" t="s">
        <v>49</v>
      </c>
      <c r="G131" t="s">
        <v>68</v>
      </c>
      <c r="H131" t="s">
        <v>69</v>
      </c>
      <c r="I131">
        <v>3</v>
      </c>
      <c r="J131" s="3">
        <v>47144.959999999999</v>
      </c>
      <c r="K131" s="3">
        <v>141434.88</v>
      </c>
      <c r="L131" t="s">
        <v>34</v>
      </c>
      <c r="M131" s="2">
        <v>46017</v>
      </c>
      <c r="N131" s="2">
        <v>46015</v>
      </c>
      <c r="O131" t="s">
        <v>26</v>
      </c>
      <c r="P131" t="s">
        <v>53</v>
      </c>
      <c r="Q131" t="s">
        <v>28</v>
      </c>
      <c r="R131" t="s">
        <v>29</v>
      </c>
    </row>
    <row r="132" spans="1:18">
      <c r="A132" t="s">
        <v>255</v>
      </c>
      <c r="B132" s="2">
        <v>45982</v>
      </c>
      <c r="C132" t="s">
        <v>142</v>
      </c>
      <c r="D132" t="s">
        <v>143</v>
      </c>
      <c r="E132" t="s">
        <v>31</v>
      </c>
      <c r="F132" t="s">
        <v>22</v>
      </c>
      <c r="G132" t="s">
        <v>160</v>
      </c>
      <c r="H132" t="s">
        <v>161</v>
      </c>
      <c r="I132">
        <v>9</v>
      </c>
      <c r="J132" s="3">
        <v>3186.58</v>
      </c>
      <c r="K132" s="3">
        <v>28679.22</v>
      </c>
      <c r="L132" t="s">
        <v>34</v>
      </c>
      <c r="M132" s="2">
        <v>45993</v>
      </c>
      <c r="N132" s="2">
        <v>45990</v>
      </c>
      <c r="O132" t="s">
        <v>26</v>
      </c>
      <c r="P132" t="s">
        <v>35</v>
      </c>
      <c r="Q132" t="s">
        <v>28</v>
      </c>
      <c r="R132" t="s">
        <v>29</v>
      </c>
    </row>
    <row r="133" spans="1:18">
      <c r="A133" t="s">
        <v>256</v>
      </c>
      <c r="B133" s="2">
        <v>45701</v>
      </c>
      <c r="C133" t="s">
        <v>46</v>
      </c>
      <c r="D133" t="s">
        <v>47</v>
      </c>
      <c r="E133" t="s">
        <v>48</v>
      </c>
      <c r="F133" t="s">
        <v>49</v>
      </c>
      <c r="G133" t="s">
        <v>68</v>
      </c>
      <c r="H133" t="s">
        <v>69</v>
      </c>
      <c r="I133">
        <v>1</v>
      </c>
      <c r="J133" s="3">
        <v>52267.01</v>
      </c>
      <c r="K133" s="3">
        <v>52267.01</v>
      </c>
      <c r="L133" t="s">
        <v>52</v>
      </c>
      <c r="M133" s="2">
        <v>45709</v>
      </c>
      <c r="N133" s="2">
        <v>45707</v>
      </c>
      <c r="O133" t="s">
        <v>76</v>
      </c>
      <c r="P133" t="s">
        <v>53</v>
      </c>
      <c r="Q133" t="s">
        <v>28</v>
      </c>
      <c r="R133" t="s">
        <v>29</v>
      </c>
    </row>
    <row r="134" spans="1:18">
      <c r="A134" t="s">
        <v>257</v>
      </c>
      <c r="B134" s="2">
        <v>45769</v>
      </c>
      <c r="C134" t="s">
        <v>107</v>
      </c>
      <c r="D134" t="s">
        <v>108</v>
      </c>
      <c r="E134" t="s">
        <v>31</v>
      </c>
      <c r="F134" t="s">
        <v>91</v>
      </c>
      <c r="G134" t="s">
        <v>92</v>
      </c>
      <c r="H134" t="s">
        <v>93</v>
      </c>
      <c r="I134">
        <v>1</v>
      </c>
      <c r="J134" s="3">
        <v>46560.07</v>
      </c>
      <c r="K134" s="3">
        <v>46560.07</v>
      </c>
      <c r="L134" t="s">
        <v>34</v>
      </c>
      <c r="M134" s="2">
        <v>45774</v>
      </c>
      <c r="N134" s="2">
        <v>45772</v>
      </c>
      <c r="O134" t="s">
        <v>43</v>
      </c>
      <c r="P134" t="s">
        <v>94</v>
      </c>
      <c r="Q134" t="s">
        <v>28</v>
      </c>
      <c r="R134" t="s">
        <v>29</v>
      </c>
    </row>
    <row r="135" spans="1:18">
      <c r="A135" t="s">
        <v>258</v>
      </c>
      <c r="B135" s="2">
        <v>45819</v>
      </c>
      <c r="C135" t="s">
        <v>134</v>
      </c>
      <c r="D135" t="s">
        <v>135</v>
      </c>
      <c r="E135" t="s">
        <v>112</v>
      </c>
      <c r="F135" t="s">
        <v>40</v>
      </c>
      <c r="G135" t="s">
        <v>62</v>
      </c>
      <c r="H135" t="s">
        <v>63</v>
      </c>
      <c r="I135">
        <v>5</v>
      </c>
      <c r="J135" s="3">
        <v>19018.59</v>
      </c>
      <c r="K135" s="3">
        <v>95092.95</v>
      </c>
      <c r="L135" t="s">
        <v>52</v>
      </c>
      <c r="M135" s="2">
        <v>45829</v>
      </c>
      <c r="N135" s="2">
        <v>45829</v>
      </c>
      <c r="O135" t="s">
        <v>43</v>
      </c>
      <c r="P135" t="s">
        <v>115</v>
      </c>
      <c r="Q135" t="s">
        <v>28</v>
      </c>
      <c r="R135" t="s">
        <v>29</v>
      </c>
    </row>
    <row r="136" spans="1:18">
      <c r="A136" t="s">
        <v>259</v>
      </c>
      <c r="B136" s="2">
        <v>45837</v>
      </c>
      <c r="C136" t="s">
        <v>71</v>
      </c>
      <c r="D136" t="s">
        <v>72</v>
      </c>
      <c r="E136" t="s">
        <v>48</v>
      </c>
      <c r="F136" t="s">
        <v>57</v>
      </c>
      <c r="G136" t="s">
        <v>74</v>
      </c>
      <c r="H136" t="s">
        <v>75</v>
      </c>
      <c r="I136">
        <v>12</v>
      </c>
      <c r="J136" s="3">
        <v>7910.84</v>
      </c>
      <c r="K136" s="3">
        <v>94930.08</v>
      </c>
      <c r="L136" t="s">
        <v>25</v>
      </c>
      <c r="M136" s="2">
        <v>45855</v>
      </c>
      <c r="N136" s="2">
        <v>45855</v>
      </c>
      <c r="O136" t="s">
        <v>43</v>
      </c>
      <c r="P136" t="s">
        <v>53</v>
      </c>
      <c r="Q136" t="s">
        <v>28</v>
      </c>
      <c r="R136" t="s">
        <v>29</v>
      </c>
    </row>
    <row r="137" spans="1:18">
      <c r="A137" t="s">
        <v>260</v>
      </c>
      <c r="B137" s="2">
        <v>45949</v>
      </c>
      <c r="C137" t="s">
        <v>37</v>
      </c>
      <c r="D137" t="s">
        <v>38</v>
      </c>
      <c r="E137" t="s">
        <v>31</v>
      </c>
      <c r="F137" t="s">
        <v>22</v>
      </c>
      <c r="G137" t="s">
        <v>160</v>
      </c>
      <c r="H137" t="s">
        <v>161</v>
      </c>
      <c r="I137">
        <v>9</v>
      </c>
      <c r="J137" s="3">
        <v>3276.39</v>
      </c>
      <c r="K137" s="3">
        <v>29487.51</v>
      </c>
      <c r="L137" t="s">
        <v>25</v>
      </c>
      <c r="M137" s="2">
        <v>45961</v>
      </c>
      <c r="N137" s="2">
        <v>45961</v>
      </c>
      <c r="O137" t="s">
        <v>60</v>
      </c>
      <c r="P137" t="s">
        <v>35</v>
      </c>
      <c r="Q137" t="s">
        <v>28</v>
      </c>
      <c r="R137" t="s">
        <v>29</v>
      </c>
    </row>
    <row r="138" spans="1:18">
      <c r="A138" t="s">
        <v>261</v>
      </c>
      <c r="B138" s="2">
        <v>45848</v>
      </c>
      <c r="C138" t="s">
        <v>104</v>
      </c>
      <c r="D138" t="s">
        <v>105</v>
      </c>
      <c r="E138" t="s">
        <v>21</v>
      </c>
      <c r="F138" t="s">
        <v>49</v>
      </c>
      <c r="G138" t="s">
        <v>50</v>
      </c>
      <c r="H138" t="s">
        <v>51</v>
      </c>
      <c r="I138">
        <v>2</v>
      </c>
      <c r="J138" s="3">
        <v>53926.77</v>
      </c>
      <c r="K138" s="3">
        <v>107853.54</v>
      </c>
      <c r="L138" t="s">
        <v>25</v>
      </c>
      <c r="M138" s="2">
        <v>45866</v>
      </c>
      <c r="N138" s="2">
        <v>45864</v>
      </c>
      <c r="O138" t="s">
        <v>43</v>
      </c>
      <c r="P138" t="s">
        <v>27</v>
      </c>
      <c r="Q138" t="s">
        <v>28</v>
      </c>
      <c r="R138" t="s">
        <v>29</v>
      </c>
    </row>
    <row r="139" spans="1:18">
      <c r="A139" t="s">
        <v>262</v>
      </c>
      <c r="B139" s="2">
        <v>45801</v>
      </c>
      <c r="C139" t="s">
        <v>142</v>
      </c>
      <c r="D139" t="s">
        <v>143</v>
      </c>
      <c r="E139" t="s">
        <v>112</v>
      </c>
      <c r="F139" t="s">
        <v>22</v>
      </c>
      <c r="G139" t="s">
        <v>160</v>
      </c>
      <c r="H139" t="s">
        <v>161</v>
      </c>
      <c r="I139">
        <v>5</v>
      </c>
      <c r="J139" s="3">
        <v>3339.69</v>
      </c>
      <c r="K139" s="3">
        <v>16698.45</v>
      </c>
      <c r="L139" t="s">
        <v>25</v>
      </c>
      <c r="M139" s="2">
        <v>45811</v>
      </c>
      <c r="N139" s="2">
        <v>45811</v>
      </c>
      <c r="O139" t="s">
        <v>76</v>
      </c>
      <c r="P139" t="s">
        <v>115</v>
      </c>
      <c r="Q139" t="s">
        <v>28</v>
      </c>
      <c r="R139" t="s">
        <v>29</v>
      </c>
    </row>
    <row r="140" spans="1:18">
      <c r="A140" t="s">
        <v>263</v>
      </c>
      <c r="B140" s="2">
        <v>45721</v>
      </c>
      <c r="C140" t="s">
        <v>19</v>
      </c>
      <c r="D140" t="s">
        <v>20</v>
      </c>
      <c r="E140" t="s">
        <v>73</v>
      </c>
      <c r="F140" t="s">
        <v>22</v>
      </c>
      <c r="G140" t="s">
        <v>160</v>
      </c>
      <c r="H140" t="s">
        <v>161</v>
      </c>
      <c r="I140">
        <v>15</v>
      </c>
      <c r="J140" s="3">
        <v>3055.7</v>
      </c>
      <c r="K140" s="3">
        <v>45835.5</v>
      </c>
      <c r="L140" t="s">
        <v>34</v>
      </c>
      <c r="M140" s="2">
        <v>45737</v>
      </c>
      <c r="N140" s="2">
        <v>45737</v>
      </c>
      <c r="O140" t="s">
        <v>76</v>
      </c>
      <c r="P140" t="s">
        <v>77</v>
      </c>
      <c r="Q140" t="s">
        <v>28</v>
      </c>
      <c r="R140" t="s">
        <v>29</v>
      </c>
    </row>
    <row r="141" spans="1:18">
      <c r="A141" t="s">
        <v>264</v>
      </c>
      <c r="B141" s="2">
        <v>45884</v>
      </c>
      <c r="C141" t="s">
        <v>19</v>
      </c>
      <c r="D141" t="s">
        <v>20</v>
      </c>
      <c r="E141" t="s">
        <v>39</v>
      </c>
      <c r="F141" t="s">
        <v>22</v>
      </c>
      <c r="G141" t="s">
        <v>160</v>
      </c>
      <c r="H141" t="s">
        <v>161</v>
      </c>
      <c r="I141">
        <v>7</v>
      </c>
      <c r="J141" s="3">
        <v>2972.03</v>
      </c>
      <c r="K141" s="3">
        <v>20804.21</v>
      </c>
      <c r="L141" t="s">
        <v>34</v>
      </c>
      <c r="M141" s="2">
        <v>45900</v>
      </c>
      <c r="N141" s="2">
        <v>45897</v>
      </c>
      <c r="O141" t="s">
        <v>26</v>
      </c>
      <c r="P141" t="s">
        <v>64</v>
      </c>
      <c r="Q141" t="s">
        <v>28</v>
      </c>
      <c r="R141" t="s">
        <v>29</v>
      </c>
    </row>
    <row r="142" spans="1:18">
      <c r="A142" t="s">
        <v>265</v>
      </c>
      <c r="B142" s="2">
        <v>45741</v>
      </c>
      <c r="C142" t="s">
        <v>131</v>
      </c>
      <c r="D142" t="s">
        <v>132</v>
      </c>
      <c r="E142" t="s">
        <v>31</v>
      </c>
      <c r="F142" t="s">
        <v>57</v>
      </c>
      <c r="G142" t="s">
        <v>101</v>
      </c>
      <c r="H142" t="s">
        <v>102</v>
      </c>
      <c r="I142">
        <v>58</v>
      </c>
      <c r="J142" s="3">
        <v>1830.58</v>
      </c>
      <c r="K142" s="3">
        <v>106173.64</v>
      </c>
      <c r="L142" t="s">
        <v>34</v>
      </c>
      <c r="M142" s="2">
        <v>45754</v>
      </c>
      <c r="N142" s="2">
        <v>45753</v>
      </c>
      <c r="O142" t="s">
        <v>26</v>
      </c>
      <c r="P142" t="s">
        <v>94</v>
      </c>
      <c r="Q142" t="s">
        <v>28</v>
      </c>
      <c r="R142" t="s">
        <v>29</v>
      </c>
    </row>
    <row r="143" spans="1:18">
      <c r="A143" t="s">
        <v>266</v>
      </c>
      <c r="B143" s="2">
        <v>46110</v>
      </c>
      <c r="C143" t="s">
        <v>96</v>
      </c>
      <c r="D143" t="s">
        <v>97</v>
      </c>
      <c r="E143" t="s">
        <v>39</v>
      </c>
      <c r="F143" t="s">
        <v>267</v>
      </c>
      <c r="G143" t="s">
        <v>98</v>
      </c>
      <c r="H143" t="s">
        <v>99</v>
      </c>
      <c r="I143">
        <v>56</v>
      </c>
      <c r="J143" s="3">
        <v>1168.3900000000001</v>
      </c>
      <c r="K143" s="3">
        <v>65429.84</v>
      </c>
      <c r="L143" t="s">
        <v>25</v>
      </c>
      <c r="M143" s="2">
        <v>46115</v>
      </c>
      <c r="N143" s="2">
        <v>46112</v>
      </c>
      <c r="O143" t="s">
        <v>43</v>
      </c>
      <c r="P143" t="s">
        <v>44</v>
      </c>
      <c r="Q143" t="s">
        <v>28</v>
      </c>
      <c r="R143" t="s">
        <v>29</v>
      </c>
    </row>
    <row r="144" spans="1:18">
      <c r="A144" t="s">
        <v>268</v>
      </c>
      <c r="B144" s="2">
        <v>45973</v>
      </c>
      <c r="C144" t="s">
        <v>142</v>
      </c>
      <c r="D144" t="s">
        <v>143</v>
      </c>
      <c r="E144" t="s">
        <v>73</v>
      </c>
      <c r="F144" t="s">
        <v>22</v>
      </c>
      <c r="G144" t="s">
        <v>32</v>
      </c>
      <c r="H144" t="s">
        <v>33</v>
      </c>
      <c r="I144">
        <v>7</v>
      </c>
      <c r="J144" s="3">
        <v>7539.27</v>
      </c>
      <c r="K144" s="3">
        <v>52774.89</v>
      </c>
      <c r="L144" t="s">
        <v>52</v>
      </c>
      <c r="M144" s="2">
        <v>45983</v>
      </c>
      <c r="N144" s="2">
        <v>45983</v>
      </c>
      <c r="O144" t="s">
        <v>43</v>
      </c>
      <c r="P144" t="s">
        <v>77</v>
      </c>
      <c r="Q144" t="s">
        <v>28</v>
      </c>
      <c r="R144" t="s">
        <v>29</v>
      </c>
    </row>
    <row r="145" spans="1:18">
      <c r="A145" t="s">
        <v>269</v>
      </c>
      <c r="B145" s="2">
        <v>45690</v>
      </c>
      <c r="C145" t="s">
        <v>37</v>
      </c>
      <c r="D145" t="s">
        <v>38</v>
      </c>
      <c r="E145" t="s">
        <v>39</v>
      </c>
      <c r="F145" t="s">
        <v>22</v>
      </c>
      <c r="G145" t="s">
        <v>32</v>
      </c>
      <c r="H145" t="s">
        <v>33</v>
      </c>
      <c r="I145">
        <v>7</v>
      </c>
      <c r="J145" s="3">
        <v>8497.31</v>
      </c>
      <c r="K145" s="3">
        <v>59481.17</v>
      </c>
      <c r="L145" t="s">
        <v>25</v>
      </c>
      <c r="M145" s="2">
        <v>45700</v>
      </c>
      <c r="N145" s="2">
        <v>45697</v>
      </c>
      <c r="O145" t="s">
        <v>60</v>
      </c>
      <c r="P145" t="s">
        <v>44</v>
      </c>
      <c r="Q145" t="s">
        <v>28</v>
      </c>
      <c r="R145" t="s">
        <v>29</v>
      </c>
    </row>
    <row r="146" spans="1:18">
      <c r="A146" t="s">
        <v>270</v>
      </c>
      <c r="B146" s="2">
        <v>45740</v>
      </c>
      <c r="C146" t="s">
        <v>131</v>
      </c>
      <c r="D146" t="s">
        <v>132</v>
      </c>
      <c r="E146" t="s">
        <v>48</v>
      </c>
      <c r="F146" t="s">
        <v>57</v>
      </c>
      <c r="G146" t="s">
        <v>120</v>
      </c>
      <c r="H146" t="s">
        <v>121</v>
      </c>
      <c r="I146">
        <v>7</v>
      </c>
      <c r="J146" s="3">
        <v>22277.040000000001</v>
      </c>
      <c r="K146" s="3">
        <v>155939.28</v>
      </c>
      <c r="L146" t="s">
        <v>34</v>
      </c>
      <c r="M146" s="2">
        <v>45753</v>
      </c>
      <c r="N146" s="2">
        <v>45752</v>
      </c>
      <c r="O146" t="s">
        <v>43</v>
      </c>
      <c r="P146" t="s">
        <v>53</v>
      </c>
      <c r="Q146" t="s">
        <v>28</v>
      </c>
      <c r="R146" t="s">
        <v>29</v>
      </c>
    </row>
    <row r="147" spans="1:18">
      <c r="A147" t="s">
        <v>271</v>
      </c>
      <c r="B147" s="2">
        <v>46092</v>
      </c>
      <c r="C147" t="s">
        <v>55</v>
      </c>
      <c r="D147" t="s">
        <v>56</v>
      </c>
      <c r="E147" t="s">
        <v>48</v>
      </c>
      <c r="F147" t="s">
        <v>57</v>
      </c>
      <c r="G147" t="s">
        <v>74</v>
      </c>
      <c r="H147" t="s">
        <v>75</v>
      </c>
      <c r="I147">
        <v>15</v>
      </c>
      <c r="J147" s="3">
        <v>9465.98</v>
      </c>
      <c r="K147" s="3">
        <v>141989.70000000001</v>
      </c>
      <c r="L147" t="s">
        <v>34</v>
      </c>
      <c r="M147" s="2">
        <v>46108</v>
      </c>
      <c r="N147" s="2">
        <v>46108</v>
      </c>
      <c r="O147" t="s">
        <v>60</v>
      </c>
      <c r="P147" t="s">
        <v>53</v>
      </c>
      <c r="Q147" t="s">
        <v>28</v>
      </c>
      <c r="R147" t="s">
        <v>29</v>
      </c>
    </row>
    <row r="148" spans="1:18">
      <c r="A148" t="s">
        <v>272</v>
      </c>
      <c r="B148" s="2">
        <v>45904</v>
      </c>
      <c r="C148" t="s">
        <v>19</v>
      </c>
      <c r="D148" t="s">
        <v>20</v>
      </c>
      <c r="E148" t="s">
        <v>39</v>
      </c>
      <c r="F148" t="s">
        <v>22</v>
      </c>
      <c r="G148" t="s">
        <v>160</v>
      </c>
      <c r="H148" t="s">
        <v>161</v>
      </c>
      <c r="I148">
        <v>1</v>
      </c>
      <c r="J148" s="3">
        <v>2997.74</v>
      </c>
      <c r="K148" s="3">
        <v>2997.74</v>
      </c>
      <c r="L148" t="s">
        <v>25</v>
      </c>
      <c r="M148" s="2">
        <v>45912</v>
      </c>
      <c r="N148" s="2">
        <v>45909</v>
      </c>
      <c r="O148" t="s">
        <v>26</v>
      </c>
      <c r="P148" t="s">
        <v>64</v>
      </c>
      <c r="Q148" t="s">
        <v>28</v>
      </c>
      <c r="R148" t="s">
        <v>29</v>
      </c>
    </row>
    <row r="149" spans="1:18">
      <c r="A149" t="s">
        <v>273</v>
      </c>
      <c r="B149" s="2">
        <v>45801</v>
      </c>
      <c r="C149" t="s">
        <v>55</v>
      </c>
      <c r="D149" t="s">
        <v>56</v>
      </c>
      <c r="E149" t="s">
        <v>21</v>
      </c>
      <c r="F149" t="s">
        <v>57</v>
      </c>
      <c r="G149" t="s">
        <v>127</v>
      </c>
      <c r="H149" t="s">
        <v>128</v>
      </c>
      <c r="I149">
        <v>6</v>
      </c>
      <c r="J149" s="3">
        <v>18394.62</v>
      </c>
      <c r="K149" s="3">
        <v>110367.72</v>
      </c>
      <c r="L149" t="s">
        <v>52</v>
      </c>
      <c r="M149" s="2">
        <v>45809</v>
      </c>
      <c r="N149" s="2">
        <v>45808</v>
      </c>
      <c r="O149" t="s">
        <v>26</v>
      </c>
      <c r="P149" t="s">
        <v>27</v>
      </c>
      <c r="Q149" t="s">
        <v>28</v>
      </c>
      <c r="R149" t="s">
        <v>29</v>
      </c>
    </row>
    <row r="150" spans="1:18">
      <c r="A150" t="s">
        <v>274</v>
      </c>
      <c r="B150" s="2">
        <v>45965</v>
      </c>
      <c r="C150" t="s">
        <v>37</v>
      </c>
      <c r="D150" t="s">
        <v>38</v>
      </c>
      <c r="E150" t="s">
        <v>31</v>
      </c>
      <c r="F150" t="s">
        <v>22</v>
      </c>
      <c r="G150" t="s">
        <v>32</v>
      </c>
      <c r="H150" t="s">
        <v>33</v>
      </c>
      <c r="I150">
        <v>7</v>
      </c>
      <c r="J150" s="3">
        <v>8482.3700000000008</v>
      </c>
      <c r="K150" s="3">
        <v>59376.59</v>
      </c>
      <c r="L150" t="s">
        <v>52</v>
      </c>
      <c r="M150" s="2">
        <v>45978</v>
      </c>
      <c r="N150" s="2">
        <v>45976</v>
      </c>
      <c r="O150" t="s">
        <v>60</v>
      </c>
      <c r="P150" t="s">
        <v>35</v>
      </c>
      <c r="Q150" t="s">
        <v>28</v>
      </c>
      <c r="R150" t="s">
        <v>29</v>
      </c>
    </row>
    <row r="151" spans="1:18">
      <c r="A151" t="s">
        <v>275</v>
      </c>
      <c r="B151" s="2">
        <v>46084</v>
      </c>
      <c r="C151" t="s">
        <v>142</v>
      </c>
      <c r="D151" t="s">
        <v>143</v>
      </c>
      <c r="E151" t="s">
        <v>21</v>
      </c>
      <c r="F151" t="s">
        <v>22</v>
      </c>
      <c r="G151" t="s">
        <v>32</v>
      </c>
      <c r="H151" t="s">
        <v>33</v>
      </c>
      <c r="I151">
        <v>5</v>
      </c>
      <c r="J151" s="3">
        <v>8084.24</v>
      </c>
      <c r="K151" s="3">
        <v>40421.199999999997</v>
      </c>
      <c r="L151" t="s">
        <v>52</v>
      </c>
      <c r="M151" s="2">
        <v>46102</v>
      </c>
      <c r="N151" s="2">
        <v>46099</v>
      </c>
      <c r="O151" t="s">
        <v>60</v>
      </c>
      <c r="P151" t="s">
        <v>27</v>
      </c>
      <c r="Q151" t="s">
        <v>28</v>
      </c>
      <c r="R151" t="s">
        <v>29</v>
      </c>
    </row>
    <row r="152" spans="1:18">
      <c r="A152" t="s">
        <v>276</v>
      </c>
      <c r="B152" s="2">
        <v>46200</v>
      </c>
      <c r="C152" t="s">
        <v>19</v>
      </c>
      <c r="D152" t="s">
        <v>20</v>
      </c>
      <c r="E152" t="s">
        <v>21</v>
      </c>
      <c r="F152" t="s">
        <v>22</v>
      </c>
      <c r="G152" t="s">
        <v>160</v>
      </c>
      <c r="H152" t="s">
        <v>161</v>
      </c>
      <c r="I152">
        <v>14</v>
      </c>
      <c r="J152" s="3">
        <v>3055.47</v>
      </c>
      <c r="K152" s="3">
        <v>42776.58</v>
      </c>
      <c r="L152" t="s">
        <v>25</v>
      </c>
      <c r="M152" s="2">
        <v>46210</v>
      </c>
      <c r="N152" s="2">
        <v>46223</v>
      </c>
      <c r="O152" t="s">
        <v>60</v>
      </c>
      <c r="P152" t="s">
        <v>27</v>
      </c>
      <c r="Q152" t="s">
        <v>28</v>
      </c>
      <c r="R152" t="s">
        <v>129</v>
      </c>
    </row>
    <row r="153" spans="1:18">
      <c r="A153" t="s">
        <v>277</v>
      </c>
      <c r="B153" s="2">
        <v>45732</v>
      </c>
      <c r="C153" t="s">
        <v>117</v>
      </c>
      <c r="D153" t="s">
        <v>118</v>
      </c>
      <c r="E153" t="s">
        <v>48</v>
      </c>
      <c r="F153" t="s">
        <v>57</v>
      </c>
      <c r="G153" t="s">
        <v>74</v>
      </c>
      <c r="H153" t="s">
        <v>75</v>
      </c>
      <c r="I153">
        <v>5</v>
      </c>
      <c r="J153" s="3">
        <v>9085.1200000000008</v>
      </c>
      <c r="K153" s="3">
        <v>45425.599999999999</v>
      </c>
      <c r="L153" t="s">
        <v>52</v>
      </c>
      <c r="M153" s="2">
        <v>45737</v>
      </c>
      <c r="N153" s="2">
        <v>45736</v>
      </c>
      <c r="O153" t="s">
        <v>43</v>
      </c>
      <c r="P153" t="s">
        <v>53</v>
      </c>
      <c r="Q153" t="s">
        <v>28</v>
      </c>
      <c r="R153" t="s">
        <v>29</v>
      </c>
    </row>
    <row r="154" spans="1:18">
      <c r="A154" t="s">
        <v>278</v>
      </c>
      <c r="B154" s="2">
        <v>45867</v>
      </c>
      <c r="C154" t="s">
        <v>134</v>
      </c>
      <c r="D154" t="s">
        <v>135</v>
      </c>
      <c r="E154" t="s">
        <v>39</v>
      </c>
      <c r="F154" t="s">
        <v>40</v>
      </c>
      <c r="G154" t="s">
        <v>136</v>
      </c>
      <c r="H154" t="s">
        <v>137</v>
      </c>
      <c r="I154">
        <v>27</v>
      </c>
      <c r="J154" s="3">
        <v>1663.25</v>
      </c>
      <c r="K154" s="3">
        <v>44907.75</v>
      </c>
      <c r="L154" t="s">
        <v>25</v>
      </c>
      <c r="M154" s="2">
        <v>45876</v>
      </c>
      <c r="N154" s="2">
        <v>45873</v>
      </c>
      <c r="O154" t="s">
        <v>60</v>
      </c>
      <c r="P154" t="s">
        <v>44</v>
      </c>
      <c r="Q154" t="s">
        <v>28</v>
      </c>
      <c r="R154" t="s">
        <v>29</v>
      </c>
    </row>
    <row r="155" spans="1:18">
      <c r="A155" t="s">
        <v>279</v>
      </c>
      <c r="B155" s="2">
        <v>45866</v>
      </c>
      <c r="C155" t="s">
        <v>71</v>
      </c>
      <c r="D155" t="s">
        <v>72</v>
      </c>
      <c r="E155" t="s">
        <v>73</v>
      </c>
      <c r="F155" t="s">
        <v>57</v>
      </c>
      <c r="G155" t="s">
        <v>86</v>
      </c>
      <c r="H155" t="s">
        <v>87</v>
      </c>
      <c r="I155">
        <v>7</v>
      </c>
      <c r="J155" s="3">
        <v>9799.2000000000007</v>
      </c>
      <c r="K155" s="3">
        <v>68594.399999999994</v>
      </c>
      <c r="L155" t="s">
        <v>25</v>
      </c>
      <c r="M155" s="2">
        <v>45875</v>
      </c>
      <c r="N155" s="2">
        <v>45882</v>
      </c>
      <c r="O155" t="s">
        <v>26</v>
      </c>
      <c r="P155" t="s">
        <v>77</v>
      </c>
      <c r="Q155" t="s">
        <v>28</v>
      </c>
      <c r="R155" t="s">
        <v>129</v>
      </c>
    </row>
    <row r="156" spans="1:18">
      <c r="A156" t="s">
        <v>280</v>
      </c>
      <c r="B156" s="2">
        <v>46003</v>
      </c>
      <c r="C156" t="s">
        <v>104</v>
      </c>
      <c r="D156" t="s">
        <v>105</v>
      </c>
      <c r="E156" t="s">
        <v>48</v>
      </c>
      <c r="F156" t="s">
        <v>49</v>
      </c>
      <c r="G156" t="s">
        <v>68</v>
      </c>
      <c r="H156" t="s">
        <v>69</v>
      </c>
      <c r="I156">
        <v>1</v>
      </c>
      <c r="J156" s="3">
        <v>49514.29</v>
      </c>
      <c r="K156" s="3">
        <v>49514.29</v>
      </c>
      <c r="L156" t="s">
        <v>25</v>
      </c>
      <c r="M156" s="2">
        <v>46010</v>
      </c>
      <c r="N156" s="2">
        <v>46007</v>
      </c>
      <c r="O156" t="s">
        <v>43</v>
      </c>
      <c r="P156" t="s">
        <v>53</v>
      </c>
      <c r="Q156" t="s">
        <v>28</v>
      </c>
      <c r="R156" t="s">
        <v>29</v>
      </c>
    </row>
    <row r="157" spans="1:18">
      <c r="A157" t="s">
        <v>281</v>
      </c>
      <c r="B157" s="2">
        <v>46080</v>
      </c>
      <c r="C157" t="s">
        <v>89</v>
      </c>
      <c r="D157" t="s">
        <v>90</v>
      </c>
      <c r="E157" t="s">
        <v>31</v>
      </c>
      <c r="F157" t="s">
        <v>91</v>
      </c>
      <c r="G157" t="s">
        <v>92</v>
      </c>
      <c r="H157" t="s">
        <v>93</v>
      </c>
      <c r="I157">
        <v>1</v>
      </c>
      <c r="J157" s="3">
        <v>42231.67</v>
      </c>
      <c r="K157" s="3">
        <v>42231.67</v>
      </c>
      <c r="L157" t="s">
        <v>34</v>
      </c>
      <c r="M157" s="2">
        <v>46085</v>
      </c>
      <c r="N157" s="2">
        <v>46082</v>
      </c>
      <c r="O157" t="s">
        <v>43</v>
      </c>
      <c r="P157" t="s">
        <v>94</v>
      </c>
      <c r="Q157" t="s">
        <v>28</v>
      </c>
      <c r="R157" t="s">
        <v>29</v>
      </c>
    </row>
    <row r="158" spans="1:18">
      <c r="A158" t="s">
        <v>282</v>
      </c>
      <c r="B158" s="2">
        <v>46202</v>
      </c>
      <c r="C158" t="s">
        <v>96</v>
      </c>
      <c r="D158" t="s">
        <v>97</v>
      </c>
      <c r="E158" t="s">
        <v>39</v>
      </c>
      <c r="F158" t="s">
        <v>82</v>
      </c>
      <c r="G158" t="s">
        <v>197</v>
      </c>
      <c r="H158" t="s">
        <v>198</v>
      </c>
      <c r="I158">
        <v>6</v>
      </c>
      <c r="J158" s="3">
        <v>2222.75</v>
      </c>
      <c r="K158" s="3">
        <v>13336.5</v>
      </c>
      <c r="L158" t="s">
        <v>52</v>
      </c>
      <c r="M158" s="2">
        <v>46215</v>
      </c>
      <c r="N158" s="2">
        <v>46212</v>
      </c>
      <c r="O158" t="s">
        <v>43</v>
      </c>
      <c r="P158" t="s">
        <v>64</v>
      </c>
      <c r="Q158" t="s">
        <v>28</v>
      </c>
      <c r="R158" t="s">
        <v>29</v>
      </c>
    </row>
    <row r="159" spans="1:18">
      <c r="A159" t="s">
        <v>283</v>
      </c>
      <c r="B159" s="2">
        <v>46194</v>
      </c>
      <c r="C159" t="s">
        <v>80</v>
      </c>
      <c r="D159" t="s">
        <v>81</v>
      </c>
      <c r="E159" t="s">
        <v>39</v>
      </c>
      <c r="F159" t="s">
        <v>82</v>
      </c>
      <c r="G159" t="s">
        <v>98</v>
      </c>
      <c r="H159" t="s">
        <v>99</v>
      </c>
      <c r="I159">
        <v>30</v>
      </c>
      <c r="J159" s="3">
        <v>1075.08</v>
      </c>
      <c r="K159" s="3">
        <v>32252.400000000001</v>
      </c>
      <c r="L159" t="s">
        <v>25</v>
      </c>
      <c r="M159" s="2">
        <v>46200</v>
      </c>
      <c r="N159" s="2">
        <v>46197</v>
      </c>
      <c r="O159" t="s">
        <v>26</v>
      </c>
      <c r="P159" t="s">
        <v>44</v>
      </c>
      <c r="Q159" t="s">
        <v>28</v>
      </c>
      <c r="R159" t="s">
        <v>29</v>
      </c>
    </row>
    <row r="160" spans="1:18">
      <c r="A160" t="s">
        <v>284</v>
      </c>
      <c r="B160" s="2">
        <v>45740</v>
      </c>
      <c r="C160" t="s">
        <v>142</v>
      </c>
      <c r="D160" t="s">
        <v>143</v>
      </c>
      <c r="E160" t="s">
        <v>112</v>
      </c>
      <c r="F160" t="s">
        <v>22</v>
      </c>
      <c r="G160" t="s">
        <v>23</v>
      </c>
      <c r="H160" t="s">
        <v>24</v>
      </c>
      <c r="I160">
        <v>35</v>
      </c>
      <c r="J160" s="3">
        <v>258.13</v>
      </c>
      <c r="K160" s="3">
        <v>9034.5499999999993</v>
      </c>
      <c r="L160" t="s">
        <v>25</v>
      </c>
      <c r="M160" s="2">
        <v>45745</v>
      </c>
      <c r="N160" s="2">
        <v>45744</v>
      </c>
      <c r="O160" t="s">
        <v>60</v>
      </c>
      <c r="P160" t="s">
        <v>115</v>
      </c>
      <c r="Q160" t="s">
        <v>28</v>
      </c>
      <c r="R160" t="s">
        <v>29</v>
      </c>
    </row>
    <row r="161" spans="1:18">
      <c r="A161" t="s">
        <v>285</v>
      </c>
      <c r="B161" s="2">
        <v>45701</v>
      </c>
      <c r="C161" t="s">
        <v>104</v>
      </c>
      <c r="D161" t="s">
        <v>105</v>
      </c>
      <c r="E161" t="s">
        <v>112</v>
      </c>
      <c r="F161" t="s">
        <v>49</v>
      </c>
      <c r="G161" t="s">
        <v>68</v>
      </c>
      <c r="H161" t="s">
        <v>69</v>
      </c>
      <c r="I161">
        <v>1</v>
      </c>
      <c r="J161" s="3">
        <v>50072.37</v>
      </c>
      <c r="K161" s="3">
        <v>50072.37</v>
      </c>
      <c r="L161" t="s">
        <v>25</v>
      </c>
      <c r="M161" s="2">
        <v>45714</v>
      </c>
      <c r="N161" s="2">
        <v>45714</v>
      </c>
      <c r="O161" t="s">
        <v>76</v>
      </c>
      <c r="P161" t="s">
        <v>115</v>
      </c>
      <c r="Q161" t="s">
        <v>28</v>
      </c>
      <c r="R161" t="s">
        <v>29</v>
      </c>
    </row>
    <row r="162" spans="1:18">
      <c r="A162" t="s">
        <v>286</v>
      </c>
      <c r="B162" s="2">
        <v>45870</v>
      </c>
      <c r="C162" t="s">
        <v>104</v>
      </c>
      <c r="D162" t="s">
        <v>105</v>
      </c>
      <c r="E162" t="s">
        <v>48</v>
      </c>
      <c r="F162" t="s">
        <v>49</v>
      </c>
      <c r="G162" t="s">
        <v>113</v>
      </c>
      <c r="H162" t="s">
        <v>114</v>
      </c>
      <c r="I162">
        <v>3</v>
      </c>
      <c r="J162" s="3">
        <v>38408.74</v>
      </c>
      <c r="K162" s="3">
        <v>115226.22</v>
      </c>
      <c r="L162" t="s">
        <v>25</v>
      </c>
      <c r="M162" s="2">
        <v>45888</v>
      </c>
      <c r="N162" s="2">
        <v>45886</v>
      </c>
      <c r="O162" t="s">
        <v>26</v>
      </c>
      <c r="P162" t="s">
        <v>53</v>
      </c>
      <c r="Q162" t="s">
        <v>28</v>
      </c>
      <c r="R162" t="s">
        <v>29</v>
      </c>
    </row>
    <row r="163" spans="1:18">
      <c r="A163" t="s">
        <v>287</v>
      </c>
      <c r="B163" s="2">
        <v>46012</v>
      </c>
      <c r="C163" t="s">
        <v>19</v>
      </c>
      <c r="D163" t="s">
        <v>20</v>
      </c>
      <c r="E163" t="s">
        <v>73</v>
      </c>
      <c r="F163" t="s">
        <v>22</v>
      </c>
      <c r="G163" t="s">
        <v>160</v>
      </c>
      <c r="H163" t="s">
        <v>161</v>
      </c>
      <c r="I163">
        <v>10</v>
      </c>
      <c r="J163" s="3">
        <v>2974.17</v>
      </c>
      <c r="K163" s="3">
        <v>29741.7</v>
      </c>
      <c r="L163" t="s">
        <v>25</v>
      </c>
      <c r="M163" s="2">
        <v>46023</v>
      </c>
      <c r="N163" s="2">
        <v>46021</v>
      </c>
      <c r="O163" t="s">
        <v>76</v>
      </c>
      <c r="P163" t="s">
        <v>77</v>
      </c>
      <c r="Q163" t="s">
        <v>28</v>
      </c>
      <c r="R163" t="s">
        <v>29</v>
      </c>
    </row>
    <row r="164" spans="1:18">
      <c r="A164" t="s">
        <v>288</v>
      </c>
      <c r="B164" s="2">
        <v>46160</v>
      </c>
      <c r="C164" t="s">
        <v>117</v>
      </c>
      <c r="D164" t="s">
        <v>118</v>
      </c>
      <c r="E164" t="s">
        <v>31</v>
      </c>
      <c r="F164" t="s">
        <v>57</v>
      </c>
      <c r="G164" t="s">
        <v>74</v>
      </c>
      <c r="H164" t="s">
        <v>75</v>
      </c>
      <c r="I164">
        <v>7</v>
      </c>
      <c r="J164" s="3">
        <v>8833.02</v>
      </c>
      <c r="K164" s="3">
        <v>61831.14</v>
      </c>
      <c r="L164" t="s">
        <v>34</v>
      </c>
      <c r="M164" s="2">
        <v>46166</v>
      </c>
      <c r="N164" s="2">
        <v>46164</v>
      </c>
      <c r="O164" t="s">
        <v>43</v>
      </c>
      <c r="P164" t="s">
        <v>94</v>
      </c>
      <c r="Q164" t="s">
        <v>28</v>
      </c>
      <c r="R164" t="s">
        <v>29</v>
      </c>
    </row>
    <row r="165" spans="1:18">
      <c r="A165" t="s">
        <v>289</v>
      </c>
      <c r="B165" s="2">
        <v>45932</v>
      </c>
      <c r="C165" t="s">
        <v>71</v>
      </c>
      <c r="D165" t="s">
        <v>72</v>
      </c>
      <c r="E165" t="s">
        <v>48</v>
      </c>
      <c r="F165" t="s">
        <v>57</v>
      </c>
      <c r="G165" t="s">
        <v>120</v>
      </c>
      <c r="H165" t="s">
        <v>121</v>
      </c>
      <c r="I165">
        <v>2</v>
      </c>
      <c r="J165" s="3">
        <v>20320.68</v>
      </c>
      <c r="K165" s="3">
        <v>40641.360000000001</v>
      </c>
      <c r="L165" t="s">
        <v>25</v>
      </c>
      <c r="M165" s="2">
        <v>45937</v>
      </c>
      <c r="N165" s="2">
        <v>45934</v>
      </c>
      <c r="O165" t="s">
        <v>76</v>
      </c>
      <c r="P165" t="s">
        <v>53</v>
      </c>
      <c r="Q165" t="s">
        <v>28</v>
      </c>
      <c r="R165" t="s">
        <v>29</v>
      </c>
    </row>
    <row r="166" spans="1:18">
      <c r="A166" t="s">
        <v>290</v>
      </c>
      <c r="B166" s="2">
        <v>45793</v>
      </c>
      <c r="C166" t="s">
        <v>71</v>
      </c>
      <c r="D166" t="s">
        <v>72</v>
      </c>
      <c r="E166" t="s">
        <v>73</v>
      </c>
      <c r="F166" t="s">
        <v>57</v>
      </c>
      <c r="G166" t="s">
        <v>127</v>
      </c>
      <c r="H166" t="s">
        <v>128</v>
      </c>
      <c r="I166">
        <v>2</v>
      </c>
      <c r="J166" s="3">
        <v>14818.6</v>
      </c>
      <c r="K166" s="3">
        <v>29637.200000000001</v>
      </c>
      <c r="L166" t="s">
        <v>52</v>
      </c>
      <c r="M166" s="2">
        <v>45803</v>
      </c>
      <c r="N166" s="2">
        <v>45801</v>
      </c>
      <c r="O166" t="s">
        <v>43</v>
      </c>
      <c r="P166" t="s">
        <v>77</v>
      </c>
      <c r="Q166" t="s">
        <v>28</v>
      </c>
      <c r="R166" t="s">
        <v>29</v>
      </c>
    </row>
    <row r="167" spans="1:18">
      <c r="A167" t="s">
        <v>291</v>
      </c>
      <c r="B167" s="2">
        <v>46081</v>
      </c>
      <c r="C167" t="s">
        <v>80</v>
      </c>
      <c r="D167" t="s">
        <v>81</v>
      </c>
      <c r="E167" t="s">
        <v>39</v>
      </c>
      <c r="F167" t="s">
        <v>82</v>
      </c>
      <c r="G167" t="s">
        <v>83</v>
      </c>
      <c r="H167" t="s">
        <v>84</v>
      </c>
      <c r="I167">
        <v>29</v>
      </c>
      <c r="J167" s="3">
        <v>667.08</v>
      </c>
      <c r="K167" s="3">
        <v>19345.32</v>
      </c>
      <c r="L167" t="s">
        <v>25</v>
      </c>
      <c r="M167" s="2">
        <v>46088</v>
      </c>
      <c r="N167" s="2">
        <v>46094</v>
      </c>
      <c r="O167" t="s">
        <v>26</v>
      </c>
      <c r="P167" t="s">
        <v>64</v>
      </c>
      <c r="Q167" t="s">
        <v>28</v>
      </c>
      <c r="R167" t="s">
        <v>129</v>
      </c>
    </row>
    <row r="168" spans="1:18">
      <c r="A168" t="s">
        <v>292</v>
      </c>
      <c r="B168" s="2">
        <v>45829</v>
      </c>
      <c r="C168" t="s">
        <v>104</v>
      </c>
      <c r="D168" t="s">
        <v>105</v>
      </c>
      <c r="E168" t="s">
        <v>73</v>
      </c>
      <c r="F168" t="s">
        <v>49</v>
      </c>
      <c r="G168" t="s">
        <v>113</v>
      </c>
      <c r="H168" t="s">
        <v>114</v>
      </c>
      <c r="I168">
        <v>2</v>
      </c>
      <c r="J168" s="3">
        <v>39709.24</v>
      </c>
      <c r="K168" s="3">
        <v>79418.48</v>
      </c>
      <c r="L168" t="s">
        <v>25</v>
      </c>
      <c r="M168" s="2">
        <v>45843</v>
      </c>
      <c r="N168" s="2">
        <v>45840</v>
      </c>
      <c r="O168" t="s">
        <v>76</v>
      </c>
      <c r="P168" t="s">
        <v>77</v>
      </c>
      <c r="Q168" t="s">
        <v>28</v>
      </c>
      <c r="R168" t="s">
        <v>29</v>
      </c>
    </row>
    <row r="169" spans="1:18">
      <c r="A169" t="s">
        <v>293</v>
      </c>
      <c r="B169" s="2">
        <v>46063</v>
      </c>
      <c r="C169" t="s">
        <v>55</v>
      </c>
      <c r="D169" t="s">
        <v>56</v>
      </c>
      <c r="E169" t="s">
        <v>31</v>
      </c>
      <c r="F169" t="s">
        <v>57</v>
      </c>
      <c r="G169" t="s">
        <v>74</v>
      </c>
      <c r="H169" t="s">
        <v>75</v>
      </c>
      <c r="I169">
        <v>14</v>
      </c>
      <c r="J169" s="3">
        <v>9932.9699999999993</v>
      </c>
      <c r="K169" s="3">
        <v>139061.57999999999</v>
      </c>
      <c r="L169" t="s">
        <v>25</v>
      </c>
      <c r="M169" s="2">
        <v>46078</v>
      </c>
      <c r="N169" s="2">
        <v>46077</v>
      </c>
      <c r="O169" t="s">
        <v>26</v>
      </c>
      <c r="P169" t="s">
        <v>35</v>
      </c>
      <c r="Q169" t="s">
        <v>28</v>
      </c>
      <c r="R169" t="s">
        <v>29</v>
      </c>
    </row>
    <row r="170" spans="1:18">
      <c r="A170" t="s">
        <v>294</v>
      </c>
      <c r="B170" s="2">
        <v>45979</v>
      </c>
      <c r="C170" t="s">
        <v>46</v>
      </c>
      <c r="D170" t="s">
        <v>47</v>
      </c>
      <c r="E170" t="s">
        <v>73</v>
      </c>
      <c r="F170" t="s">
        <v>49</v>
      </c>
      <c r="G170" t="s">
        <v>165</v>
      </c>
      <c r="H170" t="s">
        <v>166</v>
      </c>
      <c r="I170">
        <v>3</v>
      </c>
      <c r="J170" s="3">
        <v>48509.05</v>
      </c>
      <c r="K170" s="3">
        <v>145527.15</v>
      </c>
      <c r="L170" t="s">
        <v>25</v>
      </c>
      <c r="M170" s="2">
        <v>45996</v>
      </c>
      <c r="N170" s="2">
        <v>45993</v>
      </c>
      <c r="O170" t="s">
        <v>60</v>
      </c>
      <c r="P170" t="s">
        <v>77</v>
      </c>
      <c r="Q170" t="s">
        <v>28</v>
      </c>
      <c r="R170" t="s">
        <v>29</v>
      </c>
    </row>
    <row r="171" spans="1:18">
      <c r="A171" t="s">
        <v>295</v>
      </c>
      <c r="B171" s="2">
        <v>45862</v>
      </c>
      <c r="C171" t="s">
        <v>142</v>
      </c>
      <c r="D171" t="s">
        <v>143</v>
      </c>
      <c r="E171" t="s">
        <v>31</v>
      </c>
      <c r="F171" t="s">
        <v>22</v>
      </c>
      <c r="G171" t="s">
        <v>32</v>
      </c>
      <c r="H171" t="s">
        <v>33</v>
      </c>
      <c r="I171">
        <v>12</v>
      </c>
      <c r="J171" s="3">
        <v>7998.5</v>
      </c>
      <c r="K171" s="3">
        <v>95982</v>
      </c>
      <c r="L171" t="s">
        <v>34</v>
      </c>
      <c r="M171" s="2">
        <v>45870</v>
      </c>
      <c r="N171" s="2">
        <v>45868</v>
      </c>
      <c r="O171" t="s">
        <v>43</v>
      </c>
      <c r="P171" t="s">
        <v>35</v>
      </c>
      <c r="Q171" t="s">
        <v>28</v>
      </c>
      <c r="R171" t="s">
        <v>29</v>
      </c>
    </row>
    <row r="172" spans="1:18">
      <c r="A172" t="s">
        <v>296</v>
      </c>
      <c r="B172" s="2">
        <v>46169</v>
      </c>
      <c r="C172" t="s">
        <v>46</v>
      </c>
      <c r="D172" t="s">
        <v>47</v>
      </c>
      <c r="E172" t="s">
        <v>21</v>
      </c>
      <c r="F172" t="s">
        <v>49</v>
      </c>
      <c r="G172" t="s">
        <v>50</v>
      </c>
      <c r="H172" t="s">
        <v>51</v>
      </c>
      <c r="I172">
        <v>1</v>
      </c>
      <c r="J172" s="3">
        <v>56829.65</v>
      </c>
      <c r="K172" s="3">
        <v>56829.65</v>
      </c>
      <c r="L172" t="s">
        <v>34</v>
      </c>
      <c r="M172" s="2">
        <v>46181</v>
      </c>
      <c r="N172" s="2">
        <v>46178</v>
      </c>
      <c r="O172" t="s">
        <v>60</v>
      </c>
      <c r="P172" t="s">
        <v>27</v>
      </c>
      <c r="Q172" t="s">
        <v>28</v>
      </c>
      <c r="R172" t="s">
        <v>29</v>
      </c>
    </row>
    <row r="173" spans="1:18">
      <c r="A173" t="s">
        <v>297</v>
      </c>
      <c r="B173" s="2">
        <v>45745</v>
      </c>
      <c r="C173" t="s">
        <v>117</v>
      </c>
      <c r="D173" t="s">
        <v>118</v>
      </c>
      <c r="E173" t="s">
        <v>21</v>
      </c>
      <c r="F173" t="s">
        <v>57</v>
      </c>
      <c r="G173" t="s">
        <v>58</v>
      </c>
      <c r="H173" t="s">
        <v>59</v>
      </c>
      <c r="I173">
        <v>7</v>
      </c>
      <c r="J173" s="3">
        <v>58198.03</v>
      </c>
      <c r="K173" s="3">
        <v>407386.21</v>
      </c>
      <c r="L173" t="s">
        <v>25</v>
      </c>
      <c r="M173" s="2">
        <v>45762</v>
      </c>
      <c r="N173" s="2">
        <v>45759</v>
      </c>
      <c r="O173" t="s">
        <v>43</v>
      </c>
      <c r="P173" t="s">
        <v>27</v>
      </c>
      <c r="Q173" t="s">
        <v>28</v>
      </c>
      <c r="R173" t="s">
        <v>29</v>
      </c>
    </row>
    <row r="174" spans="1:18">
      <c r="A174" t="s">
        <v>298</v>
      </c>
      <c r="B174" s="2">
        <v>45885</v>
      </c>
      <c r="C174" t="s">
        <v>19</v>
      </c>
      <c r="D174" t="s">
        <v>20</v>
      </c>
      <c r="E174" t="s">
        <v>31</v>
      </c>
      <c r="F174" t="s">
        <v>22</v>
      </c>
      <c r="G174" t="s">
        <v>32</v>
      </c>
      <c r="H174" t="s">
        <v>33</v>
      </c>
      <c r="I174">
        <v>7</v>
      </c>
      <c r="J174" s="3">
        <v>7254.87</v>
      </c>
      <c r="K174" s="3">
        <v>50784.09</v>
      </c>
      <c r="L174" t="s">
        <v>25</v>
      </c>
      <c r="M174" s="2">
        <v>45897</v>
      </c>
      <c r="N174" s="2">
        <v>45896</v>
      </c>
      <c r="O174" t="s">
        <v>43</v>
      </c>
      <c r="P174" t="s">
        <v>35</v>
      </c>
      <c r="Q174" t="s">
        <v>28</v>
      </c>
      <c r="R174" t="s">
        <v>29</v>
      </c>
    </row>
    <row r="175" spans="1:18">
      <c r="A175" t="s">
        <v>299</v>
      </c>
      <c r="B175" s="2">
        <v>45765</v>
      </c>
      <c r="C175" t="s">
        <v>37</v>
      </c>
      <c r="D175" t="s">
        <v>38</v>
      </c>
      <c r="E175" t="s">
        <v>112</v>
      </c>
      <c r="F175" t="s">
        <v>22</v>
      </c>
      <c r="G175" t="s">
        <v>23</v>
      </c>
      <c r="H175" t="s">
        <v>24</v>
      </c>
      <c r="I175">
        <v>27</v>
      </c>
      <c r="J175" s="3">
        <v>285.02</v>
      </c>
      <c r="K175" s="3">
        <v>7695.54</v>
      </c>
      <c r="L175" t="s">
        <v>25</v>
      </c>
      <c r="M175" s="2">
        <v>45774</v>
      </c>
      <c r="N175" s="2">
        <v>45773</v>
      </c>
      <c r="O175" t="s">
        <v>76</v>
      </c>
      <c r="P175" t="s">
        <v>115</v>
      </c>
      <c r="Q175" t="s">
        <v>28</v>
      </c>
      <c r="R175" t="s">
        <v>29</v>
      </c>
    </row>
    <row r="176" spans="1:18">
      <c r="A176" t="s">
        <v>300</v>
      </c>
      <c r="B176" s="2">
        <v>45757</v>
      </c>
      <c r="C176" t="s">
        <v>104</v>
      </c>
      <c r="D176" t="s">
        <v>105</v>
      </c>
      <c r="E176" t="s">
        <v>48</v>
      </c>
      <c r="F176" t="s">
        <v>49</v>
      </c>
      <c r="G176" t="s">
        <v>113</v>
      </c>
      <c r="H176" t="s">
        <v>114</v>
      </c>
      <c r="I176">
        <v>1</v>
      </c>
      <c r="J176" s="3">
        <v>39250.839999999997</v>
      </c>
      <c r="K176" s="3">
        <v>39250.839999999997</v>
      </c>
      <c r="L176" t="s">
        <v>34</v>
      </c>
      <c r="M176" s="2">
        <v>45762</v>
      </c>
      <c r="N176" s="2">
        <v>45762</v>
      </c>
      <c r="O176" t="s">
        <v>26</v>
      </c>
      <c r="P176" t="s">
        <v>53</v>
      </c>
      <c r="Q176" t="s">
        <v>28</v>
      </c>
      <c r="R176" t="s">
        <v>29</v>
      </c>
    </row>
    <row r="177" spans="1:18">
      <c r="A177" t="s">
        <v>301</v>
      </c>
      <c r="B177" s="2">
        <v>46186</v>
      </c>
      <c r="C177" t="s">
        <v>80</v>
      </c>
      <c r="D177" t="s">
        <v>81</v>
      </c>
      <c r="E177" t="s">
        <v>39</v>
      </c>
      <c r="F177" t="s">
        <v>82</v>
      </c>
      <c r="G177" t="s">
        <v>98</v>
      </c>
      <c r="H177" t="s">
        <v>99</v>
      </c>
      <c r="I177">
        <v>30</v>
      </c>
      <c r="J177" s="3">
        <v>1071.5999999999999</v>
      </c>
      <c r="K177" s="3">
        <v>32148</v>
      </c>
      <c r="L177" t="s">
        <v>25</v>
      </c>
      <c r="M177" s="2">
        <v>46201</v>
      </c>
      <c r="N177" s="2">
        <v>46198</v>
      </c>
      <c r="O177" t="s">
        <v>26</v>
      </c>
      <c r="P177" t="s">
        <v>44</v>
      </c>
      <c r="Q177" t="s">
        <v>28</v>
      </c>
      <c r="R177" t="s">
        <v>29</v>
      </c>
    </row>
    <row r="178" spans="1:18">
      <c r="A178" t="s">
        <v>302</v>
      </c>
      <c r="B178" s="2">
        <v>46097</v>
      </c>
      <c r="C178" t="s">
        <v>71</v>
      </c>
      <c r="D178" t="s">
        <v>72</v>
      </c>
      <c r="E178" t="s">
        <v>48</v>
      </c>
      <c r="F178" t="s">
        <v>57</v>
      </c>
      <c r="G178" t="s">
        <v>58</v>
      </c>
      <c r="H178" t="s">
        <v>59</v>
      </c>
      <c r="I178">
        <v>2</v>
      </c>
      <c r="J178" s="3">
        <v>54980.35</v>
      </c>
      <c r="K178" s="3">
        <v>109960.7</v>
      </c>
      <c r="L178" t="s">
        <v>25</v>
      </c>
      <c r="M178" s="2">
        <v>46111</v>
      </c>
      <c r="N178" s="2">
        <v>46126</v>
      </c>
      <c r="O178" t="s">
        <v>76</v>
      </c>
      <c r="P178" t="s">
        <v>53</v>
      </c>
      <c r="Q178" t="s">
        <v>28</v>
      </c>
      <c r="R178" t="s">
        <v>129</v>
      </c>
    </row>
    <row r="179" spans="1:18">
      <c r="A179" t="s">
        <v>303</v>
      </c>
      <c r="B179" s="2">
        <v>45859</v>
      </c>
      <c r="C179" t="s">
        <v>46</v>
      </c>
      <c r="D179" t="s">
        <v>47</v>
      </c>
      <c r="E179" t="s">
        <v>21</v>
      </c>
      <c r="F179" t="s">
        <v>49</v>
      </c>
      <c r="G179" t="s">
        <v>165</v>
      </c>
      <c r="H179" t="s">
        <v>166</v>
      </c>
      <c r="I179">
        <v>3</v>
      </c>
      <c r="J179" s="3">
        <v>48416.35</v>
      </c>
      <c r="K179" s="3">
        <v>145249.04999999999</v>
      </c>
      <c r="L179" t="s">
        <v>34</v>
      </c>
      <c r="M179" s="2">
        <v>45865</v>
      </c>
      <c r="N179" s="2">
        <v>45862</v>
      </c>
      <c r="O179" t="s">
        <v>76</v>
      </c>
      <c r="P179" t="s">
        <v>27</v>
      </c>
      <c r="Q179" t="s">
        <v>28</v>
      </c>
      <c r="R179" t="s">
        <v>29</v>
      </c>
    </row>
    <row r="180" spans="1:18">
      <c r="A180" t="s">
        <v>304</v>
      </c>
      <c r="B180" s="2">
        <v>45795</v>
      </c>
      <c r="C180" t="s">
        <v>142</v>
      </c>
      <c r="D180" t="s">
        <v>143</v>
      </c>
      <c r="E180" t="s">
        <v>39</v>
      </c>
      <c r="F180" t="s">
        <v>22</v>
      </c>
      <c r="G180" t="s">
        <v>23</v>
      </c>
      <c r="H180" t="s">
        <v>24</v>
      </c>
      <c r="I180">
        <v>29</v>
      </c>
      <c r="J180" s="3">
        <v>238.32</v>
      </c>
      <c r="K180" s="3">
        <v>6911.28</v>
      </c>
      <c r="L180" t="s">
        <v>25</v>
      </c>
      <c r="M180" s="2">
        <v>45806</v>
      </c>
      <c r="N180" s="2">
        <v>45803</v>
      </c>
      <c r="O180" t="s">
        <v>60</v>
      </c>
      <c r="P180" t="s">
        <v>64</v>
      </c>
      <c r="Q180" t="s">
        <v>28</v>
      </c>
      <c r="R180" t="s">
        <v>29</v>
      </c>
    </row>
    <row r="181" spans="1:18">
      <c r="A181" t="s">
        <v>305</v>
      </c>
      <c r="B181" s="2">
        <v>45828</v>
      </c>
      <c r="C181" t="s">
        <v>134</v>
      </c>
      <c r="D181" t="s">
        <v>135</v>
      </c>
      <c r="E181" t="s">
        <v>39</v>
      </c>
      <c r="F181" t="s">
        <v>40</v>
      </c>
      <c r="G181" t="s">
        <v>62</v>
      </c>
      <c r="H181" t="s">
        <v>63</v>
      </c>
      <c r="I181">
        <v>1</v>
      </c>
      <c r="J181" s="3">
        <v>19201.09</v>
      </c>
      <c r="K181" s="3">
        <v>19201.09</v>
      </c>
      <c r="L181" t="s">
        <v>52</v>
      </c>
      <c r="M181" s="2">
        <v>45840</v>
      </c>
      <c r="N181" s="2">
        <v>45837</v>
      </c>
      <c r="O181" t="s">
        <v>60</v>
      </c>
      <c r="P181" t="s">
        <v>44</v>
      </c>
      <c r="Q181" t="s">
        <v>28</v>
      </c>
      <c r="R181" t="s">
        <v>29</v>
      </c>
    </row>
    <row r="182" spans="1:18">
      <c r="A182" t="s">
        <v>306</v>
      </c>
      <c r="B182" s="2">
        <v>46161</v>
      </c>
      <c r="C182" t="s">
        <v>104</v>
      </c>
      <c r="D182" t="s">
        <v>105</v>
      </c>
      <c r="E182" t="s">
        <v>48</v>
      </c>
      <c r="F182" t="s">
        <v>49</v>
      </c>
      <c r="G182" t="s">
        <v>50</v>
      </c>
      <c r="H182" t="s">
        <v>51</v>
      </c>
      <c r="I182">
        <v>1</v>
      </c>
      <c r="J182" s="3">
        <v>50064.43</v>
      </c>
      <c r="K182" s="3">
        <v>50064.43</v>
      </c>
      <c r="L182" t="s">
        <v>25</v>
      </c>
      <c r="M182" s="2">
        <v>46170</v>
      </c>
      <c r="N182" s="2">
        <v>46175</v>
      </c>
      <c r="O182" t="s">
        <v>26</v>
      </c>
      <c r="P182" t="s">
        <v>53</v>
      </c>
      <c r="Q182" t="s">
        <v>28</v>
      </c>
      <c r="R182" t="s">
        <v>129</v>
      </c>
    </row>
    <row r="183" spans="1:18">
      <c r="A183" t="s">
        <v>307</v>
      </c>
      <c r="B183" s="2">
        <v>46165</v>
      </c>
      <c r="C183" t="s">
        <v>19</v>
      </c>
      <c r="D183" t="s">
        <v>20</v>
      </c>
      <c r="E183" t="s">
        <v>39</v>
      </c>
      <c r="F183" t="s">
        <v>22</v>
      </c>
      <c r="G183" t="s">
        <v>160</v>
      </c>
      <c r="H183" t="s">
        <v>161</v>
      </c>
      <c r="I183">
        <v>6</v>
      </c>
      <c r="J183" s="3">
        <v>3029.38</v>
      </c>
      <c r="K183" s="3">
        <v>18176.28</v>
      </c>
      <c r="L183" t="s">
        <v>34</v>
      </c>
      <c r="M183" s="2">
        <v>46178</v>
      </c>
      <c r="N183" s="2">
        <v>46178</v>
      </c>
      <c r="O183" t="s">
        <v>60</v>
      </c>
      <c r="P183" t="s">
        <v>64</v>
      </c>
      <c r="Q183" t="s">
        <v>28</v>
      </c>
      <c r="R183" t="s">
        <v>29</v>
      </c>
    </row>
    <row r="184" spans="1:18">
      <c r="A184" t="s">
        <v>308</v>
      </c>
      <c r="B184" s="2">
        <v>46093</v>
      </c>
      <c r="C184" t="s">
        <v>131</v>
      </c>
      <c r="D184" t="s">
        <v>132</v>
      </c>
      <c r="E184" t="s">
        <v>48</v>
      </c>
      <c r="F184" t="s">
        <v>57</v>
      </c>
      <c r="G184" t="s">
        <v>58</v>
      </c>
      <c r="H184" t="s">
        <v>59</v>
      </c>
      <c r="I184">
        <v>5</v>
      </c>
      <c r="J184" s="3">
        <v>57456.29</v>
      </c>
      <c r="K184" s="3">
        <v>287281.45</v>
      </c>
      <c r="L184" t="s">
        <v>25</v>
      </c>
      <c r="M184" s="2">
        <v>46103</v>
      </c>
      <c r="N184" s="2">
        <v>46103</v>
      </c>
      <c r="O184" t="s">
        <v>43</v>
      </c>
      <c r="P184" t="s">
        <v>53</v>
      </c>
      <c r="Q184" t="s">
        <v>28</v>
      </c>
      <c r="R184" t="s">
        <v>29</v>
      </c>
    </row>
    <row r="185" spans="1:18">
      <c r="A185" t="s">
        <v>309</v>
      </c>
      <c r="B185" s="2">
        <v>46096</v>
      </c>
      <c r="C185" t="s">
        <v>37</v>
      </c>
      <c r="D185" t="s">
        <v>38</v>
      </c>
      <c r="E185" t="s">
        <v>39</v>
      </c>
      <c r="F185" t="s">
        <v>22</v>
      </c>
      <c r="G185" t="s">
        <v>23</v>
      </c>
      <c r="H185" t="s">
        <v>24</v>
      </c>
      <c r="I185">
        <v>39</v>
      </c>
      <c r="J185" s="3">
        <v>265.11</v>
      </c>
      <c r="K185" s="3">
        <v>10339.290000000001</v>
      </c>
      <c r="L185" t="s">
        <v>25</v>
      </c>
      <c r="M185" s="2">
        <v>46105</v>
      </c>
      <c r="N185" s="2">
        <v>46104</v>
      </c>
      <c r="O185" t="s">
        <v>76</v>
      </c>
      <c r="P185" t="s">
        <v>44</v>
      </c>
      <c r="Q185" t="s">
        <v>28</v>
      </c>
      <c r="R185" t="s">
        <v>29</v>
      </c>
    </row>
    <row r="186" spans="1:18">
      <c r="A186" t="s">
        <v>310</v>
      </c>
      <c r="B186" s="2">
        <v>45755</v>
      </c>
      <c r="C186" t="s">
        <v>66</v>
      </c>
      <c r="D186" t="s">
        <v>67</v>
      </c>
      <c r="E186" t="s">
        <v>48</v>
      </c>
      <c r="F186" t="s">
        <v>49</v>
      </c>
      <c r="G186" t="s">
        <v>113</v>
      </c>
      <c r="H186" t="s">
        <v>114</v>
      </c>
      <c r="I186">
        <v>1</v>
      </c>
      <c r="J186" s="3">
        <v>38261.94</v>
      </c>
      <c r="K186" s="3">
        <v>38261.94</v>
      </c>
      <c r="L186" t="s">
        <v>25</v>
      </c>
      <c r="M186" s="2">
        <v>45771</v>
      </c>
      <c r="N186" s="2">
        <v>45770</v>
      </c>
      <c r="O186" t="s">
        <v>76</v>
      </c>
      <c r="P186" t="s">
        <v>53</v>
      </c>
      <c r="Q186" t="s">
        <v>28</v>
      </c>
      <c r="R186" t="s">
        <v>29</v>
      </c>
    </row>
    <row r="187" spans="1:18">
      <c r="A187" t="s">
        <v>311</v>
      </c>
      <c r="B187" s="2">
        <v>46060</v>
      </c>
      <c r="C187" t="s">
        <v>71</v>
      </c>
      <c r="D187" t="s">
        <v>72</v>
      </c>
      <c r="E187" t="s">
        <v>31</v>
      </c>
      <c r="F187" t="s">
        <v>57</v>
      </c>
      <c r="G187" t="s">
        <v>120</v>
      </c>
      <c r="H187" t="s">
        <v>121</v>
      </c>
      <c r="I187">
        <v>2</v>
      </c>
      <c r="J187" s="3">
        <v>20488.91</v>
      </c>
      <c r="K187" s="3">
        <v>40977.82</v>
      </c>
      <c r="L187" t="s">
        <v>34</v>
      </c>
      <c r="M187" s="2">
        <v>46071</v>
      </c>
      <c r="N187" s="2">
        <v>46069</v>
      </c>
      <c r="O187" t="s">
        <v>76</v>
      </c>
      <c r="P187" t="s">
        <v>35</v>
      </c>
      <c r="Q187" t="s">
        <v>28</v>
      </c>
      <c r="R187" t="s">
        <v>29</v>
      </c>
    </row>
    <row r="188" spans="1:18">
      <c r="A188" t="s">
        <v>312</v>
      </c>
      <c r="B188" s="2">
        <v>46157</v>
      </c>
      <c r="C188" t="s">
        <v>80</v>
      </c>
      <c r="D188" t="s">
        <v>81</v>
      </c>
      <c r="E188" t="s">
        <v>39</v>
      </c>
      <c r="F188" t="s">
        <v>82</v>
      </c>
      <c r="G188" t="s">
        <v>83</v>
      </c>
      <c r="H188" t="s">
        <v>84</v>
      </c>
      <c r="I188">
        <v>47</v>
      </c>
      <c r="J188" s="3">
        <v>684.86</v>
      </c>
      <c r="K188" s="3">
        <v>32188.42</v>
      </c>
      <c r="L188" t="s">
        <v>34</v>
      </c>
      <c r="M188" s="2">
        <v>46173</v>
      </c>
      <c r="N188" s="2">
        <v>46173</v>
      </c>
      <c r="O188" t="s">
        <v>60</v>
      </c>
      <c r="P188" t="s">
        <v>64</v>
      </c>
      <c r="Q188" t="s">
        <v>28</v>
      </c>
      <c r="R188" t="s">
        <v>29</v>
      </c>
    </row>
    <row r="189" spans="1:18">
      <c r="A189" t="s">
        <v>313</v>
      </c>
      <c r="B189" s="2">
        <v>46164</v>
      </c>
      <c r="C189" t="s">
        <v>46</v>
      </c>
      <c r="D189" t="s">
        <v>47</v>
      </c>
      <c r="E189" t="s">
        <v>48</v>
      </c>
      <c r="F189" t="s">
        <v>49</v>
      </c>
      <c r="G189" t="s">
        <v>50</v>
      </c>
      <c r="H189" t="s">
        <v>51</v>
      </c>
      <c r="I189">
        <v>1</v>
      </c>
      <c r="J189" s="3">
        <v>55322.86</v>
      </c>
      <c r="K189" s="3">
        <v>55322.86</v>
      </c>
      <c r="L189" t="s">
        <v>25</v>
      </c>
      <c r="M189" s="2">
        <v>46179</v>
      </c>
      <c r="N189" s="2">
        <v>46179</v>
      </c>
      <c r="O189" t="s">
        <v>60</v>
      </c>
      <c r="P189" t="s">
        <v>53</v>
      </c>
      <c r="Q189" t="s">
        <v>28</v>
      </c>
      <c r="R189" t="s">
        <v>29</v>
      </c>
    </row>
    <row r="190" spans="1:18">
      <c r="A190" t="s">
        <v>314</v>
      </c>
      <c r="B190" s="2">
        <v>45819</v>
      </c>
      <c r="C190" t="s">
        <v>147</v>
      </c>
      <c r="D190" t="s">
        <v>148</v>
      </c>
      <c r="E190" t="s">
        <v>39</v>
      </c>
      <c r="F190" t="s">
        <v>40</v>
      </c>
      <c r="G190" t="s">
        <v>149</v>
      </c>
      <c r="H190" t="s">
        <v>150</v>
      </c>
      <c r="I190">
        <v>46</v>
      </c>
      <c r="J190" s="3">
        <v>1350.23</v>
      </c>
      <c r="K190" s="3">
        <v>62110.58</v>
      </c>
      <c r="L190" t="s">
        <v>25</v>
      </c>
      <c r="M190" s="2">
        <v>45828</v>
      </c>
      <c r="N190" s="2">
        <v>45834</v>
      </c>
      <c r="O190" t="s">
        <v>76</v>
      </c>
      <c r="P190" t="s">
        <v>44</v>
      </c>
      <c r="Q190" t="s">
        <v>28</v>
      </c>
      <c r="R190" t="s">
        <v>129</v>
      </c>
    </row>
    <row r="191" spans="1:18">
      <c r="A191" t="s">
        <v>315</v>
      </c>
      <c r="B191" s="2">
        <v>45742</v>
      </c>
      <c r="C191" t="s">
        <v>142</v>
      </c>
      <c r="D191" t="s">
        <v>143</v>
      </c>
      <c r="E191" t="s">
        <v>112</v>
      </c>
      <c r="F191" t="s">
        <v>22</v>
      </c>
      <c r="G191" t="s">
        <v>23</v>
      </c>
      <c r="H191" t="s">
        <v>24</v>
      </c>
      <c r="I191">
        <v>49</v>
      </c>
      <c r="J191" s="3">
        <v>256.45</v>
      </c>
      <c r="K191" s="3">
        <v>12566.05</v>
      </c>
      <c r="L191" t="s">
        <v>34</v>
      </c>
      <c r="M191" s="2">
        <v>45759</v>
      </c>
      <c r="N191" s="2">
        <v>45759</v>
      </c>
      <c r="O191" t="s">
        <v>43</v>
      </c>
      <c r="P191" t="s">
        <v>115</v>
      </c>
      <c r="Q191" t="s">
        <v>28</v>
      </c>
      <c r="R191" t="s">
        <v>29</v>
      </c>
    </row>
    <row r="192" spans="1:18">
      <c r="A192" t="s">
        <v>316</v>
      </c>
      <c r="B192" s="2">
        <v>46146</v>
      </c>
      <c r="C192" t="s">
        <v>142</v>
      </c>
      <c r="D192" t="s">
        <v>143</v>
      </c>
      <c r="E192" t="s">
        <v>31</v>
      </c>
      <c r="F192" t="s">
        <v>22</v>
      </c>
      <c r="G192" t="s">
        <v>32</v>
      </c>
      <c r="H192" t="s">
        <v>33</v>
      </c>
      <c r="I192">
        <v>6</v>
      </c>
      <c r="J192" s="3">
        <v>7493.66</v>
      </c>
      <c r="K192" s="3">
        <v>44961.96</v>
      </c>
      <c r="L192" t="s">
        <v>34</v>
      </c>
      <c r="M192" s="2">
        <v>46164</v>
      </c>
      <c r="N192" s="2">
        <v>46161</v>
      </c>
      <c r="O192" t="s">
        <v>60</v>
      </c>
      <c r="P192" t="s">
        <v>94</v>
      </c>
      <c r="Q192" t="s">
        <v>28</v>
      </c>
      <c r="R192" t="s">
        <v>29</v>
      </c>
    </row>
    <row r="193" spans="1:18">
      <c r="A193" t="s">
        <v>317</v>
      </c>
      <c r="B193" s="2">
        <v>45892</v>
      </c>
      <c r="C193" t="s">
        <v>55</v>
      </c>
      <c r="D193" t="s">
        <v>56</v>
      </c>
      <c r="E193" t="s">
        <v>48</v>
      </c>
      <c r="F193" t="s">
        <v>57</v>
      </c>
      <c r="G193" t="s">
        <v>101</v>
      </c>
      <c r="H193" t="s">
        <v>102</v>
      </c>
      <c r="I193">
        <v>13</v>
      </c>
      <c r="J193" s="3">
        <v>2076.5</v>
      </c>
      <c r="K193" s="3">
        <v>26994.5</v>
      </c>
      <c r="L193" t="s">
        <v>34</v>
      </c>
      <c r="M193" s="2">
        <v>45903</v>
      </c>
      <c r="N193" s="2">
        <v>45902</v>
      </c>
      <c r="O193" t="s">
        <v>26</v>
      </c>
      <c r="P193" t="s">
        <v>53</v>
      </c>
      <c r="Q193" t="s">
        <v>28</v>
      </c>
      <c r="R193" t="s">
        <v>29</v>
      </c>
    </row>
    <row r="194" spans="1:18">
      <c r="A194" t="s">
        <v>318</v>
      </c>
      <c r="B194" s="2">
        <v>46201</v>
      </c>
      <c r="C194" t="s">
        <v>89</v>
      </c>
      <c r="D194" t="s">
        <v>90</v>
      </c>
      <c r="E194" t="s">
        <v>31</v>
      </c>
      <c r="F194" t="s">
        <v>91</v>
      </c>
      <c r="G194" t="s">
        <v>109</v>
      </c>
      <c r="H194" t="s">
        <v>110</v>
      </c>
      <c r="I194">
        <v>1</v>
      </c>
      <c r="J194" s="3">
        <v>12239.69</v>
      </c>
      <c r="K194" s="3">
        <v>12239.69</v>
      </c>
      <c r="L194" t="s">
        <v>25</v>
      </c>
      <c r="M194" s="2">
        <v>46212</v>
      </c>
      <c r="N194" s="2">
        <v>46209</v>
      </c>
      <c r="O194" t="s">
        <v>43</v>
      </c>
      <c r="P194" t="s">
        <v>94</v>
      </c>
      <c r="Q194" t="s">
        <v>28</v>
      </c>
      <c r="R194" t="s">
        <v>29</v>
      </c>
    </row>
    <row r="195" spans="1:18">
      <c r="A195" t="s">
        <v>319</v>
      </c>
      <c r="B195" s="2">
        <v>45784</v>
      </c>
      <c r="C195" t="s">
        <v>66</v>
      </c>
      <c r="D195" t="s">
        <v>67</v>
      </c>
      <c r="E195" t="s">
        <v>73</v>
      </c>
      <c r="F195" t="s">
        <v>49</v>
      </c>
      <c r="G195" t="s">
        <v>165</v>
      </c>
      <c r="H195" t="s">
        <v>166</v>
      </c>
      <c r="I195">
        <v>1</v>
      </c>
      <c r="J195" s="3">
        <v>42877.43</v>
      </c>
      <c r="K195" s="3">
        <v>42877.43</v>
      </c>
      <c r="L195" t="s">
        <v>34</v>
      </c>
      <c r="M195" s="2">
        <v>45792</v>
      </c>
      <c r="N195" s="2">
        <v>45790</v>
      </c>
      <c r="O195" t="s">
        <v>43</v>
      </c>
      <c r="P195" t="s">
        <v>77</v>
      </c>
      <c r="Q195" t="s">
        <v>28</v>
      </c>
      <c r="R195" t="s">
        <v>29</v>
      </c>
    </row>
    <row r="196" spans="1:18">
      <c r="A196" t="s">
        <v>320</v>
      </c>
      <c r="B196" s="2">
        <v>45868</v>
      </c>
      <c r="C196" t="s">
        <v>142</v>
      </c>
      <c r="D196" t="s">
        <v>143</v>
      </c>
      <c r="E196" t="s">
        <v>31</v>
      </c>
      <c r="F196" t="s">
        <v>22</v>
      </c>
      <c r="G196" t="s">
        <v>160</v>
      </c>
      <c r="H196" t="s">
        <v>161</v>
      </c>
      <c r="I196">
        <v>15</v>
      </c>
      <c r="J196" s="3">
        <v>3039.47</v>
      </c>
      <c r="K196" s="3">
        <v>45592.05</v>
      </c>
      <c r="L196" t="s">
        <v>25</v>
      </c>
      <c r="M196" s="2">
        <v>45885</v>
      </c>
      <c r="N196" s="2">
        <v>45882</v>
      </c>
      <c r="O196" t="s">
        <v>26</v>
      </c>
      <c r="P196" t="s">
        <v>35</v>
      </c>
      <c r="Q196" t="s">
        <v>28</v>
      </c>
      <c r="R196" t="s">
        <v>29</v>
      </c>
    </row>
    <row r="197" spans="1:18">
      <c r="A197" t="s">
        <v>321</v>
      </c>
      <c r="B197" s="2">
        <v>45730</v>
      </c>
      <c r="C197" t="s">
        <v>37</v>
      </c>
      <c r="D197" t="s">
        <v>38</v>
      </c>
      <c r="E197" t="s">
        <v>112</v>
      </c>
      <c r="F197" t="s">
        <v>40</v>
      </c>
      <c r="G197" t="s">
        <v>136</v>
      </c>
      <c r="H197" t="s">
        <v>137</v>
      </c>
      <c r="I197">
        <v>41</v>
      </c>
      <c r="J197" s="3">
        <v>1831.66</v>
      </c>
      <c r="K197" s="3">
        <v>75098.06</v>
      </c>
      <c r="L197" t="s">
        <v>34</v>
      </c>
      <c r="M197" s="2">
        <v>45741</v>
      </c>
      <c r="N197" s="2">
        <v>45740</v>
      </c>
      <c r="O197" t="s">
        <v>43</v>
      </c>
      <c r="P197" t="s">
        <v>115</v>
      </c>
      <c r="Q197" t="s">
        <v>28</v>
      </c>
      <c r="R197" t="s">
        <v>29</v>
      </c>
    </row>
    <row r="198" spans="1:18">
      <c r="A198" t="s">
        <v>322</v>
      </c>
      <c r="B198" s="2">
        <v>45727</v>
      </c>
      <c r="C198" t="s">
        <v>19</v>
      </c>
      <c r="D198" t="s">
        <v>20</v>
      </c>
      <c r="E198" t="s">
        <v>39</v>
      </c>
      <c r="F198" t="s">
        <v>22</v>
      </c>
      <c r="G198" t="s">
        <v>160</v>
      </c>
      <c r="H198" t="s">
        <v>161</v>
      </c>
      <c r="I198">
        <v>9</v>
      </c>
      <c r="J198" s="3">
        <v>2978.05</v>
      </c>
      <c r="K198" s="3">
        <v>26802.45</v>
      </c>
      <c r="L198" t="s">
        <v>25</v>
      </c>
      <c r="M198" s="2">
        <v>45744</v>
      </c>
      <c r="N198" s="2">
        <v>45741</v>
      </c>
      <c r="O198" t="s">
        <v>26</v>
      </c>
      <c r="P198" t="s">
        <v>44</v>
      </c>
      <c r="Q198" t="s">
        <v>28</v>
      </c>
      <c r="R198" t="s">
        <v>29</v>
      </c>
    </row>
    <row r="199" spans="1:18">
      <c r="A199" t="s">
        <v>323</v>
      </c>
      <c r="B199" s="2">
        <v>45743</v>
      </c>
      <c r="C199" t="s">
        <v>107</v>
      </c>
      <c r="D199" t="s">
        <v>108</v>
      </c>
      <c r="E199" t="s">
        <v>31</v>
      </c>
      <c r="F199" t="s">
        <v>91</v>
      </c>
      <c r="G199" t="s">
        <v>92</v>
      </c>
      <c r="H199" t="s">
        <v>93</v>
      </c>
      <c r="I199">
        <v>1</v>
      </c>
      <c r="J199" s="3">
        <v>45976.66</v>
      </c>
      <c r="K199" s="3">
        <v>45976.66</v>
      </c>
      <c r="L199" t="s">
        <v>25</v>
      </c>
      <c r="M199" s="2">
        <v>45752</v>
      </c>
      <c r="N199" s="2">
        <v>45751</v>
      </c>
      <c r="O199" t="s">
        <v>43</v>
      </c>
      <c r="P199" t="s">
        <v>35</v>
      </c>
      <c r="Q199" t="s">
        <v>28</v>
      </c>
      <c r="R199" t="s">
        <v>29</v>
      </c>
    </row>
    <row r="200" spans="1:18">
      <c r="A200" t="s">
        <v>324</v>
      </c>
      <c r="B200" s="2">
        <v>45776</v>
      </c>
      <c r="C200" t="s">
        <v>71</v>
      </c>
      <c r="D200" t="s">
        <v>72</v>
      </c>
      <c r="E200" t="s">
        <v>31</v>
      </c>
      <c r="F200" t="s">
        <v>57</v>
      </c>
      <c r="G200" t="s">
        <v>120</v>
      </c>
      <c r="H200" t="s">
        <v>121</v>
      </c>
      <c r="I200">
        <v>2</v>
      </c>
      <c r="J200" s="3">
        <v>21020.85</v>
      </c>
      <c r="K200" s="3">
        <v>42041.7</v>
      </c>
      <c r="L200" t="s">
        <v>25</v>
      </c>
      <c r="M200" s="2">
        <v>45781</v>
      </c>
      <c r="N200" s="2">
        <v>45781</v>
      </c>
      <c r="O200" t="s">
        <v>76</v>
      </c>
      <c r="P200" t="s">
        <v>35</v>
      </c>
      <c r="Q200" t="s">
        <v>28</v>
      </c>
      <c r="R200" t="s">
        <v>29</v>
      </c>
    </row>
    <row r="201" spans="1:18">
      <c r="A201" t="s">
        <v>325</v>
      </c>
      <c r="B201" s="2">
        <v>45828</v>
      </c>
      <c r="C201" t="s">
        <v>66</v>
      </c>
      <c r="D201" t="s">
        <v>67</v>
      </c>
      <c r="E201" t="s">
        <v>48</v>
      </c>
      <c r="F201" t="s">
        <v>49</v>
      </c>
      <c r="G201" t="s">
        <v>113</v>
      </c>
      <c r="H201" t="s">
        <v>114</v>
      </c>
      <c r="I201">
        <v>2</v>
      </c>
      <c r="J201" s="3">
        <v>35482.99</v>
      </c>
      <c r="K201" s="3">
        <v>70965.98</v>
      </c>
      <c r="L201" t="s">
        <v>34</v>
      </c>
      <c r="M201" s="2">
        <v>45837</v>
      </c>
      <c r="N201" s="2">
        <v>45835</v>
      </c>
      <c r="O201" t="s">
        <v>43</v>
      </c>
      <c r="P201" t="s">
        <v>53</v>
      </c>
      <c r="Q201" t="s">
        <v>28</v>
      </c>
      <c r="R201" t="s">
        <v>29</v>
      </c>
    </row>
    <row r="202" spans="1:18">
      <c r="A202" t="s">
        <v>326</v>
      </c>
      <c r="B202" s="2">
        <v>46124</v>
      </c>
      <c r="C202" t="s">
        <v>96</v>
      </c>
      <c r="D202" t="s">
        <v>97</v>
      </c>
      <c r="E202" t="s">
        <v>39</v>
      </c>
      <c r="F202" t="s">
        <v>82</v>
      </c>
      <c r="G202" t="s">
        <v>83</v>
      </c>
      <c r="H202" t="s">
        <v>84</v>
      </c>
      <c r="I202">
        <v>11</v>
      </c>
      <c r="J202" s="3">
        <v>714.81</v>
      </c>
      <c r="K202" s="3">
        <v>7862.91</v>
      </c>
      <c r="L202" t="s">
        <v>25</v>
      </c>
      <c r="M202" s="2">
        <v>46138</v>
      </c>
      <c r="N202" s="2">
        <v>46138</v>
      </c>
      <c r="O202" t="s">
        <v>43</v>
      </c>
      <c r="P202" t="s">
        <v>64</v>
      </c>
      <c r="Q202" t="s">
        <v>28</v>
      </c>
      <c r="R202" t="s">
        <v>29</v>
      </c>
    </row>
    <row r="203" spans="1:18">
      <c r="A203" t="s">
        <v>327</v>
      </c>
      <c r="B203" s="2">
        <v>45670</v>
      </c>
      <c r="C203" t="s">
        <v>117</v>
      </c>
      <c r="D203" t="s">
        <v>118</v>
      </c>
      <c r="E203" t="s">
        <v>31</v>
      </c>
      <c r="F203" t="s">
        <v>57</v>
      </c>
      <c r="G203" t="s">
        <v>86</v>
      </c>
      <c r="H203" t="s">
        <v>87</v>
      </c>
      <c r="I203">
        <v>1</v>
      </c>
      <c r="J203" s="3">
        <v>11485.62</v>
      </c>
      <c r="K203" s="3">
        <v>11485.62</v>
      </c>
      <c r="L203" t="s">
        <v>25</v>
      </c>
      <c r="M203" s="2">
        <v>45683</v>
      </c>
      <c r="N203" s="2">
        <v>45680</v>
      </c>
      <c r="O203" t="s">
        <v>26</v>
      </c>
      <c r="P203" t="s">
        <v>35</v>
      </c>
      <c r="Q203" t="s">
        <v>28</v>
      </c>
      <c r="R203" t="s">
        <v>29</v>
      </c>
    </row>
    <row r="204" spans="1:18">
      <c r="A204" t="s">
        <v>328</v>
      </c>
      <c r="B204" s="2">
        <v>45985</v>
      </c>
      <c r="C204" t="s">
        <v>134</v>
      </c>
      <c r="D204" t="s">
        <v>135</v>
      </c>
      <c r="E204" t="s">
        <v>39</v>
      </c>
      <c r="F204" t="s">
        <v>40</v>
      </c>
      <c r="G204" t="s">
        <v>41</v>
      </c>
      <c r="H204" t="s">
        <v>42</v>
      </c>
      <c r="I204">
        <v>3</v>
      </c>
      <c r="J204" s="3">
        <v>5622.34</v>
      </c>
      <c r="K204" s="3">
        <v>16867.02</v>
      </c>
      <c r="L204" t="s">
        <v>52</v>
      </c>
      <c r="M204" s="2">
        <v>45993</v>
      </c>
      <c r="N204" s="2">
        <v>45993</v>
      </c>
      <c r="O204" t="s">
        <v>43</v>
      </c>
      <c r="P204" t="s">
        <v>44</v>
      </c>
      <c r="Q204" t="s">
        <v>28</v>
      </c>
      <c r="R204" t="s">
        <v>29</v>
      </c>
    </row>
    <row r="205" spans="1:18">
      <c r="A205" t="s">
        <v>329</v>
      </c>
      <c r="B205" s="2">
        <v>45947</v>
      </c>
      <c r="C205" t="s">
        <v>142</v>
      </c>
      <c r="D205" t="s">
        <v>143</v>
      </c>
      <c r="E205" t="s">
        <v>21</v>
      </c>
      <c r="F205" t="s">
        <v>22</v>
      </c>
      <c r="G205" t="s">
        <v>32</v>
      </c>
      <c r="H205" t="s">
        <v>33</v>
      </c>
      <c r="I205">
        <v>5</v>
      </c>
      <c r="J205" s="3">
        <v>7746.98</v>
      </c>
      <c r="K205" s="3">
        <v>38734.9</v>
      </c>
      <c r="L205" t="s">
        <v>25</v>
      </c>
      <c r="M205" s="2">
        <v>45961</v>
      </c>
      <c r="N205" s="2">
        <v>45960</v>
      </c>
      <c r="O205" t="s">
        <v>60</v>
      </c>
      <c r="P205" t="s">
        <v>27</v>
      </c>
      <c r="Q205" t="s">
        <v>28</v>
      </c>
      <c r="R205" t="s">
        <v>29</v>
      </c>
    </row>
    <row r="206" spans="1:18">
      <c r="A206" t="s">
        <v>330</v>
      </c>
      <c r="B206" s="2">
        <v>45909</v>
      </c>
      <c r="C206" t="s">
        <v>19</v>
      </c>
      <c r="D206" t="s">
        <v>20</v>
      </c>
      <c r="E206" t="s">
        <v>112</v>
      </c>
      <c r="F206" t="s">
        <v>22</v>
      </c>
      <c r="G206" t="s">
        <v>23</v>
      </c>
      <c r="H206" t="s">
        <v>24</v>
      </c>
      <c r="I206">
        <v>49</v>
      </c>
      <c r="J206" s="3">
        <v>245.68</v>
      </c>
      <c r="K206" s="3">
        <v>12038.32</v>
      </c>
      <c r="L206" t="s">
        <v>34</v>
      </c>
      <c r="M206" s="2">
        <v>45914</v>
      </c>
      <c r="N206" s="2">
        <v>45914</v>
      </c>
      <c r="O206" t="s">
        <v>60</v>
      </c>
      <c r="P206" t="s">
        <v>115</v>
      </c>
      <c r="Q206" t="s">
        <v>28</v>
      </c>
      <c r="R206" t="s">
        <v>29</v>
      </c>
    </row>
    <row r="207" spans="1:18">
      <c r="A207" t="s">
        <v>331</v>
      </c>
      <c r="B207" s="2">
        <v>45764</v>
      </c>
      <c r="C207" t="s">
        <v>147</v>
      </c>
      <c r="D207" t="s">
        <v>148</v>
      </c>
      <c r="E207" t="s">
        <v>112</v>
      </c>
      <c r="F207" t="s">
        <v>40</v>
      </c>
      <c r="G207" t="s">
        <v>62</v>
      </c>
      <c r="H207" t="s">
        <v>63</v>
      </c>
      <c r="I207">
        <v>3</v>
      </c>
      <c r="J207" s="3">
        <v>18604.14</v>
      </c>
      <c r="K207" s="3">
        <v>55812.42</v>
      </c>
      <c r="L207" t="s">
        <v>52</v>
      </c>
      <c r="M207" s="2">
        <v>45780</v>
      </c>
      <c r="N207" s="2">
        <v>45780</v>
      </c>
      <c r="O207" t="s">
        <v>60</v>
      </c>
      <c r="P207" t="s">
        <v>115</v>
      </c>
      <c r="Q207" t="s">
        <v>28</v>
      </c>
      <c r="R207" t="s">
        <v>29</v>
      </c>
    </row>
    <row r="208" spans="1:18">
      <c r="A208" t="s">
        <v>332</v>
      </c>
      <c r="B208" s="2">
        <v>45744</v>
      </c>
      <c r="C208" t="s">
        <v>142</v>
      </c>
      <c r="D208" t="s">
        <v>143</v>
      </c>
      <c r="E208" t="s">
        <v>31</v>
      </c>
      <c r="F208" t="s">
        <v>22</v>
      </c>
      <c r="G208" t="s">
        <v>160</v>
      </c>
      <c r="H208" t="s">
        <v>161</v>
      </c>
      <c r="I208">
        <v>7</v>
      </c>
      <c r="J208" s="3">
        <v>3184.98</v>
      </c>
      <c r="K208" s="3">
        <v>22294.86</v>
      </c>
      <c r="L208" t="s">
        <v>25</v>
      </c>
      <c r="M208" s="2">
        <v>45759</v>
      </c>
      <c r="N208" s="2">
        <v>45758</v>
      </c>
      <c r="O208" t="s">
        <v>76</v>
      </c>
      <c r="P208" t="s">
        <v>35</v>
      </c>
      <c r="Q208" t="s">
        <v>28</v>
      </c>
      <c r="R208" t="s">
        <v>29</v>
      </c>
    </row>
    <row r="209" spans="1:18">
      <c r="A209" t="s">
        <v>333</v>
      </c>
      <c r="B209" s="2">
        <v>45992</v>
      </c>
      <c r="C209" t="s">
        <v>142</v>
      </c>
      <c r="D209" t="s">
        <v>143</v>
      </c>
      <c r="E209" t="s">
        <v>21</v>
      </c>
      <c r="F209" t="s">
        <v>22</v>
      </c>
      <c r="G209" t="s">
        <v>23</v>
      </c>
      <c r="H209" t="s">
        <v>24</v>
      </c>
      <c r="I209">
        <v>11</v>
      </c>
      <c r="J209" s="3">
        <v>252.18</v>
      </c>
      <c r="K209" s="3">
        <v>2773.98</v>
      </c>
      <c r="L209" t="s">
        <v>25</v>
      </c>
      <c r="M209" s="2">
        <v>45999</v>
      </c>
      <c r="N209" s="2">
        <v>45996</v>
      </c>
      <c r="O209" t="s">
        <v>60</v>
      </c>
      <c r="P209" t="s">
        <v>27</v>
      </c>
      <c r="Q209" t="s">
        <v>28</v>
      </c>
      <c r="R209" t="s">
        <v>29</v>
      </c>
    </row>
    <row r="210" spans="1:18">
      <c r="A210" t="s">
        <v>334</v>
      </c>
      <c r="B210" s="2">
        <v>45870</v>
      </c>
      <c r="C210" t="s">
        <v>142</v>
      </c>
      <c r="D210" t="s">
        <v>143</v>
      </c>
      <c r="E210" t="s">
        <v>73</v>
      </c>
      <c r="F210" t="s">
        <v>22</v>
      </c>
      <c r="G210" t="s">
        <v>23</v>
      </c>
      <c r="H210" t="s">
        <v>24</v>
      </c>
      <c r="I210">
        <v>57</v>
      </c>
      <c r="J210" s="3">
        <v>250.33</v>
      </c>
      <c r="K210" s="3">
        <v>14268.81</v>
      </c>
      <c r="L210" t="s">
        <v>25</v>
      </c>
      <c r="M210" s="2">
        <v>45886</v>
      </c>
      <c r="N210" s="2">
        <v>45886</v>
      </c>
      <c r="O210" t="s">
        <v>76</v>
      </c>
      <c r="P210" t="s">
        <v>77</v>
      </c>
      <c r="Q210" t="s">
        <v>28</v>
      </c>
      <c r="R210" t="s">
        <v>29</v>
      </c>
    </row>
    <row r="211" spans="1:18">
      <c r="A211" t="s">
        <v>335</v>
      </c>
      <c r="B211" s="2">
        <v>46022</v>
      </c>
      <c r="C211" t="s">
        <v>147</v>
      </c>
      <c r="D211" t="s">
        <v>148</v>
      </c>
      <c r="E211" t="s">
        <v>39</v>
      </c>
      <c r="F211" t="s">
        <v>40</v>
      </c>
      <c r="G211" t="s">
        <v>136</v>
      </c>
      <c r="H211" t="s">
        <v>137</v>
      </c>
      <c r="I211">
        <v>30</v>
      </c>
      <c r="J211" s="3">
        <v>1545.43</v>
      </c>
      <c r="K211" s="3">
        <v>46362.9</v>
      </c>
      <c r="L211" t="s">
        <v>25</v>
      </c>
      <c r="M211" s="2">
        <v>46040</v>
      </c>
      <c r="N211" s="2">
        <v>46039</v>
      </c>
      <c r="O211" t="s">
        <v>43</v>
      </c>
      <c r="P211" t="s">
        <v>64</v>
      </c>
      <c r="Q211" t="s">
        <v>28</v>
      </c>
      <c r="R211" t="s">
        <v>29</v>
      </c>
    </row>
    <row r="212" spans="1:18">
      <c r="A212" t="s">
        <v>336</v>
      </c>
      <c r="B212" s="2">
        <v>45782</v>
      </c>
      <c r="C212" t="s">
        <v>117</v>
      </c>
      <c r="D212" t="s">
        <v>118</v>
      </c>
      <c r="E212" t="s">
        <v>48</v>
      </c>
      <c r="F212" t="s">
        <v>57</v>
      </c>
      <c r="G212" t="s">
        <v>86</v>
      </c>
      <c r="H212" t="s">
        <v>87</v>
      </c>
      <c r="I212">
        <v>2</v>
      </c>
      <c r="J212" s="3">
        <v>10932.67</v>
      </c>
      <c r="K212" s="3">
        <v>21865.34</v>
      </c>
      <c r="L212" t="s">
        <v>25</v>
      </c>
      <c r="M212" s="2">
        <v>45796</v>
      </c>
      <c r="N212" s="2">
        <v>45796</v>
      </c>
      <c r="O212" t="s">
        <v>43</v>
      </c>
      <c r="P212" t="s">
        <v>53</v>
      </c>
      <c r="Q212" t="s">
        <v>28</v>
      </c>
      <c r="R212" t="s">
        <v>29</v>
      </c>
    </row>
    <row r="213" spans="1:18">
      <c r="A213" t="s">
        <v>337</v>
      </c>
      <c r="B213" s="2">
        <v>46112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42</v>
      </c>
      <c r="I213">
        <v>3</v>
      </c>
      <c r="J213" s="3">
        <v>5786.61</v>
      </c>
      <c r="K213" s="3">
        <v>17359.830000000002</v>
      </c>
      <c r="L213" t="s">
        <v>25</v>
      </c>
      <c r="M213" s="2">
        <v>46126</v>
      </c>
      <c r="N213" s="2">
        <v>46123</v>
      </c>
      <c r="O213" t="s">
        <v>60</v>
      </c>
      <c r="P213" t="s">
        <v>44</v>
      </c>
      <c r="Q213" t="s">
        <v>28</v>
      </c>
      <c r="R213" t="s">
        <v>29</v>
      </c>
    </row>
    <row r="214" spans="1:18">
      <c r="A214" t="s">
        <v>338</v>
      </c>
      <c r="B214" s="2">
        <v>45834</v>
      </c>
      <c r="C214" t="s">
        <v>134</v>
      </c>
      <c r="D214" t="s">
        <v>135</v>
      </c>
      <c r="E214" t="s">
        <v>112</v>
      </c>
      <c r="F214" t="s">
        <v>40</v>
      </c>
      <c r="G214" t="s">
        <v>136</v>
      </c>
      <c r="H214" t="s">
        <v>137</v>
      </c>
      <c r="I214">
        <v>44</v>
      </c>
      <c r="J214" s="3">
        <v>1606.07</v>
      </c>
      <c r="K214" s="3">
        <v>70667.08</v>
      </c>
      <c r="L214" t="s">
        <v>25</v>
      </c>
      <c r="M214" s="2">
        <v>45848</v>
      </c>
      <c r="N214" s="2">
        <v>45846</v>
      </c>
      <c r="O214" t="s">
        <v>60</v>
      </c>
      <c r="P214" t="s">
        <v>115</v>
      </c>
      <c r="Q214" t="s">
        <v>28</v>
      </c>
      <c r="R214" t="s">
        <v>29</v>
      </c>
    </row>
    <row r="215" spans="1:18">
      <c r="A215" t="s">
        <v>339</v>
      </c>
      <c r="B215" s="2">
        <v>45747</v>
      </c>
      <c r="C215" t="s">
        <v>37</v>
      </c>
      <c r="D215" t="s">
        <v>38</v>
      </c>
      <c r="E215" t="s">
        <v>39</v>
      </c>
      <c r="F215" t="s">
        <v>22</v>
      </c>
      <c r="G215" t="s">
        <v>32</v>
      </c>
      <c r="H215" t="s">
        <v>33</v>
      </c>
      <c r="I215">
        <v>11</v>
      </c>
      <c r="J215" s="3">
        <v>8407.1200000000008</v>
      </c>
      <c r="K215" s="3">
        <v>92478.32</v>
      </c>
      <c r="L215" t="s">
        <v>52</v>
      </c>
      <c r="M215" s="2">
        <v>45764</v>
      </c>
      <c r="N215" s="2">
        <v>45764</v>
      </c>
      <c r="O215" t="s">
        <v>76</v>
      </c>
      <c r="P215" t="s">
        <v>44</v>
      </c>
      <c r="Q215" t="s">
        <v>28</v>
      </c>
      <c r="R215" t="s">
        <v>29</v>
      </c>
    </row>
    <row r="216" spans="1:18">
      <c r="A216" t="s">
        <v>340</v>
      </c>
      <c r="B216" s="2">
        <v>46154</v>
      </c>
      <c r="C216" t="s">
        <v>55</v>
      </c>
      <c r="D216" t="s">
        <v>56</v>
      </c>
      <c r="E216" t="s">
        <v>31</v>
      </c>
      <c r="F216" t="s">
        <v>57</v>
      </c>
      <c r="G216" t="s">
        <v>74</v>
      </c>
      <c r="H216" t="s">
        <v>75</v>
      </c>
      <c r="I216">
        <v>10</v>
      </c>
      <c r="J216" s="3">
        <v>9250.07</v>
      </c>
      <c r="K216" s="3">
        <v>92500.7</v>
      </c>
      <c r="L216" t="s">
        <v>34</v>
      </c>
      <c r="M216" s="2">
        <v>46162</v>
      </c>
      <c r="N216" s="2">
        <v>46176</v>
      </c>
      <c r="O216" t="s">
        <v>43</v>
      </c>
      <c r="P216" t="s">
        <v>35</v>
      </c>
      <c r="Q216" t="s">
        <v>28</v>
      </c>
      <c r="R216" t="s">
        <v>129</v>
      </c>
    </row>
    <row r="217" spans="1:18">
      <c r="A217" t="s">
        <v>341</v>
      </c>
      <c r="B217" s="2">
        <v>46200</v>
      </c>
      <c r="C217" t="s">
        <v>89</v>
      </c>
      <c r="D217" t="s">
        <v>90</v>
      </c>
      <c r="E217" t="s">
        <v>31</v>
      </c>
      <c r="F217" t="s">
        <v>91</v>
      </c>
      <c r="G217" t="s">
        <v>92</v>
      </c>
      <c r="H217" t="s">
        <v>93</v>
      </c>
      <c r="I217">
        <v>1</v>
      </c>
      <c r="J217" s="3">
        <v>42802.95</v>
      </c>
      <c r="K217" s="3">
        <v>42802.95</v>
      </c>
      <c r="L217" t="s">
        <v>52</v>
      </c>
      <c r="M217" s="2">
        <v>46213</v>
      </c>
      <c r="N217" s="2">
        <v>46213</v>
      </c>
      <c r="O217" t="s">
        <v>60</v>
      </c>
      <c r="P217" t="s">
        <v>35</v>
      </c>
      <c r="Q217" t="s">
        <v>28</v>
      </c>
      <c r="R217" t="s">
        <v>29</v>
      </c>
    </row>
    <row r="218" spans="1:18">
      <c r="A218" t="s">
        <v>342</v>
      </c>
      <c r="B218" s="2">
        <v>45835</v>
      </c>
      <c r="C218" t="s">
        <v>142</v>
      </c>
      <c r="D218" t="s">
        <v>143</v>
      </c>
      <c r="E218" t="s">
        <v>31</v>
      </c>
      <c r="F218" t="s">
        <v>22</v>
      </c>
      <c r="G218" t="s">
        <v>32</v>
      </c>
      <c r="H218" t="s">
        <v>33</v>
      </c>
      <c r="I218">
        <v>12</v>
      </c>
      <c r="J218" s="3">
        <v>7903.28</v>
      </c>
      <c r="K218" s="3">
        <v>94839.360000000001</v>
      </c>
      <c r="L218" t="s">
        <v>34</v>
      </c>
      <c r="M218" s="2">
        <v>45851</v>
      </c>
      <c r="N218" s="2">
        <v>45850</v>
      </c>
      <c r="O218" t="s">
        <v>26</v>
      </c>
      <c r="P218" t="s">
        <v>35</v>
      </c>
      <c r="Q218" t="s">
        <v>28</v>
      </c>
      <c r="R218" t="s">
        <v>29</v>
      </c>
    </row>
    <row r="219" spans="1:18">
      <c r="A219" t="s">
        <v>343</v>
      </c>
      <c r="B219" s="2">
        <v>45974</v>
      </c>
      <c r="C219" t="s">
        <v>19</v>
      </c>
      <c r="D219" t="s">
        <v>20</v>
      </c>
      <c r="E219" t="s">
        <v>39</v>
      </c>
      <c r="F219" t="s">
        <v>22</v>
      </c>
      <c r="G219" t="s">
        <v>23</v>
      </c>
      <c r="H219" t="s">
        <v>24</v>
      </c>
      <c r="I219">
        <v>35</v>
      </c>
      <c r="J219" s="3">
        <v>219.14</v>
      </c>
      <c r="K219" s="3">
        <v>7669.9</v>
      </c>
      <c r="L219" t="s">
        <v>34</v>
      </c>
      <c r="M219" s="2">
        <v>45979</v>
      </c>
      <c r="N219" s="2">
        <v>45978</v>
      </c>
      <c r="O219" t="s">
        <v>76</v>
      </c>
      <c r="P219" t="s">
        <v>64</v>
      </c>
      <c r="Q219" t="s">
        <v>28</v>
      </c>
      <c r="R219" t="s">
        <v>29</v>
      </c>
    </row>
    <row r="220" spans="1:18">
      <c r="A220" t="s">
        <v>344</v>
      </c>
      <c r="B220" s="2">
        <v>45989</v>
      </c>
      <c r="C220" t="s">
        <v>80</v>
      </c>
      <c r="D220" t="s">
        <v>81</v>
      </c>
      <c r="E220" t="s">
        <v>39</v>
      </c>
      <c r="F220" t="s">
        <v>82</v>
      </c>
      <c r="G220" t="s">
        <v>83</v>
      </c>
      <c r="H220" t="s">
        <v>84</v>
      </c>
      <c r="I220">
        <v>60</v>
      </c>
      <c r="J220" s="3">
        <v>708.75</v>
      </c>
      <c r="K220" s="3">
        <v>42525</v>
      </c>
      <c r="L220" t="s">
        <v>34</v>
      </c>
      <c r="M220" s="2">
        <v>45999</v>
      </c>
      <c r="N220" s="2">
        <v>45997</v>
      </c>
      <c r="O220" t="s">
        <v>60</v>
      </c>
      <c r="P220" t="s">
        <v>64</v>
      </c>
      <c r="Q220" t="s">
        <v>28</v>
      </c>
      <c r="R220" t="s">
        <v>29</v>
      </c>
    </row>
    <row r="221" spans="1:18">
      <c r="A221" t="s">
        <v>345</v>
      </c>
      <c r="B221" s="2">
        <v>46002</v>
      </c>
      <c r="C221" t="s">
        <v>37</v>
      </c>
      <c r="D221" t="s">
        <v>38</v>
      </c>
      <c r="E221" t="s">
        <v>39</v>
      </c>
      <c r="F221" t="s">
        <v>22</v>
      </c>
      <c r="G221" t="s">
        <v>32</v>
      </c>
      <c r="H221" t="s">
        <v>33</v>
      </c>
      <c r="I221">
        <v>8</v>
      </c>
      <c r="J221" s="3">
        <v>8606.94</v>
      </c>
      <c r="K221" s="3">
        <v>68855.520000000004</v>
      </c>
      <c r="L221" t="s">
        <v>25</v>
      </c>
      <c r="M221" s="2">
        <v>46017</v>
      </c>
      <c r="N221" s="2">
        <v>46015</v>
      </c>
      <c r="O221" t="s">
        <v>26</v>
      </c>
      <c r="P221" t="s">
        <v>44</v>
      </c>
      <c r="Q221" t="s">
        <v>28</v>
      </c>
      <c r="R221" t="s">
        <v>29</v>
      </c>
    </row>
    <row r="222" spans="1:18">
      <c r="A222" t="s">
        <v>346</v>
      </c>
      <c r="B222" s="2">
        <v>45972</v>
      </c>
      <c r="C222" t="s">
        <v>142</v>
      </c>
      <c r="D222" t="s">
        <v>143</v>
      </c>
      <c r="E222" t="s">
        <v>21</v>
      </c>
      <c r="F222" t="s">
        <v>22</v>
      </c>
      <c r="G222" t="s">
        <v>32</v>
      </c>
      <c r="H222" t="s">
        <v>33</v>
      </c>
      <c r="I222">
        <v>10</v>
      </c>
      <c r="J222" s="3">
        <v>7980.81</v>
      </c>
      <c r="K222" s="3">
        <v>79808.100000000006</v>
      </c>
      <c r="L222" t="s">
        <v>25</v>
      </c>
      <c r="M222" s="2">
        <v>45983</v>
      </c>
      <c r="N222" s="2">
        <v>45983</v>
      </c>
      <c r="O222" t="s">
        <v>76</v>
      </c>
      <c r="P222" t="s">
        <v>27</v>
      </c>
      <c r="Q222" t="s">
        <v>28</v>
      </c>
      <c r="R222" t="s">
        <v>29</v>
      </c>
    </row>
    <row r="223" spans="1:18">
      <c r="A223" t="s">
        <v>347</v>
      </c>
      <c r="B223" s="2">
        <v>45802</v>
      </c>
      <c r="C223" t="s">
        <v>37</v>
      </c>
      <c r="D223" t="s">
        <v>38</v>
      </c>
      <c r="E223" t="s">
        <v>39</v>
      </c>
      <c r="F223" t="s">
        <v>40</v>
      </c>
      <c r="G223" t="s">
        <v>136</v>
      </c>
      <c r="H223" t="s">
        <v>137</v>
      </c>
      <c r="I223">
        <v>10</v>
      </c>
      <c r="J223" s="3">
        <v>1835.55</v>
      </c>
      <c r="K223" s="3">
        <v>18355.5</v>
      </c>
      <c r="L223" t="s">
        <v>25</v>
      </c>
      <c r="M223" s="2">
        <v>45820</v>
      </c>
      <c r="N223" s="2">
        <v>45818</v>
      </c>
      <c r="O223" t="s">
        <v>76</v>
      </c>
      <c r="P223" t="s">
        <v>64</v>
      </c>
      <c r="Q223" t="s">
        <v>28</v>
      </c>
      <c r="R223" t="s">
        <v>29</v>
      </c>
    </row>
    <row r="224" spans="1:18">
      <c r="A224" t="s">
        <v>348</v>
      </c>
      <c r="B224" s="2">
        <v>46016</v>
      </c>
      <c r="C224" t="s">
        <v>142</v>
      </c>
      <c r="D224" t="s">
        <v>143</v>
      </c>
      <c r="E224" t="s">
        <v>39</v>
      </c>
      <c r="F224" t="s">
        <v>22</v>
      </c>
      <c r="G224" t="s">
        <v>23</v>
      </c>
      <c r="H224" t="s">
        <v>24</v>
      </c>
      <c r="I224">
        <v>15</v>
      </c>
      <c r="J224" s="3">
        <v>251.35</v>
      </c>
      <c r="K224" s="3">
        <v>3770.25</v>
      </c>
      <c r="L224" t="s">
        <v>25</v>
      </c>
      <c r="M224" s="2">
        <v>46027</v>
      </c>
      <c r="N224" s="2">
        <v>46024</v>
      </c>
      <c r="O224" t="s">
        <v>60</v>
      </c>
      <c r="P224" t="s">
        <v>64</v>
      </c>
      <c r="Q224" t="s">
        <v>28</v>
      </c>
      <c r="R224" t="s">
        <v>29</v>
      </c>
    </row>
    <row r="225" spans="1:18">
      <c r="A225" t="s">
        <v>349</v>
      </c>
      <c r="B225" s="2">
        <v>45888</v>
      </c>
      <c r="C225" t="s">
        <v>142</v>
      </c>
      <c r="D225" t="s">
        <v>143</v>
      </c>
      <c r="E225" t="s">
        <v>39</v>
      </c>
      <c r="F225" t="s">
        <v>22</v>
      </c>
      <c r="G225" t="s">
        <v>160</v>
      </c>
      <c r="H225" t="s">
        <v>161</v>
      </c>
      <c r="I225">
        <v>2</v>
      </c>
      <c r="J225" s="3">
        <v>3098.03</v>
      </c>
      <c r="K225" s="3">
        <v>6196.06</v>
      </c>
      <c r="L225" t="s">
        <v>25</v>
      </c>
      <c r="M225" s="2">
        <v>45894</v>
      </c>
      <c r="N225" s="2">
        <v>45891</v>
      </c>
      <c r="O225" t="s">
        <v>43</v>
      </c>
      <c r="P225" t="s">
        <v>64</v>
      </c>
      <c r="Q225" t="s">
        <v>28</v>
      </c>
      <c r="R225" t="s">
        <v>29</v>
      </c>
    </row>
    <row r="226" spans="1:18">
      <c r="A226" t="s">
        <v>350</v>
      </c>
      <c r="B226" s="2">
        <v>46004</v>
      </c>
      <c r="C226" t="s">
        <v>117</v>
      </c>
      <c r="D226" t="s">
        <v>118</v>
      </c>
      <c r="E226" t="s">
        <v>31</v>
      </c>
      <c r="F226" t="s">
        <v>57</v>
      </c>
      <c r="G226" t="s">
        <v>120</v>
      </c>
      <c r="H226" t="s">
        <v>121</v>
      </c>
      <c r="I226">
        <v>3</v>
      </c>
      <c r="J226" s="3">
        <v>23038.28</v>
      </c>
      <c r="K226" s="3">
        <v>69114.84</v>
      </c>
      <c r="L226" t="s">
        <v>25</v>
      </c>
      <c r="M226" s="2">
        <v>46018</v>
      </c>
      <c r="N226" s="2">
        <v>46017</v>
      </c>
      <c r="O226" t="s">
        <v>76</v>
      </c>
      <c r="P226" t="s">
        <v>94</v>
      </c>
      <c r="Q226" t="s">
        <v>28</v>
      </c>
      <c r="R226" t="s">
        <v>29</v>
      </c>
    </row>
    <row r="227" spans="1:18">
      <c r="A227" t="s">
        <v>351</v>
      </c>
      <c r="B227" s="2">
        <v>45852</v>
      </c>
      <c r="C227" t="s">
        <v>142</v>
      </c>
      <c r="D227" t="s">
        <v>143</v>
      </c>
      <c r="E227" t="s">
        <v>31</v>
      </c>
      <c r="F227" t="s">
        <v>22</v>
      </c>
      <c r="G227" t="s">
        <v>32</v>
      </c>
      <c r="H227" t="s">
        <v>33</v>
      </c>
      <c r="I227">
        <v>4</v>
      </c>
      <c r="J227" s="3">
        <v>7685.63</v>
      </c>
      <c r="K227" s="3">
        <v>30742.52</v>
      </c>
      <c r="L227" t="s">
        <v>25</v>
      </c>
      <c r="M227" s="2">
        <v>45858</v>
      </c>
      <c r="N227" s="2">
        <v>45869</v>
      </c>
      <c r="O227" t="s">
        <v>60</v>
      </c>
      <c r="P227" t="s">
        <v>94</v>
      </c>
      <c r="Q227" t="s">
        <v>28</v>
      </c>
      <c r="R227" t="s">
        <v>129</v>
      </c>
    </row>
    <row r="228" spans="1:18">
      <c r="A228" t="s">
        <v>352</v>
      </c>
      <c r="B228" s="2">
        <v>45713</v>
      </c>
      <c r="C228" t="s">
        <v>104</v>
      </c>
      <c r="D228" t="s">
        <v>105</v>
      </c>
      <c r="E228" t="s">
        <v>73</v>
      </c>
      <c r="F228" t="s">
        <v>49</v>
      </c>
      <c r="G228" t="s">
        <v>68</v>
      </c>
      <c r="H228" t="s">
        <v>69</v>
      </c>
      <c r="I228">
        <v>1</v>
      </c>
      <c r="J228" s="3">
        <v>46191.18</v>
      </c>
      <c r="K228" s="3">
        <v>46191.18</v>
      </c>
      <c r="L228" t="s">
        <v>25</v>
      </c>
      <c r="M228" s="2">
        <v>45728</v>
      </c>
      <c r="N228" s="2">
        <v>45728</v>
      </c>
      <c r="O228" t="s">
        <v>43</v>
      </c>
      <c r="P228" t="s">
        <v>77</v>
      </c>
      <c r="Q228" t="s">
        <v>28</v>
      </c>
      <c r="R228" t="s">
        <v>29</v>
      </c>
    </row>
    <row r="229" spans="1:18">
      <c r="A229" t="s">
        <v>353</v>
      </c>
      <c r="B229" s="2">
        <v>46065</v>
      </c>
      <c r="C229" t="s">
        <v>134</v>
      </c>
      <c r="D229" t="s">
        <v>135</v>
      </c>
      <c r="E229" t="s">
        <v>112</v>
      </c>
      <c r="F229" t="s">
        <v>40</v>
      </c>
      <c r="G229" t="s">
        <v>41</v>
      </c>
      <c r="H229" t="s">
        <v>42</v>
      </c>
      <c r="I229">
        <v>6</v>
      </c>
      <c r="J229" s="3">
        <v>5372.34</v>
      </c>
      <c r="K229" s="3">
        <v>32234.04</v>
      </c>
      <c r="L229" t="s">
        <v>25</v>
      </c>
      <c r="M229" s="2">
        <v>46076</v>
      </c>
      <c r="N229" s="2">
        <v>46073</v>
      </c>
      <c r="O229" t="s">
        <v>60</v>
      </c>
      <c r="P229" t="s">
        <v>115</v>
      </c>
      <c r="Q229" t="s">
        <v>28</v>
      </c>
      <c r="R229" t="s">
        <v>29</v>
      </c>
    </row>
    <row r="230" spans="1:18">
      <c r="A230" t="s">
        <v>354</v>
      </c>
      <c r="B230" s="2">
        <v>45927</v>
      </c>
      <c r="C230" t="s">
        <v>19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>
        <v>10</v>
      </c>
      <c r="J230" s="3">
        <v>232.42</v>
      </c>
      <c r="K230" s="3">
        <v>2324.1999999999998</v>
      </c>
      <c r="L230" t="s">
        <v>52</v>
      </c>
      <c r="M230" s="2">
        <v>45942</v>
      </c>
      <c r="N230" s="2">
        <v>45939</v>
      </c>
      <c r="O230" t="s">
        <v>26</v>
      </c>
      <c r="P230" t="s">
        <v>27</v>
      </c>
      <c r="Q230" t="s">
        <v>28</v>
      </c>
      <c r="R230" t="s">
        <v>29</v>
      </c>
    </row>
    <row r="231" spans="1:18">
      <c r="A231" t="s">
        <v>355</v>
      </c>
      <c r="B231" s="2">
        <v>46144</v>
      </c>
      <c r="C231" t="s">
        <v>134</v>
      </c>
      <c r="D231" t="s">
        <v>135</v>
      </c>
      <c r="E231" t="s">
        <v>39</v>
      </c>
      <c r="F231" t="s">
        <v>40</v>
      </c>
      <c r="G231" t="s">
        <v>41</v>
      </c>
      <c r="H231" t="s">
        <v>42</v>
      </c>
      <c r="I231">
        <v>1</v>
      </c>
      <c r="J231" s="3">
        <v>5599.01</v>
      </c>
      <c r="K231" s="3">
        <v>5599.01</v>
      </c>
      <c r="L231" t="s">
        <v>25</v>
      </c>
      <c r="M231" s="2">
        <v>46157</v>
      </c>
      <c r="N231" s="2">
        <v>46156</v>
      </c>
      <c r="O231" t="s">
        <v>60</v>
      </c>
      <c r="P231" t="s">
        <v>64</v>
      </c>
      <c r="Q231" t="s">
        <v>28</v>
      </c>
      <c r="R231" t="s">
        <v>29</v>
      </c>
    </row>
    <row r="232" spans="1:18">
      <c r="A232" t="s">
        <v>356</v>
      </c>
      <c r="B232" s="2">
        <v>45855</v>
      </c>
      <c r="C232" t="s">
        <v>117</v>
      </c>
      <c r="D232" t="s">
        <v>118</v>
      </c>
      <c r="E232" t="s">
        <v>73</v>
      </c>
      <c r="F232" t="s">
        <v>57</v>
      </c>
      <c r="G232" t="s">
        <v>74</v>
      </c>
      <c r="H232" t="s">
        <v>75</v>
      </c>
      <c r="I232">
        <v>3</v>
      </c>
      <c r="J232" s="3">
        <v>9018.82</v>
      </c>
      <c r="K232" s="3">
        <v>27056.46</v>
      </c>
      <c r="L232" t="s">
        <v>52</v>
      </c>
      <c r="M232" s="2">
        <v>45873</v>
      </c>
      <c r="N232" s="2">
        <v>45871</v>
      </c>
      <c r="O232" t="s">
        <v>43</v>
      </c>
      <c r="P232" t="s">
        <v>77</v>
      </c>
      <c r="Q232" t="s">
        <v>28</v>
      </c>
      <c r="R232" t="s">
        <v>29</v>
      </c>
    </row>
    <row r="233" spans="1:18">
      <c r="A233" t="s">
        <v>357</v>
      </c>
      <c r="B233" s="2">
        <v>46055</v>
      </c>
      <c r="C233" t="s">
        <v>71</v>
      </c>
      <c r="D233" t="s">
        <v>72</v>
      </c>
      <c r="E233" t="s">
        <v>31</v>
      </c>
      <c r="F233" t="s">
        <v>57</v>
      </c>
      <c r="G233" t="s">
        <v>127</v>
      </c>
      <c r="H233" t="s">
        <v>128</v>
      </c>
      <c r="I233">
        <v>7</v>
      </c>
      <c r="J233" s="3">
        <v>15878.3</v>
      </c>
      <c r="K233" s="3">
        <v>111148.1</v>
      </c>
      <c r="L233" t="s">
        <v>34</v>
      </c>
      <c r="M233" s="2">
        <v>46061</v>
      </c>
      <c r="N233" s="2">
        <v>46060</v>
      </c>
      <c r="O233" t="s">
        <v>43</v>
      </c>
      <c r="P233" t="s">
        <v>94</v>
      </c>
      <c r="Q233" t="s">
        <v>28</v>
      </c>
      <c r="R233" t="s">
        <v>29</v>
      </c>
    </row>
    <row r="234" spans="1:18">
      <c r="A234" t="s">
        <v>358</v>
      </c>
      <c r="B234" s="2">
        <v>45928</v>
      </c>
      <c r="C234" t="s">
        <v>142</v>
      </c>
      <c r="D234" t="s">
        <v>143</v>
      </c>
      <c r="E234" t="s">
        <v>31</v>
      </c>
      <c r="F234" t="s">
        <v>22</v>
      </c>
      <c r="G234" t="s">
        <v>160</v>
      </c>
      <c r="H234" t="s">
        <v>161</v>
      </c>
      <c r="I234">
        <v>3</v>
      </c>
      <c r="J234" s="3">
        <v>3102.08</v>
      </c>
      <c r="K234" s="3">
        <v>9306.24</v>
      </c>
      <c r="L234" t="s">
        <v>25</v>
      </c>
      <c r="M234" s="2">
        <v>45942</v>
      </c>
      <c r="N234" s="2">
        <v>45939</v>
      </c>
      <c r="O234" t="s">
        <v>76</v>
      </c>
      <c r="P234" t="s">
        <v>94</v>
      </c>
      <c r="Q234" t="s">
        <v>28</v>
      </c>
      <c r="R234" t="s">
        <v>29</v>
      </c>
    </row>
    <row r="235" spans="1:18">
      <c r="A235" t="s">
        <v>359</v>
      </c>
      <c r="B235" s="2">
        <v>45678</v>
      </c>
      <c r="C235" t="s">
        <v>66</v>
      </c>
      <c r="D235" t="s">
        <v>67</v>
      </c>
      <c r="E235" t="s">
        <v>48</v>
      </c>
      <c r="F235" t="s">
        <v>49</v>
      </c>
      <c r="G235" t="s">
        <v>165</v>
      </c>
      <c r="H235" t="s">
        <v>166</v>
      </c>
      <c r="I235">
        <v>1</v>
      </c>
      <c r="J235" s="3">
        <v>45275.58</v>
      </c>
      <c r="K235" s="3">
        <v>45275.58</v>
      </c>
      <c r="L235" t="s">
        <v>52</v>
      </c>
      <c r="M235" s="2">
        <v>45696</v>
      </c>
      <c r="N235" s="2">
        <v>45694</v>
      </c>
      <c r="O235" t="s">
        <v>60</v>
      </c>
      <c r="P235" t="s">
        <v>53</v>
      </c>
      <c r="Q235" t="s">
        <v>28</v>
      </c>
      <c r="R235" t="s">
        <v>29</v>
      </c>
    </row>
    <row r="236" spans="1:18">
      <c r="A236" t="s">
        <v>360</v>
      </c>
      <c r="B236" s="2">
        <v>45933</v>
      </c>
      <c r="C236" t="s">
        <v>89</v>
      </c>
      <c r="D236" t="s">
        <v>90</v>
      </c>
      <c r="E236" t="s">
        <v>31</v>
      </c>
      <c r="F236" t="s">
        <v>91</v>
      </c>
      <c r="G236" t="s">
        <v>92</v>
      </c>
      <c r="H236" t="s">
        <v>93</v>
      </c>
      <c r="I236">
        <v>2</v>
      </c>
      <c r="J236" s="3">
        <v>43772.78</v>
      </c>
      <c r="K236" s="3">
        <v>87545.56</v>
      </c>
      <c r="L236" t="s">
        <v>34</v>
      </c>
      <c r="M236" s="2">
        <v>45949</v>
      </c>
      <c r="N236" s="2">
        <v>45947</v>
      </c>
      <c r="O236" t="s">
        <v>26</v>
      </c>
      <c r="P236" t="s">
        <v>94</v>
      </c>
      <c r="Q236" t="s">
        <v>28</v>
      </c>
      <c r="R236" t="s">
        <v>29</v>
      </c>
    </row>
    <row r="237" spans="1:18">
      <c r="A237" t="s">
        <v>361</v>
      </c>
      <c r="B237" s="2">
        <v>45976</v>
      </c>
      <c r="C237" t="s">
        <v>117</v>
      </c>
      <c r="D237" t="s">
        <v>118</v>
      </c>
      <c r="E237" t="s">
        <v>73</v>
      </c>
      <c r="F237" t="s">
        <v>57</v>
      </c>
      <c r="G237" t="s">
        <v>127</v>
      </c>
      <c r="H237" t="s">
        <v>128</v>
      </c>
      <c r="I237">
        <v>4</v>
      </c>
      <c r="J237" s="3">
        <v>16091.07</v>
      </c>
      <c r="K237" s="3">
        <v>64364.28</v>
      </c>
      <c r="L237" t="s">
        <v>25</v>
      </c>
      <c r="M237" s="2">
        <v>45994</v>
      </c>
      <c r="N237" s="2">
        <v>45996</v>
      </c>
      <c r="O237" t="s">
        <v>76</v>
      </c>
      <c r="P237" t="s">
        <v>77</v>
      </c>
      <c r="Q237" t="s">
        <v>28</v>
      </c>
      <c r="R237" t="s">
        <v>129</v>
      </c>
    </row>
    <row r="238" spans="1:18">
      <c r="A238" t="s">
        <v>362</v>
      </c>
      <c r="B238" s="2">
        <v>45938</v>
      </c>
      <c r="C238" t="s">
        <v>46</v>
      </c>
      <c r="D238" t="s">
        <v>47</v>
      </c>
      <c r="E238" t="s">
        <v>73</v>
      </c>
      <c r="F238" t="s">
        <v>49</v>
      </c>
      <c r="G238" t="s">
        <v>113</v>
      </c>
      <c r="H238" t="s">
        <v>114</v>
      </c>
      <c r="I238">
        <v>2</v>
      </c>
      <c r="J238" s="3">
        <v>39545.870000000003</v>
      </c>
      <c r="K238" s="3">
        <v>79091.740000000005</v>
      </c>
      <c r="L238" t="s">
        <v>34</v>
      </c>
      <c r="M238" s="2">
        <v>45952</v>
      </c>
      <c r="N238" s="2">
        <v>45949</v>
      </c>
      <c r="O238" t="s">
        <v>76</v>
      </c>
      <c r="P238" t="s">
        <v>77</v>
      </c>
      <c r="Q238" t="s">
        <v>28</v>
      </c>
      <c r="R238" t="s">
        <v>29</v>
      </c>
    </row>
    <row r="239" spans="1:18">
      <c r="A239" t="s">
        <v>363</v>
      </c>
      <c r="B239" s="2">
        <v>45750</v>
      </c>
      <c r="C239" t="s">
        <v>19</v>
      </c>
      <c r="D239" t="s">
        <v>20</v>
      </c>
      <c r="E239" t="s">
        <v>73</v>
      </c>
      <c r="F239" t="s">
        <v>22</v>
      </c>
      <c r="G239" t="s">
        <v>32</v>
      </c>
      <c r="H239" t="s">
        <v>33</v>
      </c>
      <c r="I239">
        <v>4</v>
      </c>
      <c r="J239" s="3">
        <v>7103.76</v>
      </c>
      <c r="K239" s="3">
        <v>28415.040000000001</v>
      </c>
      <c r="L239" t="s">
        <v>25</v>
      </c>
      <c r="M239" s="2">
        <v>45765</v>
      </c>
      <c r="N239" s="2">
        <v>45764</v>
      </c>
      <c r="O239" t="s">
        <v>60</v>
      </c>
      <c r="P239" t="s">
        <v>77</v>
      </c>
      <c r="Q239" t="s">
        <v>28</v>
      </c>
      <c r="R239" t="s">
        <v>29</v>
      </c>
    </row>
    <row r="240" spans="1:18">
      <c r="A240" t="s">
        <v>364</v>
      </c>
      <c r="B240" s="2">
        <v>45667</v>
      </c>
      <c r="C240" t="s">
        <v>37</v>
      </c>
      <c r="D240" t="s">
        <v>38</v>
      </c>
      <c r="E240" t="s">
        <v>39</v>
      </c>
      <c r="F240" t="s">
        <v>22</v>
      </c>
      <c r="G240" t="s">
        <v>32</v>
      </c>
      <c r="H240" t="s">
        <v>33</v>
      </c>
      <c r="I240">
        <v>10</v>
      </c>
      <c r="J240" s="3">
        <v>8180.24</v>
      </c>
      <c r="K240" s="3">
        <v>81802.399999999994</v>
      </c>
      <c r="L240" t="s">
        <v>25</v>
      </c>
      <c r="M240" s="2">
        <v>45684</v>
      </c>
      <c r="N240" s="2">
        <v>45682</v>
      </c>
      <c r="O240" t="s">
        <v>60</v>
      </c>
      <c r="P240" t="s">
        <v>44</v>
      </c>
      <c r="Q240" t="s">
        <v>28</v>
      </c>
      <c r="R240" t="s">
        <v>29</v>
      </c>
    </row>
    <row r="241" spans="1:18">
      <c r="A241" t="s">
        <v>365</v>
      </c>
      <c r="B241" s="2">
        <v>46128</v>
      </c>
      <c r="C241" t="s">
        <v>71</v>
      </c>
      <c r="D241" t="s">
        <v>72</v>
      </c>
      <c r="E241" t="s">
        <v>73</v>
      </c>
      <c r="F241" t="s">
        <v>57</v>
      </c>
      <c r="G241" t="s">
        <v>127</v>
      </c>
      <c r="H241" t="s">
        <v>128</v>
      </c>
      <c r="I241">
        <v>2</v>
      </c>
      <c r="J241" s="3">
        <v>15222.93</v>
      </c>
      <c r="K241" s="3">
        <v>30445.86</v>
      </c>
      <c r="L241" t="s">
        <v>34</v>
      </c>
      <c r="M241" s="2">
        <v>46133</v>
      </c>
      <c r="N241" s="2">
        <v>46131</v>
      </c>
      <c r="O241" t="s">
        <v>76</v>
      </c>
      <c r="P241" t="s">
        <v>77</v>
      </c>
      <c r="Q241" t="s">
        <v>28</v>
      </c>
      <c r="R241" t="s">
        <v>29</v>
      </c>
    </row>
    <row r="242" spans="1:18">
      <c r="A242" t="s">
        <v>366</v>
      </c>
      <c r="B242" s="2">
        <v>45768</v>
      </c>
      <c r="C242" t="s">
        <v>66</v>
      </c>
      <c r="D242" t="s">
        <v>67</v>
      </c>
      <c r="E242" t="s">
        <v>21</v>
      </c>
      <c r="F242" t="s">
        <v>49</v>
      </c>
      <c r="G242" t="s">
        <v>165</v>
      </c>
      <c r="H242" t="s">
        <v>166</v>
      </c>
      <c r="I242">
        <v>1</v>
      </c>
      <c r="J242" s="3">
        <v>42929.919999999998</v>
      </c>
      <c r="K242" s="3">
        <v>42929.919999999998</v>
      </c>
      <c r="L242" t="s">
        <v>52</v>
      </c>
      <c r="M242" s="2">
        <v>45776</v>
      </c>
      <c r="N242" s="2">
        <v>45775</v>
      </c>
      <c r="O242" t="s">
        <v>60</v>
      </c>
      <c r="P242" t="s">
        <v>27</v>
      </c>
      <c r="Q242" t="s">
        <v>28</v>
      </c>
      <c r="R242" t="s">
        <v>29</v>
      </c>
    </row>
    <row r="243" spans="1:18">
      <c r="A243" t="s">
        <v>367</v>
      </c>
      <c r="B243" s="2">
        <v>46072</v>
      </c>
      <c r="C243" t="s">
        <v>80</v>
      </c>
      <c r="D243" t="s">
        <v>81</v>
      </c>
      <c r="E243" t="s">
        <v>39</v>
      </c>
      <c r="F243" t="s">
        <v>82</v>
      </c>
      <c r="G243" t="s">
        <v>197</v>
      </c>
      <c r="H243" t="s">
        <v>198</v>
      </c>
      <c r="I243">
        <v>50</v>
      </c>
      <c r="J243" s="3">
        <v>1976.82</v>
      </c>
      <c r="K243" s="3">
        <v>98841</v>
      </c>
      <c r="L243" t="s">
        <v>52</v>
      </c>
      <c r="M243" s="2">
        <v>46080</v>
      </c>
      <c r="N243" s="2">
        <v>46077</v>
      </c>
      <c r="O243" t="s">
        <v>76</v>
      </c>
      <c r="P243" t="s">
        <v>44</v>
      </c>
      <c r="Q243" t="s">
        <v>28</v>
      </c>
      <c r="R243" t="s">
        <v>29</v>
      </c>
    </row>
    <row r="244" spans="1:18">
      <c r="A244" t="s">
        <v>368</v>
      </c>
      <c r="B244" s="2">
        <v>45843</v>
      </c>
      <c r="C244" t="s">
        <v>19</v>
      </c>
      <c r="D244" t="s">
        <v>20</v>
      </c>
      <c r="E244" t="s">
        <v>31</v>
      </c>
      <c r="F244" t="s">
        <v>22</v>
      </c>
      <c r="G244" t="s">
        <v>160</v>
      </c>
      <c r="H244" t="s">
        <v>161</v>
      </c>
      <c r="I244">
        <v>15</v>
      </c>
      <c r="J244" s="3">
        <v>2959.71</v>
      </c>
      <c r="K244" s="3">
        <v>44395.65</v>
      </c>
      <c r="L244" t="s">
        <v>34</v>
      </c>
      <c r="M244" s="2">
        <v>45850</v>
      </c>
      <c r="N244" s="2">
        <v>45848</v>
      </c>
      <c r="O244" t="s">
        <v>26</v>
      </c>
      <c r="P244" t="s">
        <v>35</v>
      </c>
      <c r="Q244" t="s">
        <v>28</v>
      </c>
      <c r="R244" t="s">
        <v>29</v>
      </c>
    </row>
    <row r="245" spans="1:18">
      <c r="A245" t="s">
        <v>369</v>
      </c>
      <c r="B245" s="2">
        <v>45972</v>
      </c>
      <c r="C245" t="s">
        <v>134</v>
      </c>
      <c r="D245" t="s">
        <v>135</v>
      </c>
      <c r="E245" t="s">
        <v>112</v>
      </c>
      <c r="F245" t="s">
        <v>40</v>
      </c>
      <c r="G245" t="s">
        <v>136</v>
      </c>
      <c r="H245" t="s">
        <v>137</v>
      </c>
      <c r="I245">
        <v>12</v>
      </c>
      <c r="J245" s="3">
        <v>1652.87</v>
      </c>
      <c r="K245" s="3">
        <v>19834.439999999999</v>
      </c>
      <c r="L245" t="s">
        <v>34</v>
      </c>
      <c r="M245" s="2">
        <v>45984</v>
      </c>
      <c r="N245" s="2">
        <v>45996</v>
      </c>
      <c r="O245" t="s">
        <v>43</v>
      </c>
      <c r="P245" t="s">
        <v>115</v>
      </c>
      <c r="Q245" t="s">
        <v>28</v>
      </c>
      <c r="R245" t="s">
        <v>129</v>
      </c>
    </row>
    <row r="246" spans="1:18">
      <c r="A246" t="s">
        <v>370</v>
      </c>
      <c r="B246" s="2">
        <v>45857</v>
      </c>
      <c r="C246" t="s">
        <v>134</v>
      </c>
      <c r="D246" t="s">
        <v>135</v>
      </c>
      <c r="E246" t="s">
        <v>112</v>
      </c>
      <c r="F246" t="s">
        <v>40</v>
      </c>
      <c r="G246" t="s">
        <v>136</v>
      </c>
      <c r="H246" t="s">
        <v>137</v>
      </c>
      <c r="I246">
        <v>14</v>
      </c>
      <c r="J246" s="3">
        <v>1713.32</v>
      </c>
      <c r="K246" s="3">
        <v>23986.48</v>
      </c>
      <c r="L246" t="s">
        <v>25</v>
      </c>
      <c r="M246" s="2">
        <v>45864</v>
      </c>
      <c r="N246" s="2">
        <v>45862</v>
      </c>
      <c r="O246" t="s">
        <v>60</v>
      </c>
      <c r="P246" t="s">
        <v>115</v>
      </c>
      <c r="Q246" t="s">
        <v>28</v>
      </c>
      <c r="R246" t="s">
        <v>29</v>
      </c>
    </row>
    <row r="247" spans="1:18">
      <c r="A247" t="s">
        <v>371</v>
      </c>
      <c r="B247" s="2">
        <v>46157</v>
      </c>
      <c r="C247" t="s">
        <v>37</v>
      </c>
      <c r="D247" t="s">
        <v>38</v>
      </c>
      <c r="E247" t="s">
        <v>112</v>
      </c>
      <c r="F247" t="s">
        <v>40</v>
      </c>
      <c r="G247" t="s">
        <v>41</v>
      </c>
      <c r="H247" t="s">
        <v>42</v>
      </c>
      <c r="I247">
        <v>13</v>
      </c>
      <c r="J247" s="3">
        <v>5689.12</v>
      </c>
      <c r="K247" s="3">
        <v>73958.559999999998</v>
      </c>
      <c r="L247" t="s">
        <v>25</v>
      </c>
      <c r="M247" s="2">
        <v>46174</v>
      </c>
      <c r="N247" s="2">
        <v>46173</v>
      </c>
      <c r="O247" t="s">
        <v>43</v>
      </c>
      <c r="P247" t="s">
        <v>115</v>
      </c>
      <c r="Q247" t="s">
        <v>28</v>
      </c>
      <c r="R247" t="s">
        <v>29</v>
      </c>
    </row>
    <row r="248" spans="1:18">
      <c r="A248" t="s">
        <v>372</v>
      </c>
      <c r="B248" s="2">
        <v>46102</v>
      </c>
      <c r="C248" t="s">
        <v>104</v>
      </c>
      <c r="D248" t="s">
        <v>105</v>
      </c>
      <c r="E248" t="s">
        <v>73</v>
      </c>
      <c r="F248" t="s">
        <v>49</v>
      </c>
      <c r="G248" t="s">
        <v>68</v>
      </c>
      <c r="H248" t="s">
        <v>69</v>
      </c>
      <c r="I248">
        <v>1</v>
      </c>
      <c r="J248" s="3">
        <v>48385.94</v>
      </c>
      <c r="K248" s="3">
        <v>48385.94</v>
      </c>
      <c r="L248" t="s">
        <v>25</v>
      </c>
      <c r="M248" s="2">
        <v>46107</v>
      </c>
      <c r="N248" s="2">
        <v>46106</v>
      </c>
      <c r="O248" t="s">
        <v>43</v>
      </c>
      <c r="P248" t="s">
        <v>77</v>
      </c>
      <c r="Q248" t="s">
        <v>28</v>
      </c>
      <c r="R248" t="s">
        <v>29</v>
      </c>
    </row>
    <row r="249" spans="1:18">
      <c r="A249" t="s">
        <v>373</v>
      </c>
      <c r="B249" s="2">
        <v>46010</v>
      </c>
      <c r="C249" t="s">
        <v>96</v>
      </c>
      <c r="D249" t="s">
        <v>97</v>
      </c>
      <c r="E249" t="s">
        <v>39</v>
      </c>
      <c r="F249" t="s">
        <v>82</v>
      </c>
      <c r="G249" t="s">
        <v>197</v>
      </c>
      <c r="H249" t="s">
        <v>198</v>
      </c>
      <c r="I249">
        <v>7</v>
      </c>
      <c r="J249" s="3">
        <v>2048.62</v>
      </c>
      <c r="K249" s="3">
        <v>14340.34</v>
      </c>
      <c r="L249" t="s">
        <v>34</v>
      </c>
      <c r="M249" s="2">
        <v>46019</v>
      </c>
      <c r="N249" s="2">
        <v>46016</v>
      </c>
      <c r="O249" t="s">
        <v>76</v>
      </c>
      <c r="P249" t="s">
        <v>44</v>
      </c>
      <c r="Q249" t="s">
        <v>28</v>
      </c>
      <c r="R249" t="s">
        <v>29</v>
      </c>
    </row>
    <row r="250" spans="1:18">
      <c r="A250" t="s">
        <v>374</v>
      </c>
      <c r="B250" s="2">
        <v>45795</v>
      </c>
      <c r="C250" t="s">
        <v>37</v>
      </c>
      <c r="D250" t="s">
        <v>38</v>
      </c>
      <c r="E250" t="s">
        <v>112</v>
      </c>
      <c r="F250" t="s">
        <v>40</v>
      </c>
      <c r="G250" t="s">
        <v>149</v>
      </c>
      <c r="H250" t="s">
        <v>150</v>
      </c>
      <c r="I250">
        <v>56</v>
      </c>
      <c r="J250" s="3">
        <v>1504.62</v>
      </c>
      <c r="K250" s="3">
        <v>84258.72</v>
      </c>
      <c r="L250" t="s">
        <v>34</v>
      </c>
      <c r="M250" s="2">
        <v>45806</v>
      </c>
      <c r="N250" s="2">
        <v>45811</v>
      </c>
      <c r="O250" t="s">
        <v>26</v>
      </c>
      <c r="P250" t="s">
        <v>115</v>
      </c>
      <c r="Q250" t="s">
        <v>28</v>
      </c>
      <c r="R250" t="s">
        <v>129</v>
      </c>
    </row>
    <row r="251" spans="1:18">
      <c r="A251" t="s">
        <v>375</v>
      </c>
      <c r="B251" s="2">
        <v>45680</v>
      </c>
      <c r="C251" t="s">
        <v>134</v>
      </c>
      <c r="D251" t="s">
        <v>135</v>
      </c>
      <c r="E251" t="s">
        <v>39</v>
      </c>
      <c r="F251" t="s">
        <v>40</v>
      </c>
      <c r="G251" t="s">
        <v>41</v>
      </c>
      <c r="H251" t="s">
        <v>42</v>
      </c>
      <c r="I251">
        <v>13</v>
      </c>
      <c r="J251" s="3">
        <v>5495.2</v>
      </c>
      <c r="K251" s="3">
        <v>71437.600000000006</v>
      </c>
      <c r="L251" t="s">
        <v>34</v>
      </c>
      <c r="M251" s="2">
        <v>45693</v>
      </c>
      <c r="N251" s="2">
        <v>45693</v>
      </c>
      <c r="O251" t="s">
        <v>43</v>
      </c>
      <c r="P251" t="s">
        <v>64</v>
      </c>
      <c r="Q251" t="s">
        <v>28</v>
      </c>
      <c r="R251" t="s">
        <v>29</v>
      </c>
    </row>
    <row r="252" spans="1:18">
      <c r="A252" t="s">
        <v>376</v>
      </c>
      <c r="B252" s="2">
        <v>45776</v>
      </c>
      <c r="C252" t="s">
        <v>71</v>
      </c>
      <c r="D252" t="s">
        <v>72</v>
      </c>
      <c r="E252" t="s">
        <v>73</v>
      </c>
      <c r="F252" t="s">
        <v>57</v>
      </c>
      <c r="G252" t="s">
        <v>58</v>
      </c>
      <c r="H252" t="s">
        <v>59</v>
      </c>
      <c r="I252">
        <v>1</v>
      </c>
      <c r="J252" s="3">
        <v>51839.25</v>
      </c>
      <c r="K252" s="3">
        <v>51839.25</v>
      </c>
      <c r="L252" t="s">
        <v>377</v>
      </c>
      <c r="M252" s="2">
        <v>45785</v>
      </c>
      <c r="N252" s="2">
        <v>45785</v>
      </c>
      <c r="O252" t="s">
        <v>76</v>
      </c>
      <c r="P252" t="s">
        <v>77</v>
      </c>
      <c r="Q252" t="s">
        <v>28</v>
      </c>
      <c r="R252" t="s">
        <v>29</v>
      </c>
    </row>
    <row r="253" spans="1:18">
      <c r="A253" t="s">
        <v>378</v>
      </c>
      <c r="B253" s="2">
        <v>45765</v>
      </c>
      <c r="C253" t="s">
        <v>71</v>
      </c>
      <c r="D253" t="s">
        <v>72</v>
      </c>
      <c r="E253" t="s">
        <v>31</v>
      </c>
      <c r="F253" t="s">
        <v>57</v>
      </c>
      <c r="G253" t="s">
        <v>101</v>
      </c>
      <c r="H253" t="s">
        <v>102</v>
      </c>
      <c r="I253">
        <v>43</v>
      </c>
      <c r="J253" s="3">
        <v>1691.57</v>
      </c>
      <c r="K253" s="3">
        <v>72737.509999999995</v>
      </c>
      <c r="L253" t="s">
        <v>25</v>
      </c>
      <c r="M253" s="2">
        <v>45773</v>
      </c>
      <c r="N253" s="2">
        <v>45772</v>
      </c>
      <c r="O253" t="s">
        <v>60</v>
      </c>
      <c r="P253" t="s">
        <v>35</v>
      </c>
      <c r="Q253" t="s">
        <v>28</v>
      </c>
      <c r="R253" t="s">
        <v>29</v>
      </c>
    </row>
    <row r="254" spans="1:18">
      <c r="A254" t="s">
        <v>379</v>
      </c>
      <c r="B254" s="2">
        <v>45822</v>
      </c>
      <c r="C254" t="s">
        <v>89</v>
      </c>
      <c r="D254" t="s">
        <v>90</v>
      </c>
      <c r="E254" t="s">
        <v>31</v>
      </c>
      <c r="F254" t="s">
        <v>91</v>
      </c>
      <c r="G254" t="s">
        <v>109</v>
      </c>
      <c r="H254" t="s">
        <v>110</v>
      </c>
      <c r="I254">
        <v>1</v>
      </c>
      <c r="J254" s="3">
        <v>12003.08</v>
      </c>
      <c r="K254" s="3">
        <v>12003.08</v>
      </c>
      <c r="L254" t="s">
        <v>25</v>
      </c>
      <c r="M254" s="2">
        <v>45828</v>
      </c>
      <c r="N254" s="2">
        <v>45825</v>
      </c>
      <c r="O254" t="s">
        <v>43</v>
      </c>
      <c r="P254" t="s">
        <v>94</v>
      </c>
      <c r="Q254" t="s">
        <v>28</v>
      </c>
      <c r="R254" t="s">
        <v>29</v>
      </c>
    </row>
    <row r="255" spans="1:18">
      <c r="A255" t="s">
        <v>380</v>
      </c>
      <c r="B255" s="2">
        <v>45894</v>
      </c>
      <c r="C255" t="s">
        <v>37</v>
      </c>
      <c r="D255" t="s">
        <v>38</v>
      </c>
      <c r="E255" t="s">
        <v>112</v>
      </c>
      <c r="F255" t="s">
        <v>40</v>
      </c>
      <c r="G255" t="s">
        <v>62</v>
      </c>
      <c r="H255" t="s">
        <v>63</v>
      </c>
      <c r="I255">
        <v>1</v>
      </c>
      <c r="J255" s="3">
        <v>20451.919999999998</v>
      </c>
      <c r="K255" s="3">
        <v>20451.919999999998</v>
      </c>
      <c r="L255" t="s">
        <v>25</v>
      </c>
      <c r="M255" s="2">
        <v>45912</v>
      </c>
      <c r="N255" s="2">
        <v>45910</v>
      </c>
      <c r="O255" t="s">
        <v>43</v>
      </c>
      <c r="P255" t="s">
        <v>115</v>
      </c>
      <c r="Q255" t="s">
        <v>28</v>
      </c>
      <c r="R255" t="s">
        <v>29</v>
      </c>
    </row>
    <row r="256" spans="1:18">
      <c r="A256" t="s">
        <v>381</v>
      </c>
      <c r="B256" s="2">
        <v>45704</v>
      </c>
      <c r="C256" t="s">
        <v>96</v>
      </c>
      <c r="D256" t="s">
        <v>97</v>
      </c>
      <c r="E256" t="s">
        <v>39</v>
      </c>
      <c r="F256" t="s">
        <v>82</v>
      </c>
      <c r="G256" t="s">
        <v>83</v>
      </c>
      <c r="H256" t="s">
        <v>84</v>
      </c>
      <c r="I256">
        <v>44</v>
      </c>
      <c r="J256" s="3">
        <v>756.66</v>
      </c>
      <c r="K256" s="3">
        <v>33293.040000000001</v>
      </c>
      <c r="L256" t="s">
        <v>25</v>
      </c>
      <c r="M256" s="2">
        <v>45713</v>
      </c>
      <c r="N256" s="2">
        <v>45713</v>
      </c>
      <c r="O256" t="s">
        <v>76</v>
      </c>
      <c r="P256" t="s">
        <v>64</v>
      </c>
      <c r="Q256" t="s">
        <v>28</v>
      </c>
      <c r="R256" t="s">
        <v>29</v>
      </c>
    </row>
    <row r="257" spans="1:18">
      <c r="A257" t="s">
        <v>382</v>
      </c>
      <c r="B257" s="2">
        <v>45774</v>
      </c>
      <c r="C257" t="s">
        <v>147</v>
      </c>
      <c r="D257" t="s">
        <v>148</v>
      </c>
      <c r="E257" t="s">
        <v>112</v>
      </c>
      <c r="F257" t="s">
        <v>40</v>
      </c>
      <c r="G257" t="s">
        <v>62</v>
      </c>
      <c r="H257" t="s">
        <v>63</v>
      </c>
      <c r="I257">
        <v>7</v>
      </c>
      <c r="J257" s="3">
        <v>17814.03</v>
      </c>
      <c r="K257" s="3">
        <v>124698.21</v>
      </c>
      <c r="L257" t="s">
        <v>25</v>
      </c>
      <c r="M257" s="2">
        <v>45789</v>
      </c>
      <c r="N257" s="2">
        <v>45788</v>
      </c>
      <c r="O257" t="s">
        <v>43</v>
      </c>
      <c r="P257" t="s">
        <v>115</v>
      </c>
      <c r="Q257" t="s">
        <v>28</v>
      </c>
      <c r="R257" t="s">
        <v>29</v>
      </c>
    </row>
    <row r="258" spans="1:18">
      <c r="A258" t="s">
        <v>383</v>
      </c>
      <c r="B258" s="2">
        <v>45764</v>
      </c>
      <c r="C258" t="s">
        <v>142</v>
      </c>
      <c r="D258" t="s">
        <v>143</v>
      </c>
      <c r="E258" t="s">
        <v>31</v>
      </c>
      <c r="F258" t="s">
        <v>22</v>
      </c>
      <c r="G258" t="s">
        <v>32</v>
      </c>
      <c r="H258" t="s">
        <v>33</v>
      </c>
      <c r="I258">
        <v>13</v>
      </c>
      <c r="J258" s="3">
        <v>7917.15</v>
      </c>
      <c r="K258" s="3">
        <v>102922.95</v>
      </c>
      <c r="L258" t="s">
        <v>25</v>
      </c>
      <c r="M258" s="2">
        <v>45774</v>
      </c>
      <c r="N258" s="2">
        <v>45773</v>
      </c>
      <c r="O258" t="s">
        <v>60</v>
      </c>
      <c r="P258" t="s">
        <v>94</v>
      </c>
      <c r="Q258" t="s">
        <v>28</v>
      </c>
      <c r="R258" t="s">
        <v>29</v>
      </c>
    </row>
    <row r="259" spans="1:18">
      <c r="A259" t="s">
        <v>384</v>
      </c>
      <c r="B259" s="2">
        <v>46079</v>
      </c>
      <c r="C259" t="s">
        <v>96</v>
      </c>
      <c r="D259" t="s">
        <v>97</v>
      </c>
      <c r="E259" t="s">
        <v>39</v>
      </c>
      <c r="F259" t="s">
        <v>82</v>
      </c>
      <c r="G259" t="s">
        <v>98</v>
      </c>
      <c r="H259" t="s">
        <v>99</v>
      </c>
      <c r="I259">
        <v>38</v>
      </c>
      <c r="J259" s="3">
        <v>1205.81</v>
      </c>
      <c r="K259" s="3">
        <v>45820.78</v>
      </c>
      <c r="L259" t="s">
        <v>52</v>
      </c>
      <c r="M259" s="2">
        <v>46096</v>
      </c>
      <c r="N259" s="2">
        <v>46095</v>
      </c>
      <c r="O259" t="s">
        <v>76</v>
      </c>
      <c r="P259" t="s">
        <v>64</v>
      </c>
      <c r="Q259" t="s">
        <v>28</v>
      </c>
      <c r="R259" t="s">
        <v>29</v>
      </c>
    </row>
    <row r="260" spans="1:18">
      <c r="A260" t="s">
        <v>385</v>
      </c>
      <c r="B260" s="2">
        <v>46101</v>
      </c>
      <c r="C260" t="s">
        <v>104</v>
      </c>
      <c r="D260" t="s">
        <v>105</v>
      </c>
      <c r="E260" t="s">
        <v>21</v>
      </c>
      <c r="F260" t="s">
        <v>49</v>
      </c>
      <c r="G260" t="s">
        <v>68</v>
      </c>
      <c r="H260" t="s">
        <v>69</v>
      </c>
      <c r="I260">
        <v>3</v>
      </c>
      <c r="J260" s="3">
        <v>49650.21</v>
      </c>
      <c r="K260" s="3">
        <v>148950.63</v>
      </c>
      <c r="L260" t="s">
        <v>25</v>
      </c>
      <c r="M260" s="2">
        <v>46106</v>
      </c>
      <c r="N260" s="2">
        <v>46110</v>
      </c>
      <c r="O260" t="s">
        <v>60</v>
      </c>
      <c r="P260" t="s">
        <v>27</v>
      </c>
      <c r="Q260" t="s">
        <v>28</v>
      </c>
      <c r="R260" t="s">
        <v>129</v>
      </c>
    </row>
    <row r="261" spans="1:18">
      <c r="A261" t="s">
        <v>386</v>
      </c>
      <c r="B261" s="2">
        <v>45827</v>
      </c>
      <c r="C261" t="s">
        <v>107</v>
      </c>
      <c r="D261" t="s">
        <v>108</v>
      </c>
      <c r="E261" t="s">
        <v>31</v>
      </c>
      <c r="F261" t="s">
        <v>91</v>
      </c>
      <c r="G261" t="s">
        <v>109</v>
      </c>
      <c r="H261" t="s">
        <v>110</v>
      </c>
      <c r="I261">
        <v>1</v>
      </c>
      <c r="J261" s="3">
        <v>13262.31</v>
      </c>
      <c r="K261" s="3">
        <v>13262.31</v>
      </c>
      <c r="L261" t="s">
        <v>34</v>
      </c>
      <c r="M261" s="2">
        <v>45840</v>
      </c>
      <c r="N261" s="2">
        <v>45837</v>
      </c>
      <c r="O261" t="s">
        <v>43</v>
      </c>
      <c r="P261" t="s">
        <v>35</v>
      </c>
      <c r="Q261" t="s">
        <v>28</v>
      </c>
      <c r="R261" t="s">
        <v>29</v>
      </c>
    </row>
    <row r="262" spans="1:18">
      <c r="A262" t="s">
        <v>387</v>
      </c>
      <c r="B262" s="2">
        <v>46112</v>
      </c>
      <c r="C262" t="s">
        <v>104</v>
      </c>
      <c r="D262" t="s">
        <v>105</v>
      </c>
      <c r="E262" t="s">
        <v>73</v>
      </c>
      <c r="F262" t="s">
        <v>49</v>
      </c>
      <c r="G262" t="s">
        <v>68</v>
      </c>
      <c r="H262" t="s">
        <v>69</v>
      </c>
      <c r="I262">
        <v>1</v>
      </c>
      <c r="J262" s="3">
        <v>50316.5</v>
      </c>
      <c r="K262" s="3">
        <v>50316.5</v>
      </c>
      <c r="L262" t="s">
        <v>34</v>
      </c>
      <c r="M262" s="2">
        <v>46118</v>
      </c>
      <c r="N262" s="2">
        <v>46118</v>
      </c>
      <c r="O262" t="s">
        <v>43</v>
      </c>
      <c r="P262" t="s">
        <v>77</v>
      </c>
      <c r="Q262" t="s">
        <v>28</v>
      </c>
      <c r="R262" t="s">
        <v>29</v>
      </c>
    </row>
    <row r="263" spans="1:18">
      <c r="A263" t="s">
        <v>388</v>
      </c>
      <c r="B263" s="2">
        <v>45997</v>
      </c>
      <c r="C263" t="s">
        <v>71</v>
      </c>
      <c r="D263" t="s">
        <v>72</v>
      </c>
      <c r="E263" t="s">
        <v>31</v>
      </c>
      <c r="F263" t="s">
        <v>57</v>
      </c>
      <c r="G263" t="s">
        <v>120</v>
      </c>
      <c r="H263" t="s">
        <v>121</v>
      </c>
      <c r="I263">
        <v>2</v>
      </c>
      <c r="J263" s="3">
        <v>20975.25</v>
      </c>
      <c r="K263" s="3">
        <v>41950.5</v>
      </c>
      <c r="L263" t="s">
        <v>25</v>
      </c>
      <c r="M263" s="2">
        <v>46003</v>
      </c>
      <c r="N263" s="2">
        <v>46002</v>
      </c>
      <c r="O263" t="s">
        <v>76</v>
      </c>
      <c r="P263" t="s">
        <v>35</v>
      </c>
      <c r="Q263" t="s">
        <v>28</v>
      </c>
      <c r="R263" t="s">
        <v>29</v>
      </c>
    </row>
    <row r="264" spans="1:18">
      <c r="A264" t="s">
        <v>389</v>
      </c>
      <c r="B264" s="2">
        <v>46192</v>
      </c>
      <c r="C264" t="s">
        <v>142</v>
      </c>
      <c r="D264" t="s">
        <v>143</v>
      </c>
      <c r="E264" t="s">
        <v>39</v>
      </c>
      <c r="F264" t="s">
        <v>22</v>
      </c>
      <c r="G264" t="s">
        <v>160</v>
      </c>
      <c r="H264" t="s">
        <v>161</v>
      </c>
      <c r="I264">
        <v>12</v>
      </c>
      <c r="J264" s="3">
        <v>3227.23</v>
      </c>
      <c r="K264" s="3">
        <v>38726.76</v>
      </c>
      <c r="L264" t="s">
        <v>52</v>
      </c>
      <c r="M264" s="2">
        <v>46203</v>
      </c>
      <c r="N264" s="2"/>
      <c r="O264" t="s">
        <v>60</v>
      </c>
      <c r="P264" t="s">
        <v>64</v>
      </c>
      <c r="Q264" t="s">
        <v>167</v>
      </c>
      <c r="R264" t="s">
        <v>167</v>
      </c>
    </row>
    <row r="265" spans="1:18">
      <c r="A265" t="s">
        <v>390</v>
      </c>
      <c r="B265" s="2">
        <v>46119</v>
      </c>
      <c r="C265" t="s">
        <v>37</v>
      </c>
      <c r="D265" t="s">
        <v>38</v>
      </c>
      <c r="E265" t="s">
        <v>31</v>
      </c>
      <c r="F265" t="s">
        <v>22</v>
      </c>
      <c r="G265" t="s">
        <v>23</v>
      </c>
      <c r="H265" t="s">
        <v>24</v>
      </c>
      <c r="I265">
        <v>52</v>
      </c>
      <c r="J265" s="3">
        <v>251.77</v>
      </c>
      <c r="K265" s="3">
        <v>13092.04</v>
      </c>
      <c r="L265" t="s">
        <v>34</v>
      </c>
      <c r="M265" s="2">
        <v>46124</v>
      </c>
      <c r="N265" s="2">
        <v>46121</v>
      </c>
      <c r="O265" t="s">
        <v>60</v>
      </c>
      <c r="P265" t="s">
        <v>94</v>
      </c>
      <c r="Q265" t="s">
        <v>28</v>
      </c>
      <c r="R265" t="s">
        <v>29</v>
      </c>
    </row>
    <row r="266" spans="1:18">
      <c r="A266" t="s">
        <v>391</v>
      </c>
      <c r="B266" s="2">
        <v>45789</v>
      </c>
      <c r="C266" t="s">
        <v>104</v>
      </c>
      <c r="D266" t="s">
        <v>105</v>
      </c>
      <c r="E266" t="s">
        <v>48</v>
      </c>
      <c r="F266" t="s">
        <v>49</v>
      </c>
      <c r="G266" t="s">
        <v>68</v>
      </c>
      <c r="H266" t="s">
        <v>69</v>
      </c>
      <c r="I266">
        <v>1</v>
      </c>
      <c r="J266" s="3">
        <v>48710.85</v>
      </c>
      <c r="K266" s="3">
        <v>48710.85</v>
      </c>
      <c r="L266" t="s">
        <v>52</v>
      </c>
      <c r="M266" s="2">
        <v>45798</v>
      </c>
      <c r="N266" s="2">
        <v>45796</v>
      </c>
      <c r="O266" t="s">
        <v>60</v>
      </c>
      <c r="P266" t="s">
        <v>53</v>
      </c>
      <c r="Q266" t="s">
        <v>28</v>
      </c>
      <c r="R266" t="s">
        <v>29</v>
      </c>
    </row>
    <row r="267" spans="1:18">
      <c r="A267" t="s">
        <v>392</v>
      </c>
      <c r="B267" s="2">
        <v>45799</v>
      </c>
      <c r="C267" t="s">
        <v>46</v>
      </c>
      <c r="D267" t="s">
        <v>47</v>
      </c>
      <c r="E267" t="s">
        <v>48</v>
      </c>
      <c r="F267" t="s">
        <v>49</v>
      </c>
      <c r="G267" t="s">
        <v>165</v>
      </c>
      <c r="H267" t="s">
        <v>166</v>
      </c>
      <c r="I267">
        <v>1</v>
      </c>
      <c r="J267" s="3">
        <v>49808.15</v>
      </c>
      <c r="K267" s="3">
        <v>49808.15</v>
      </c>
      <c r="L267" t="s">
        <v>34</v>
      </c>
      <c r="M267" s="2">
        <v>45807</v>
      </c>
      <c r="N267" s="2">
        <v>45805</v>
      </c>
      <c r="O267" t="s">
        <v>26</v>
      </c>
      <c r="P267" t="s">
        <v>53</v>
      </c>
      <c r="Q267" t="s">
        <v>28</v>
      </c>
      <c r="R267" t="s">
        <v>29</v>
      </c>
    </row>
    <row r="268" spans="1:18">
      <c r="A268" t="s">
        <v>393</v>
      </c>
      <c r="B268" s="2">
        <v>46173</v>
      </c>
      <c r="C268" t="s">
        <v>19</v>
      </c>
      <c r="D268" t="s">
        <v>20</v>
      </c>
      <c r="E268" t="s">
        <v>31</v>
      </c>
      <c r="F268" t="s">
        <v>22</v>
      </c>
      <c r="G268" t="s">
        <v>23</v>
      </c>
      <c r="H268" t="s">
        <v>24</v>
      </c>
      <c r="I268">
        <v>42</v>
      </c>
      <c r="J268" s="3">
        <v>230.27</v>
      </c>
      <c r="K268" s="3">
        <v>9671.34</v>
      </c>
      <c r="L268" t="s">
        <v>34</v>
      </c>
      <c r="M268" s="2">
        <v>46187</v>
      </c>
      <c r="N268" s="2">
        <v>46184</v>
      </c>
      <c r="O268" t="s">
        <v>76</v>
      </c>
      <c r="P268" t="s">
        <v>35</v>
      </c>
      <c r="Q268" t="s">
        <v>28</v>
      </c>
      <c r="R268" t="s">
        <v>29</v>
      </c>
    </row>
    <row r="269" spans="1:18">
      <c r="A269" t="s">
        <v>394</v>
      </c>
      <c r="B269" s="2">
        <v>45671</v>
      </c>
      <c r="C269" t="s">
        <v>19</v>
      </c>
      <c r="D269" t="s">
        <v>20</v>
      </c>
      <c r="E269" t="s">
        <v>39</v>
      </c>
      <c r="F269" t="s">
        <v>22</v>
      </c>
      <c r="G269" t="s">
        <v>23</v>
      </c>
      <c r="H269" t="s">
        <v>24</v>
      </c>
      <c r="I269">
        <v>53</v>
      </c>
      <c r="J269" s="3">
        <v>222.84</v>
      </c>
      <c r="K269" s="3">
        <v>11810.52</v>
      </c>
      <c r="L269" t="s">
        <v>34</v>
      </c>
      <c r="M269" s="2">
        <v>45688</v>
      </c>
      <c r="N269" s="2">
        <v>45694</v>
      </c>
      <c r="O269" t="s">
        <v>26</v>
      </c>
      <c r="P269" t="s">
        <v>64</v>
      </c>
      <c r="Q269" t="s">
        <v>28</v>
      </c>
      <c r="R269" t="s">
        <v>129</v>
      </c>
    </row>
    <row r="270" spans="1:18">
      <c r="A270" t="s">
        <v>395</v>
      </c>
      <c r="B270" s="2">
        <v>45960</v>
      </c>
      <c r="C270" t="s">
        <v>117</v>
      </c>
      <c r="D270" t="s">
        <v>118</v>
      </c>
      <c r="E270" t="s">
        <v>31</v>
      </c>
      <c r="F270" t="s">
        <v>57</v>
      </c>
      <c r="G270" t="s">
        <v>74</v>
      </c>
      <c r="H270" t="s">
        <v>75</v>
      </c>
      <c r="I270">
        <v>12</v>
      </c>
      <c r="J270" s="3">
        <v>9054.51</v>
      </c>
      <c r="K270" s="3">
        <v>108654.12</v>
      </c>
      <c r="L270" t="s">
        <v>25</v>
      </c>
      <c r="M270" s="2">
        <v>45973</v>
      </c>
      <c r="N270" s="2">
        <v>45970</v>
      </c>
      <c r="O270" t="s">
        <v>76</v>
      </c>
      <c r="P270" t="s">
        <v>94</v>
      </c>
      <c r="Q270" t="s">
        <v>28</v>
      </c>
      <c r="R270" t="s">
        <v>29</v>
      </c>
    </row>
    <row r="271" spans="1:18">
      <c r="A271" t="s">
        <v>396</v>
      </c>
      <c r="B271" s="2">
        <v>46048</v>
      </c>
      <c r="C271" t="s">
        <v>66</v>
      </c>
      <c r="D271" t="s">
        <v>67</v>
      </c>
      <c r="E271" t="s">
        <v>112</v>
      </c>
      <c r="F271" t="s">
        <v>49</v>
      </c>
      <c r="G271" t="s">
        <v>165</v>
      </c>
      <c r="H271" t="s">
        <v>166</v>
      </c>
      <c r="I271">
        <v>1</v>
      </c>
      <c r="J271" s="3">
        <v>42115.360000000001</v>
      </c>
      <c r="K271" s="3">
        <v>42115.360000000001</v>
      </c>
      <c r="L271" t="s">
        <v>34</v>
      </c>
      <c r="M271" s="2">
        <v>46056</v>
      </c>
      <c r="N271" s="2">
        <v>46053</v>
      </c>
      <c r="O271" t="s">
        <v>76</v>
      </c>
      <c r="P271" t="s">
        <v>115</v>
      </c>
      <c r="Q271" t="s">
        <v>28</v>
      </c>
      <c r="R271" t="s">
        <v>29</v>
      </c>
    </row>
    <row r="272" spans="1:18">
      <c r="A272" t="s">
        <v>397</v>
      </c>
      <c r="B272" s="2">
        <v>45856</v>
      </c>
      <c r="C272" t="s">
        <v>96</v>
      </c>
      <c r="D272" t="s">
        <v>97</v>
      </c>
      <c r="E272" t="s">
        <v>39</v>
      </c>
      <c r="F272" t="s">
        <v>82</v>
      </c>
      <c r="G272" t="s">
        <v>83</v>
      </c>
      <c r="H272" t="s">
        <v>84</v>
      </c>
      <c r="I272">
        <v>37</v>
      </c>
      <c r="J272" s="3">
        <v>709.49</v>
      </c>
      <c r="K272" s="3">
        <v>26251.13</v>
      </c>
      <c r="L272" t="s">
        <v>25</v>
      </c>
      <c r="M272" s="2">
        <v>45862</v>
      </c>
      <c r="N272" s="2">
        <v>45859</v>
      </c>
      <c r="O272" t="s">
        <v>76</v>
      </c>
      <c r="P272" t="s">
        <v>64</v>
      </c>
      <c r="Q272" t="s">
        <v>28</v>
      </c>
      <c r="R272" t="s">
        <v>29</v>
      </c>
    </row>
    <row r="273" spans="1:18">
      <c r="A273" t="s">
        <v>398</v>
      </c>
      <c r="B273" s="2">
        <v>45822</v>
      </c>
      <c r="C273" t="s">
        <v>46</v>
      </c>
      <c r="D273" t="s">
        <v>47</v>
      </c>
      <c r="E273" t="s">
        <v>21</v>
      </c>
      <c r="F273" t="s">
        <v>49</v>
      </c>
      <c r="G273" t="s">
        <v>68</v>
      </c>
      <c r="H273" t="s">
        <v>69</v>
      </c>
      <c r="I273">
        <v>1</v>
      </c>
      <c r="J273" s="3">
        <v>49553.69</v>
      </c>
      <c r="K273" s="3">
        <v>49553.69</v>
      </c>
      <c r="L273" t="s">
        <v>25</v>
      </c>
      <c r="M273" s="2">
        <v>45832</v>
      </c>
      <c r="N273" s="2">
        <v>45830</v>
      </c>
      <c r="O273" t="s">
        <v>76</v>
      </c>
      <c r="P273" t="s">
        <v>27</v>
      </c>
      <c r="Q273" t="s">
        <v>28</v>
      </c>
      <c r="R273" t="s">
        <v>29</v>
      </c>
    </row>
    <row r="274" spans="1:18">
      <c r="A274" t="s">
        <v>399</v>
      </c>
      <c r="B274" s="2">
        <v>45983</v>
      </c>
      <c r="C274" t="s">
        <v>66</v>
      </c>
      <c r="D274" t="s">
        <v>67</v>
      </c>
      <c r="E274" t="s">
        <v>112</v>
      </c>
      <c r="F274" t="s">
        <v>49</v>
      </c>
      <c r="G274" t="s">
        <v>113</v>
      </c>
      <c r="H274" t="s">
        <v>114</v>
      </c>
      <c r="I274">
        <v>3</v>
      </c>
      <c r="J274" s="3">
        <v>35914.300000000003</v>
      </c>
      <c r="K274" s="3">
        <v>107742.9</v>
      </c>
      <c r="L274" t="s">
        <v>25</v>
      </c>
      <c r="M274" s="2">
        <v>45996</v>
      </c>
      <c r="N274" s="2">
        <v>45994</v>
      </c>
      <c r="O274" t="s">
        <v>26</v>
      </c>
      <c r="P274" t="s">
        <v>115</v>
      </c>
      <c r="Q274" t="s">
        <v>28</v>
      </c>
      <c r="R274" t="s">
        <v>29</v>
      </c>
    </row>
    <row r="275" spans="1:18">
      <c r="A275" t="s">
        <v>400</v>
      </c>
      <c r="B275" s="2">
        <v>45997</v>
      </c>
      <c r="C275" t="s">
        <v>96</v>
      </c>
      <c r="D275" t="s">
        <v>97</v>
      </c>
      <c r="E275" t="s">
        <v>39</v>
      </c>
      <c r="F275" t="s">
        <v>82</v>
      </c>
      <c r="G275" t="s">
        <v>197</v>
      </c>
      <c r="H275" t="s">
        <v>198</v>
      </c>
      <c r="I275">
        <v>53</v>
      </c>
      <c r="J275" s="3">
        <v>2143.31</v>
      </c>
      <c r="K275" s="3">
        <v>113595.43</v>
      </c>
      <c r="L275" t="s">
        <v>25</v>
      </c>
      <c r="M275" s="2">
        <v>46012</v>
      </c>
      <c r="N275" s="2">
        <v>46024</v>
      </c>
      <c r="O275" t="s">
        <v>26</v>
      </c>
      <c r="P275" t="s">
        <v>64</v>
      </c>
      <c r="Q275" t="s">
        <v>28</v>
      </c>
      <c r="R275" t="s">
        <v>129</v>
      </c>
    </row>
    <row r="276" spans="1:18">
      <c r="A276" t="s">
        <v>401</v>
      </c>
      <c r="B276" s="2">
        <v>45986</v>
      </c>
      <c r="C276" t="s">
        <v>55</v>
      </c>
      <c r="D276" t="s">
        <v>56</v>
      </c>
      <c r="E276" t="s">
        <v>48</v>
      </c>
      <c r="F276" t="s">
        <v>57</v>
      </c>
      <c r="G276" t="s">
        <v>74</v>
      </c>
      <c r="H276" t="s">
        <v>75</v>
      </c>
      <c r="I276">
        <v>1</v>
      </c>
      <c r="J276" s="3">
        <v>9853.82</v>
      </c>
      <c r="K276" s="3">
        <v>9853.82</v>
      </c>
      <c r="L276" t="s">
        <v>25</v>
      </c>
      <c r="M276" s="2">
        <v>45999</v>
      </c>
      <c r="N276" s="2">
        <v>45997</v>
      </c>
      <c r="O276" t="s">
        <v>60</v>
      </c>
      <c r="P276" t="s">
        <v>53</v>
      </c>
      <c r="Q276" t="s">
        <v>28</v>
      </c>
      <c r="R276" t="s">
        <v>29</v>
      </c>
    </row>
    <row r="277" spans="1:18">
      <c r="A277" t="s">
        <v>402</v>
      </c>
      <c r="B277" s="2">
        <v>45702</v>
      </c>
      <c r="C277" t="s">
        <v>66</v>
      </c>
      <c r="D277" t="s">
        <v>67</v>
      </c>
      <c r="E277" t="s">
        <v>48</v>
      </c>
      <c r="F277" t="s">
        <v>49</v>
      </c>
      <c r="G277" t="s">
        <v>113</v>
      </c>
      <c r="H277" t="s">
        <v>114</v>
      </c>
      <c r="I277">
        <v>3</v>
      </c>
      <c r="J277" s="3">
        <v>35940.92</v>
      </c>
      <c r="K277" s="3">
        <v>107822.76</v>
      </c>
      <c r="L277" t="s">
        <v>25</v>
      </c>
      <c r="M277" s="2">
        <v>45715</v>
      </c>
      <c r="N277" s="2">
        <v>45718</v>
      </c>
      <c r="O277" t="s">
        <v>26</v>
      </c>
      <c r="P277" t="s">
        <v>53</v>
      </c>
      <c r="Q277" t="s">
        <v>28</v>
      </c>
      <c r="R277" t="s">
        <v>129</v>
      </c>
    </row>
    <row r="278" spans="1:18">
      <c r="A278" t="s">
        <v>403</v>
      </c>
      <c r="B278" s="2">
        <v>45764</v>
      </c>
      <c r="C278" t="s">
        <v>46</v>
      </c>
      <c r="D278" t="s">
        <v>47</v>
      </c>
      <c r="E278" t="s">
        <v>48</v>
      </c>
      <c r="F278" t="s">
        <v>49</v>
      </c>
      <c r="G278" t="s">
        <v>113</v>
      </c>
      <c r="H278" t="s">
        <v>114</v>
      </c>
      <c r="I278">
        <v>2</v>
      </c>
      <c r="J278" s="3">
        <v>39226.19</v>
      </c>
      <c r="K278" s="3">
        <v>78452.38</v>
      </c>
      <c r="L278" t="s">
        <v>25</v>
      </c>
      <c r="M278" s="2">
        <v>45780</v>
      </c>
      <c r="N278" s="2">
        <v>45780</v>
      </c>
      <c r="O278" t="s">
        <v>26</v>
      </c>
      <c r="P278" t="s">
        <v>53</v>
      </c>
      <c r="Q278" t="s">
        <v>28</v>
      </c>
      <c r="R278" t="s">
        <v>29</v>
      </c>
    </row>
    <row r="279" spans="1:18">
      <c r="A279" t="s">
        <v>404</v>
      </c>
      <c r="B279" s="2">
        <v>45730</v>
      </c>
      <c r="C279" t="s">
        <v>134</v>
      </c>
      <c r="D279" t="s">
        <v>135</v>
      </c>
      <c r="E279" t="s">
        <v>39</v>
      </c>
      <c r="F279" t="s">
        <v>40</v>
      </c>
      <c r="G279" t="s">
        <v>62</v>
      </c>
      <c r="H279" t="s">
        <v>63</v>
      </c>
      <c r="I279">
        <v>7</v>
      </c>
      <c r="J279" s="3">
        <v>18809.310000000001</v>
      </c>
      <c r="K279" s="3">
        <v>131665.17000000001</v>
      </c>
      <c r="L279" t="s">
        <v>25</v>
      </c>
      <c r="M279" s="2">
        <v>45740</v>
      </c>
      <c r="N279" s="2">
        <v>45752</v>
      </c>
      <c r="O279" t="s">
        <v>43</v>
      </c>
      <c r="P279" t="s">
        <v>64</v>
      </c>
      <c r="Q279" t="s">
        <v>28</v>
      </c>
      <c r="R279" t="s">
        <v>129</v>
      </c>
    </row>
    <row r="280" spans="1:18">
      <c r="A280" t="s">
        <v>405</v>
      </c>
      <c r="B280" s="2">
        <v>45732</v>
      </c>
      <c r="C280" t="s">
        <v>55</v>
      </c>
      <c r="D280" t="s">
        <v>56</v>
      </c>
      <c r="E280" t="s">
        <v>31</v>
      </c>
      <c r="F280" t="s">
        <v>57</v>
      </c>
      <c r="G280" t="s">
        <v>120</v>
      </c>
      <c r="H280" t="s">
        <v>121</v>
      </c>
      <c r="I280">
        <v>8</v>
      </c>
      <c r="J280" s="3">
        <v>23517.19</v>
      </c>
      <c r="K280" s="3">
        <v>188137.52</v>
      </c>
      <c r="L280" t="s">
        <v>25</v>
      </c>
      <c r="M280" s="2">
        <v>45743</v>
      </c>
      <c r="N280" s="2">
        <v>45743</v>
      </c>
      <c r="O280" t="s">
        <v>26</v>
      </c>
      <c r="P280" t="s">
        <v>94</v>
      </c>
      <c r="Q280" t="s">
        <v>28</v>
      </c>
      <c r="R280" t="s">
        <v>29</v>
      </c>
    </row>
    <row r="281" spans="1:18">
      <c r="A281" t="s">
        <v>406</v>
      </c>
      <c r="B281" s="2">
        <v>45805</v>
      </c>
      <c r="C281" t="s">
        <v>66</v>
      </c>
      <c r="D281" t="s">
        <v>67</v>
      </c>
      <c r="E281" t="s">
        <v>112</v>
      </c>
      <c r="F281" t="s">
        <v>49</v>
      </c>
      <c r="G281" t="s">
        <v>165</v>
      </c>
      <c r="H281" t="s">
        <v>166</v>
      </c>
      <c r="I281">
        <v>3</v>
      </c>
      <c r="J281" s="3">
        <v>41947.8</v>
      </c>
      <c r="K281" s="3">
        <v>125843.4</v>
      </c>
      <c r="L281" t="s">
        <v>34</v>
      </c>
      <c r="M281" s="2">
        <v>45812</v>
      </c>
      <c r="N281" s="2">
        <v>45812</v>
      </c>
      <c r="O281" t="s">
        <v>60</v>
      </c>
      <c r="P281" t="s">
        <v>115</v>
      </c>
      <c r="Q281" t="s">
        <v>28</v>
      </c>
      <c r="R281" t="s">
        <v>29</v>
      </c>
    </row>
    <row r="282" spans="1:18">
      <c r="A282" t="s">
        <v>407</v>
      </c>
      <c r="B282" s="2">
        <v>45970</v>
      </c>
      <c r="C282" t="s">
        <v>104</v>
      </c>
      <c r="D282" t="s">
        <v>105</v>
      </c>
      <c r="E282" t="s">
        <v>48</v>
      </c>
      <c r="F282" t="s">
        <v>49</v>
      </c>
      <c r="G282" t="s">
        <v>50</v>
      </c>
      <c r="H282" t="s">
        <v>51</v>
      </c>
      <c r="I282">
        <v>3</v>
      </c>
      <c r="J282" s="3">
        <v>52942.96</v>
      </c>
      <c r="K282" s="3">
        <v>158828.88</v>
      </c>
      <c r="L282" t="s">
        <v>34</v>
      </c>
      <c r="M282" s="2">
        <v>45977</v>
      </c>
      <c r="N282" s="2">
        <v>45976</v>
      </c>
      <c r="O282" t="s">
        <v>76</v>
      </c>
      <c r="P282" t="s">
        <v>53</v>
      </c>
      <c r="Q282" t="s">
        <v>28</v>
      </c>
      <c r="R282" t="s">
        <v>29</v>
      </c>
    </row>
    <row r="283" spans="1:18">
      <c r="A283" t="s">
        <v>408</v>
      </c>
      <c r="B283" s="2">
        <v>45775</v>
      </c>
      <c r="C283" t="s">
        <v>71</v>
      </c>
      <c r="D283" t="s">
        <v>72</v>
      </c>
      <c r="E283" t="s">
        <v>48</v>
      </c>
      <c r="F283" t="s">
        <v>57</v>
      </c>
      <c r="G283" t="s">
        <v>127</v>
      </c>
      <c r="H283" t="s">
        <v>128</v>
      </c>
      <c r="I283">
        <v>5</v>
      </c>
      <c r="J283" s="3">
        <v>15432.77</v>
      </c>
      <c r="K283" s="3">
        <v>77163.850000000006</v>
      </c>
      <c r="L283" t="s">
        <v>25</v>
      </c>
      <c r="M283" s="2">
        <v>45790</v>
      </c>
      <c r="N283" s="2">
        <v>45793</v>
      </c>
      <c r="O283" t="s">
        <v>60</v>
      </c>
      <c r="P283" t="s">
        <v>53</v>
      </c>
      <c r="Q283" t="s">
        <v>28</v>
      </c>
      <c r="R283" t="s">
        <v>129</v>
      </c>
    </row>
    <row r="284" spans="1:18">
      <c r="A284" t="s">
        <v>409</v>
      </c>
      <c r="B284" s="2">
        <v>46023</v>
      </c>
      <c r="C284" t="s">
        <v>71</v>
      </c>
      <c r="D284" t="s">
        <v>72</v>
      </c>
      <c r="E284" t="s">
        <v>48</v>
      </c>
      <c r="F284" t="s">
        <v>57</v>
      </c>
      <c r="G284" t="s">
        <v>58</v>
      </c>
      <c r="H284" t="s">
        <v>59</v>
      </c>
      <c r="I284">
        <v>6</v>
      </c>
      <c r="J284" s="3">
        <v>55418.2</v>
      </c>
      <c r="K284" s="3">
        <v>332509.2</v>
      </c>
      <c r="L284" t="s">
        <v>34</v>
      </c>
      <c r="M284" s="2">
        <v>46035</v>
      </c>
      <c r="N284" s="2">
        <v>46033</v>
      </c>
      <c r="O284" t="s">
        <v>26</v>
      </c>
      <c r="P284" t="s">
        <v>53</v>
      </c>
      <c r="Q284" t="s">
        <v>28</v>
      </c>
      <c r="R284" t="s">
        <v>29</v>
      </c>
    </row>
    <row r="285" spans="1:18">
      <c r="A285" t="s">
        <v>410</v>
      </c>
      <c r="B285" s="2">
        <v>45830</v>
      </c>
      <c r="C285" t="s">
        <v>19</v>
      </c>
      <c r="D285" t="s">
        <v>20</v>
      </c>
      <c r="E285" t="s">
        <v>21</v>
      </c>
      <c r="F285" t="s">
        <v>22</v>
      </c>
      <c r="G285" t="s">
        <v>32</v>
      </c>
      <c r="H285" t="s">
        <v>33</v>
      </c>
      <c r="I285">
        <v>14</v>
      </c>
      <c r="J285" s="3">
        <v>7248.57</v>
      </c>
      <c r="K285" s="3">
        <v>101479.98</v>
      </c>
      <c r="L285" t="s">
        <v>25</v>
      </c>
      <c r="M285" s="2">
        <v>45840</v>
      </c>
      <c r="N285" s="2">
        <v>45853</v>
      </c>
      <c r="O285" t="s">
        <v>60</v>
      </c>
      <c r="P285" t="s">
        <v>27</v>
      </c>
      <c r="Q285" t="s">
        <v>28</v>
      </c>
      <c r="R285" t="s">
        <v>129</v>
      </c>
    </row>
    <row r="286" spans="1:18">
      <c r="A286" t="s">
        <v>411</v>
      </c>
      <c r="B286" s="2">
        <v>46114</v>
      </c>
      <c r="C286" t="s">
        <v>117</v>
      </c>
      <c r="D286" t="s">
        <v>118</v>
      </c>
      <c r="E286" t="s">
        <v>21</v>
      </c>
      <c r="F286" t="s">
        <v>57</v>
      </c>
      <c r="G286" t="s">
        <v>101</v>
      </c>
      <c r="H286" t="s">
        <v>102</v>
      </c>
      <c r="I286">
        <v>58</v>
      </c>
      <c r="J286" s="3">
        <v>1839.46</v>
      </c>
      <c r="K286" s="3">
        <v>106688.68</v>
      </c>
      <c r="L286" t="s">
        <v>52</v>
      </c>
      <c r="M286" s="2">
        <v>46123</v>
      </c>
      <c r="N286" s="2">
        <v>46122</v>
      </c>
      <c r="O286" t="s">
        <v>26</v>
      </c>
      <c r="P286" t="s">
        <v>27</v>
      </c>
      <c r="Q286" t="s">
        <v>28</v>
      </c>
      <c r="R286" t="s">
        <v>29</v>
      </c>
    </row>
    <row r="287" spans="1:18">
      <c r="A287" t="s">
        <v>412</v>
      </c>
      <c r="B287" s="2">
        <v>45736</v>
      </c>
      <c r="C287" t="s">
        <v>66</v>
      </c>
      <c r="D287" t="s">
        <v>67</v>
      </c>
      <c r="E287" t="s">
        <v>112</v>
      </c>
      <c r="F287" t="s">
        <v>49</v>
      </c>
      <c r="G287" t="s">
        <v>113</v>
      </c>
      <c r="H287" t="s">
        <v>114</v>
      </c>
      <c r="I287">
        <v>3</v>
      </c>
      <c r="J287" s="3">
        <v>37306.050000000003</v>
      </c>
      <c r="K287" s="3">
        <v>111918.15</v>
      </c>
      <c r="L287" t="s">
        <v>25</v>
      </c>
      <c r="M287" s="2">
        <v>45744</v>
      </c>
      <c r="N287" s="2">
        <v>45742</v>
      </c>
      <c r="O287" t="s">
        <v>60</v>
      </c>
      <c r="P287" t="s">
        <v>115</v>
      </c>
      <c r="Q287" t="s">
        <v>28</v>
      </c>
      <c r="R287" t="s">
        <v>29</v>
      </c>
    </row>
    <row r="288" spans="1:18">
      <c r="A288" t="s">
        <v>413</v>
      </c>
      <c r="B288" s="2">
        <v>46032</v>
      </c>
      <c r="C288" t="s">
        <v>104</v>
      </c>
      <c r="D288" t="s">
        <v>105</v>
      </c>
      <c r="E288" t="s">
        <v>112</v>
      </c>
      <c r="F288" t="s">
        <v>49</v>
      </c>
      <c r="G288" t="s">
        <v>165</v>
      </c>
      <c r="H288" t="s">
        <v>166</v>
      </c>
      <c r="I288">
        <v>1</v>
      </c>
      <c r="J288" s="3">
        <v>45229.55</v>
      </c>
      <c r="K288" s="3">
        <v>45229.55</v>
      </c>
      <c r="L288" t="s">
        <v>34</v>
      </c>
      <c r="M288" s="2">
        <v>46043</v>
      </c>
      <c r="N288" s="2">
        <v>46043</v>
      </c>
      <c r="O288" t="s">
        <v>26</v>
      </c>
      <c r="P288" t="s">
        <v>115</v>
      </c>
      <c r="Q288" t="s">
        <v>28</v>
      </c>
      <c r="R288" t="s">
        <v>29</v>
      </c>
    </row>
    <row r="289" spans="1:18">
      <c r="A289" t="s">
        <v>414</v>
      </c>
      <c r="B289" s="2">
        <v>46114</v>
      </c>
      <c r="C289" t="s">
        <v>37</v>
      </c>
      <c r="D289" t="s">
        <v>38</v>
      </c>
      <c r="E289" t="s">
        <v>31</v>
      </c>
      <c r="F289" t="s">
        <v>22</v>
      </c>
      <c r="G289" t="s">
        <v>32</v>
      </c>
      <c r="H289" t="s">
        <v>33</v>
      </c>
      <c r="I289">
        <v>12</v>
      </c>
      <c r="J289" s="3">
        <v>8121.98</v>
      </c>
      <c r="K289" s="3">
        <v>97463.76</v>
      </c>
      <c r="L289" t="s">
        <v>25</v>
      </c>
      <c r="M289" s="2">
        <v>46126</v>
      </c>
      <c r="N289" s="2">
        <v>46126</v>
      </c>
      <c r="O289" t="s">
        <v>60</v>
      </c>
      <c r="P289" t="s">
        <v>94</v>
      </c>
      <c r="Q289" t="s">
        <v>28</v>
      </c>
      <c r="R289" t="s">
        <v>29</v>
      </c>
    </row>
    <row r="290" spans="1:18">
      <c r="A290" t="s">
        <v>415</v>
      </c>
      <c r="B290" s="2">
        <v>45722</v>
      </c>
      <c r="C290" t="s">
        <v>80</v>
      </c>
      <c r="D290" t="s">
        <v>81</v>
      </c>
      <c r="E290" t="s">
        <v>39</v>
      </c>
      <c r="F290" t="s">
        <v>82</v>
      </c>
      <c r="G290" t="s">
        <v>83</v>
      </c>
      <c r="H290" t="s">
        <v>84</v>
      </c>
      <c r="I290">
        <v>29</v>
      </c>
      <c r="J290" s="3">
        <v>705.36</v>
      </c>
      <c r="K290" s="3">
        <v>20455.439999999999</v>
      </c>
      <c r="L290" t="s">
        <v>25</v>
      </c>
      <c r="M290" s="2">
        <v>45734</v>
      </c>
      <c r="N290" s="2">
        <v>45734</v>
      </c>
      <c r="O290" t="s">
        <v>76</v>
      </c>
      <c r="P290" t="s">
        <v>64</v>
      </c>
      <c r="Q290" t="s">
        <v>28</v>
      </c>
      <c r="R290" t="s">
        <v>29</v>
      </c>
    </row>
    <row r="291" spans="1:18">
      <c r="A291" t="s">
        <v>416</v>
      </c>
      <c r="B291" s="2">
        <v>46191</v>
      </c>
      <c r="C291" t="s">
        <v>71</v>
      </c>
      <c r="D291" t="s">
        <v>72</v>
      </c>
      <c r="E291" t="s">
        <v>21</v>
      </c>
      <c r="F291" t="s">
        <v>57</v>
      </c>
      <c r="G291" t="s">
        <v>58</v>
      </c>
      <c r="H291" t="s">
        <v>59</v>
      </c>
      <c r="I291">
        <v>7</v>
      </c>
      <c r="J291" s="3">
        <v>53837.32</v>
      </c>
      <c r="K291" s="3">
        <v>376861.24</v>
      </c>
      <c r="L291" t="s">
        <v>25</v>
      </c>
      <c r="M291" s="2">
        <v>46206</v>
      </c>
      <c r="N291" s="2">
        <v>46206</v>
      </c>
      <c r="O291" t="s">
        <v>26</v>
      </c>
      <c r="P291" t="s">
        <v>27</v>
      </c>
      <c r="Q291" t="s">
        <v>28</v>
      </c>
      <c r="R291" t="s">
        <v>29</v>
      </c>
    </row>
    <row r="292" spans="1:18">
      <c r="A292" t="s">
        <v>417</v>
      </c>
      <c r="B292" s="2">
        <v>46011</v>
      </c>
      <c r="C292" t="s">
        <v>19</v>
      </c>
      <c r="D292" t="s">
        <v>20</v>
      </c>
      <c r="E292" t="s">
        <v>31</v>
      </c>
      <c r="F292" t="s">
        <v>22</v>
      </c>
      <c r="G292" t="s">
        <v>23</v>
      </c>
      <c r="H292" t="s">
        <v>24</v>
      </c>
      <c r="I292">
        <v>15</v>
      </c>
      <c r="J292" s="3">
        <v>221.59</v>
      </c>
      <c r="K292" s="3">
        <v>3323.85</v>
      </c>
      <c r="L292" t="s">
        <v>25</v>
      </c>
      <c r="M292" s="2">
        <v>46019</v>
      </c>
      <c r="N292" s="2">
        <v>46031</v>
      </c>
      <c r="O292" t="s">
        <v>26</v>
      </c>
      <c r="P292" t="s">
        <v>94</v>
      </c>
      <c r="Q292" t="s">
        <v>28</v>
      </c>
      <c r="R292" t="s">
        <v>129</v>
      </c>
    </row>
    <row r="293" spans="1:18">
      <c r="A293" t="s">
        <v>418</v>
      </c>
      <c r="B293" s="2">
        <v>45819</v>
      </c>
      <c r="C293" t="s">
        <v>55</v>
      </c>
      <c r="D293" t="s">
        <v>56</v>
      </c>
      <c r="E293" t="s">
        <v>48</v>
      </c>
      <c r="F293" t="s">
        <v>57</v>
      </c>
      <c r="G293" t="s">
        <v>120</v>
      </c>
      <c r="H293" t="s">
        <v>121</v>
      </c>
      <c r="I293">
        <v>2</v>
      </c>
      <c r="J293" s="3">
        <v>25102.03</v>
      </c>
      <c r="K293" s="3">
        <v>50204.06</v>
      </c>
      <c r="L293" t="s">
        <v>25</v>
      </c>
      <c r="M293" s="2">
        <v>45831</v>
      </c>
      <c r="N293" s="2">
        <v>45828</v>
      </c>
      <c r="O293" t="s">
        <v>26</v>
      </c>
      <c r="P293" t="s">
        <v>53</v>
      </c>
      <c r="Q293" t="s">
        <v>28</v>
      </c>
      <c r="R293" t="s">
        <v>29</v>
      </c>
    </row>
    <row r="294" spans="1:18">
      <c r="A294" t="s">
        <v>419</v>
      </c>
      <c r="B294" s="2">
        <v>45680</v>
      </c>
      <c r="C294" t="s">
        <v>96</v>
      </c>
      <c r="D294" t="s">
        <v>97</v>
      </c>
      <c r="E294" t="s">
        <v>39</v>
      </c>
      <c r="F294" t="s">
        <v>82</v>
      </c>
      <c r="G294" t="s">
        <v>83</v>
      </c>
      <c r="H294" t="s">
        <v>84</v>
      </c>
      <c r="I294">
        <v>41</v>
      </c>
      <c r="J294" s="3">
        <v>731.66</v>
      </c>
      <c r="K294" s="3">
        <v>29998.06</v>
      </c>
      <c r="L294" t="s">
        <v>52</v>
      </c>
      <c r="M294" s="2">
        <v>45687</v>
      </c>
      <c r="N294" s="2">
        <v>45685</v>
      </c>
      <c r="O294" t="s">
        <v>60</v>
      </c>
      <c r="P294" t="s">
        <v>64</v>
      </c>
      <c r="Q294" t="s">
        <v>28</v>
      </c>
      <c r="R294" t="s">
        <v>29</v>
      </c>
    </row>
    <row r="295" spans="1:18">
      <c r="A295" t="s">
        <v>420</v>
      </c>
      <c r="B295" s="2">
        <v>45879</v>
      </c>
      <c r="C295" t="s">
        <v>37</v>
      </c>
      <c r="D295" t="s">
        <v>38</v>
      </c>
      <c r="E295" t="s">
        <v>112</v>
      </c>
      <c r="F295" t="s">
        <v>40</v>
      </c>
      <c r="G295" t="s">
        <v>149</v>
      </c>
      <c r="H295" t="s">
        <v>150</v>
      </c>
      <c r="I295">
        <v>14</v>
      </c>
      <c r="J295" s="3">
        <v>1440.12</v>
      </c>
      <c r="K295" s="3">
        <v>20161.68</v>
      </c>
      <c r="L295" t="s">
        <v>34</v>
      </c>
      <c r="M295" s="2">
        <v>45896</v>
      </c>
      <c r="N295" s="2">
        <v>45895</v>
      </c>
      <c r="O295" t="s">
        <v>76</v>
      </c>
      <c r="P295" t="s">
        <v>115</v>
      </c>
      <c r="Q295" t="s">
        <v>28</v>
      </c>
      <c r="R295" t="s">
        <v>29</v>
      </c>
    </row>
    <row r="296" spans="1:18">
      <c r="A296" t="s">
        <v>421</v>
      </c>
      <c r="B296" s="2">
        <v>45728</v>
      </c>
      <c r="C296" t="s">
        <v>142</v>
      </c>
      <c r="D296" t="s">
        <v>143</v>
      </c>
      <c r="E296" t="s">
        <v>73</v>
      </c>
      <c r="F296" t="s">
        <v>22</v>
      </c>
      <c r="G296" t="s">
        <v>23</v>
      </c>
      <c r="H296" t="s">
        <v>24</v>
      </c>
      <c r="I296">
        <v>37</v>
      </c>
      <c r="J296" s="3">
        <v>254.15</v>
      </c>
      <c r="K296" s="3">
        <v>9403.5499999999993</v>
      </c>
      <c r="L296" t="s">
        <v>34</v>
      </c>
      <c r="M296" s="2">
        <v>45743</v>
      </c>
      <c r="N296" s="2">
        <v>45742</v>
      </c>
      <c r="O296" t="s">
        <v>26</v>
      </c>
      <c r="P296" t="s">
        <v>77</v>
      </c>
      <c r="Q296" t="s">
        <v>28</v>
      </c>
      <c r="R296" t="s">
        <v>29</v>
      </c>
    </row>
    <row r="297" spans="1:18">
      <c r="A297" t="s">
        <v>422</v>
      </c>
      <c r="B297" s="2">
        <v>46202</v>
      </c>
      <c r="C297" t="s">
        <v>147</v>
      </c>
      <c r="D297" t="s">
        <v>148</v>
      </c>
      <c r="E297" t="s">
        <v>39</v>
      </c>
      <c r="F297" t="s">
        <v>40</v>
      </c>
      <c r="G297" t="s">
        <v>149</v>
      </c>
      <c r="H297" t="s">
        <v>150</v>
      </c>
      <c r="I297">
        <v>5</v>
      </c>
      <c r="J297" s="3">
        <v>1307.06</v>
      </c>
      <c r="K297" s="3">
        <v>6535.3</v>
      </c>
      <c r="L297" t="s">
        <v>25</v>
      </c>
      <c r="M297" s="2">
        <v>46219</v>
      </c>
      <c r="N297" s="2">
        <v>46216</v>
      </c>
      <c r="O297" t="s">
        <v>43</v>
      </c>
      <c r="P297" t="s">
        <v>44</v>
      </c>
      <c r="Q297" t="s">
        <v>28</v>
      </c>
      <c r="R297" t="s">
        <v>29</v>
      </c>
    </row>
    <row r="298" spans="1:18">
      <c r="A298" t="s">
        <v>423</v>
      </c>
      <c r="B298" s="2">
        <v>46048</v>
      </c>
      <c r="C298" t="s">
        <v>117</v>
      </c>
      <c r="D298" t="s">
        <v>118</v>
      </c>
      <c r="E298" t="s">
        <v>48</v>
      </c>
      <c r="F298" t="s">
        <v>57</v>
      </c>
      <c r="G298" t="s">
        <v>74</v>
      </c>
      <c r="H298" t="s">
        <v>75</v>
      </c>
      <c r="I298">
        <v>4</v>
      </c>
      <c r="J298" s="3">
        <v>8747.67</v>
      </c>
      <c r="K298" s="3">
        <v>34990.68</v>
      </c>
      <c r="L298" t="s">
        <v>25</v>
      </c>
      <c r="M298" s="2">
        <v>46066</v>
      </c>
      <c r="N298" s="2">
        <v>46063</v>
      </c>
      <c r="O298" t="s">
        <v>43</v>
      </c>
      <c r="P298" t="s">
        <v>424</v>
      </c>
      <c r="Q298" t="s">
        <v>28</v>
      </c>
      <c r="R298" t="s">
        <v>29</v>
      </c>
    </row>
    <row r="299" spans="1:18">
      <c r="A299" t="s">
        <v>425</v>
      </c>
      <c r="B299" s="2">
        <v>46193</v>
      </c>
      <c r="C299" t="s">
        <v>80</v>
      </c>
      <c r="D299" t="s">
        <v>81</v>
      </c>
      <c r="E299" t="s">
        <v>39</v>
      </c>
      <c r="F299" t="s">
        <v>82</v>
      </c>
      <c r="G299" t="s">
        <v>83</v>
      </c>
      <c r="H299" t="s">
        <v>84</v>
      </c>
      <c r="I299">
        <v>28</v>
      </c>
      <c r="J299" s="3">
        <v>676.09</v>
      </c>
      <c r="K299" s="3">
        <v>18930.52</v>
      </c>
      <c r="L299" t="s">
        <v>25</v>
      </c>
      <c r="M299" s="2">
        <v>46199</v>
      </c>
      <c r="N299" s="2"/>
      <c r="O299" t="s">
        <v>76</v>
      </c>
      <c r="P299" t="s">
        <v>44</v>
      </c>
      <c r="Q299" t="s">
        <v>167</v>
      </c>
      <c r="R299" t="s">
        <v>167</v>
      </c>
    </row>
    <row r="300" spans="1:18">
      <c r="A300" t="s">
        <v>426</v>
      </c>
      <c r="B300" s="2">
        <v>46081</v>
      </c>
      <c r="C300" t="s">
        <v>107</v>
      </c>
      <c r="D300" t="s">
        <v>108</v>
      </c>
      <c r="E300" t="s">
        <v>31</v>
      </c>
      <c r="F300" t="s">
        <v>91</v>
      </c>
      <c r="G300" t="s">
        <v>109</v>
      </c>
      <c r="H300" t="s">
        <v>110</v>
      </c>
      <c r="I300">
        <v>1</v>
      </c>
      <c r="J300" s="3">
        <v>13798.65</v>
      </c>
      <c r="K300" s="3">
        <v>13798.65</v>
      </c>
      <c r="L300" t="s">
        <v>34</v>
      </c>
      <c r="M300" s="2">
        <v>46095</v>
      </c>
      <c r="N300" s="2">
        <v>46092</v>
      </c>
      <c r="O300" t="s">
        <v>43</v>
      </c>
      <c r="P300" t="s">
        <v>94</v>
      </c>
      <c r="Q300" t="s">
        <v>28</v>
      </c>
      <c r="R300" t="s">
        <v>29</v>
      </c>
    </row>
    <row r="301" spans="1:18">
      <c r="A301" t="s">
        <v>427</v>
      </c>
      <c r="B301" s="2">
        <v>45823</v>
      </c>
      <c r="C301" t="s">
        <v>71</v>
      </c>
      <c r="D301" t="s">
        <v>72</v>
      </c>
      <c r="E301" t="s">
        <v>31</v>
      </c>
      <c r="F301" t="s">
        <v>57</v>
      </c>
      <c r="G301" t="s">
        <v>127</v>
      </c>
      <c r="H301" t="s">
        <v>128</v>
      </c>
      <c r="I301">
        <v>1</v>
      </c>
      <c r="J301" s="3">
        <v>15618.39</v>
      </c>
      <c r="K301" s="3">
        <v>15618.39</v>
      </c>
      <c r="L301" t="s">
        <v>34</v>
      </c>
      <c r="M301" s="2">
        <v>45830</v>
      </c>
      <c r="N301" s="2">
        <v>45830</v>
      </c>
      <c r="O301" t="s">
        <v>26</v>
      </c>
      <c r="P301" t="s">
        <v>35</v>
      </c>
      <c r="Q301" t="s">
        <v>28</v>
      </c>
      <c r="R301" t="s">
        <v>29</v>
      </c>
    </row>
    <row r="302" spans="1:18">
      <c r="A302" t="s">
        <v>428</v>
      </c>
      <c r="B302" s="2">
        <v>46103</v>
      </c>
      <c r="C302" t="s">
        <v>46</v>
      </c>
      <c r="D302" t="s">
        <v>47</v>
      </c>
      <c r="E302" t="s">
        <v>21</v>
      </c>
      <c r="F302" t="s">
        <v>49</v>
      </c>
      <c r="G302" t="s">
        <v>113</v>
      </c>
      <c r="H302" t="s">
        <v>114</v>
      </c>
      <c r="I302">
        <v>2</v>
      </c>
      <c r="J302" s="3">
        <v>41295.24</v>
      </c>
      <c r="K302" s="3">
        <v>82590.48</v>
      </c>
      <c r="L302" t="s">
        <v>34</v>
      </c>
      <c r="M302" s="2">
        <v>46117</v>
      </c>
      <c r="N302" s="2">
        <v>46115</v>
      </c>
      <c r="O302" t="s">
        <v>43</v>
      </c>
      <c r="P302" t="s">
        <v>27</v>
      </c>
      <c r="Q302" t="s">
        <v>28</v>
      </c>
      <c r="R302" t="s">
        <v>29</v>
      </c>
    </row>
    <row r="303" spans="1:18">
      <c r="A303" t="s">
        <v>429</v>
      </c>
      <c r="B303" s="2">
        <v>46164</v>
      </c>
      <c r="C303" t="s">
        <v>96</v>
      </c>
      <c r="D303" t="s">
        <v>97</v>
      </c>
      <c r="E303" t="s">
        <v>39</v>
      </c>
      <c r="F303" t="s">
        <v>82</v>
      </c>
      <c r="G303" t="s">
        <v>197</v>
      </c>
      <c r="H303" t="s">
        <v>198</v>
      </c>
      <c r="I303">
        <v>43</v>
      </c>
      <c r="J303" s="3">
        <v>2042.58</v>
      </c>
      <c r="K303" s="3">
        <v>87830.94</v>
      </c>
      <c r="L303" t="s">
        <v>34</v>
      </c>
      <c r="M303" s="2">
        <v>46177</v>
      </c>
      <c r="N303" s="2">
        <v>46176</v>
      </c>
      <c r="O303" t="s">
        <v>43</v>
      </c>
      <c r="P303" t="s">
        <v>44</v>
      </c>
      <c r="Q303" t="s">
        <v>28</v>
      </c>
      <c r="R303" t="s">
        <v>29</v>
      </c>
    </row>
    <row r="304" spans="1:18">
      <c r="A304" t="s">
        <v>430</v>
      </c>
      <c r="B304" s="2">
        <v>45819</v>
      </c>
      <c r="C304" t="s">
        <v>46</v>
      </c>
      <c r="D304" t="s">
        <v>47</v>
      </c>
      <c r="E304" t="s">
        <v>21</v>
      </c>
      <c r="F304" t="s">
        <v>49</v>
      </c>
      <c r="G304" t="s">
        <v>165</v>
      </c>
      <c r="H304" t="s">
        <v>166</v>
      </c>
      <c r="I304">
        <v>1</v>
      </c>
      <c r="J304" s="3">
        <v>47532.6</v>
      </c>
      <c r="K304" s="3">
        <v>47532.6</v>
      </c>
      <c r="L304" t="s">
        <v>25</v>
      </c>
      <c r="M304" s="2">
        <v>45832</v>
      </c>
      <c r="N304" s="2">
        <v>45845</v>
      </c>
      <c r="O304" t="s">
        <v>43</v>
      </c>
      <c r="P304" t="s">
        <v>27</v>
      </c>
      <c r="Q304" t="s">
        <v>28</v>
      </c>
      <c r="R304" t="s">
        <v>129</v>
      </c>
    </row>
    <row r="305" spans="1:18">
      <c r="A305" t="s">
        <v>431</v>
      </c>
      <c r="B305" s="2">
        <v>46014</v>
      </c>
      <c r="C305" t="s">
        <v>131</v>
      </c>
      <c r="D305" t="s">
        <v>132</v>
      </c>
      <c r="E305" t="s">
        <v>48</v>
      </c>
      <c r="F305" t="s">
        <v>57</v>
      </c>
      <c r="G305" t="s">
        <v>127</v>
      </c>
      <c r="H305" t="s">
        <v>128</v>
      </c>
      <c r="I305">
        <v>7</v>
      </c>
      <c r="J305" s="3">
        <v>17151.91</v>
      </c>
      <c r="K305" s="3">
        <v>120063.37</v>
      </c>
      <c r="L305" t="s">
        <v>25</v>
      </c>
      <c r="M305" s="2">
        <v>46028</v>
      </c>
      <c r="N305" s="2">
        <v>46032</v>
      </c>
      <c r="O305" t="s">
        <v>43</v>
      </c>
      <c r="P305" t="s">
        <v>53</v>
      </c>
      <c r="Q305" t="s">
        <v>28</v>
      </c>
      <c r="R305" t="s">
        <v>129</v>
      </c>
    </row>
    <row r="306" spans="1:18">
      <c r="A306" t="s">
        <v>432</v>
      </c>
      <c r="B306" s="2">
        <v>46173</v>
      </c>
      <c r="C306" t="s">
        <v>66</v>
      </c>
      <c r="D306" t="s">
        <v>67</v>
      </c>
      <c r="E306" t="s">
        <v>112</v>
      </c>
      <c r="F306" t="s">
        <v>49</v>
      </c>
      <c r="G306" t="s">
        <v>165</v>
      </c>
      <c r="H306" t="s">
        <v>166</v>
      </c>
      <c r="I306">
        <v>3</v>
      </c>
      <c r="J306" s="3">
        <v>45098.45</v>
      </c>
      <c r="K306" s="3">
        <v>135295.35</v>
      </c>
      <c r="L306" t="s">
        <v>34</v>
      </c>
      <c r="M306" s="2">
        <v>46182</v>
      </c>
      <c r="N306" s="2">
        <v>46179</v>
      </c>
      <c r="O306" t="s">
        <v>26</v>
      </c>
      <c r="P306" t="s">
        <v>115</v>
      </c>
      <c r="Q306" t="s">
        <v>28</v>
      </c>
      <c r="R306" t="s">
        <v>29</v>
      </c>
    </row>
    <row r="307" spans="1:18">
      <c r="A307" t="s">
        <v>433</v>
      </c>
      <c r="B307" s="2">
        <v>45686</v>
      </c>
      <c r="C307" t="s">
        <v>46</v>
      </c>
      <c r="D307" t="s">
        <v>47</v>
      </c>
      <c r="E307" t="s">
        <v>21</v>
      </c>
      <c r="F307" t="s">
        <v>49</v>
      </c>
      <c r="G307" t="s">
        <v>50</v>
      </c>
      <c r="H307" t="s">
        <v>51</v>
      </c>
      <c r="I307">
        <v>1</v>
      </c>
      <c r="J307" s="3">
        <v>54055.839999999997</v>
      </c>
      <c r="K307" s="3">
        <v>54055.839999999997</v>
      </c>
      <c r="L307" t="s">
        <v>34</v>
      </c>
      <c r="M307" s="2">
        <v>45697</v>
      </c>
      <c r="N307" s="2">
        <v>45697</v>
      </c>
      <c r="O307" t="s">
        <v>76</v>
      </c>
      <c r="P307" t="s">
        <v>27</v>
      </c>
      <c r="Q307" t="s">
        <v>28</v>
      </c>
      <c r="R307" t="s">
        <v>29</v>
      </c>
    </row>
    <row r="308" spans="1:18">
      <c r="A308" t="s">
        <v>434</v>
      </c>
      <c r="B308" s="2">
        <v>45952</v>
      </c>
      <c r="C308" t="s">
        <v>46</v>
      </c>
      <c r="D308" t="s">
        <v>47</v>
      </c>
      <c r="E308" t="s">
        <v>48</v>
      </c>
      <c r="F308" t="s">
        <v>49</v>
      </c>
      <c r="G308" t="s">
        <v>113</v>
      </c>
      <c r="H308" t="s">
        <v>114</v>
      </c>
      <c r="I308">
        <v>1</v>
      </c>
      <c r="J308" s="3">
        <v>39315.85</v>
      </c>
      <c r="K308" s="3">
        <v>39315.85</v>
      </c>
      <c r="L308" t="s">
        <v>25</v>
      </c>
      <c r="M308" s="2">
        <v>45962</v>
      </c>
      <c r="N308" s="2">
        <v>45960</v>
      </c>
      <c r="O308" t="s">
        <v>26</v>
      </c>
      <c r="P308" t="s">
        <v>53</v>
      </c>
      <c r="Q308" t="s">
        <v>28</v>
      </c>
      <c r="R308" t="s">
        <v>29</v>
      </c>
    </row>
    <row r="309" spans="1:18">
      <c r="A309" t="s">
        <v>435</v>
      </c>
      <c r="B309" s="2">
        <v>45862</v>
      </c>
      <c r="C309" t="s">
        <v>104</v>
      </c>
      <c r="D309" t="s">
        <v>105</v>
      </c>
      <c r="E309" t="s">
        <v>21</v>
      </c>
      <c r="F309" t="s">
        <v>49</v>
      </c>
      <c r="G309" t="s">
        <v>50</v>
      </c>
      <c r="H309" t="s">
        <v>51</v>
      </c>
      <c r="I309">
        <v>3</v>
      </c>
      <c r="J309" s="3">
        <v>53827.519999999997</v>
      </c>
      <c r="K309" s="3">
        <v>161482.56</v>
      </c>
      <c r="L309" t="s">
        <v>25</v>
      </c>
      <c r="M309" s="2">
        <v>45872</v>
      </c>
      <c r="N309" s="2">
        <v>45872</v>
      </c>
      <c r="O309" t="s">
        <v>43</v>
      </c>
      <c r="P309" t="s">
        <v>27</v>
      </c>
      <c r="Q309" t="s">
        <v>28</v>
      </c>
      <c r="R309" t="s">
        <v>29</v>
      </c>
    </row>
    <row r="310" spans="1:18">
      <c r="A310" t="s">
        <v>436</v>
      </c>
      <c r="B310" s="2">
        <v>46038</v>
      </c>
      <c r="C310" t="s">
        <v>19</v>
      </c>
      <c r="D310" t="s">
        <v>20</v>
      </c>
      <c r="E310" t="s">
        <v>31</v>
      </c>
      <c r="F310" t="s">
        <v>22</v>
      </c>
      <c r="G310" t="s">
        <v>160</v>
      </c>
      <c r="H310" t="s">
        <v>161</v>
      </c>
      <c r="I310">
        <v>15</v>
      </c>
      <c r="J310" s="3">
        <v>3071.86</v>
      </c>
      <c r="K310" s="3">
        <v>46077.9</v>
      </c>
      <c r="L310" t="s">
        <v>34</v>
      </c>
      <c r="M310" s="2">
        <v>46051</v>
      </c>
      <c r="N310" s="2">
        <v>46050</v>
      </c>
      <c r="O310" t="s">
        <v>26</v>
      </c>
      <c r="P310" t="s">
        <v>94</v>
      </c>
      <c r="Q310" t="s">
        <v>28</v>
      </c>
      <c r="R310" t="s">
        <v>29</v>
      </c>
    </row>
    <row r="311" spans="1:18">
      <c r="A311" t="s">
        <v>437</v>
      </c>
      <c r="B311" s="2">
        <v>45691</v>
      </c>
      <c r="C311" t="s">
        <v>71</v>
      </c>
      <c r="D311" t="s">
        <v>72</v>
      </c>
      <c r="E311" t="s">
        <v>73</v>
      </c>
      <c r="F311" t="s">
        <v>57</v>
      </c>
      <c r="G311" t="s">
        <v>86</v>
      </c>
      <c r="H311" t="s">
        <v>87</v>
      </c>
      <c r="I311">
        <v>8</v>
      </c>
      <c r="J311" s="3">
        <v>9894.73</v>
      </c>
      <c r="K311" s="3">
        <v>79157.84</v>
      </c>
      <c r="L311" t="s">
        <v>34</v>
      </c>
      <c r="M311" s="2">
        <v>45701</v>
      </c>
      <c r="N311" s="2">
        <v>45701</v>
      </c>
      <c r="O311" t="s">
        <v>60</v>
      </c>
      <c r="P311" t="s">
        <v>77</v>
      </c>
      <c r="Q311" t="s">
        <v>28</v>
      </c>
      <c r="R311" t="s">
        <v>29</v>
      </c>
    </row>
    <row r="312" spans="1:18">
      <c r="A312" t="s">
        <v>438</v>
      </c>
      <c r="B312" s="2">
        <v>45991</v>
      </c>
      <c r="C312" t="s">
        <v>142</v>
      </c>
      <c r="D312" t="s">
        <v>143</v>
      </c>
      <c r="E312" t="s">
        <v>112</v>
      </c>
      <c r="F312" t="s">
        <v>22</v>
      </c>
      <c r="G312" t="s">
        <v>32</v>
      </c>
      <c r="H312" t="s">
        <v>33</v>
      </c>
      <c r="I312">
        <v>10</v>
      </c>
      <c r="J312" s="3">
        <v>8137.75</v>
      </c>
      <c r="K312" s="3">
        <v>81377.5</v>
      </c>
      <c r="L312" t="s">
        <v>25</v>
      </c>
      <c r="M312" s="2">
        <v>46001</v>
      </c>
      <c r="N312" s="2">
        <v>45998</v>
      </c>
      <c r="O312" t="s">
        <v>60</v>
      </c>
      <c r="P312" t="s">
        <v>115</v>
      </c>
      <c r="Q312" t="s">
        <v>28</v>
      </c>
      <c r="R312" t="s">
        <v>29</v>
      </c>
    </row>
    <row r="313" spans="1:18">
      <c r="A313" t="s">
        <v>439</v>
      </c>
      <c r="B313" s="2">
        <v>45944</v>
      </c>
      <c r="C313" t="s">
        <v>142</v>
      </c>
      <c r="D313" t="s">
        <v>143</v>
      </c>
      <c r="E313" t="s">
        <v>31</v>
      </c>
      <c r="F313" t="s">
        <v>22</v>
      </c>
      <c r="G313" t="s">
        <v>32</v>
      </c>
      <c r="H313" t="s">
        <v>33</v>
      </c>
      <c r="I313">
        <v>5</v>
      </c>
      <c r="J313" s="3">
        <v>7558.11</v>
      </c>
      <c r="K313" s="3">
        <v>37790.550000000003</v>
      </c>
      <c r="L313" t="s">
        <v>52</v>
      </c>
      <c r="M313" s="2">
        <v>45961</v>
      </c>
      <c r="N313" s="2">
        <v>45958</v>
      </c>
      <c r="O313" t="s">
        <v>26</v>
      </c>
      <c r="P313" t="s">
        <v>94</v>
      </c>
      <c r="Q313" t="s">
        <v>28</v>
      </c>
      <c r="R313" t="s">
        <v>29</v>
      </c>
    </row>
    <row r="314" spans="1:18">
      <c r="A314" t="s">
        <v>440</v>
      </c>
      <c r="B314" s="2">
        <v>45811</v>
      </c>
      <c r="C314" t="s">
        <v>37</v>
      </c>
      <c r="D314" t="s">
        <v>38</v>
      </c>
      <c r="E314" t="s">
        <v>39</v>
      </c>
      <c r="F314" t="s">
        <v>40</v>
      </c>
      <c r="G314" t="s">
        <v>62</v>
      </c>
      <c r="H314" t="s">
        <v>63</v>
      </c>
      <c r="I314">
        <v>6</v>
      </c>
      <c r="J314" s="3">
        <v>20594.61</v>
      </c>
      <c r="K314" s="3">
        <v>123567.66</v>
      </c>
      <c r="L314" t="s">
        <v>34</v>
      </c>
      <c r="M314" s="2">
        <v>45828</v>
      </c>
      <c r="N314" s="2">
        <v>45826</v>
      </c>
      <c r="O314" t="s">
        <v>43</v>
      </c>
      <c r="P314" t="s">
        <v>44</v>
      </c>
      <c r="Q314" t="s">
        <v>28</v>
      </c>
      <c r="R314" t="s">
        <v>29</v>
      </c>
    </row>
    <row r="315" spans="1:18">
      <c r="A315" t="s">
        <v>441</v>
      </c>
      <c r="B315" s="2">
        <v>45719</v>
      </c>
      <c r="C315" t="s">
        <v>71</v>
      </c>
      <c r="D315" t="s">
        <v>72</v>
      </c>
      <c r="E315" t="s">
        <v>21</v>
      </c>
      <c r="F315" t="s">
        <v>57</v>
      </c>
      <c r="G315" t="s">
        <v>101</v>
      </c>
      <c r="H315" t="s">
        <v>102</v>
      </c>
      <c r="I315">
        <v>28</v>
      </c>
      <c r="J315" s="3">
        <v>1666.87</v>
      </c>
      <c r="K315" s="3">
        <v>46672.36</v>
      </c>
      <c r="L315" t="s">
        <v>25</v>
      </c>
      <c r="M315" s="2">
        <v>45729</v>
      </c>
      <c r="N315" s="2">
        <v>45727</v>
      </c>
      <c r="O315" t="s">
        <v>60</v>
      </c>
      <c r="P315" t="s">
        <v>27</v>
      </c>
      <c r="Q315" t="s">
        <v>28</v>
      </c>
      <c r="R315" t="s">
        <v>29</v>
      </c>
    </row>
    <row r="316" spans="1:18">
      <c r="A316" t="s">
        <v>442</v>
      </c>
      <c r="B316" s="2">
        <v>45861</v>
      </c>
      <c r="C316" t="s">
        <v>37</v>
      </c>
      <c r="D316" t="s">
        <v>38</v>
      </c>
      <c r="E316" t="s">
        <v>31</v>
      </c>
      <c r="F316" t="s">
        <v>22</v>
      </c>
      <c r="G316" t="s">
        <v>23</v>
      </c>
      <c r="H316" t="s">
        <v>24</v>
      </c>
      <c r="I316">
        <v>25</v>
      </c>
      <c r="J316" s="3">
        <v>258.38</v>
      </c>
      <c r="K316" s="3">
        <v>6459.5</v>
      </c>
      <c r="L316" t="s">
        <v>52</v>
      </c>
      <c r="M316" s="2">
        <v>45876</v>
      </c>
      <c r="N316" s="2">
        <v>45873</v>
      </c>
      <c r="O316" t="s">
        <v>60</v>
      </c>
      <c r="P316" t="s">
        <v>35</v>
      </c>
      <c r="Q316" t="s">
        <v>28</v>
      </c>
      <c r="R316" t="s">
        <v>29</v>
      </c>
    </row>
    <row r="317" spans="1:18">
      <c r="A317" t="s">
        <v>443</v>
      </c>
      <c r="B317" s="2">
        <v>46132</v>
      </c>
      <c r="C317" t="s">
        <v>37</v>
      </c>
      <c r="D317" t="s">
        <v>38</v>
      </c>
      <c r="E317" t="s">
        <v>39</v>
      </c>
      <c r="F317" t="s">
        <v>22</v>
      </c>
      <c r="G317" t="s">
        <v>32</v>
      </c>
      <c r="H317" t="s">
        <v>33</v>
      </c>
      <c r="I317">
        <v>11</v>
      </c>
      <c r="J317" s="3">
        <v>8265.59</v>
      </c>
      <c r="K317" s="3">
        <v>90921.49</v>
      </c>
      <c r="L317" t="s">
        <v>25</v>
      </c>
      <c r="M317" s="2">
        <v>46146</v>
      </c>
      <c r="N317" s="2">
        <v>46146</v>
      </c>
      <c r="O317" t="s">
        <v>76</v>
      </c>
      <c r="P317" t="s">
        <v>64</v>
      </c>
      <c r="Q317" t="s">
        <v>28</v>
      </c>
      <c r="R317" t="s">
        <v>29</v>
      </c>
    </row>
    <row r="318" spans="1:18">
      <c r="A318" t="s">
        <v>444</v>
      </c>
      <c r="B318" s="2">
        <v>45979</v>
      </c>
      <c r="C318" t="s">
        <v>104</v>
      </c>
      <c r="D318" t="s">
        <v>105</v>
      </c>
      <c r="E318" t="s">
        <v>21</v>
      </c>
      <c r="F318" t="s">
        <v>49</v>
      </c>
      <c r="G318" t="s">
        <v>68</v>
      </c>
      <c r="H318" t="s">
        <v>69</v>
      </c>
      <c r="I318">
        <v>1</v>
      </c>
      <c r="J318" s="3">
        <v>48001.96</v>
      </c>
      <c r="K318" s="3">
        <v>48001.96</v>
      </c>
      <c r="L318" t="s">
        <v>25</v>
      </c>
      <c r="M318" s="2">
        <v>45995</v>
      </c>
      <c r="N318" s="2">
        <v>45992</v>
      </c>
      <c r="O318" t="s">
        <v>26</v>
      </c>
      <c r="P318" t="s">
        <v>27</v>
      </c>
      <c r="Q318" t="s">
        <v>28</v>
      </c>
      <c r="R318" t="s">
        <v>29</v>
      </c>
    </row>
    <row r="319" spans="1:18">
      <c r="A319" t="s">
        <v>445</v>
      </c>
      <c r="B319" s="2">
        <v>45739</v>
      </c>
      <c r="C319" t="s">
        <v>37</v>
      </c>
      <c r="D319" t="s">
        <v>38</v>
      </c>
      <c r="E319" t="s">
        <v>73</v>
      </c>
      <c r="F319" t="s">
        <v>22</v>
      </c>
      <c r="G319" t="s">
        <v>23</v>
      </c>
      <c r="H319" t="s">
        <v>24</v>
      </c>
      <c r="I319">
        <v>8</v>
      </c>
      <c r="J319" s="3">
        <v>262.83</v>
      </c>
      <c r="K319" s="3">
        <v>2102.64</v>
      </c>
      <c r="L319" t="s">
        <v>25</v>
      </c>
      <c r="M319" s="2">
        <v>45744</v>
      </c>
      <c r="N319" s="2">
        <v>45744</v>
      </c>
      <c r="O319" t="s">
        <v>26</v>
      </c>
      <c r="P319" t="s">
        <v>77</v>
      </c>
      <c r="Q319" t="s">
        <v>28</v>
      </c>
      <c r="R319" t="s">
        <v>29</v>
      </c>
    </row>
    <row r="320" spans="1:18">
      <c r="A320" t="s">
        <v>446</v>
      </c>
      <c r="B320" s="2">
        <v>46057</v>
      </c>
      <c r="C320" t="s">
        <v>46</v>
      </c>
      <c r="D320" t="s">
        <v>47</v>
      </c>
      <c r="E320" t="s">
        <v>21</v>
      </c>
      <c r="F320" t="s">
        <v>49</v>
      </c>
      <c r="G320" t="s">
        <v>68</v>
      </c>
      <c r="H320" t="s">
        <v>69</v>
      </c>
      <c r="I320">
        <v>1</v>
      </c>
      <c r="J320" s="3">
        <v>49445.94</v>
      </c>
      <c r="K320" s="3">
        <v>49445.94</v>
      </c>
      <c r="L320" t="s">
        <v>52</v>
      </c>
      <c r="M320" s="2">
        <v>46062</v>
      </c>
      <c r="N320" s="2">
        <v>46069</v>
      </c>
      <c r="O320" t="s">
        <v>76</v>
      </c>
      <c r="P320" t="s">
        <v>27</v>
      </c>
      <c r="Q320" t="s">
        <v>28</v>
      </c>
      <c r="R320" t="s">
        <v>129</v>
      </c>
    </row>
    <row r="321" spans="1:18">
      <c r="A321" t="s">
        <v>447</v>
      </c>
      <c r="B321" s="2">
        <v>45936</v>
      </c>
      <c r="C321" t="s">
        <v>96</v>
      </c>
      <c r="D321" t="s">
        <v>97</v>
      </c>
      <c r="E321" t="s">
        <v>39</v>
      </c>
      <c r="F321" t="s">
        <v>82</v>
      </c>
      <c r="G321" t="s">
        <v>197</v>
      </c>
      <c r="H321" t="s">
        <v>198</v>
      </c>
      <c r="I321">
        <v>45</v>
      </c>
      <c r="J321" s="3">
        <v>2150.23</v>
      </c>
      <c r="K321" s="3">
        <v>96760.35</v>
      </c>
      <c r="L321" t="s">
        <v>25</v>
      </c>
      <c r="M321" s="2">
        <v>45952</v>
      </c>
      <c r="N321" s="2">
        <v>45949</v>
      </c>
      <c r="O321" t="s">
        <v>76</v>
      </c>
      <c r="P321" t="s">
        <v>44</v>
      </c>
      <c r="Q321" t="s">
        <v>28</v>
      </c>
      <c r="R321" t="s">
        <v>29</v>
      </c>
    </row>
    <row r="322" spans="1:18">
      <c r="A322" t="s">
        <v>448</v>
      </c>
      <c r="B322" s="2">
        <v>46151</v>
      </c>
      <c r="C322" t="s">
        <v>104</v>
      </c>
      <c r="D322" t="s">
        <v>105</v>
      </c>
      <c r="E322" t="s">
        <v>48</v>
      </c>
      <c r="F322" t="s">
        <v>49</v>
      </c>
      <c r="G322" t="s">
        <v>165</v>
      </c>
      <c r="H322" t="s">
        <v>166</v>
      </c>
      <c r="I322">
        <v>1</v>
      </c>
      <c r="J322" s="3">
        <v>44252.22</v>
      </c>
      <c r="K322" s="3">
        <v>44252.22</v>
      </c>
      <c r="L322" t="s">
        <v>34</v>
      </c>
      <c r="M322" s="2">
        <v>46156</v>
      </c>
      <c r="N322" s="2">
        <v>46171</v>
      </c>
      <c r="O322" t="s">
        <v>26</v>
      </c>
      <c r="P322" t="s">
        <v>53</v>
      </c>
      <c r="Q322" t="s">
        <v>28</v>
      </c>
      <c r="R322" t="s">
        <v>129</v>
      </c>
    </row>
    <row r="323" spans="1:18">
      <c r="A323" t="s">
        <v>449</v>
      </c>
      <c r="B323" s="2">
        <v>45951</v>
      </c>
      <c r="C323" t="s">
        <v>37</v>
      </c>
      <c r="D323" t="s">
        <v>38</v>
      </c>
      <c r="E323" t="s">
        <v>39</v>
      </c>
      <c r="F323" t="s">
        <v>40</v>
      </c>
      <c r="G323" t="s">
        <v>62</v>
      </c>
      <c r="H323" t="s">
        <v>63</v>
      </c>
      <c r="I323">
        <v>5</v>
      </c>
      <c r="J323" s="3">
        <v>20367.63</v>
      </c>
      <c r="K323" s="3">
        <v>101838.15</v>
      </c>
      <c r="L323" t="s">
        <v>25</v>
      </c>
      <c r="M323" s="2">
        <v>45965</v>
      </c>
      <c r="N323" s="2">
        <v>45965</v>
      </c>
      <c r="O323" t="s">
        <v>26</v>
      </c>
      <c r="P323" t="s">
        <v>44</v>
      </c>
      <c r="Q323" t="s">
        <v>28</v>
      </c>
      <c r="R323" t="s">
        <v>29</v>
      </c>
    </row>
    <row r="324" spans="1:18">
      <c r="A324" t="s">
        <v>450</v>
      </c>
      <c r="B324" s="2">
        <v>46105</v>
      </c>
      <c r="C324" t="s">
        <v>96</v>
      </c>
      <c r="D324" t="s">
        <v>97</v>
      </c>
      <c r="E324" t="s">
        <v>39</v>
      </c>
      <c r="F324" t="s">
        <v>82</v>
      </c>
      <c r="G324" t="s">
        <v>197</v>
      </c>
      <c r="H324" t="s">
        <v>198</v>
      </c>
      <c r="I324">
        <v>21</v>
      </c>
      <c r="J324" s="3">
        <v>2108.38</v>
      </c>
      <c r="K324" s="3">
        <v>44275.98</v>
      </c>
      <c r="L324" t="s">
        <v>25</v>
      </c>
      <c r="M324" s="2">
        <v>46111</v>
      </c>
      <c r="N324" s="2">
        <v>46110</v>
      </c>
      <c r="O324" t="s">
        <v>76</v>
      </c>
      <c r="P324" t="s">
        <v>44</v>
      </c>
      <c r="Q324" t="s">
        <v>28</v>
      </c>
      <c r="R324" t="s">
        <v>29</v>
      </c>
    </row>
    <row r="325" spans="1:18">
      <c r="A325" t="s">
        <v>451</v>
      </c>
      <c r="B325" s="2">
        <v>46080</v>
      </c>
      <c r="C325" t="s">
        <v>142</v>
      </c>
      <c r="D325" t="s">
        <v>143</v>
      </c>
      <c r="E325" t="s">
        <v>39</v>
      </c>
      <c r="F325" t="s">
        <v>22</v>
      </c>
      <c r="G325" t="s">
        <v>160</v>
      </c>
      <c r="H325" t="s">
        <v>161</v>
      </c>
      <c r="I325">
        <v>8</v>
      </c>
      <c r="J325" s="3">
        <v>3153.09</v>
      </c>
      <c r="K325" s="3">
        <v>25224.720000000001</v>
      </c>
      <c r="L325" t="s">
        <v>25</v>
      </c>
      <c r="M325" s="2">
        <v>46089</v>
      </c>
      <c r="N325" s="2">
        <v>46086</v>
      </c>
      <c r="O325" t="s">
        <v>43</v>
      </c>
      <c r="P325" t="s">
        <v>64</v>
      </c>
      <c r="Q325" t="s">
        <v>28</v>
      </c>
      <c r="R325" t="s">
        <v>29</v>
      </c>
    </row>
    <row r="326" spans="1:18">
      <c r="A326" t="s">
        <v>452</v>
      </c>
      <c r="B326" s="2">
        <v>45680</v>
      </c>
      <c r="C326" t="s">
        <v>147</v>
      </c>
      <c r="D326" t="s">
        <v>148</v>
      </c>
      <c r="E326" t="s">
        <v>39</v>
      </c>
      <c r="F326" t="s">
        <v>40</v>
      </c>
      <c r="G326" t="s">
        <v>149</v>
      </c>
      <c r="H326" t="s">
        <v>150</v>
      </c>
      <c r="I326">
        <v>19</v>
      </c>
      <c r="J326" s="3">
        <v>1328.97</v>
      </c>
      <c r="K326" s="3">
        <v>25250.43</v>
      </c>
      <c r="L326" t="s">
        <v>25</v>
      </c>
      <c r="M326" s="2">
        <v>45686</v>
      </c>
      <c r="N326" s="2">
        <v>45695</v>
      </c>
      <c r="O326" t="s">
        <v>60</v>
      </c>
      <c r="P326" t="s">
        <v>44</v>
      </c>
      <c r="Q326" t="s">
        <v>28</v>
      </c>
      <c r="R326" t="s">
        <v>129</v>
      </c>
    </row>
    <row r="327" spans="1:18">
      <c r="A327" t="s">
        <v>453</v>
      </c>
      <c r="B327" s="2">
        <v>45690</v>
      </c>
      <c r="C327" t="s">
        <v>55</v>
      </c>
      <c r="D327" t="s">
        <v>56</v>
      </c>
      <c r="E327" t="s">
        <v>48</v>
      </c>
      <c r="F327" t="s">
        <v>57</v>
      </c>
      <c r="G327" t="s">
        <v>101</v>
      </c>
      <c r="H327" t="s">
        <v>102</v>
      </c>
      <c r="I327">
        <v>39</v>
      </c>
      <c r="J327" s="3">
        <v>1988.65</v>
      </c>
      <c r="K327" s="3">
        <v>77557.350000000006</v>
      </c>
      <c r="L327" t="s">
        <v>34</v>
      </c>
      <c r="M327" s="2">
        <v>45702</v>
      </c>
      <c r="N327" s="2">
        <v>45700</v>
      </c>
      <c r="O327" t="s">
        <v>43</v>
      </c>
      <c r="P327" t="s">
        <v>53</v>
      </c>
      <c r="Q327" t="s">
        <v>28</v>
      </c>
      <c r="R327" t="s">
        <v>29</v>
      </c>
    </row>
    <row r="328" spans="1:18">
      <c r="A328" t="s">
        <v>454</v>
      </c>
      <c r="B328" s="2">
        <v>45912</v>
      </c>
      <c r="C328" t="s">
        <v>37</v>
      </c>
      <c r="D328" t="s">
        <v>38</v>
      </c>
      <c r="E328" t="s">
        <v>112</v>
      </c>
      <c r="F328" t="s">
        <v>22</v>
      </c>
      <c r="G328" t="s">
        <v>32</v>
      </c>
      <c r="H328" t="s">
        <v>33</v>
      </c>
      <c r="I328">
        <v>12</v>
      </c>
      <c r="J328" s="3">
        <v>8651.48</v>
      </c>
      <c r="K328" s="3">
        <v>103817.76</v>
      </c>
      <c r="L328" t="s">
        <v>25</v>
      </c>
      <c r="M328" s="2">
        <v>45929</v>
      </c>
      <c r="N328" s="2">
        <v>45928</v>
      </c>
      <c r="O328" t="s">
        <v>76</v>
      </c>
      <c r="P328" t="s">
        <v>115</v>
      </c>
      <c r="Q328" t="s">
        <v>28</v>
      </c>
      <c r="R328" t="s">
        <v>29</v>
      </c>
    </row>
    <row r="329" spans="1:18">
      <c r="A329" t="s">
        <v>455</v>
      </c>
      <c r="B329" s="2">
        <v>45820</v>
      </c>
      <c r="C329" t="s">
        <v>96</v>
      </c>
      <c r="D329" t="s">
        <v>97</v>
      </c>
      <c r="E329" t="s">
        <v>39</v>
      </c>
      <c r="F329" t="s">
        <v>82</v>
      </c>
      <c r="G329" t="s">
        <v>197</v>
      </c>
      <c r="H329" t="s">
        <v>198</v>
      </c>
      <c r="I329">
        <v>24</v>
      </c>
      <c r="J329" s="3">
        <v>2128.02</v>
      </c>
      <c r="K329" s="3">
        <v>51072.480000000003</v>
      </c>
      <c r="L329" t="s">
        <v>52</v>
      </c>
      <c r="M329" s="2">
        <v>45828</v>
      </c>
      <c r="N329" s="2">
        <v>45828</v>
      </c>
      <c r="O329" t="s">
        <v>26</v>
      </c>
      <c r="P329" t="s">
        <v>64</v>
      </c>
      <c r="Q329" t="s">
        <v>28</v>
      </c>
      <c r="R329" t="s">
        <v>29</v>
      </c>
    </row>
    <row r="330" spans="1:18">
      <c r="A330" t="s">
        <v>456</v>
      </c>
      <c r="B330" s="2">
        <v>45899</v>
      </c>
      <c r="C330" t="s">
        <v>19</v>
      </c>
      <c r="D330" t="s">
        <v>20</v>
      </c>
      <c r="E330" t="s">
        <v>21</v>
      </c>
      <c r="F330" t="s">
        <v>22</v>
      </c>
      <c r="G330" t="s">
        <v>160</v>
      </c>
      <c r="H330" t="s">
        <v>161</v>
      </c>
      <c r="I330">
        <v>4</v>
      </c>
      <c r="J330" s="3">
        <v>2916.68</v>
      </c>
      <c r="K330" s="3">
        <v>11666.72</v>
      </c>
      <c r="L330" t="s">
        <v>34</v>
      </c>
      <c r="M330" s="2">
        <v>45904</v>
      </c>
      <c r="N330" s="2">
        <v>45901</v>
      </c>
      <c r="O330" t="s">
        <v>26</v>
      </c>
      <c r="P330" t="s">
        <v>27</v>
      </c>
      <c r="Q330" t="s">
        <v>28</v>
      </c>
      <c r="R330" t="s">
        <v>29</v>
      </c>
    </row>
    <row r="331" spans="1:18">
      <c r="A331" t="s">
        <v>457</v>
      </c>
      <c r="B331" s="2">
        <v>45749</v>
      </c>
      <c r="C331" t="s">
        <v>142</v>
      </c>
      <c r="D331" t="s">
        <v>143</v>
      </c>
      <c r="E331" t="s">
        <v>31</v>
      </c>
      <c r="F331" t="s">
        <v>22</v>
      </c>
      <c r="G331" t="s">
        <v>32</v>
      </c>
      <c r="H331" t="s">
        <v>33</v>
      </c>
      <c r="I331">
        <v>13</v>
      </c>
      <c r="J331" s="3">
        <v>8168.7</v>
      </c>
      <c r="K331" s="3">
        <v>106193.1</v>
      </c>
      <c r="L331" t="s">
        <v>34</v>
      </c>
      <c r="M331" s="2">
        <v>45764</v>
      </c>
      <c r="N331" s="2">
        <v>45771</v>
      </c>
      <c r="O331" t="s">
        <v>43</v>
      </c>
      <c r="P331" t="s">
        <v>94</v>
      </c>
      <c r="Q331" t="s">
        <v>28</v>
      </c>
      <c r="R331" t="s">
        <v>129</v>
      </c>
    </row>
    <row r="332" spans="1:18">
      <c r="A332" t="s">
        <v>458</v>
      </c>
      <c r="B332" s="2">
        <v>46157</v>
      </c>
      <c r="C332" t="s">
        <v>66</v>
      </c>
      <c r="D332" t="s">
        <v>67</v>
      </c>
      <c r="E332" t="s">
        <v>112</v>
      </c>
      <c r="F332" t="s">
        <v>49</v>
      </c>
      <c r="G332" t="s">
        <v>165</v>
      </c>
      <c r="H332" t="s">
        <v>166</v>
      </c>
      <c r="I332">
        <v>1</v>
      </c>
      <c r="J332" s="3">
        <v>43627.51</v>
      </c>
      <c r="K332" s="3">
        <v>43627.51</v>
      </c>
      <c r="L332" t="s">
        <v>34</v>
      </c>
      <c r="M332" s="2">
        <v>46162</v>
      </c>
      <c r="N332" s="2">
        <v>46160</v>
      </c>
      <c r="O332" t="s">
        <v>76</v>
      </c>
      <c r="P332" t="s">
        <v>115</v>
      </c>
      <c r="Q332" t="s">
        <v>28</v>
      </c>
      <c r="R332" t="s">
        <v>29</v>
      </c>
    </row>
    <row r="333" spans="1:18">
      <c r="A333" t="s">
        <v>459</v>
      </c>
      <c r="B333" s="2">
        <v>45959</v>
      </c>
      <c r="C333" t="s">
        <v>19</v>
      </c>
      <c r="D333" t="s">
        <v>20</v>
      </c>
      <c r="E333" t="s">
        <v>31</v>
      </c>
      <c r="F333" t="s">
        <v>22</v>
      </c>
      <c r="G333" t="s">
        <v>23</v>
      </c>
      <c r="H333" t="s">
        <v>24</v>
      </c>
      <c r="I333">
        <v>34</v>
      </c>
      <c r="J333" s="3">
        <v>225.37</v>
      </c>
      <c r="K333" s="3">
        <v>7662.58</v>
      </c>
      <c r="L333" t="s">
        <v>25</v>
      </c>
      <c r="M333" s="2">
        <v>45968</v>
      </c>
      <c r="N333" s="2">
        <v>45967</v>
      </c>
      <c r="O333" t="s">
        <v>26</v>
      </c>
      <c r="P333" t="s">
        <v>35</v>
      </c>
      <c r="Q333" t="s">
        <v>28</v>
      </c>
      <c r="R333" t="s">
        <v>29</v>
      </c>
    </row>
    <row r="334" spans="1:18">
      <c r="A334" t="s">
        <v>460</v>
      </c>
      <c r="B334" s="2">
        <v>45960</v>
      </c>
      <c r="C334" t="s">
        <v>71</v>
      </c>
      <c r="D334" t="s">
        <v>72</v>
      </c>
      <c r="E334" t="s">
        <v>31</v>
      </c>
      <c r="F334" t="s">
        <v>57</v>
      </c>
      <c r="G334" t="s">
        <v>101</v>
      </c>
      <c r="H334" t="s">
        <v>102</v>
      </c>
      <c r="I334">
        <v>51</v>
      </c>
      <c r="J334" s="3">
        <v>1692.82</v>
      </c>
      <c r="K334" s="3">
        <v>86333.82</v>
      </c>
      <c r="L334" t="s">
        <v>34</v>
      </c>
      <c r="M334" s="2">
        <v>45967</v>
      </c>
      <c r="N334" s="2">
        <v>45965</v>
      </c>
      <c r="O334" t="s">
        <v>26</v>
      </c>
      <c r="P334" t="s">
        <v>35</v>
      </c>
      <c r="Q334" t="s">
        <v>28</v>
      </c>
      <c r="R334" t="s">
        <v>29</v>
      </c>
    </row>
    <row r="335" spans="1:18">
      <c r="A335" t="s">
        <v>461</v>
      </c>
      <c r="B335" s="2">
        <v>45722</v>
      </c>
      <c r="C335" t="s">
        <v>71</v>
      </c>
      <c r="D335" t="s">
        <v>72</v>
      </c>
      <c r="E335" t="s">
        <v>31</v>
      </c>
      <c r="F335" t="s">
        <v>57</v>
      </c>
      <c r="G335" t="s">
        <v>86</v>
      </c>
      <c r="H335" t="s">
        <v>87</v>
      </c>
      <c r="I335">
        <v>3</v>
      </c>
      <c r="J335" s="3">
        <v>10240.709999999999</v>
      </c>
      <c r="K335" s="3">
        <v>30722.13</v>
      </c>
      <c r="L335" t="s">
        <v>34</v>
      </c>
      <c r="M335" s="2">
        <v>45736</v>
      </c>
      <c r="N335" s="2">
        <v>45733</v>
      </c>
      <c r="O335" t="s">
        <v>43</v>
      </c>
      <c r="P335" t="s">
        <v>94</v>
      </c>
      <c r="Q335" t="s">
        <v>28</v>
      </c>
      <c r="R335" t="s">
        <v>29</v>
      </c>
    </row>
    <row r="336" spans="1:18">
      <c r="A336" t="s">
        <v>462</v>
      </c>
      <c r="B336" s="2">
        <v>45790</v>
      </c>
      <c r="C336" t="s">
        <v>142</v>
      </c>
      <c r="D336" t="s">
        <v>143</v>
      </c>
      <c r="E336" t="s">
        <v>39</v>
      </c>
      <c r="F336" t="s">
        <v>22</v>
      </c>
      <c r="G336" t="s">
        <v>160</v>
      </c>
      <c r="H336" t="s">
        <v>161</v>
      </c>
      <c r="I336">
        <v>11</v>
      </c>
      <c r="J336" s="3">
        <v>3033.02</v>
      </c>
      <c r="K336" s="3">
        <v>33363.22</v>
      </c>
      <c r="L336" t="s">
        <v>25</v>
      </c>
      <c r="M336" s="2">
        <v>45808</v>
      </c>
      <c r="N336" s="2">
        <v>45805</v>
      </c>
      <c r="O336" t="s">
        <v>76</v>
      </c>
      <c r="P336" t="s">
        <v>64</v>
      </c>
      <c r="Q336" t="s">
        <v>28</v>
      </c>
      <c r="R336" t="s">
        <v>29</v>
      </c>
    </row>
    <row r="337" spans="1:18">
      <c r="A337" t="s">
        <v>463</v>
      </c>
      <c r="B337" s="2">
        <v>46033</v>
      </c>
      <c r="C337" t="s">
        <v>71</v>
      </c>
      <c r="D337" t="s">
        <v>72</v>
      </c>
      <c r="E337" t="s">
        <v>48</v>
      </c>
      <c r="F337" t="s">
        <v>57</v>
      </c>
      <c r="G337" t="s">
        <v>86</v>
      </c>
      <c r="H337" t="s">
        <v>87</v>
      </c>
      <c r="I337">
        <v>2</v>
      </c>
      <c r="J337" s="3">
        <v>10635.93</v>
      </c>
      <c r="K337" s="3">
        <v>21271.86</v>
      </c>
      <c r="L337" t="s">
        <v>25</v>
      </c>
      <c r="M337" s="2">
        <v>46045</v>
      </c>
      <c r="N337" s="2">
        <v>46045</v>
      </c>
      <c r="O337" t="s">
        <v>60</v>
      </c>
      <c r="P337" t="s">
        <v>53</v>
      </c>
      <c r="Q337" t="s">
        <v>28</v>
      </c>
      <c r="R337" t="s">
        <v>29</v>
      </c>
    </row>
    <row r="338" spans="1:18">
      <c r="A338" t="s">
        <v>464</v>
      </c>
      <c r="B338" s="2">
        <v>45930</v>
      </c>
      <c r="C338" t="s">
        <v>66</v>
      </c>
      <c r="D338" t="s">
        <v>67</v>
      </c>
      <c r="E338" t="s">
        <v>48</v>
      </c>
      <c r="F338" t="s">
        <v>49</v>
      </c>
      <c r="G338" t="s">
        <v>113</v>
      </c>
      <c r="H338" t="s">
        <v>114</v>
      </c>
      <c r="I338">
        <v>1</v>
      </c>
      <c r="J338" s="3">
        <v>38572.25</v>
      </c>
      <c r="K338" s="3">
        <v>38572.25</v>
      </c>
      <c r="L338" t="s">
        <v>25</v>
      </c>
      <c r="M338" s="2">
        <v>45936</v>
      </c>
      <c r="N338" s="2">
        <v>45933</v>
      </c>
      <c r="O338" t="s">
        <v>26</v>
      </c>
      <c r="P338" t="s">
        <v>53</v>
      </c>
      <c r="Q338" t="s">
        <v>28</v>
      </c>
      <c r="R338" t="s">
        <v>29</v>
      </c>
    </row>
    <row r="339" spans="1:18">
      <c r="A339" t="s">
        <v>465</v>
      </c>
      <c r="B339" s="2">
        <v>46083</v>
      </c>
      <c r="C339" t="s">
        <v>46</v>
      </c>
      <c r="D339" t="s">
        <v>47</v>
      </c>
      <c r="E339" t="s">
        <v>48</v>
      </c>
      <c r="F339" t="s">
        <v>49</v>
      </c>
      <c r="G339" t="s">
        <v>68</v>
      </c>
      <c r="H339" t="s">
        <v>69</v>
      </c>
      <c r="I339">
        <v>1</v>
      </c>
      <c r="J339" s="3">
        <v>50800.46</v>
      </c>
      <c r="K339" s="3">
        <v>50800.46</v>
      </c>
      <c r="L339" t="s">
        <v>25</v>
      </c>
      <c r="M339" s="2">
        <v>46090</v>
      </c>
      <c r="N339" s="2">
        <v>46087</v>
      </c>
      <c r="O339" t="s">
        <v>26</v>
      </c>
      <c r="P339" t="s">
        <v>53</v>
      </c>
      <c r="Q339" t="s">
        <v>28</v>
      </c>
      <c r="R339" t="s">
        <v>29</v>
      </c>
    </row>
    <row r="340" spans="1:18">
      <c r="A340" t="s">
        <v>466</v>
      </c>
      <c r="B340" s="2">
        <v>45989</v>
      </c>
      <c r="C340" t="s">
        <v>107</v>
      </c>
      <c r="D340" t="s">
        <v>108</v>
      </c>
      <c r="E340" t="s">
        <v>31</v>
      </c>
      <c r="F340" t="s">
        <v>91</v>
      </c>
      <c r="G340" t="s">
        <v>109</v>
      </c>
      <c r="H340" t="s">
        <v>110</v>
      </c>
      <c r="I340">
        <v>1</v>
      </c>
      <c r="J340" s="3">
        <v>14346.11</v>
      </c>
      <c r="K340" s="3">
        <v>14346.11</v>
      </c>
      <c r="L340" t="s">
        <v>52</v>
      </c>
      <c r="M340" s="2">
        <v>45999</v>
      </c>
      <c r="N340" s="2">
        <v>45996</v>
      </c>
      <c r="O340" t="s">
        <v>43</v>
      </c>
      <c r="P340" t="s">
        <v>94</v>
      </c>
      <c r="Q340" t="s">
        <v>28</v>
      </c>
      <c r="R340" t="s">
        <v>29</v>
      </c>
    </row>
    <row r="341" spans="1:18">
      <c r="A341" t="s">
        <v>467</v>
      </c>
      <c r="B341" s="2">
        <v>45949</v>
      </c>
      <c r="C341" t="s">
        <v>55</v>
      </c>
      <c r="D341" t="s">
        <v>56</v>
      </c>
      <c r="E341" t="s">
        <v>31</v>
      </c>
      <c r="F341" t="s">
        <v>57</v>
      </c>
      <c r="G341" t="s">
        <v>101</v>
      </c>
      <c r="H341" t="s">
        <v>102</v>
      </c>
      <c r="I341">
        <v>59</v>
      </c>
      <c r="J341" s="3">
        <v>1957.98</v>
      </c>
      <c r="K341" s="3">
        <v>115520.82</v>
      </c>
      <c r="L341" t="s">
        <v>52</v>
      </c>
      <c r="M341" s="2">
        <v>45959</v>
      </c>
      <c r="N341" s="2">
        <v>45974</v>
      </c>
      <c r="O341" t="s">
        <v>76</v>
      </c>
      <c r="P341" t="s">
        <v>94</v>
      </c>
      <c r="Q341" t="s">
        <v>28</v>
      </c>
      <c r="R341" t="s">
        <v>129</v>
      </c>
    </row>
    <row r="342" spans="1:18">
      <c r="A342" t="s">
        <v>468</v>
      </c>
      <c r="B342" s="2">
        <v>45754</v>
      </c>
      <c r="C342" t="s">
        <v>142</v>
      </c>
      <c r="D342" t="s">
        <v>143</v>
      </c>
      <c r="E342" t="s">
        <v>21</v>
      </c>
      <c r="F342" t="s">
        <v>22</v>
      </c>
      <c r="G342" t="s">
        <v>160</v>
      </c>
      <c r="H342" t="s">
        <v>161</v>
      </c>
      <c r="I342">
        <v>4</v>
      </c>
      <c r="J342" s="3">
        <v>3189.04</v>
      </c>
      <c r="K342" s="3">
        <v>12756.16</v>
      </c>
      <c r="L342" t="s">
        <v>34</v>
      </c>
      <c r="M342" s="2">
        <v>45763</v>
      </c>
      <c r="N342" s="2">
        <v>45763</v>
      </c>
      <c r="O342" t="s">
        <v>26</v>
      </c>
      <c r="P342" t="s">
        <v>27</v>
      </c>
      <c r="Q342" t="s">
        <v>28</v>
      </c>
      <c r="R342" t="s">
        <v>29</v>
      </c>
    </row>
    <row r="343" spans="1:18">
      <c r="A343" t="s">
        <v>469</v>
      </c>
      <c r="B343" s="2">
        <v>45990</v>
      </c>
      <c r="C343" t="s">
        <v>80</v>
      </c>
      <c r="D343" t="s">
        <v>81</v>
      </c>
      <c r="E343" t="s">
        <v>39</v>
      </c>
      <c r="F343" t="s">
        <v>82</v>
      </c>
      <c r="G343" t="s">
        <v>197</v>
      </c>
      <c r="H343" t="s">
        <v>198</v>
      </c>
      <c r="I343">
        <v>43</v>
      </c>
      <c r="J343" s="3">
        <v>2078.17</v>
      </c>
      <c r="K343" s="3">
        <v>89361.31</v>
      </c>
      <c r="L343" t="s">
        <v>25</v>
      </c>
      <c r="M343" s="2">
        <v>46005</v>
      </c>
      <c r="N343" s="2">
        <v>46002</v>
      </c>
      <c r="O343" t="s">
        <v>43</v>
      </c>
      <c r="P343" t="s">
        <v>44</v>
      </c>
      <c r="Q343" t="s">
        <v>28</v>
      </c>
      <c r="R343" t="s">
        <v>29</v>
      </c>
    </row>
    <row r="344" spans="1:18">
      <c r="A344" t="s">
        <v>470</v>
      </c>
      <c r="B344" s="2">
        <v>46102</v>
      </c>
      <c r="C344" t="s">
        <v>19</v>
      </c>
      <c r="D344" t="s">
        <v>20</v>
      </c>
      <c r="E344" t="s">
        <v>112</v>
      </c>
      <c r="F344" t="s">
        <v>22</v>
      </c>
      <c r="G344" t="s">
        <v>32</v>
      </c>
      <c r="H344" t="s">
        <v>33</v>
      </c>
      <c r="I344">
        <v>1</v>
      </c>
      <c r="J344" s="3">
        <v>7798.48</v>
      </c>
      <c r="K344" s="3">
        <v>7798.48</v>
      </c>
      <c r="L344" t="s">
        <v>25</v>
      </c>
      <c r="M344" s="2">
        <v>46117</v>
      </c>
      <c r="N344" s="2">
        <v>46114</v>
      </c>
      <c r="O344" t="s">
        <v>43</v>
      </c>
      <c r="P344" t="s">
        <v>115</v>
      </c>
      <c r="Q344" t="s">
        <v>28</v>
      </c>
      <c r="R344" t="s">
        <v>29</v>
      </c>
    </row>
    <row r="345" spans="1:18">
      <c r="A345" t="s">
        <v>471</v>
      </c>
      <c r="B345" s="2">
        <v>45811</v>
      </c>
      <c r="C345" t="s">
        <v>71</v>
      </c>
      <c r="D345" t="s">
        <v>72</v>
      </c>
      <c r="E345" t="s">
        <v>48</v>
      </c>
      <c r="F345" t="s">
        <v>57</v>
      </c>
      <c r="G345" t="s">
        <v>101</v>
      </c>
      <c r="H345" t="s">
        <v>102</v>
      </c>
      <c r="I345">
        <v>33</v>
      </c>
      <c r="J345" s="3">
        <v>1767.28</v>
      </c>
      <c r="K345" s="3">
        <v>58320.24</v>
      </c>
      <c r="L345" t="s">
        <v>25</v>
      </c>
      <c r="M345" s="2">
        <v>45828</v>
      </c>
      <c r="N345" s="2">
        <v>45828</v>
      </c>
      <c r="O345" t="s">
        <v>76</v>
      </c>
      <c r="P345" t="s">
        <v>53</v>
      </c>
      <c r="Q345" t="s">
        <v>28</v>
      </c>
      <c r="R345" t="s">
        <v>29</v>
      </c>
    </row>
    <row r="346" spans="1:18">
      <c r="A346" t="s">
        <v>472</v>
      </c>
      <c r="B346" s="2">
        <v>45809</v>
      </c>
      <c r="C346" t="s">
        <v>96</v>
      </c>
      <c r="D346" t="s">
        <v>97</v>
      </c>
      <c r="E346" t="s">
        <v>39</v>
      </c>
      <c r="F346" t="s">
        <v>82</v>
      </c>
      <c r="G346" t="s">
        <v>197</v>
      </c>
      <c r="H346" t="s">
        <v>198</v>
      </c>
      <c r="I346">
        <v>10</v>
      </c>
      <c r="J346" s="3">
        <v>2112.36</v>
      </c>
      <c r="K346" s="3">
        <v>21123.599999999999</v>
      </c>
      <c r="L346" t="s">
        <v>34</v>
      </c>
      <c r="M346" s="2">
        <v>45820</v>
      </c>
      <c r="N346" s="2">
        <v>45819</v>
      </c>
      <c r="O346" t="s">
        <v>60</v>
      </c>
      <c r="P346" t="s">
        <v>64</v>
      </c>
      <c r="Q346" t="s">
        <v>28</v>
      </c>
      <c r="R346" t="s">
        <v>29</v>
      </c>
    </row>
    <row r="347" spans="1:18">
      <c r="A347" t="s">
        <v>473</v>
      </c>
      <c r="B347" s="2">
        <v>46157</v>
      </c>
      <c r="C347" t="s">
        <v>37</v>
      </c>
      <c r="D347" t="s">
        <v>38</v>
      </c>
      <c r="E347" t="s">
        <v>31</v>
      </c>
      <c r="F347" t="s">
        <v>22</v>
      </c>
      <c r="G347" t="s">
        <v>32</v>
      </c>
      <c r="H347" t="s">
        <v>33</v>
      </c>
      <c r="I347">
        <v>4</v>
      </c>
      <c r="J347" s="3">
        <v>8405.94</v>
      </c>
      <c r="K347" s="3">
        <v>33623.760000000002</v>
      </c>
      <c r="L347" t="s">
        <v>25</v>
      </c>
      <c r="M347" s="2">
        <v>46163</v>
      </c>
      <c r="N347" s="2">
        <v>46160</v>
      </c>
      <c r="O347" t="s">
        <v>43</v>
      </c>
      <c r="P347" t="s">
        <v>94</v>
      </c>
      <c r="Q347" t="s">
        <v>28</v>
      </c>
      <c r="R347" t="s">
        <v>29</v>
      </c>
    </row>
    <row r="348" spans="1:18">
      <c r="A348" t="s">
        <v>474</v>
      </c>
      <c r="B348" s="2">
        <v>46081</v>
      </c>
      <c r="C348" t="s">
        <v>46</v>
      </c>
      <c r="D348" t="s">
        <v>47</v>
      </c>
      <c r="E348" t="s">
        <v>21</v>
      </c>
      <c r="F348" t="s">
        <v>49</v>
      </c>
      <c r="G348" t="s">
        <v>165</v>
      </c>
      <c r="H348" t="s">
        <v>166</v>
      </c>
      <c r="I348">
        <v>1</v>
      </c>
      <c r="J348" s="3">
        <v>45895.92</v>
      </c>
      <c r="K348" s="3">
        <v>45895.92</v>
      </c>
      <c r="L348" t="s">
        <v>34</v>
      </c>
      <c r="M348" s="2">
        <v>46088</v>
      </c>
      <c r="N348" s="2">
        <v>46085</v>
      </c>
      <c r="O348" t="s">
        <v>60</v>
      </c>
      <c r="P348" t="s">
        <v>27</v>
      </c>
      <c r="Q348" t="s">
        <v>28</v>
      </c>
      <c r="R348" t="s">
        <v>29</v>
      </c>
    </row>
    <row r="349" spans="1:18">
      <c r="A349" t="s">
        <v>475</v>
      </c>
      <c r="B349" s="2">
        <v>45897</v>
      </c>
      <c r="C349" t="s">
        <v>117</v>
      </c>
      <c r="D349" t="s">
        <v>118</v>
      </c>
      <c r="E349" t="s">
        <v>73</v>
      </c>
      <c r="F349" t="s">
        <v>57</v>
      </c>
      <c r="G349" t="s">
        <v>101</v>
      </c>
      <c r="H349" t="s">
        <v>102</v>
      </c>
      <c r="I349">
        <v>44</v>
      </c>
      <c r="J349" s="3">
        <v>1749.38</v>
      </c>
      <c r="K349" s="3">
        <v>76972.72</v>
      </c>
      <c r="L349" t="s">
        <v>25</v>
      </c>
      <c r="M349" s="2">
        <v>45904</v>
      </c>
      <c r="N349" s="2">
        <v>45902</v>
      </c>
      <c r="O349" t="s">
        <v>43</v>
      </c>
      <c r="P349" t="s">
        <v>77</v>
      </c>
      <c r="Q349" t="s">
        <v>28</v>
      </c>
      <c r="R349" t="s">
        <v>29</v>
      </c>
    </row>
    <row r="350" spans="1:18">
      <c r="A350" t="s">
        <v>476</v>
      </c>
      <c r="B350" s="2">
        <v>46118</v>
      </c>
      <c r="C350" t="s">
        <v>117</v>
      </c>
      <c r="D350" t="s">
        <v>118</v>
      </c>
      <c r="E350" t="s">
        <v>21</v>
      </c>
      <c r="F350" t="s">
        <v>57</v>
      </c>
      <c r="G350" t="s">
        <v>127</v>
      </c>
      <c r="H350" t="s">
        <v>128</v>
      </c>
      <c r="I350">
        <v>5</v>
      </c>
      <c r="J350" s="3">
        <v>16615.11</v>
      </c>
      <c r="K350" s="3">
        <v>83075.55</v>
      </c>
      <c r="L350" t="s">
        <v>34</v>
      </c>
      <c r="M350" s="2">
        <v>46131</v>
      </c>
      <c r="N350" s="2">
        <v>46130</v>
      </c>
      <c r="O350" t="s">
        <v>43</v>
      </c>
      <c r="P350" t="s">
        <v>27</v>
      </c>
      <c r="Q350" t="s">
        <v>28</v>
      </c>
      <c r="R350" t="s">
        <v>29</v>
      </c>
    </row>
    <row r="351" spans="1:18">
      <c r="A351" t="s">
        <v>477</v>
      </c>
      <c r="B351" s="2">
        <v>46197</v>
      </c>
      <c r="C351" t="s">
        <v>147</v>
      </c>
      <c r="D351" t="s">
        <v>148</v>
      </c>
      <c r="E351" t="s">
        <v>39</v>
      </c>
      <c r="F351" t="s">
        <v>40</v>
      </c>
      <c r="G351" t="s">
        <v>149</v>
      </c>
      <c r="H351" t="s">
        <v>150</v>
      </c>
      <c r="I351">
        <v>8</v>
      </c>
      <c r="J351" s="3">
        <v>1316.24</v>
      </c>
      <c r="K351" s="3">
        <v>10529.92</v>
      </c>
      <c r="L351" t="s">
        <v>34</v>
      </c>
      <c r="M351" s="2">
        <v>46209</v>
      </c>
      <c r="N351" s="2"/>
      <c r="O351" t="s">
        <v>76</v>
      </c>
      <c r="P351" t="s">
        <v>64</v>
      </c>
      <c r="Q351" t="s">
        <v>167</v>
      </c>
      <c r="R351" t="s">
        <v>167</v>
      </c>
    </row>
    <row r="352" spans="1:18">
      <c r="A352" t="s">
        <v>478</v>
      </c>
      <c r="B352" s="2">
        <v>45677</v>
      </c>
      <c r="C352" t="s">
        <v>147</v>
      </c>
      <c r="D352" t="s">
        <v>148</v>
      </c>
      <c r="E352" t="s">
        <v>112</v>
      </c>
      <c r="F352" t="s">
        <v>40</v>
      </c>
      <c r="G352" t="s">
        <v>149</v>
      </c>
      <c r="H352" t="s">
        <v>150</v>
      </c>
      <c r="I352">
        <v>50</v>
      </c>
      <c r="J352" s="3">
        <v>1303.48</v>
      </c>
      <c r="K352" s="3">
        <v>65174</v>
      </c>
      <c r="L352" t="s">
        <v>52</v>
      </c>
      <c r="M352" s="2">
        <v>45683</v>
      </c>
      <c r="N352" s="2">
        <v>45680</v>
      </c>
      <c r="O352" t="s">
        <v>43</v>
      </c>
      <c r="P352" t="s">
        <v>115</v>
      </c>
      <c r="Q352" t="s">
        <v>28</v>
      </c>
      <c r="R352" t="s">
        <v>29</v>
      </c>
    </row>
    <row r="353" spans="1:18">
      <c r="A353" t="s">
        <v>479</v>
      </c>
      <c r="B353" s="2">
        <v>45861</v>
      </c>
      <c r="C353" t="s">
        <v>117</v>
      </c>
      <c r="D353" t="s">
        <v>118</v>
      </c>
      <c r="E353" t="s">
        <v>73</v>
      </c>
      <c r="F353" t="s">
        <v>57</v>
      </c>
      <c r="G353" t="s">
        <v>101</v>
      </c>
      <c r="H353" t="s">
        <v>102</v>
      </c>
      <c r="I353">
        <v>24</v>
      </c>
      <c r="J353" s="3">
        <v>1890.97</v>
      </c>
      <c r="K353" s="3">
        <v>45383.28</v>
      </c>
      <c r="L353" t="s">
        <v>25</v>
      </c>
      <c r="M353" s="2">
        <v>45871</v>
      </c>
      <c r="N353" s="2">
        <v>45870</v>
      </c>
      <c r="O353" t="s">
        <v>76</v>
      </c>
      <c r="P353" t="s">
        <v>77</v>
      </c>
      <c r="Q353" t="s">
        <v>28</v>
      </c>
      <c r="R353" t="s">
        <v>29</v>
      </c>
    </row>
    <row r="354" spans="1:18">
      <c r="A354" t="s">
        <v>480</v>
      </c>
      <c r="B354" s="2">
        <v>45967</v>
      </c>
      <c r="C354" t="s">
        <v>66</v>
      </c>
      <c r="D354" t="s">
        <v>67</v>
      </c>
      <c r="E354" t="s">
        <v>112</v>
      </c>
      <c r="F354" t="s">
        <v>49</v>
      </c>
      <c r="G354" t="s">
        <v>165</v>
      </c>
      <c r="H354" t="s">
        <v>166</v>
      </c>
      <c r="I354">
        <v>2</v>
      </c>
      <c r="J354" s="3">
        <v>44362.43</v>
      </c>
      <c r="K354" s="3">
        <v>88724.86</v>
      </c>
      <c r="L354" t="s">
        <v>25</v>
      </c>
      <c r="M354" s="2">
        <v>45985</v>
      </c>
      <c r="N354" s="2">
        <v>45983</v>
      </c>
      <c r="O354" t="s">
        <v>76</v>
      </c>
      <c r="P354" t="s">
        <v>115</v>
      </c>
      <c r="Q354" t="s">
        <v>28</v>
      </c>
      <c r="R354" t="s">
        <v>29</v>
      </c>
    </row>
    <row r="355" spans="1:18">
      <c r="A355" t="s">
        <v>481</v>
      </c>
      <c r="B355" s="2">
        <v>45798</v>
      </c>
      <c r="C355" t="s">
        <v>131</v>
      </c>
      <c r="D355" t="s">
        <v>132</v>
      </c>
      <c r="E355" t="s">
        <v>73</v>
      </c>
      <c r="F355" t="s">
        <v>57</v>
      </c>
      <c r="G355" t="s">
        <v>127</v>
      </c>
      <c r="H355" t="s">
        <v>128</v>
      </c>
      <c r="I355">
        <v>7</v>
      </c>
      <c r="J355" s="3">
        <v>17509.34</v>
      </c>
      <c r="K355" s="3">
        <v>122565.38</v>
      </c>
      <c r="L355" t="s">
        <v>52</v>
      </c>
      <c r="M355" s="2">
        <v>45806</v>
      </c>
      <c r="N355" s="2">
        <v>45803</v>
      </c>
      <c r="O355" t="s">
        <v>76</v>
      </c>
      <c r="P355" t="s">
        <v>77</v>
      </c>
      <c r="Q355" t="s">
        <v>28</v>
      </c>
      <c r="R355" t="s">
        <v>29</v>
      </c>
    </row>
    <row r="356" spans="1:18">
      <c r="A356" t="s">
        <v>482</v>
      </c>
      <c r="B356" s="2">
        <v>45792</v>
      </c>
      <c r="C356" t="s">
        <v>80</v>
      </c>
      <c r="D356" t="s">
        <v>81</v>
      </c>
      <c r="E356" t="s">
        <v>39</v>
      </c>
      <c r="F356" t="s">
        <v>82</v>
      </c>
      <c r="G356" t="s">
        <v>197</v>
      </c>
      <c r="H356" t="s">
        <v>198</v>
      </c>
      <c r="I356">
        <v>24</v>
      </c>
      <c r="J356" s="3">
        <v>2070.08</v>
      </c>
      <c r="K356" s="3">
        <v>49681.919999999998</v>
      </c>
      <c r="L356" t="s">
        <v>25</v>
      </c>
      <c r="M356" s="2">
        <v>45808</v>
      </c>
      <c r="N356" s="2">
        <v>45807</v>
      </c>
      <c r="O356" t="s">
        <v>26</v>
      </c>
      <c r="P356" t="s">
        <v>64</v>
      </c>
      <c r="Q356" t="s">
        <v>28</v>
      </c>
      <c r="R356" t="s">
        <v>29</v>
      </c>
    </row>
    <row r="357" spans="1:18">
      <c r="A357" t="s">
        <v>483</v>
      </c>
      <c r="B357" s="2">
        <v>45983</v>
      </c>
      <c r="C357" t="s">
        <v>142</v>
      </c>
      <c r="D357" t="s">
        <v>143</v>
      </c>
      <c r="E357" t="s">
        <v>31</v>
      </c>
      <c r="F357" t="s">
        <v>22</v>
      </c>
      <c r="G357" t="s">
        <v>23</v>
      </c>
      <c r="H357" t="s">
        <v>24</v>
      </c>
      <c r="I357">
        <v>14</v>
      </c>
      <c r="J357" s="3">
        <v>253.71</v>
      </c>
      <c r="K357" s="3">
        <v>3551.94</v>
      </c>
      <c r="L357" t="s">
        <v>52</v>
      </c>
      <c r="M357" s="2">
        <v>45999</v>
      </c>
      <c r="N357" s="2">
        <v>46006</v>
      </c>
      <c r="O357" t="s">
        <v>60</v>
      </c>
      <c r="P357" t="s">
        <v>35</v>
      </c>
      <c r="Q357" t="s">
        <v>28</v>
      </c>
      <c r="R357" t="s">
        <v>129</v>
      </c>
    </row>
    <row r="358" spans="1:18">
      <c r="A358" t="s">
        <v>484</v>
      </c>
      <c r="B358" s="2">
        <v>45968</v>
      </c>
      <c r="C358" t="s">
        <v>104</v>
      </c>
      <c r="D358" t="s">
        <v>105</v>
      </c>
      <c r="E358" t="s">
        <v>112</v>
      </c>
      <c r="F358" t="s">
        <v>49</v>
      </c>
      <c r="G358" t="s">
        <v>165</v>
      </c>
      <c r="H358" t="s">
        <v>166</v>
      </c>
      <c r="I358">
        <v>1</v>
      </c>
      <c r="J358" s="3">
        <v>43961.13</v>
      </c>
      <c r="K358" s="3">
        <v>43961.13</v>
      </c>
      <c r="L358" t="s">
        <v>34</v>
      </c>
      <c r="M358" s="2">
        <v>45975</v>
      </c>
      <c r="N358" s="2">
        <v>45986</v>
      </c>
      <c r="O358" t="s">
        <v>26</v>
      </c>
      <c r="P358" t="s">
        <v>115</v>
      </c>
      <c r="Q358" t="s">
        <v>28</v>
      </c>
      <c r="R358" t="s">
        <v>129</v>
      </c>
    </row>
    <row r="359" spans="1:18">
      <c r="A359" t="s">
        <v>485</v>
      </c>
      <c r="B359" s="2">
        <v>46025</v>
      </c>
      <c r="C359" t="s">
        <v>71</v>
      </c>
      <c r="D359" t="s">
        <v>72</v>
      </c>
      <c r="E359" t="s">
        <v>48</v>
      </c>
      <c r="F359" t="s">
        <v>57</v>
      </c>
      <c r="G359" t="s">
        <v>127</v>
      </c>
      <c r="H359" t="s">
        <v>128</v>
      </c>
      <c r="I359">
        <v>6</v>
      </c>
      <c r="J359" s="3">
        <v>15321.46</v>
      </c>
      <c r="K359" s="3">
        <v>91928.76</v>
      </c>
      <c r="L359" t="s">
        <v>25</v>
      </c>
      <c r="M359" s="2">
        <v>46032</v>
      </c>
      <c r="N359" s="2">
        <v>46029</v>
      </c>
      <c r="O359" t="s">
        <v>26</v>
      </c>
      <c r="P359" t="s">
        <v>53</v>
      </c>
      <c r="Q359" t="s">
        <v>28</v>
      </c>
      <c r="R359" t="s">
        <v>29</v>
      </c>
    </row>
    <row r="360" spans="1:18">
      <c r="A360" t="s">
        <v>486</v>
      </c>
      <c r="B360" s="2">
        <v>45889</v>
      </c>
      <c r="C360" t="s">
        <v>131</v>
      </c>
      <c r="D360" t="s">
        <v>132</v>
      </c>
      <c r="E360" t="s">
        <v>48</v>
      </c>
      <c r="F360" t="s">
        <v>57</v>
      </c>
      <c r="G360" t="s">
        <v>58</v>
      </c>
      <c r="H360" t="s">
        <v>59</v>
      </c>
      <c r="I360">
        <v>4</v>
      </c>
      <c r="J360" s="3">
        <v>58478.38</v>
      </c>
      <c r="K360" s="3">
        <v>233913.52</v>
      </c>
      <c r="L360" t="s">
        <v>52</v>
      </c>
      <c r="M360" s="2">
        <v>45906</v>
      </c>
      <c r="N360" s="2">
        <v>45905</v>
      </c>
      <c r="O360" t="s">
        <v>60</v>
      </c>
      <c r="P360" t="s">
        <v>53</v>
      </c>
      <c r="Q360" t="s">
        <v>28</v>
      </c>
      <c r="R360" t="s">
        <v>29</v>
      </c>
    </row>
    <row r="361" spans="1:18">
      <c r="A361" t="s">
        <v>487</v>
      </c>
      <c r="B361" s="2">
        <v>45910</v>
      </c>
      <c r="C361" t="s">
        <v>104</v>
      </c>
      <c r="D361" t="s">
        <v>105</v>
      </c>
      <c r="E361" t="s">
        <v>48</v>
      </c>
      <c r="F361" t="s">
        <v>49</v>
      </c>
      <c r="G361" t="s">
        <v>165</v>
      </c>
      <c r="H361" t="s">
        <v>166</v>
      </c>
      <c r="I361">
        <v>3</v>
      </c>
      <c r="J361" s="3">
        <v>47003.51</v>
      </c>
      <c r="K361" s="3">
        <v>141010.53</v>
      </c>
      <c r="L361" t="s">
        <v>25</v>
      </c>
      <c r="M361" s="2">
        <v>45924</v>
      </c>
      <c r="N361" s="2">
        <v>45924</v>
      </c>
      <c r="O361" t="s">
        <v>60</v>
      </c>
      <c r="P361" t="s">
        <v>53</v>
      </c>
      <c r="Q361" t="s">
        <v>28</v>
      </c>
      <c r="R361" t="s">
        <v>29</v>
      </c>
    </row>
    <row r="362" spans="1:18">
      <c r="A362" t="s">
        <v>488</v>
      </c>
      <c r="B362" s="2">
        <v>45909</v>
      </c>
      <c r="C362" t="s">
        <v>71</v>
      </c>
      <c r="D362" t="s">
        <v>72</v>
      </c>
      <c r="E362" t="s">
        <v>73</v>
      </c>
      <c r="F362" t="s">
        <v>57</v>
      </c>
      <c r="G362" t="s">
        <v>101</v>
      </c>
      <c r="H362" t="s">
        <v>102</v>
      </c>
      <c r="I362">
        <v>45</v>
      </c>
      <c r="J362" s="3">
        <v>1694.36</v>
      </c>
      <c r="K362" s="3">
        <v>76246.2</v>
      </c>
      <c r="L362" t="s">
        <v>25</v>
      </c>
      <c r="M362" s="2">
        <v>45914</v>
      </c>
      <c r="N362" s="2">
        <v>45923</v>
      </c>
      <c r="O362" t="s">
        <v>76</v>
      </c>
      <c r="P362" t="s">
        <v>77</v>
      </c>
      <c r="Q362" t="s">
        <v>28</v>
      </c>
      <c r="R362" t="s">
        <v>129</v>
      </c>
    </row>
    <row r="363" spans="1:18">
      <c r="A363" t="s">
        <v>489</v>
      </c>
      <c r="B363" s="2">
        <v>46130</v>
      </c>
      <c r="C363" t="s">
        <v>19</v>
      </c>
      <c r="D363" t="s">
        <v>20</v>
      </c>
      <c r="E363" t="s">
        <v>21</v>
      </c>
      <c r="F363" t="s">
        <v>22</v>
      </c>
      <c r="G363" t="s">
        <v>32</v>
      </c>
      <c r="H363" t="s">
        <v>33</v>
      </c>
      <c r="I363">
        <v>14</v>
      </c>
      <c r="J363" s="3">
        <v>7056.7</v>
      </c>
      <c r="K363" s="3">
        <v>98793.8</v>
      </c>
      <c r="L363" t="s">
        <v>25</v>
      </c>
      <c r="M363" s="2">
        <v>46145</v>
      </c>
      <c r="N363" s="2">
        <v>46145</v>
      </c>
      <c r="O363" t="s">
        <v>26</v>
      </c>
      <c r="P363" t="s">
        <v>27</v>
      </c>
      <c r="Q363" t="s">
        <v>28</v>
      </c>
      <c r="R363" t="s">
        <v>29</v>
      </c>
    </row>
    <row r="364" spans="1:18">
      <c r="A364" t="s">
        <v>490</v>
      </c>
      <c r="B364" s="2">
        <v>46081</v>
      </c>
      <c r="C364" t="s">
        <v>147</v>
      </c>
      <c r="D364" t="s">
        <v>148</v>
      </c>
      <c r="E364" t="s">
        <v>39</v>
      </c>
      <c r="F364" t="s">
        <v>40</v>
      </c>
      <c r="G364" t="s">
        <v>149</v>
      </c>
      <c r="H364" t="s">
        <v>150</v>
      </c>
      <c r="I364">
        <v>25</v>
      </c>
      <c r="J364" s="3">
        <v>1254.68</v>
      </c>
      <c r="K364" s="3">
        <v>31367</v>
      </c>
      <c r="L364" t="s">
        <v>34</v>
      </c>
      <c r="M364" s="2">
        <v>46097</v>
      </c>
      <c r="N364" s="2">
        <v>46096</v>
      </c>
      <c r="O364" t="s">
        <v>43</v>
      </c>
      <c r="P364" t="s">
        <v>64</v>
      </c>
      <c r="Q364" t="s">
        <v>28</v>
      </c>
      <c r="R364" t="s">
        <v>29</v>
      </c>
    </row>
    <row r="365" spans="1:18">
      <c r="A365" t="s">
        <v>491</v>
      </c>
      <c r="B365" s="2">
        <v>46029</v>
      </c>
      <c r="C365" t="s">
        <v>71</v>
      </c>
      <c r="D365" t="s">
        <v>72</v>
      </c>
      <c r="E365" t="s">
        <v>48</v>
      </c>
      <c r="F365" t="s">
        <v>57</v>
      </c>
      <c r="G365" t="s">
        <v>74</v>
      </c>
      <c r="H365" t="s">
        <v>75</v>
      </c>
      <c r="I365">
        <v>3</v>
      </c>
      <c r="J365" s="3">
        <v>7807.04</v>
      </c>
      <c r="K365" s="3">
        <v>23421.119999999999</v>
      </c>
      <c r="L365" t="s">
        <v>25</v>
      </c>
      <c r="M365" s="2">
        <v>46039</v>
      </c>
      <c r="N365" s="2">
        <v>46038</v>
      </c>
      <c r="O365" t="s">
        <v>26</v>
      </c>
      <c r="P365" t="s">
        <v>53</v>
      </c>
      <c r="Q365" t="s">
        <v>28</v>
      </c>
      <c r="R365" t="s">
        <v>29</v>
      </c>
    </row>
    <row r="366" spans="1:18">
      <c r="A366" t="s">
        <v>492</v>
      </c>
      <c r="B366" s="2">
        <v>45710</v>
      </c>
      <c r="C366" t="s">
        <v>46</v>
      </c>
      <c r="D366" t="s">
        <v>47</v>
      </c>
      <c r="E366" t="s">
        <v>21</v>
      </c>
      <c r="F366" t="s">
        <v>49</v>
      </c>
      <c r="G366" t="s">
        <v>165</v>
      </c>
      <c r="H366" t="s">
        <v>166</v>
      </c>
      <c r="I366">
        <v>1</v>
      </c>
      <c r="J366" s="3">
        <v>46296.66</v>
      </c>
      <c r="K366" s="3">
        <v>46296.66</v>
      </c>
      <c r="L366" t="s">
        <v>25</v>
      </c>
      <c r="M366" s="2">
        <v>45718</v>
      </c>
      <c r="N366" s="2">
        <v>45732</v>
      </c>
      <c r="O366" t="s">
        <v>60</v>
      </c>
      <c r="P366" t="s">
        <v>27</v>
      </c>
      <c r="Q366" t="s">
        <v>28</v>
      </c>
      <c r="R366" t="s">
        <v>129</v>
      </c>
    </row>
    <row r="367" spans="1:18">
      <c r="A367" t="s">
        <v>493</v>
      </c>
      <c r="B367" s="2">
        <v>46168</v>
      </c>
      <c r="C367" t="s">
        <v>37</v>
      </c>
      <c r="D367" t="s">
        <v>38</v>
      </c>
      <c r="E367" t="s">
        <v>39</v>
      </c>
      <c r="F367" t="s">
        <v>40</v>
      </c>
      <c r="G367" t="s">
        <v>149</v>
      </c>
      <c r="H367" t="s">
        <v>150</v>
      </c>
      <c r="I367">
        <v>34</v>
      </c>
      <c r="J367" s="3">
        <v>1472.45</v>
      </c>
      <c r="K367" s="3">
        <v>50063.3</v>
      </c>
      <c r="L367" t="s">
        <v>25</v>
      </c>
      <c r="M367" s="2">
        <v>46179</v>
      </c>
      <c r="N367" s="2">
        <v>46179</v>
      </c>
      <c r="O367" t="s">
        <v>76</v>
      </c>
      <c r="P367" t="s">
        <v>64</v>
      </c>
      <c r="Q367" t="s">
        <v>28</v>
      </c>
      <c r="R367" t="s">
        <v>29</v>
      </c>
    </row>
    <row r="368" spans="1:18">
      <c r="A368" t="s">
        <v>494</v>
      </c>
      <c r="B368" s="2">
        <v>45708</v>
      </c>
      <c r="C368" t="s">
        <v>37</v>
      </c>
      <c r="D368" t="s">
        <v>38</v>
      </c>
      <c r="E368" t="s">
        <v>39</v>
      </c>
      <c r="F368" t="s">
        <v>40</v>
      </c>
      <c r="G368" t="s">
        <v>41</v>
      </c>
      <c r="H368" t="s">
        <v>42</v>
      </c>
      <c r="I368">
        <v>10</v>
      </c>
      <c r="J368" s="3">
        <v>5563.75</v>
      </c>
      <c r="K368" s="3">
        <v>55637.5</v>
      </c>
      <c r="L368" t="s">
        <v>52</v>
      </c>
      <c r="M368" s="2">
        <v>45726</v>
      </c>
      <c r="N368" s="2">
        <v>45724</v>
      </c>
      <c r="O368" t="s">
        <v>43</v>
      </c>
      <c r="P368" t="s">
        <v>64</v>
      </c>
      <c r="Q368" t="s">
        <v>28</v>
      </c>
      <c r="R368" t="s">
        <v>29</v>
      </c>
    </row>
    <row r="369" spans="1:18">
      <c r="A369" t="s">
        <v>495</v>
      </c>
      <c r="B369" s="2">
        <v>45988</v>
      </c>
      <c r="C369" t="s">
        <v>37</v>
      </c>
      <c r="D369" t="s">
        <v>38</v>
      </c>
      <c r="E369" t="s">
        <v>73</v>
      </c>
      <c r="F369" t="s">
        <v>22</v>
      </c>
      <c r="G369" t="s">
        <v>160</v>
      </c>
      <c r="H369" t="s">
        <v>161</v>
      </c>
      <c r="I369">
        <v>8</v>
      </c>
      <c r="J369" s="3">
        <v>3255.37</v>
      </c>
      <c r="K369" s="3">
        <v>26042.959999999999</v>
      </c>
      <c r="L369" t="s">
        <v>25</v>
      </c>
      <c r="M369" s="2">
        <v>45995</v>
      </c>
      <c r="N369" s="2">
        <v>45993</v>
      </c>
      <c r="O369" t="s">
        <v>60</v>
      </c>
      <c r="P369" t="s">
        <v>77</v>
      </c>
      <c r="Q369" t="s">
        <v>28</v>
      </c>
      <c r="R369" t="s">
        <v>29</v>
      </c>
    </row>
    <row r="370" spans="1:18">
      <c r="A370" t="s">
        <v>496</v>
      </c>
      <c r="B370" s="2">
        <v>45872</v>
      </c>
      <c r="C370" t="s">
        <v>80</v>
      </c>
      <c r="D370" t="s">
        <v>81</v>
      </c>
      <c r="E370" t="s">
        <v>39</v>
      </c>
      <c r="F370" t="s">
        <v>82</v>
      </c>
      <c r="G370" t="s">
        <v>197</v>
      </c>
      <c r="H370" t="s">
        <v>198</v>
      </c>
      <c r="I370">
        <v>51</v>
      </c>
      <c r="J370" s="3">
        <v>1930.94</v>
      </c>
      <c r="K370" s="3">
        <v>98477.94</v>
      </c>
      <c r="L370" t="s">
        <v>25</v>
      </c>
      <c r="M370" s="2">
        <v>45888</v>
      </c>
      <c r="N370" s="2">
        <v>45886</v>
      </c>
      <c r="O370" t="s">
        <v>76</v>
      </c>
      <c r="P370" t="s">
        <v>44</v>
      </c>
      <c r="Q370" t="s">
        <v>28</v>
      </c>
      <c r="R370" t="s">
        <v>29</v>
      </c>
    </row>
    <row r="371" spans="1:18">
      <c r="A371" t="s">
        <v>497</v>
      </c>
      <c r="B371" s="2">
        <v>46196</v>
      </c>
      <c r="C371" t="s">
        <v>107</v>
      </c>
      <c r="D371" t="s">
        <v>108</v>
      </c>
      <c r="E371" t="s">
        <v>31</v>
      </c>
      <c r="F371" t="s">
        <v>498</v>
      </c>
      <c r="G371" t="s">
        <v>109</v>
      </c>
      <c r="H371" t="s">
        <v>110</v>
      </c>
      <c r="I371">
        <v>2</v>
      </c>
      <c r="J371" s="3">
        <v>13981.92</v>
      </c>
      <c r="K371" s="3">
        <v>27963.84</v>
      </c>
      <c r="L371" t="s">
        <v>52</v>
      </c>
      <c r="M371" s="2">
        <v>46213</v>
      </c>
      <c r="N371" s="2">
        <v>46212</v>
      </c>
      <c r="O371" t="s">
        <v>43</v>
      </c>
      <c r="P371" t="s">
        <v>94</v>
      </c>
      <c r="Q371" t="s">
        <v>28</v>
      </c>
      <c r="R371" t="s">
        <v>29</v>
      </c>
    </row>
    <row r="372" spans="1:18">
      <c r="A372" t="s">
        <v>499</v>
      </c>
      <c r="B372" s="2">
        <v>45682</v>
      </c>
      <c r="C372" t="s">
        <v>131</v>
      </c>
      <c r="D372" t="s">
        <v>132</v>
      </c>
      <c r="E372" t="s">
        <v>48</v>
      </c>
      <c r="F372" t="s">
        <v>57</v>
      </c>
      <c r="G372" t="s">
        <v>127</v>
      </c>
      <c r="H372" t="s">
        <v>128</v>
      </c>
      <c r="I372">
        <v>6</v>
      </c>
      <c r="J372" s="3">
        <v>17089.11</v>
      </c>
      <c r="K372" s="3">
        <v>102534.66</v>
      </c>
      <c r="L372" t="s">
        <v>25</v>
      </c>
      <c r="M372" s="2">
        <v>45692</v>
      </c>
      <c r="N372" s="2">
        <v>45691</v>
      </c>
      <c r="O372" t="s">
        <v>26</v>
      </c>
      <c r="P372" t="s">
        <v>53</v>
      </c>
      <c r="Q372" t="s">
        <v>28</v>
      </c>
      <c r="R372" t="s">
        <v>29</v>
      </c>
    </row>
    <row r="373" spans="1:18">
      <c r="A373" t="s">
        <v>500</v>
      </c>
      <c r="B373" s="2">
        <v>45973</v>
      </c>
      <c r="C373" t="s">
        <v>107</v>
      </c>
      <c r="D373" t="s">
        <v>108</v>
      </c>
      <c r="E373" t="s">
        <v>31</v>
      </c>
      <c r="F373" t="s">
        <v>91</v>
      </c>
      <c r="G373" t="s">
        <v>92</v>
      </c>
      <c r="H373" t="s">
        <v>93</v>
      </c>
      <c r="I373">
        <v>3</v>
      </c>
      <c r="J373" s="3">
        <v>45771.38</v>
      </c>
      <c r="K373" s="3">
        <v>137314.14000000001</v>
      </c>
      <c r="L373" t="s">
        <v>25</v>
      </c>
      <c r="M373" s="2">
        <v>45987</v>
      </c>
      <c r="N373" s="2">
        <v>45986</v>
      </c>
      <c r="O373" t="s">
        <v>76</v>
      </c>
      <c r="P373" t="s">
        <v>35</v>
      </c>
      <c r="Q373" t="s">
        <v>28</v>
      </c>
      <c r="R373" t="s">
        <v>29</v>
      </c>
    </row>
    <row r="374" spans="1:18">
      <c r="A374" t="s">
        <v>501</v>
      </c>
      <c r="B374" s="2">
        <v>45797</v>
      </c>
      <c r="C374" t="s">
        <v>142</v>
      </c>
      <c r="D374" t="s">
        <v>143</v>
      </c>
      <c r="E374" t="s">
        <v>31</v>
      </c>
      <c r="F374" t="s">
        <v>22</v>
      </c>
      <c r="G374" t="s">
        <v>160</v>
      </c>
      <c r="H374" t="s">
        <v>161</v>
      </c>
      <c r="I374">
        <v>15</v>
      </c>
      <c r="J374" s="3">
        <v>3254.82</v>
      </c>
      <c r="K374" s="3">
        <v>48822.3</v>
      </c>
      <c r="L374" t="s">
        <v>25</v>
      </c>
      <c r="M374" s="2">
        <v>45813</v>
      </c>
      <c r="N374" s="2">
        <v>45823</v>
      </c>
      <c r="O374" t="s">
        <v>76</v>
      </c>
      <c r="P374" t="s">
        <v>94</v>
      </c>
      <c r="Q374" t="s">
        <v>28</v>
      </c>
      <c r="R374" t="s">
        <v>129</v>
      </c>
    </row>
    <row r="375" spans="1:18">
      <c r="A375" t="s">
        <v>502</v>
      </c>
      <c r="B375" s="2">
        <v>45871</v>
      </c>
      <c r="C375" t="s">
        <v>66</v>
      </c>
      <c r="D375" t="s">
        <v>67</v>
      </c>
      <c r="E375" t="s">
        <v>21</v>
      </c>
      <c r="F375" t="s">
        <v>49</v>
      </c>
      <c r="G375" t="s">
        <v>113</v>
      </c>
      <c r="H375" t="s">
        <v>114</v>
      </c>
      <c r="I375">
        <v>1</v>
      </c>
      <c r="J375" s="3">
        <v>36316</v>
      </c>
      <c r="K375" s="3">
        <v>36316</v>
      </c>
      <c r="L375" t="s">
        <v>34</v>
      </c>
      <c r="M375" s="2">
        <v>45881</v>
      </c>
      <c r="N375" s="2">
        <v>45880</v>
      </c>
      <c r="O375" t="s">
        <v>60</v>
      </c>
      <c r="P375" t="s">
        <v>27</v>
      </c>
      <c r="Q375" t="s">
        <v>28</v>
      </c>
      <c r="R375" t="s">
        <v>29</v>
      </c>
    </row>
    <row r="376" spans="1:18">
      <c r="A376" t="s">
        <v>503</v>
      </c>
      <c r="B376" s="2">
        <v>45973</v>
      </c>
      <c r="C376" t="s">
        <v>142</v>
      </c>
      <c r="D376" t="s">
        <v>143</v>
      </c>
      <c r="E376" t="s">
        <v>21</v>
      </c>
      <c r="F376" t="s">
        <v>22</v>
      </c>
      <c r="G376" t="s">
        <v>160</v>
      </c>
      <c r="H376" t="s">
        <v>161</v>
      </c>
      <c r="I376">
        <v>4</v>
      </c>
      <c r="J376" s="3">
        <v>3164.91</v>
      </c>
      <c r="K376" s="3">
        <v>12659.64</v>
      </c>
      <c r="L376" t="s">
        <v>25</v>
      </c>
      <c r="M376" s="2">
        <v>45983</v>
      </c>
      <c r="N376" s="2">
        <v>45981</v>
      </c>
      <c r="O376" t="s">
        <v>76</v>
      </c>
      <c r="P376" t="s">
        <v>27</v>
      </c>
      <c r="Q376" t="s">
        <v>28</v>
      </c>
      <c r="R376" t="s">
        <v>29</v>
      </c>
    </row>
    <row r="377" spans="1:18">
      <c r="A377" t="s">
        <v>504</v>
      </c>
      <c r="B377" s="2">
        <v>45772</v>
      </c>
      <c r="C377" t="s">
        <v>142</v>
      </c>
      <c r="D377" t="s">
        <v>143</v>
      </c>
      <c r="E377" t="s">
        <v>39</v>
      </c>
      <c r="F377" t="s">
        <v>22</v>
      </c>
      <c r="G377" t="s">
        <v>23</v>
      </c>
      <c r="H377" t="s">
        <v>24</v>
      </c>
      <c r="I377">
        <v>35</v>
      </c>
      <c r="J377" s="3">
        <v>235.75</v>
      </c>
      <c r="K377" s="3">
        <v>8251.25</v>
      </c>
      <c r="L377" t="s">
        <v>52</v>
      </c>
      <c r="M377" s="2">
        <v>45785</v>
      </c>
      <c r="N377" s="2">
        <v>45783</v>
      </c>
      <c r="O377" t="s">
        <v>76</v>
      </c>
      <c r="P377" t="s">
        <v>44</v>
      </c>
      <c r="Q377" t="s">
        <v>28</v>
      </c>
      <c r="R377" t="s">
        <v>29</v>
      </c>
    </row>
    <row r="378" spans="1:18">
      <c r="A378" t="s">
        <v>505</v>
      </c>
      <c r="B378" s="2">
        <v>45793</v>
      </c>
      <c r="C378" t="s">
        <v>37</v>
      </c>
      <c r="D378" t="s">
        <v>38</v>
      </c>
      <c r="E378" t="s">
        <v>39</v>
      </c>
      <c r="F378" t="s">
        <v>40</v>
      </c>
      <c r="G378" t="s">
        <v>41</v>
      </c>
      <c r="H378" t="s">
        <v>42</v>
      </c>
      <c r="I378">
        <v>11</v>
      </c>
      <c r="J378" s="3">
        <v>6031.71</v>
      </c>
      <c r="K378" s="3">
        <v>66348.81</v>
      </c>
      <c r="L378" t="s">
        <v>25</v>
      </c>
      <c r="M378" s="2">
        <v>45811</v>
      </c>
      <c r="N378" s="2">
        <v>45811</v>
      </c>
      <c r="O378" t="s">
        <v>43</v>
      </c>
      <c r="P378" t="s">
        <v>64</v>
      </c>
      <c r="Q378" t="s">
        <v>28</v>
      </c>
      <c r="R378" t="s">
        <v>29</v>
      </c>
    </row>
    <row r="379" spans="1:18">
      <c r="A379" t="s">
        <v>506</v>
      </c>
      <c r="B379" s="2">
        <v>45977</v>
      </c>
      <c r="C379" t="s">
        <v>117</v>
      </c>
      <c r="D379" t="s">
        <v>118</v>
      </c>
      <c r="E379" t="s">
        <v>48</v>
      </c>
      <c r="F379" t="s">
        <v>57</v>
      </c>
      <c r="G379" t="s">
        <v>58</v>
      </c>
      <c r="H379" t="s">
        <v>59</v>
      </c>
      <c r="I379">
        <v>6</v>
      </c>
      <c r="J379" s="3">
        <v>56515.4</v>
      </c>
      <c r="K379" s="3">
        <v>339092.4</v>
      </c>
      <c r="L379" t="s">
        <v>25</v>
      </c>
      <c r="M379" s="2">
        <v>45994</v>
      </c>
      <c r="N379" s="2">
        <v>45994</v>
      </c>
      <c r="O379" t="s">
        <v>26</v>
      </c>
      <c r="P379" t="s">
        <v>53</v>
      </c>
      <c r="Q379" t="s">
        <v>28</v>
      </c>
      <c r="R379" t="s">
        <v>29</v>
      </c>
    </row>
    <row r="380" spans="1:18">
      <c r="A380" t="s">
        <v>507</v>
      </c>
      <c r="B380" s="2">
        <v>45775</v>
      </c>
      <c r="C380" t="s">
        <v>142</v>
      </c>
      <c r="D380" t="s">
        <v>143</v>
      </c>
      <c r="E380" t="s">
        <v>31</v>
      </c>
      <c r="F380" t="s">
        <v>22</v>
      </c>
      <c r="G380" t="s">
        <v>23</v>
      </c>
      <c r="H380" t="s">
        <v>24</v>
      </c>
      <c r="I380">
        <v>25</v>
      </c>
      <c r="J380" s="3">
        <v>242.92</v>
      </c>
      <c r="K380" s="3">
        <v>6073</v>
      </c>
      <c r="L380" t="s">
        <v>34</v>
      </c>
      <c r="M380" s="2">
        <v>45784</v>
      </c>
      <c r="N380" s="2">
        <v>45782</v>
      </c>
      <c r="O380" t="s">
        <v>26</v>
      </c>
      <c r="P380" t="s">
        <v>94</v>
      </c>
      <c r="Q380" t="s">
        <v>28</v>
      </c>
      <c r="R380" t="s">
        <v>29</v>
      </c>
    </row>
    <row r="381" spans="1:18">
      <c r="A381" t="s">
        <v>508</v>
      </c>
      <c r="B381" s="2">
        <v>45976</v>
      </c>
      <c r="C381" t="s">
        <v>104</v>
      </c>
      <c r="D381" t="s">
        <v>105</v>
      </c>
      <c r="E381" t="s">
        <v>21</v>
      </c>
      <c r="F381" t="s">
        <v>49</v>
      </c>
      <c r="G381" t="s">
        <v>113</v>
      </c>
      <c r="H381" t="s">
        <v>114</v>
      </c>
      <c r="I381">
        <v>1</v>
      </c>
      <c r="J381" s="3">
        <v>38089.919999999998</v>
      </c>
      <c r="K381" s="3">
        <v>38089.919999999998</v>
      </c>
      <c r="L381" t="s">
        <v>25</v>
      </c>
      <c r="M381" s="2">
        <v>45982</v>
      </c>
      <c r="N381" s="2">
        <v>45982</v>
      </c>
      <c r="O381" t="s">
        <v>26</v>
      </c>
      <c r="P381" t="s">
        <v>27</v>
      </c>
      <c r="Q381" t="s">
        <v>28</v>
      </c>
      <c r="R381" t="s">
        <v>29</v>
      </c>
    </row>
    <row r="382" spans="1:18">
      <c r="A382" t="s">
        <v>509</v>
      </c>
      <c r="B382" s="2">
        <v>46022</v>
      </c>
      <c r="C382" t="s">
        <v>71</v>
      </c>
      <c r="D382" t="s">
        <v>72</v>
      </c>
      <c r="E382" t="s">
        <v>48</v>
      </c>
      <c r="F382" t="s">
        <v>57</v>
      </c>
      <c r="G382" t="s">
        <v>74</v>
      </c>
      <c r="H382" t="s">
        <v>75</v>
      </c>
      <c r="I382">
        <v>13</v>
      </c>
      <c r="J382" s="3">
        <v>7842.77</v>
      </c>
      <c r="K382" s="3">
        <v>101956.01</v>
      </c>
      <c r="L382" t="s">
        <v>25</v>
      </c>
      <c r="M382" s="2">
        <v>46038</v>
      </c>
      <c r="N382" s="2">
        <v>46035</v>
      </c>
      <c r="O382" t="s">
        <v>60</v>
      </c>
      <c r="P382" t="s">
        <v>53</v>
      </c>
      <c r="Q382" t="s">
        <v>28</v>
      </c>
      <c r="R382" t="s">
        <v>29</v>
      </c>
    </row>
    <row r="383" spans="1:18">
      <c r="A383" t="s">
        <v>510</v>
      </c>
      <c r="B383" s="2">
        <v>46059</v>
      </c>
      <c r="C383" t="s">
        <v>134</v>
      </c>
      <c r="D383" t="s">
        <v>135</v>
      </c>
      <c r="E383" t="s">
        <v>112</v>
      </c>
      <c r="F383" t="s">
        <v>40</v>
      </c>
      <c r="G383" t="s">
        <v>136</v>
      </c>
      <c r="H383" t="s">
        <v>137</v>
      </c>
      <c r="I383">
        <v>35</v>
      </c>
      <c r="J383" s="3">
        <v>1588.49</v>
      </c>
      <c r="K383" s="3">
        <v>55597.15</v>
      </c>
      <c r="L383" t="s">
        <v>34</v>
      </c>
      <c r="M383" s="2">
        <v>46065</v>
      </c>
      <c r="N383" s="2">
        <v>46062</v>
      </c>
      <c r="O383" t="s">
        <v>76</v>
      </c>
      <c r="P383" t="s">
        <v>115</v>
      </c>
      <c r="Q383" t="s">
        <v>28</v>
      </c>
      <c r="R383" t="s">
        <v>29</v>
      </c>
    </row>
    <row r="384" spans="1:18">
      <c r="A384" t="s">
        <v>511</v>
      </c>
      <c r="B384" s="2">
        <v>45788</v>
      </c>
      <c r="C384" t="s">
        <v>55</v>
      </c>
      <c r="D384" t="s">
        <v>56</v>
      </c>
      <c r="E384" t="s">
        <v>73</v>
      </c>
      <c r="F384" t="s">
        <v>57</v>
      </c>
      <c r="G384" t="s">
        <v>101</v>
      </c>
      <c r="H384" t="s">
        <v>102</v>
      </c>
      <c r="I384">
        <v>55</v>
      </c>
      <c r="J384" s="3">
        <v>2034.86</v>
      </c>
      <c r="K384" s="3">
        <v>111917.3</v>
      </c>
      <c r="L384" t="s">
        <v>34</v>
      </c>
      <c r="M384" s="2">
        <v>45797</v>
      </c>
      <c r="N384" s="2">
        <v>45794</v>
      </c>
      <c r="O384" t="s">
        <v>26</v>
      </c>
      <c r="P384" t="s">
        <v>77</v>
      </c>
      <c r="Q384" t="s">
        <v>28</v>
      </c>
      <c r="R384" t="s">
        <v>29</v>
      </c>
    </row>
    <row r="385" spans="1:18">
      <c r="A385" t="s">
        <v>512</v>
      </c>
      <c r="B385" s="2">
        <v>46051</v>
      </c>
      <c r="C385" t="s">
        <v>96</v>
      </c>
      <c r="D385" t="s">
        <v>97</v>
      </c>
      <c r="E385" t="s">
        <v>39</v>
      </c>
      <c r="F385" t="s">
        <v>82</v>
      </c>
      <c r="G385" t="s">
        <v>197</v>
      </c>
      <c r="H385" t="s">
        <v>198</v>
      </c>
      <c r="I385">
        <v>41</v>
      </c>
      <c r="J385" s="3">
        <v>2223.27</v>
      </c>
      <c r="K385" s="3">
        <v>91154.07</v>
      </c>
      <c r="L385" t="s">
        <v>25</v>
      </c>
      <c r="M385" s="2">
        <v>46068</v>
      </c>
      <c r="N385" s="2">
        <v>46067</v>
      </c>
      <c r="O385" t="s">
        <v>43</v>
      </c>
      <c r="P385" t="s">
        <v>44</v>
      </c>
      <c r="Q385" t="s">
        <v>28</v>
      </c>
      <c r="R385" t="s">
        <v>29</v>
      </c>
    </row>
    <row r="386" spans="1:18">
      <c r="A386" t="s">
        <v>513</v>
      </c>
      <c r="B386" s="2">
        <v>45775</v>
      </c>
      <c r="C386" t="s">
        <v>71</v>
      </c>
      <c r="D386" t="s">
        <v>72</v>
      </c>
      <c r="E386" t="s">
        <v>73</v>
      </c>
      <c r="F386" t="s">
        <v>57</v>
      </c>
      <c r="G386" t="s">
        <v>101</v>
      </c>
      <c r="H386" t="s">
        <v>102</v>
      </c>
      <c r="I386">
        <v>30</v>
      </c>
      <c r="J386" s="3">
        <v>1642.85</v>
      </c>
      <c r="K386" s="3">
        <v>49285.5</v>
      </c>
      <c r="L386" t="s">
        <v>25</v>
      </c>
      <c r="M386" s="2">
        <v>45781</v>
      </c>
      <c r="N386" s="2">
        <v>45778</v>
      </c>
      <c r="O386" t="s">
        <v>43</v>
      </c>
      <c r="P386" t="s">
        <v>77</v>
      </c>
      <c r="Q386" t="s">
        <v>28</v>
      </c>
      <c r="R386" t="s">
        <v>29</v>
      </c>
    </row>
    <row r="387" spans="1:18">
      <c r="A387" t="s">
        <v>514</v>
      </c>
      <c r="B387" s="2">
        <v>45810</v>
      </c>
      <c r="C387" t="s">
        <v>71</v>
      </c>
      <c r="D387" t="s">
        <v>72</v>
      </c>
      <c r="E387" t="s">
        <v>21</v>
      </c>
      <c r="F387" t="s">
        <v>57</v>
      </c>
      <c r="G387" t="s">
        <v>127</v>
      </c>
      <c r="H387" t="s">
        <v>128</v>
      </c>
      <c r="I387">
        <v>6</v>
      </c>
      <c r="J387" s="3">
        <v>14959.45</v>
      </c>
      <c r="K387" s="3">
        <v>89756.7</v>
      </c>
      <c r="L387" t="s">
        <v>52</v>
      </c>
      <c r="M387" s="2">
        <v>45819</v>
      </c>
      <c r="N387" s="2">
        <v>45817</v>
      </c>
      <c r="O387" t="s">
        <v>60</v>
      </c>
      <c r="P387" t="s">
        <v>27</v>
      </c>
      <c r="Q387" t="s">
        <v>28</v>
      </c>
      <c r="R387" t="s">
        <v>29</v>
      </c>
    </row>
    <row r="388" spans="1:18">
      <c r="A388" t="s">
        <v>515</v>
      </c>
      <c r="B388" s="2">
        <v>45749</v>
      </c>
      <c r="C388" t="s">
        <v>37</v>
      </c>
      <c r="D388" t="s">
        <v>38</v>
      </c>
      <c r="E388" t="s">
        <v>31</v>
      </c>
      <c r="F388" t="s">
        <v>22</v>
      </c>
      <c r="G388" t="s">
        <v>160</v>
      </c>
      <c r="H388" t="s">
        <v>161</v>
      </c>
      <c r="I388">
        <v>1</v>
      </c>
      <c r="J388" s="3">
        <v>3494.28</v>
      </c>
      <c r="K388" s="3">
        <v>3494.28</v>
      </c>
      <c r="L388" t="s">
        <v>25</v>
      </c>
      <c r="M388" s="2">
        <v>45759</v>
      </c>
      <c r="N388" s="2">
        <v>45759</v>
      </c>
      <c r="O388" t="s">
        <v>76</v>
      </c>
      <c r="P388" t="s">
        <v>94</v>
      </c>
      <c r="Q388" t="s">
        <v>28</v>
      </c>
      <c r="R388" t="s">
        <v>29</v>
      </c>
    </row>
    <row r="389" spans="1:18">
      <c r="A389" t="s">
        <v>516</v>
      </c>
      <c r="B389" s="2">
        <v>45898</v>
      </c>
      <c r="C389" t="s">
        <v>19</v>
      </c>
      <c r="D389" t="s">
        <v>20</v>
      </c>
      <c r="E389" t="s">
        <v>31</v>
      </c>
      <c r="F389" t="s">
        <v>22</v>
      </c>
      <c r="G389" t="s">
        <v>160</v>
      </c>
      <c r="H389" t="s">
        <v>161</v>
      </c>
      <c r="I389">
        <v>7</v>
      </c>
      <c r="J389" s="3">
        <v>2919.37</v>
      </c>
      <c r="K389" s="3">
        <v>20435.59</v>
      </c>
      <c r="L389" t="s">
        <v>25</v>
      </c>
      <c r="M389" s="2">
        <v>45911</v>
      </c>
      <c r="N389" s="2">
        <v>45915</v>
      </c>
      <c r="O389" t="s">
        <v>26</v>
      </c>
      <c r="P389" t="s">
        <v>35</v>
      </c>
      <c r="Q389" t="s">
        <v>28</v>
      </c>
      <c r="R389" t="s">
        <v>129</v>
      </c>
    </row>
    <row r="390" spans="1:18">
      <c r="A390" t="s">
        <v>517</v>
      </c>
      <c r="B390" s="2">
        <v>45815</v>
      </c>
      <c r="C390" t="s">
        <v>142</v>
      </c>
      <c r="D390" t="s">
        <v>143</v>
      </c>
      <c r="E390" t="s">
        <v>112</v>
      </c>
      <c r="F390" t="s">
        <v>22</v>
      </c>
      <c r="G390" t="s">
        <v>23</v>
      </c>
      <c r="H390" t="s">
        <v>24</v>
      </c>
      <c r="I390">
        <v>14</v>
      </c>
      <c r="J390" s="3">
        <v>264.47000000000003</v>
      </c>
      <c r="K390" s="3">
        <v>3702.58</v>
      </c>
      <c r="L390" t="s">
        <v>52</v>
      </c>
      <c r="M390" s="2">
        <v>45831</v>
      </c>
      <c r="N390" s="2">
        <v>45828</v>
      </c>
      <c r="O390" t="s">
        <v>26</v>
      </c>
      <c r="P390" t="s">
        <v>115</v>
      </c>
      <c r="Q390" t="s">
        <v>28</v>
      </c>
      <c r="R390" t="s">
        <v>29</v>
      </c>
    </row>
    <row r="391" spans="1:18">
      <c r="A391" t="s">
        <v>518</v>
      </c>
      <c r="B391" s="2">
        <v>46093</v>
      </c>
      <c r="C391" t="s">
        <v>104</v>
      </c>
      <c r="D391" t="s">
        <v>105</v>
      </c>
      <c r="E391" t="s">
        <v>73</v>
      </c>
      <c r="F391" t="s">
        <v>49</v>
      </c>
      <c r="G391" t="s">
        <v>68</v>
      </c>
      <c r="H391" t="s">
        <v>69</v>
      </c>
      <c r="I391">
        <v>2</v>
      </c>
      <c r="J391" s="3">
        <v>47055.199999999997</v>
      </c>
      <c r="K391" s="3">
        <v>94110.399999999994</v>
      </c>
      <c r="L391" t="s">
        <v>377</v>
      </c>
      <c r="M391" s="2">
        <v>46107</v>
      </c>
      <c r="N391" s="2">
        <v>46116</v>
      </c>
      <c r="O391" t="s">
        <v>26</v>
      </c>
      <c r="P391" t="s">
        <v>77</v>
      </c>
      <c r="Q391" t="s">
        <v>28</v>
      </c>
      <c r="R391" t="s">
        <v>129</v>
      </c>
    </row>
    <row r="392" spans="1:18">
      <c r="A392" t="s">
        <v>519</v>
      </c>
      <c r="B392" s="2">
        <v>46033</v>
      </c>
      <c r="C392" t="s">
        <v>37</v>
      </c>
      <c r="D392" t="s">
        <v>38</v>
      </c>
      <c r="E392" t="s">
        <v>39</v>
      </c>
      <c r="F392" t="s">
        <v>40</v>
      </c>
      <c r="G392" t="s">
        <v>136</v>
      </c>
      <c r="H392" t="s">
        <v>137</v>
      </c>
      <c r="I392">
        <v>49</v>
      </c>
      <c r="J392" s="3">
        <v>1771.39</v>
      </c>
      <c r="K392" s="3">
        <v>86798.11</v>
      </c>
      <c r="L392" t="s">
        <v>25</v>
      </c>
      <c r="M392" s="2">
        <v>46039</v>
      </c>
      <c r="N392" s="2">
        <v>46037</v>
      </c>
      <c r="O392" t="s">
        <v>43</v>
      </c>
      <c r="P392" t="s">
        <v>64</v>
      </c>
      <c r="Q392" t="s">
        <v>28</v>
      </c>
      <c r="R392" t="s">
        <v>29</v>
      </c>
    </row>
    <row r="393" spans="1:18">
      <c r="A393" t="s">
        <v>520</v>
      </c>
      <c r="B393" s="2">
        <v>45909</v>
      </c>
      <c r="C393" t="s">
        <v>71</v>
      </c>
      <c r="D393" t="s">
        <v>72</v>
      </c>
      <c r="E393" t="s">
        <v>48</v>
      </c>
      <c r="F393" t="s">
        <v>57</v>
      </c>
      <c r="G393" t="s">
        <v>120</v>
      </c>
      <c r="H393" t="s">
        <v>121</v>
      </c>
      <c r="I393">
        <v>5</v>
      </c>
      <c r="J393" s="3">
        <v>21126.7</v>
      </c>
      <c r="K393" s="3">
        <v>105633.5</v>
      </c>
      <c r="L393" t="s">
        <v>25</v>
      </c>
      <c r="M393" s="2">
        <v>45923</v>
      </c>
      <c r="N393" s="2">
        <v>45930</v>
      </c>
      <c r="O393" t="s">
        <v>43</v>
      </c>
      <c r="P393" t="s">
        <v>53</v>
      </c>
      <c r="Q393" t="s">
        <v>28</v>
      </c>
      <c r="R393" t="s">
        <v>129</v>
      </c>
    </row>
    <row r="394" spans="1:18">
      <c r="A394" t="s">
        <v>521</v>
      </c>
      <c r="B394" s="2">
        <v>46122</v>
      </c>
      <c r="C394" t="s">
        <v>71</v>
      </c>
      <c r="D394" t="s">
        <v>72</v>
      </c>
      <c r="E394" t="s">
        <v>73</v>
      </c>
      <c r="F394" t="s">
        <v>57</v>
      </c>
      <c r="G394" t="s">
        <v>58</v>
      </c>
      <c r="H394" t="s">
        <v>59</v>
      </c>
      <c r="I394">
        <v>5</v>
      </c>
      <c r="J394" s="3">
        <v>55707.89</v>
      </c>
      <c r="K394" s="3">
        <v>278539.45</v>
      </c>
      <c r="L394" t="s">
        <v>52</v>
      </c>
      <c r="M394" s="2">
        <v>46131</v>
      </c>
      <c r="N394" s="2">
        <v>46144</v>
      </c>
      <c r="O394" t="s">
        <v>76</v>
      </c>
      <c r="P394" t="s">
        <v>77</v>
      </c>
      <c r="Q394" t="s">
        <v>28</v>
      </c>
      <c r="R394" t="s">
        <v>129</v>
      </c>
    </row>
    <row r="395" spans="1:18">
      <c r="A395" t="s">
        <v>522</v>
      </c>
      <c r="B395" s="2">
        <v>45720</v>
      </c>
      <c r="C395" t="s">
        <v>19</v>
      </c>
      <c r="D395" t="s">
        <v>20</v>
      </c>
      <c r="E395" t="s">
        <v>31</v>
      </c>
      <c r="F395" t="s">
        <v>22</v>
      </c>
      <c r="G395" t="s">
        <v>23</v>
      </c>
      <c r="H395" t="s">
        <v>24</v>
      </c>
      <c r="I395">
        <v>52</v>
      </c>
      <c r="J395" s="3">
        <v>224.72</v>
      </c>
      <c r="K395" s="3">
        <v>11685.44</v>
      </c>
      <c r="L395" t="s">
        <v>25</v>
      </c>
      <c r="M395" s="2">
        <v>45734</v>
      </c>
      <c r="N395" s="2">
        <v>45743</v>
      </c>
      <c r="O395" t="s">
        <v>43</v>
      </c>
      <c r="P395" t="s">
        <v>35</v>
      </c>
      <c r="Q395" t="s">
        <v>28</v>
      </c>
      <c r="R395" t="s">
        <v>129</v>
      </c>
    </row>
    <row r="396" spans="1:18">
      <c r="A396" t="s">
        <v>523</v>
      </c>
      <c r="B396" s="2">
        <v>45916</v>
      </c>
      <c r="C396" t="s">
        <v>46</v>
      </c>
      <c r="D396" t="s">
        <v>47</v>
      </c>
      <c r="E396" t="s">
        <v>21</v>
      </c>
      <c r="F396" t="s">
        <v>49</v>
      </c>
      <c r="G396" t="s">
        <v>113</v>
      </c>
      <c r="H396" t="s">
        <v>114</v>
      </c>
      <c r="I396">
        <v>3</v>
      </c>
      <c r="J396" s="3">
        <v>40857.769999999997</v>
      </c>
      <c r="K396" s="3">
        <v>122573.31</v>
      </c>
      <c r="L396" t="s">
        <v>25</v>
      </c>
      <c r="M396" s="2">
        <v>45932</v>
      </c>
      <c r="N396" s="2">
        <v>45929</v>
      </c>
      <c r="O396" t="s">
        <v>26</v>
      </c>
      <c r="P396" t="s">
        <v>27</v>
      </c>
      <c r="Q396" t="s">
        <v>28</v>
      </c>
      <c r="R396" t="s">
        <v>29</v>
      </c>
    </row>
    <row r="397" spans="1:18">
      <c r="A397" t="s">
        <v>524</v>
      </c>
      <c r="B397" s="2">
        <v>45899</v>
      </c>
      <c r="C397" t="s">
        <v>131</v>
      </c>
      <c r="D397" t="s">
        <v>132</v>
      </c>
      <c r="E397" t="s">
        <v>48</v>
      </c>
      <c r="F397" t="s">
        <v>57</v>
      </c>
      <c r="G397" t="s">
        <v>58</v>
      </c>
      <c r="H397" t="s">
        <v>59</v>
      </c>
      <c r="I397">
        <v>3</v>
      </c>
      <c r="J397" s="3">
        <v>62478.14</v>
      </c>
      <c r="K397" s="3">
        <v>187434.42</v>
      </c>
      <c r="L397" t="s">
        <v>34</v>
      </c>
      <c r="M397" s="2">
        <v>45917</v>
      </c>
      <c r="N397" s="2">
        <v>45914</v>
      </c>
      <c r="O397" t="s">
        <v>26</v>
      </c>
      <c r="P397" t="s">
        <v>53</v>
      </c>
      <c r="Q397" t="s">
        <v>28</v>
      </c>
      <c r="R397" t="s">
        <v>29</v>
      </c>
    </row>
    <row r="398" spans="1:18">
      <c r="A398" t="s">
        <v>525</v>
      </c>
      <c r="B398" s="2">
        <v>45829</v>
      </c>
      <c r="C398" t="s">
        <v>46</v>
      </c>
      <c r="D398" t="s">
        <v>47</v>
      </c>
      <c r="E398" t="s">
        <v>48</v>
      </c>
      <c r="F398" t="s">
        <v>49</v>
      </c>
      <c r="G398" t="s">
        <v>113</v>
      </c>
      <c r="H398" t="s">
        <v>114</v>
      </c>
      <c r="I398">
        <v>1</v>
      </c>
      <c r="J398" s="3">
        <v>41407.58</v>
      </c>
      <c r="K398" s="3">
        <v>41407.58</v>
      </c>
      <c r="L398" t="s">
        <v>25</v>
      </c>
      <c r="M398" s="2">
        <v>45834</v>
      </c>
      <c r="N398" s="2">
        <v>45831</v>
      </c>
      <c r="O398" t="s">
        <v>60</v>
      </c>
      <c r="P398" t="s">
        <v>53</v>
      </c>
      <c r="Q398" t="s">
        <v>28</v>
      </c>
      <c r="R398" t="s">
        <v>29</v>
      </c>
    </row>
    <row r="399" spans="1:18">
      <c r="A399" t="s">
        <v>526</v>
      </c>
      <c r="B399" s="2">
        <v>46057</v>
      </c>
      <c r="C399" t="s">
        <v>37</v>
      </c>
      <c r="D399" t="s">
        <v>38</v>
      </c>
      <c r="E399" t="s">
        <v>39</v>
      </c>
      <c r="F399" t="s">
        <v>40</v>
      </c>
      <c r="G399" t="s">
        <v>41</v>
      </c>
      <c r="H399" t="s">
        <v>42</v>
      </c>
      <c r="I399">
        <v>7</v>
      </c>
      <c r="J399" s="3">
        <v>5961.5</v>
      </c>
      <c r="K399" s="3">
        <v>41730.5</v>
      </c>
      <c r="L399" t="s">
        <v>25</v>
      </c>
      <c r="M399" s="2">
        <v>46072</v>
      </c>
      <c r="N399" s="2">
        <v>46072</v>
      </c>
      <c r="O399" t="s">
        <v>76</v>
      </c>
      <c r="P399" t="s">
        <v>44</v>
      </c>
      <c r="Q399" t="s">
        <v>28</v>
      </c>
      <c r="R399" t="s">
        <v>29</v>
      </c>
    </row>
    <row r="400" spans="1:18">
      <c r="A400" t="s">
        <v>527</v>
      </c>
      <c r="B400" s="2">
        <v>45937</v>
      </c>
      <c r="C400" t="s">
        <v>19</v>
      </c>
      <c r="D400" t="s">
        <v>20</v>
      </c>
      <c r="E400" t="s">
        <v>21</v>
      </c>
      <c r="F400" t="s">
        <v>22</v>
      </c>
      <c r="G400" t="s">
        <v>160</v>
      </c>
      <c r="H400" t="s">
        <v>161</v>
      </c>
      <c r="I400">
        <v>13</v>
      </c>
      <c r="J400" s="3">
        <v>2915.45</v>
      </c>
      <c r="K400" s="3">
        <v>37900.85</v>
      </c>
      <c r="L400" t="s">
        <v>25</v>
      </c>
      <c r="M400" s="2">
        <v>45952</v>
      </c>
      <c r="N400" s="2">
        <v>45951</v>
      </c>
      <c r="O400" t="s">
        <v>26</v>
      </c>
      <c r="P400" t="s">
        <v>27</v>
      </c>
      <c r="Q400" t="s">
        <v>28</v>
      </c>
      <c r="R400" t="s">
        <v>29</v>
      </c>
    </row>
    <row r="401" spans="1:18">
      <c r="A401" t="s">
        <v>528</v>
      </c>
      <c r="B401" s="2">
        <v>45727</v>
      </c>
      <c r="C401" t="s">
        <v>142</v>
      </c>
      <c r="D401" t="s">
        <v>143</v>
      </c>
      <c r="E401" t="s">
        <v>39</v>
      </c>
      <c r="F401" t="s">
        <v>22</v>
      </c>
      <c r="G401" t="s">
        <v>32</v>
      </c>
      <c r="H401" t="s">
        <v>33</v>
      </c>
      <c r="I401">
        <v>5</v>
      </c>
      <c r="J401" s="3">
        <v>7642.03</v>
      </c>
      <c r="K401" s="3">
        <v>38210.15</v>
      </c>
      <c r="L401" t="s">
        <v>34</v>
      </c>
      <c r="M401" s="2">
        <v>45736</v>
      </c>
      <c r="N401" s="2">
        <v>45736</v>
      </c>
      <c r="O401" t="s">
        <v>43</v>
      </c>
      <c r="P401" t="s">
        <v>64</v>
      </c>
      <c r="Q401" t="s">
        <v>28</v>
      </c>
      <c r="R401" t="s">
        <v>29</v>
      </c>
    </row>
    <row r="402" spans="1:18">
      <c r="A402" t="s">
        <v>529</v>
      </c>
      <c r="B402" s="2">
        <v>45780</v>
      </c>
      <c r="C402" t="s">
        <v>71</v>
      </c>
      <c r="D402" t="s">
        <v>72</v>
      </c>
      <c r="E402" t="s">
        <v>31</v>
      </c>
      <c r="F402" t="s">
        <v>57</v>
      </c>
      <c r="G402" t="s">
        <v>120</v>
      </c>
      <c r="H402" t="s">
        <v>121</v>
      </c>
      <c r="I402">
        <v>3</v>
      </c>
      <c r="J402" s="3">
        <v>20849.93</v>
      </c>
      <c r="K402" s="3">
        <v>62549.79</v>
      </c>
      <c r="L402" t="s">
        <v>25</v>
      </c>
      <c r="M402" s="2">
        <v>45786</v>
      </c>
      <c r="N402" s="2">
        <v>45784</v>
      </c>
      <c r="O402" t="s">
        <v>43</v>
      </c>
      <c r="P402" t="s">
        <v>35</v>
      </c>
      <c r="Q402" t="s">
        <v>28</v>
      </c>
      <c r="R402" t="s">
        <v>29</v>
      </c>
    </row>
    <row r="403" spans="1:18">
      <c r="A403" t="s">
        <v>530</v>
      </c>
      <c r="B403" s="2">
        <v>45941</v>
      </c>
      <c r="C403" t="s">
        <v>104</v>
      </c>
      <c r="D403" t="s">
        <v>105</v>
      </c>
      <c r="E403" t="s">
        <v>48</v>
      </c>
      <c r="F403" t="s">
        <v>49</v>
      </c>
      <c r="G403" t="s">
        <v>165</v>
      </c>
      <c r="H403" t="s">
        <v>166</v>
      </c>
      <c r="I403">
        <v>1</v>
      </c>
      <c r="J403" s="3">
        <v>43499.69</v>
      </c>
      <c r="K403" s="3">
        <v>43499.69</v>
      </c>
      <c r="L403" t="s">
        <v>531</v>
      </c>
      <c r="M403" s="2">
        <v>45952</v>
      </c>
      <c r="N403" s="2">
        <v>45952</v>
      </c>
      <c r="O403" t="s">
        <v>76</v>
      </c>
      <c r="P403" t="s">
        <v>53</v>
      </c>
      <c r="Q403" t="s">
        <v>28</v>
      </c>
      <c r="R403" t="s">
        <v>29</v>
      </c>
    </row>
    <row r="404" spans="1:18">
      <c r="A404" t="s">
        <v>532</v>
      </c>
      <c r="B404" s="2">
        <v>46109</v>
      </c>
      <c r="C404" t="s">
        <v>142</v>
      </c>
      <c r="D404" t="s">
        <v>143</v>
      </c>
      <c r="E404" t="s">
        <v>112</v>
      </c>
      <c r="F404" t="s">
        <v>22</v>
      </c>
      <c r="G404" t="s">
        <v>32</v>
      </c>
      <c r="H404" t="s">
        <v>33</v>
      </c>
      <c r="I404">
        <v>2</v>
      </c>
      <c r="J404" s="3">
        <v>8417.6</v>
      </c>
      <c r="K404" s="3">
        <v>16835.2</v>
      </c>
      <c r="L404" t="s">
        <v>25</v>
      </c>
      <c r="M404" s="2">
        <v>46116</v>
      </c>
      <c r="N404" s="2">
        <v>46113</v>
      </c>
      <c r="O404" t="s">
        <v>43</v>
      </c>
      <c r="P404" t="s">
        <v>115</v>
      </c>
      <c r="Q404" t="s">
        <v>28</v>
      </c>
      <c r="R404" t="s">
        <v>29</v>
      </c>
    </row>
    <row r="405" spans="1:18">
      <c r="A405" t="s">
        <v>533</v>
      </c>
      <c r="B405" s="2">
        <v>45923</v>
      </c>
      <c r="C405" t="s">
        <v>96</v>
      </c>
      <c r="D405" t="s">
        <v>97</v>
      </c>
      <c r="E405" t="s">
        <v>39</v>
      </c>
      <c r="F405" t="s">
        <v>82</v>
      </c>
      <c r="G405" t="s">
        <v>197</v>
      </c>
      <c r="H405" t="s">
        <v>198</v>
      </c>
      <c r="I405">
        <v>36</v>
      </c>
      <c r="J405" s="3">
        <v>2121.27</v>
      </c>
      <c r="K405" s="3">
        <v>76365.72</v>
      </c>
      <c r="L405" t="s">
        <v>52</v>
      </c>
      <c r="M405" s="2">
        <v>45930</v>
      </c>
      <c r="N405" s="2">
        <v>45930</v>
      </c>
      <c r="O405" t="s">
        <v>60</v>
      </c>
      <c r="P405" t="s">
        <v>44</v>
      </c>
      <c r="Q405" t="s">
        <v>28</v>
      </c>
      <c r="R405" t="s">
        <v>29</v>
      </c>
    </row>
    <row r="406" spans="1:18">
      <c r="A406" t="s">
        <v>534</v>
      </c>
      <c r="B406" s="2">
        <v>46058</v>
      </c>
      <c r="C406" t="s">
        <v>71</v>
      </c>
      <c r="D406" t="s">
        <v>72</v>
      </c>
      <c r="E406" t="s">
        <v>31</v>
      </c>
      <c r="F406" t="s">
        <v>57</v>
      </c>
      <c r="G406" t="s">
        <v>74</v>
      </c>
      <c r="H406" t="s">
        <v>75</v>
      </c>
      <c r="I406">
        <v>13</v>
      </c>
      <c r="J406" s="3">
        <v>8390.2800000000007</v>
      </c>
      <c r="K406" s="3">
        <v>109073.64</v>
      </c>
      <c r="L406" t="s">
        <v>25</v>
      </c>
      <c r="M406" s="2">
        <v>46075</v>
      </c>
      <c r="N406" s="2">
        <v>46074</v>
      </c>
      <c r="O406" t="s">
        <v>60</v>
      </c>
      <c r="P406" t="s">
        <v>94</v>
      </c>
      <c r="Q406" t="s">
        <v>28</v>
      </c>
      <c r="R406" t="s">
        <v>29</v>
      </c>
    </row>
    <row r="407" spans="1:18">
      <c r="A407" t="s">
        <v>535</v>
      </c>
      <c r="B407" s="2">
        <v>46025</v>
      </c>
      <c r="C407" t="s">
        <v>37</v>
      </c>
      <c r="D407" t="s">
        <v>38</v>
      </c>
      <c r="E407" t="s">
        <v>21</v>
      </c>
      <c r="F407" t="s">
        <v>22</v>
      </c>
      <c r="G407" t="s">
        <v>32</v>
      </c>
      <c r="H407" t="s">
        <v>33</v>
      </c>
      <c r="I407">
        <v>6</v>
      </c>
      <c r="J407" s="3">
        <v>8498.2000000000007</v>
      </c>
      <c r="K407" s="3">
        <v>50989.2</v>
      </c>
      <c r="L407" t="s">
        <v>25</v>
      </c>
      <c r="M407" s="2">
        <v>46038</v>
      </c>
      <c r="N407" s="2">
        <v>46036</v>
      </c>
      <c r="O407" t="s">
        <v>60</v>
      </c>
      <c r="P407" t="s">
        <v>27</v>
      </c>
      <c r="Q407" t="s">
        <v>28</v>
      </c>
      <c r="R407" t="s">
        <v>29</v>
      </c>
    </row>
    <row r="408" spans="1:18">
      <c r="A408" t="s">
        <v>536</v>
      </c>
      <c r="B408" s="2">
        <v>45865</v>
      </c>
      <c r="C408" t="s">
        <v>37</v>
      </c>
      <c r="D408" t="s">
        <v>38</v>
      </c>
      <c r="E408" t="s">
        <v>39</v>
      </c>
      <c r="F408" t="s">
        <v>40</v>
      </c>
      <c r="G408" t="s">
        <v>149</v>
      </c>
      <c r="H408" t="s">
        <v>150</v>
      </c>
      <c r="I408">
        <v>11</v>
      </c>
      <c r="J408" s="3">
        <v>1437.44</v>
      </c>
      <c r="K408" s="3">
        <v>15811.84</v>
      </c>
      <c r="L408" t="s">
        <v>25</v>
      </c>
      <c r="M408" s="2">
        <v>45880</v>
      </c>
      <c r="N408" s="2">
        <v>45877</v>
      </c>
      <c r="O408" t="s">
        <v>60</v>
      </c>
      <c r="P408" t="s">
        <v>64</v>
      </c>
      <c r="Q408" t="s">
        <v>28</v>
      </c>
      <c r="R408" t="s">
        <v>29</v>
      </c>
    </row>
    <row r="409" spans="1:18">
      <c r="A409" t="s">
        <v>537</v>
      </c>
      <c r="B409" s="2">
        <v>45801</v>
      </c>
      <c r="C409" t="s">
        <v>96</v>
      </c>
      <c r="D409" t="s">
        <v>97</v>
      </c>
      <c r="E409" t="s">
        <v>39</v>
      </c>
      <c r="F409" t="s">
        <v>82</v>
      </c>
      <c r="G409" t="s">
        <v>83</v>
      </c>
      <c r="H409" t="s">
        <v>84</v>
      </c>
      <c r="I409">
        <v>39</v>
      </c>
      <c r="J409" s="3">
        <v>702.23</v>
      </c>
      <c r="K409" s="3">
        <v>27386.97</v>
      </c>
      <c r="L409" t="s">
        <v>52</v>
      </c>
      <c r="M409" s="2">
        <v>45816</v>
      </c>
      <c r="N409" s="2">
        <v>45813</v>
      </c>
      <c r="O409" t="s">
        <v>43</v>
      </c>
      <c r="P409" t="s">
        <v>64</v>
      </c>
      <c r="Q409" t="s">
        <v>28</v>
      </c>
      <c r="R409" t="s">
        <v>29</v>
      </c>
    </row>
    <row r="410" spans="1:18">
      <c r="A410" t="s">
        <v>538</v>
      </c>
      <c r="B410" s="2">
        <v>46005</v>
      </c>
      <c r="C410" t="s">
        <v>117</v>
      </c>
      <c r="D410" t="s">
        <v>118</v>
      </c>
      <c r="E410" t="s">
        <v>48</v>
      </c>
      <c r="F410" t="s">
        <v>57</v>
      </c>
      <c r="G410" t="s">
        <v>74</v>
      </c>
      <c r="H410" t="s">
        <v>75</v>
      </c>
      <c r="I410">
        <v>11</v>
      </c>
      <c r="J410" s="3">
        <v>9006.68</v>
      </c>
      <c r="K410" s="3">
        <v>99073.48</v>
      </c>
      <c r="L410" t="s">
        <v>34</v>
      </c>
      <c r="M410" s="2">
        <v>46018</v>
      </c>
      <c r="N410" s="2">
        <v>46017</v>
      </c>
      <c r="O410" t="s">
        <v>26</v>
      </c>
      <c r="P410" t="s">
        <v>53</v>
      </c>
      <c r="Q410" t="s">
        <v>28</v>
      </c>
      <c r="R410" t="s">
        <v>29</v>
      </c>
    </row>
    <row r="411" spans="1:18">
      <c r="A411" t="s">
        <v>539</v>
      </c>
      <c r="B411" s="2">
        <v>45704</v>
      </c>
      <c r="C411" t="s">
        <v>107</v>
      </c>
      <c r="D411" t="s">
        <v>108</v>
      </c>
      <c r="E411" t="s">
        <v>31</v>
      </c>
      <c r="F411" t="s">
        <v>91</v>
      </c>
      <c r="G411" t="s">
        <v>92</v>
      </c>
      <c r="H411" t="s">
        <v>93</v>
      </c>
      <c r="I411">
        <v>1</v>
      </c>
      <c r="J411" s="3">
        <v>48113.59</v>
      </c>
      <c r="K411" s="3">
        <v>48113.59</v>
      </c>
      <c r="L411" t="s">
        <v>34</v>
      </c>
      <c r="M411" s="2">
        <v>45716</v>
      </c>
      <c r="N411" s="2">
        <v>45716</v>
      </c>
      <c r="O411" t="s">
        <v>43</v>
      </c>
      <c r="P411" t="s">
        <v>94</v>
      </c>
      <c r="Q411" t="s">
        <v>28</v>
      </c>
      <c r="R411" t="s">
        <v>29</v>
      </c>
    </row>
    <row r="412" spans="1:18">
      <c r="A412" t="s">
        <v>540</v>
      </c>
      <c r="B412" s="2">
        <v>46167</v>
      </c>
      <c r="C412" t="s">
        <v>89</v>
      </c>
      <c r="D412" t="s">
        <v>90</v>
      </c>
      <c r="E412" t="s">
        <v>31</v>
      </c>
      <c r="F412" t="s">
        <v>91</v>
      </c>
      <c r="G412" t="s">
        <v>92</v>
      </c>
      <c r="H412" t="s">
        <v>93</v>
      </c>
      <c r="I412">
        <v>2</v>
      </c>
      <c r="J412" s="3">
        <v>43387.55</v>
      </c>
      <c r="K412" s="3">
        <v>86775.1</v>
      </c>
      <c r="L412" t="s">
        <v>25</v>
      </c>
      <c r="M412" s="2">
        <v>46177</v>
      </c>
      <c r="N412" s="2">
        <v>46176</v>
      </c>
      <c r="O412" t="s">
        <v>26</v>
      </c>
      <c r="P412" t="s">
        <v>94</v>
      </c>
      <c r="Q412" t="s">
        <v>28</v>
      </c>
      <c r="R412" t="s">
        <v>29</v>
      </c>
    </row>
    <row r="413" spans="1:18">
      <c r="A413" t="s">
        <v>541</v>
      </c>
      <c r="B413" s="2">
        <v>45835</v>
      </c>
      <c r="C413" t="s">
        <v>142</v>
      </c>
      <c r="D413" t="s">
        <v>143</v>
      </c>
      <c r="E413" t="s">
        <v>39</v>
      </c>
      <c r="F413" t="s">
        <v>22</v>
      </c>
      <c r="G413" t="s">
        <v>160</v>
      </c>
      <c r="H413" t="s">
        <v>161</v>
      </c>
      <c r="I413">
        <v>3</v>
      </c>
      <c r="J413" s="3">
        <v>3128.87</v>
      </c>
      <c r="K413" s="3">
        <v>9386.61</v>
      </c>
      <c r="L413" t="s">
        <v>25</v>
      </c>
      <c r="M413" s="2">
        <v>45847</v>
      </c>
      <c r="N413" s="2">
        <v>45847</v>
      </c>
      <c r="O413" t="s">
        <v>60</v>
      </c>
      <c r="P413" t="s">
        <v>64</v>
      </c>
      <c r="Q413" t="s">
        <v>28</v>
      </c>
      <c r="R413" t="s">
        <v>29</v>
      </c>
    </row>
    <row r="414" spans="1:18">
      <c r="A414" t="s">
        <v>542</v>
      </c>
      <c r="B414" s="2">
        <v>45740</v>
      </c>
      <c r="C414" t="s">
        <v>19</v>
      </c>
      <c r="D414" t="s">
        <v>20</v>
      </c>
      <c r="E414" t="s">
        <v>39</v>
      </c>
      <c r="F414" t="s">
        <v>22</v>
      </c>
      <c r="G414" t="s">
        <v>32</v>
      </c>
      <c r="H414" t="s">
        <v>33</v>
      </c>
      <c r="I414">
        <v>7</v>
      </c>
      <c r="J414" s="3">
        <v>7542.87</v>
      </c>
      <c r="K414" s="3">
        <v>52800.09</v>
      </c>
      <c r="L414" t="s">
        <v>34</v>
      </c>
      <c r="M414" s="2">
        <v>45756</v>
      </c>
      <c r="N414" s="2">
        <v>45753</v>
      </c>
      <c r="O414" t="s">
        <v>26</v>
      </c>
      <c r="P414" t="s">
        <v>64</v>
      </c>
      <c r="Q414" t="s">
        <v>28</v>
      </c>
      <c r="R414" t="s">
        <v>29</v>
      </c>
    </row>
    <row r="415" spans="1:18">
      <c r="A415" t="s">
        <v>543</v>
      </c>
      <c r="B415" s="2">
        <v>45935</v>
      </c>
      <c r="C415" t="s">
        <v>19</v>
      </c>
      <c r="D415" t="s">
        <v>20</v>
      </c>
      <c r="E415" t="s">
        <v>73</v>
      </c>
      <c r="F415" t="s">
        <v>22</v>
      </c>
      <c r="G415" t="s">
        <v>32</v>
      </c>
      <c r="H415" t="s">
        <v>33</v>
      </c>
      <c r="I415">
        <v>12</v>
      </c>
      <c r="J415" s="3">
        <v>7353.12</v>
      </c>
      <c r="K415" s="3">
        <v>88237.440000000002</v>
      </c>
      <c r="L415" t="s">
        <v>34</v>
      </c>
      <c r="M415" s="2">
        <v>45947</v>
      </c>
      <c r="N415" s="2">
        <v>45947</v>
      </c>
      <c r="O415" t="s">
        <v>76</v>
      </c>
      <c r="P415" t="s">
        <v>77</v>
      </c>
      <c r="Q415" t="s">
        <v>28</v>
      </c>
      <c r="R415" t="s">
        <v>29</v>
      </c>
    </row>
    <row r="416" spans="1:18">
      <c r="A416" t="s">
        <v>544</v>
      </c>
      <c r="B416" s="2">
        <v>46086</v>
      </c>
      <c r="C416" t="s">
        <v>37</v>
      </c>
      <c r="D416" t="s">
        <v>38</v>
      </c>
      <c r="E416" t="s">
        <v>39</v>
      </c>
      <c r="F416" t="s">
        <v>22</v>
      </c>
      <c r="G416" t="s">
        <v>32</v>
      </c>
      <c r="H416" t="s">
        <v>33</v>
      </c>
      <c r="I416">
        <v>14</v>
      </c>
      <c r="J416" s="3">
        <v>8477.06</v>
      </c>
      <c r="K416" s="3">
        <v>118678.84</v>
      </c>
      <c r="L416" t="s">
        <v>25</v>
      </c>
      <c r="M416" s="2">
        <v>46103</v>
      </c>
      <c r="N416" s="2">
        <v>46102</v>
      </c>
      <c r="O416" t="s">
        <v>26</v>
      </c>
      <c r="P416" t="s">
        <v>44</v>
      </c>
      <c r="Q416" t="s">
        <v>28</v>
      </c>
      <c r="R416" t="s">
        <v>29</v>
      </c>
    </row>
    <row r="417" spans="1:18">
      <c r="A417" t="s">
        <v>545</v>
      </c>
      <c r="B417" s="2">
        <v>45712</v>
      </c>
      <c r="C417" t="s">
        <v>104</v>
      </c>
      <c r="D417" t="s">
        <v>105</v>
      </c>
      <c r="E417" t="s">
        <v>48</v>
      </c>
      <c r="F417" t="s">
        <v>49</v>
      </c>
      <c r="G417" t="s">
        <v>68</v>
      </c>
      <c r="H417" t="s">
        <v>69</v>
      </c>
      <c r="I417">
        <v>1</v>
      </c>
      <c r="J417" s="3">
        <v>48975.02</v>
      </c>
      <c r="K417" s="3">
        <v>48975.02</v>
      </c>
      <c r="L417" t="s">
        <v>25</v>
      </c>
      <c r="M417" s="2">
        <v>45717</v>
      </c>
      <c r="N417" s="2">
        <v>45715</v>
      </c>
      <c r="O417" t="s">
        <v>76</v>
      </c>
      <c r="P417" t="s">
        <v>53</v>
      </c>
      <c r="Q417" t="s">
        <v>28</v>
      </c>
      <c r="R417" t="s">
        <v>29</v>
      </c>
    </row>
    <row r="418" spans="1:18">
      <c r="A418" t="s">
        <v>546</v>
      </c>
      <c r="B418" s="2">
        <v>46122</v>
      </c>
      <c r="C418" t="s">
        <v>71</v>
      </c>
      <c r="D418" t="s">
        <v>72</v>
      </c>
      <c r="E418" t="s">
        <v>48</v>
      </c>
      <c r="F418" t="s">
        <v>57</v>
      </c>
      <c r="G418" t="s">
        <v>86</v>
      </c>
      <c r="H418" t="s">
        <v>87</v>
      </c>
      <c r="I418">
        <v>2</v>
      </c>
      <c r="J418" s="3">
        <v>10229.26</v>
      </c>
      <c r="K418" s="3">
        <v>20458.52</v>
      </c>
      <c r="L418" t="s">
        <v>34</v>
      </c>
      <c r="M418" s="2">
        <v>46128</v>
      </c>
      <c r="N418" s="2">
        <v>46125</v>
      </c>
      <c r="O418" t="s">
        <v>76</v>
      </c>
      <c r="P418" t="s">
        <v>53</v>
      </c>
      <c r="Q418" t="s">
        <v>28</v>
      </c>
      <c r="R418" t="s">
        <v>29</v>
      </c>
    </row>
    <row r="419" spans="1:18">
      <c r="A419" t="s">
        <v>547</v>
      </c>
      <c r="B419" s="2">
        <v>45991</v>
      </c>
      <c r="C419" t="s">
        <v>142</v>
      </c>
      <c r="D419" t="s">
        <v>143</v>
      </c>
      <c r="E419" t="s">
        <v>39</v>
      </c>
      <c r="F419" t="s">
        <v>22</v>
      </c>
      <c r="G419" t="s">
        <v>23</v>
      </c>
      <c r="H419" t="s">
        <v>24</v>
      </c>
      <c r="I419">
        <v>17</v>
      </c>
      <c r="J419" s="3">
        <v>244.3</v>
      </c>
      <c r="K419" s="3">
        <v>4153.1000000000004</v>
      </c>
      <c r="L419" t="s">
        <v>25</v>
      </c>
      <c r="M419" s="2">
        <v>46002</v>
      </c>
      <c r="N419" s="2">
        <v>46002</v>
      </c>
      <c r="O419" t="s">
        <v>60</v>
      </c>
      <c r="P419" t="s">
        <v>64</v>
      </c>
      <c r="Q419" t="s">
        <v>28</v>
      </c>
      <c r="R419" t="s">
        <v>29</v>
      </c>
    </row>
    <row r="420" spans="1:18">
      <c r="A420" t="s">
        <v>548</v>
      </c>
      <c r="B420" s="2">
        <v>46104</v>
      </c>
      <c r="C420" t="s">
        <v>134</v>
      </c>
      <c r="D420" t="s">
        <v>135</v>
      </c>
      <c r="E420" t="s">
        <v>112</v>
      </c>
      <c r="F420" t="s">
        <v>40</v>
      </c>
      <c r="G420" t="s">
        <v>149</v>
      </c>
      <c r="H420" t="s">
        <v>150</v>
      </c>
      <c r="I420">
        <v>51</v>
      </c>
      <c r="J420" s="3">
        <v>1312.57</v>
      </c>
      <c r="K420" s="3">
        <v>66941.070000000007</v>
      </c>
      <c r="L420" t="s">
        <v>25</v>
      </c>
      <c r="M420" s="2">
        <v>46112</v>
      </c>
      <c r="N420" s="2">
        <v>46110</v>
      </c>
      <c r="O420" t="s">
        <v>26</v>
      </c>
      <c r="P420" t="s">
        <v>115</v>
      </c>
      <c r="Q420" t="s">
        <v>28</v>
      </c>
      <c r="R420" t="s">
        <v>29</v>
      </c>
    </row>
    <row r="421" spans="1:18">
      <c r="A421" t="s">
        <v>549</v>
      </c>
      <c r="B421" s="2">
        <v>45719</v>
      </c>
      <c r="C421" t="s">
        <v>134</v>
      </c>
      <c r="D421" t="s">
        <v>135</v>
      </c>
      <c r="E421" t="s">
        <v>39</v>
      </c>
      <c r="F421" t="s">
        <v>40</v>
      </c>
      <c r="G421" t="s">
        <v>62</v>
      </c>
      <c r="H421" t="s">
        <v>63</v>
      </c>
      <c r="I421">
        <v>4</v>
      </c>
      <c r="J421" s="3">
        <v>19025.97</v>
      </c>
      <c r="K421" s="3">
        <v>76103.88</v>
      </c>
      <c r="L421" t="s">
        <v>34</v>
      </c>
      <c r="M421" s="2">
        <v>45728</v>
      </c>
      <c r="N421" s="2">
        <v>45727</v>
      </c>
      <c r="O421" t="s">
        <v>26</v>
      </c>
      <c r="P421" t="s">
        <v>64</v>
      </c>
      <c r="Q421" t="s">
        <v>28</v>
      </c>
      <c r="R421" t="s">
        <v>29</v>
      </c>
    </row>
    <row r="422" spans="1:18">
      <c r="A422" t="s">
        <v>550</v>
      </c>
      <c r="B422" s="2">
        <v>45879</v>
      </c>
      <c r="C422" t="s">
        <v>46</v>
      </c>
      <c r="D422" t="s">
        <v>47</v>
      </c>
      <c r="E422" t="s">
        <v>48</v>
      </c>
      <c r="F422" t="s">
        <v>49</v>
      </c>
      <c r="G422" t="s">
        <v>113</v>
      </c>
      <c r="H422" t="s">
        <v>114</v>
      </c>
      <c r="I422">
        <v>1</v>
      </c>
      <c r="J422" s="3">
        <v>41337.599999999999</v>
      </c>
      <c r="K422" s="3">
        <v>41337.599999999999</v>
      </c>
      <c r="L422" t="s">
        <v>52</v>
      </c>
      <c r="M422" s="2">
        <v>45887</v>
      </c>
      <c r="N422" s="2">
        <v>45886</v>
      </c>
      <c r="O422" t="s">
        <v>26</v>
      </c>
      <c r="P422" t="s">
        <v>53</v>
      </c>
      <c r="Q422" t="s">
        <v>28</v>
      </c>
      <c r="R422" t="s">
        <v>29</v>
      </c>
    </row>
    <row r="423" spans="1:18">
      <c r="A423" t="s">
        <v>551</v>
      </c>
      <c r="B423" s="2">
        <v>46174</v>
      </c>
      <c r="C423" t="s">
        <v>71</v>
      </c>
      <c r="D423" t="s">
        <v>72</v>
      </c>
      <c r="E423" t="s">
        <v>31</v>
      </c>
      <c r="F423" t="s">
        <v>57</v>
      </c>
      <c r="G423" t="s">
        <v>120</v>
      </c>
      <c r="H423" t="s">
        <v>121</v>
      </c>
      <c r="I423">
        <v>4</v>
      </c>
      <c r="J423" s="3">
        <v>20489.740000000002</v>
      </c>
      <c r="K423" s="3">
        <v>81958.960000000006</v>
      </c>
      <c r="L423" t="s">
        <v>34</v>
      </c>
      <c r="M423" s="2">
        <v>46180</v>
      </c>
      <c r="N423" s="2">
        <v>46180</v>
      </c>
      <c r="O423" t="s">
        <v>60</v>
      </c>
      <c r="P423" t="s">
        <v>94</v>
      </c>
      <c r="Q423" t="s">
        <v>28</v>
      </c>
      <c r="R423" t="s">
        <v>29</v>
      </c>
    </row>
    <row r="424" spans="1:18">
      <c r="A424" t="s">
        <v>552</v>
      </c>
      <c r="B424" s="2">
        <v>45793</v>
      </c>
      <c r="C424" t="s">
        <v>142</v>
      </c>
      <c r="D424" t="s">
        <v>143</v>
      </c>
      <c r="E424" t="s">
        <v>39</v>
      </c>
      <c r="F424" t="s">
        <v>22</v>
      </c>
      <c r="G424" t="s">
        <v>23</v>
      </c>
      <c r="H424" t="s">
        <v>24</v>
      </c>
      <c r="I424">
        <v>50</v>
      </c>
      <c r="J424" s="3">
        <v>241.92</v>
      </c>
      <c r="K424" s="3">
        <v>12096</v>
      </c>
      <c r="L424" t="s">
        <v>52</v>
      </c>
      <c r="M424" s="2">
        <v>45805</v>
      </c>
      <c r="N424" s="2">
        <v>45805</v>
      </c>
      <c r="O424" t="s">
        <v>60</v>
      </c>
      <c r="P424" t="s">
        <v>64</v>
      </c>
      <c r="Q424" t="s">
        <v>28</v>
      </c>
      <c r="R424" t="s">
        <v>29</v>
      </c>
    </row>
    <row r="425" spans="1:18">
      <c r="A425" t="s">
        <v>553</v>
      </c>
      <c r="B425" s="2">
        <v>46073</v>
      </c>
      <c r="C425" t="s">
        <v>46</v>
      </c>
      <c r="D425" t="s">
        <v>47</v>
      </c>
      <c r="E425" t="s">
        <v>112</v>
      </c>
      <c r="F425" t="s">
        <v>49</v>
      </c>
      <c r="G425" t="s">
        <v>68</v>
      </c>
      <c r="H425" t="s">
        <v>69</v>
      </c>
      <c r="I425">
        <v>1</v>
      </c>
      <c r="J425" s="3">
        <v>48851.040000000001</v>
      </c>
      <c r="K425" s="3">
        <v>48851.040000000001</v>
      </c>
      <c r="L425" t="s">
        <v>25</v>
      </c>
      <c r="M425" s="2">
        <v>46084</v>
      </c>
      <c r="N425" s="2">
        <v>46082</v>
      </c>
      <c r="O425" t="s">
        <v>76</v>
      </c>
      <c r="P425" t="s">
        <v>115</v>
      </c>
      <c r="Q425" t="s">
        <v>28</v>
      </c>
      <c r="R425" t="s">
        <v>29</v>
      </c>
    </row>
    <row r="426" spans="1:18">
      <c r="A426" t="s">
        <v>554</v>
      </c>
      <c r="B426" s="2">
        <v>45934</v>
      </c>
      <c r="C426" t="s">
        <v>37</v>
      </c>
      <c r="D426" t="s">
        <v>38</v>
      </c>
      <c r="E426" t="s">
        <v>31</v>
      </c>
      <c r="F426" t="s">
        <v>22</v>
      </c>
      <c r="G426" t="s">
        <v>23</v>
      </c>
      <c r="H426" t="s">
        <v>24</v>
      </c>
      <c r="I426">
        <v>26</v>
      </c>
      <c r="J426" s="3">
        <v>253.57</v>
      </c>
      <c r="K426" s="3">
        <v>6592.82</v>
      </c>
      <c r="L426" t="s">
        <v>52</v>
      </c>
      <c r="M426" s="2">
        <v>45950</v>
      </c>
      <c r="N426" s="2">
        <v>45948</v>
      </c>
      <c r="O426" t="s">
        <v>43</v>
      </c>
      <c r="P426" t="s">
        <v>35</v>
      </c>
      <c r="Q426" t="s">
        <v>28</v>
      </c>
      <c r="R426" t="s">
        <v>29</v>
      </c>
    </row>
    <row r="427" spans="1:18">
      <c r="A427" t="s">
        <v>555</v>
      </c>
      <c r="B427" s="2">
        <v>46032</v>
      </c>
      <c r="C427" t="s">
        <v>134</v>
      </c>
      <c r="D427" t="s">
        <v>135</v>
      </c>
      <c r="E427" t="s">
        <v>39</v>
      </c>
      <c r="F427" t="s">
        <v>40</v>
      </c>
      <c r="G427" t="s">
        <v>149</v>
      </c>
      <c r="H427" t="s">
        <v>150</v>
      </c>
      <c r="I427">
        <v>40</v>
      </c>
      <c r="J427" s="3">
        <v>1381.64</v>
      </c>
      <c r="K427" s="3">
        <v>55265.599999999999</v>
      </c>
      <c r="L427" t="s">
        <v>52</v>
      </c>
      <c r="M427" s="2">
        <v>46048</v>
      </c>
      <c r="N427" s="2">
        <v>46047</v>
      </c>
      <c r="O427" t="s">
        <v>26</v>
      </c>
      <c r="P427" t="s">
        <v>64</v>
      </c>
      <c r="Q427" t="s">
        <v>28</v>
      </c>
      <c r="R427" t="s">
        <v>29</v>
      </c>
    </row>
    <row r="428" spans="1:18">
      <c r="A428" t="s">
        <v>556</v>
      </c>
      <c r="B428" s="2">
        <v>45888</v>
      </c>
      <c r="C428" t="s">
        <v>104</v>
      </c>
      <c r="D428" t="s">
        <v>105</v>
      </c>
      <c r="E428" t="s">
        <v>112</v>
      </c>
      <c r="F428" t="s">
        <v>49</v>
      </c>
      <c r="G428" t="s">
        <v>68</v>
      </c>
      <c r="H428" t="s">
        <v>69</v>
      </c>
      <c r="I428">
        <v>1</v>
      </c>
      <c r="J428" s="3">
        <v>46353.75</v>
      </c>
      <c r="K428" s="3">
        <v>46353.75</v>
      </c>
      <c r="L428" t="s">
        <v>25</v>
      </c>
      <c r="M428" s="2">
        <v>45900</v>
      </c>
      <c r="N428" s="2">
        <v>45900</v>
      </c>
      <c r="O428" t="s">
        <v>76</v>
      </c>
      <c r="P428" t="s">
        <v>115</v>
      </c>
      <c r="Q428" t="s">
        <v>28</v>
      </c>
      <c r="R428" t="s">
        <v>29</v>
      </c>
    </row>
    <row r="429" spans="1:18">
      <c r="A429" t="s">
        <v>557</v>
      </c>
      <c r="B429" s="2">
        <v>45725</v>
      </c>
      <c r="C429" t="s">
        <v>142</v>
      </c>
      <c r="D429" t="s">
        <v>143</v>
      </c>
      <c r="E429" t="s">
        <v>112</v>
      </c>
      <c r="F429" t="s">
        <v>22</v>
      </c>
      <c r="G429" t="s">
        <v>23</v>
      </c>
      <c r="H429" t="s">
        <v>24</v>
      </c>
      <c r="I429">
        <v>9</v>
      </c>
      <c r="J429" s="3">
        <v>253.49</v>
      </c>
      <c r="K429" s="3">
        <v>2281.41</v>
      </c>
      <c r="L429" t="s">
        <v>34</v>
      </c>
      <c r="M429" s="2">
        <v>45731</v>
      </c>
      <c r="N429" s="2">
        <v>45731</v>
      </c>
      <c r="O429" t="s">
        <v>60</v>
      </c>
      <c r="P429" t="s">
        <v>115</v>
      </c>
      <c r="Q429" t="s">
        <v>28</v>
      </c>
      <c r="R429" t="s">
        <v>29</v>
      </c>
    </row>
    <row r="430" spans="1:18">
      <c r="A430" t="s">
        <v>558</v>
      </c>
      <c r="B430" s="2">
        <v>45867</v>
      </c>
      <c r="C430" t="s">
        <v>131</v>
      </c>
      <c r="D430" t="s">
        <v>132</v>
      </c>
      <c r="E430" t="s">
        <v>31</v>
      </c>
      <c r="F430" t="s">
        <v>57</v>
      </c>
      <c r="G430" t="s">
        <v>74</v>
      </c>
      <c r="H430" t="s">
        <v>75</v>
      </c>
      <c r="I430">
        <v>3</v>
      </c>
      <c r="J430" s="3">
        <v>9157.24</v>
      </c>
      <c r="K430" s="3">
        <v>27471.72</v>
      </c>
      <c r="L430" t="s">
        <v>34</v>
      </c>
      <c r="M430" s="2">
        <v>45879</v>
      </c>
      <c r="N430" s="2">
        <v>45876</v>
      </c>
      <c r="O430" t="s">
        <v>43</v>
      </c>
      <c r="P430" t="s">
        <v>35</v>
      </c>
      <c r="Q430" t="s">
        <v>28</v>
      </c>
      <c r="R430" t="s">
        <v>29</v>
      </c>
    </row>
    <row r="431" spans="1:18">
      <c r="A431" t="s">
        <v>559</v>
      </c>
      <c r="B431" s="2">
        <v>45851</v>
      </c>
      <c r="C431" t="s">
        <v>19</v>
      </c>
      <c r="D431" t="s">
        <v>20</v>
      </c>
      <c r="E431" t="s">
        <v>112</v>
      </c>
      <c r="F431" t="s">
        <v>22</v>
      </c>
      <c r="G431" t="s">
        <v>32</v>
      </c>
      <c r="H431" t="s">
        <v>33</v>
      </c>
      <c r="I431">
        <v>6</v>
      </c>
      <c r="J431" s="3">
        <v>7666.57</v>
      </c>
      <c r="K431" s="3">
        <v>45999.42</v>
      </c>
      <c r="L431" t="s">
        <v>25</v>
      </c>
      <c r="M431" s="2">
        <v>45866</v>
      </c>
      <c r="N431" s="2">
        <v>45864</v>
      </c>
      <c r="O431" t="s">
        <v>60</v>
      </c>
      <c r="P431" t="s">
        <v>115</v>
      </c>
      <c r="Q431" t="s">
        <v>28</v>
      </c>
      <c r="R431" t="s">
        <v>29</v>
      </c>
    </row>
    <row r="432" spans="1:18">
      <c r="A432" t="s">
        <v>560</v>
      </c>
      <c r="B432" s="2">
        <v>45969</v>
      </c>
      <c r="C432" t="s">
        <v>147</v>
      </c>
      <c r="D432" t="s">
        <v>148</v>
      </c>
      <c r="E432" t="s">
        <v>112</v>
      </c>
      <c r="F432" t="s">
        <v>40</v>
      </c>
      <c r="G432" t="s">
        <v>149</v>
      </c>
      <c r="H432" t="s">
        <v>150</v>
      </c>
      <c r="I432">
        <v>28</v>
      </c>
      <c r="J432" s="3">
        <v>1270.6099999999999</v>
      </c>
      <c r="K432" s="3">
        <v>35577.08</v>
      </c>
      <c r="L432" t="s">
        <v>25</v>
      </c>
      <c r="M432" s="2">
        <v>45978</v>
      </c>
      <c r="N432" s="2">
        <v>45978</v>
      </c>
      <c r="O432" t="s">
        <v>76</v>
      </c>
      <c r="P432" t="s">
        <v>115</v>
      </c>
      <c r="Q432" t="s">
        <v>28</v>
      </c>
      <c r="R432" t="s">
        <v>29</v>
      </c>
    </row>
    <row r="433" spans="1:18">
      <c r="A433" t="s">
        <v>561</v>
      </c>
      <c r="B433" s="2">
        <v>45828</v>
      </c>
      <c r="C433" t="s">
        <v>96</v>
      </c>
      <c r="D433" t="s">
        <v>97</v>
      </c>
      <c r="E433" t="s">
        <v>39</v>
      </c>
      <c r="F433" t="s">
        <v>82</v>
      </c>
      <c r="G433" t="s">
        <v>98</v>
      </c>
      <c r="H433" t="s">
        <v>99</v>
      </c>
      <c r="I433">
        <v>50</v>
      </c>
      <c r="J433" s="3">
        <v>1133.3699999999999</v>
      </c>
      <c r="K433" s="3">
        <v>56668.5</v>
      </c>
      <c r="L433" t="s">
        <v>25</v>
      </c>
      <c r="M433" s="2">
        <v>45844</v>
      </c>
      <c r="N433" s="2">
        <v>45843</v>
      </c>
      <c r="O433" t="s">
        <v>43</v>
      </c>
      <c r="P433" t="s">
        <v>64</v>
      </c>
      <c r="Q433" t="s">
        <v>28</v>
      </c>
      <c r="R433" t="s">
        <v>29</v>
      </c>
    </row>
    <row r="434" spans="1:18">
      <c r="A434" t="s">
        <v>562</v>
      </c>
      <c r="B434" s="2">
        <v>45982</v>
      </c>
      <c r="C434" t="s">
        <v>104</v>
      </c>
      <c r="D434" t="s">
        <v>105</v>
      </c>
      <c r="E434" t="s">
        <v>73</v>
      </c>
      <c r="F434" t="s">
        <v>49</v>
      </c>
      <c r="G434" t="s">
        <v>50</v>
      </c>
      <c r="H434" t="s">
        <v>51</v>
      </c>
      <c r="I434">
        <v>1</v>
      </c>
      <c r="J434" s="3">
        <v>53229.39</v>
      </c>
      <c r="K434" s="3">
        <v>53229.39</v>
      </c>
      <c r="L434" t="s">
        <v>25</v>
      </c>
      <c r="M434" s="2">
        <v>45992</v>
      </c>
      <c r="N434" s="2">
        <v>45989</v>
      </c>
      <c r="O434" t="s">
        <v>26</v>
      </c>
      <c r="P434" t="s">
        <v>77</v>
      </c>
      <c r="Q434" t="s">
        <v>28</v>
      </c>
      <c r="R434" t="s">
        <v>29</v>
      </c>
    </row>
    <row r="435" spans="1:18">
      <c r="A435" t="s">
        <v>563</v>
      </c>
      <c r="B435" s="2">
        <v>45985</v>
      </c>
      <c r="C435" t="s">
        <v>46</v>
      </c>
      <c r="D435" t="s">
        <v>47</v>
      </c>
      <c r="E435" t="s">
        <v>112</v>
      </c>
      <c r="F435" t="s">
        <v>49</v>
      </c>
      <c r="G435" t="s">
        <v>165</v>
      </c>
      <c r="H435" t="s">
        <v>166</v>
      </c>
      <c r="I435">
        <v>1</v>
      </c>
      <c r="J435" s="3">
        <v>47060.83</v>
      </c>
      <c r="K435" s="3">
        <v>47060.83</v>
      </c>
      <c r="L435" t="s">
        <v>34</v>
      </c>
      <c r="M435" s="2">
        <v>46002</v>
      </c>
      <c r="N435" s="2">
        <v>46001</v>
      </c>
      <c r="O435" t="s">
        <v>60</v>
      </c>
      <c r="P435" t="s">
        <v>115</v>
      </c>
      <c r="Q435" t="s">
        <v>28</v>
      </c>
      <c r="R435" t="s">
        <v>29</v>
      </c>
    </row>
    <row r="436" spans="1:18">
      <c r="A436" t="s">
        <v>564</v>
      </c>
      <c r="B436" s="2">
        <v>45699</v>
      </c>
      <c r="C436" t="s">
        <v>71</v>
      </c>
      <c r="D436" t="s">
        <v>72</v>
      </c>
      <c r="E436" t="s">
        <v>31</v>
      </c>
      <c r="F436" t="s">
        <v>57</v>
      </c>
      <c r="G436" t="s">
        <v>101</v>
      </c>
      <c r="H436" t="s">
        <v>102</v>
      </c>
      <c r="I436">
        <v>33</v>
      </c>
      <c r="J436" s="3">
        <v>1743.57</v>
      </c>
      <c r="K436" s="3">
        <v>57537.81</v>
      </c>
      <c r="L436" t="s">
        <v>34</v>
      </c>
      <c r="M436" s="2">
        <v>45709</v>
      </c>
      <c r="N436" s="2">
        <v>45711</v>
      </c>
      <c r="O436" t="s">
        <v>26</v>
      </c>
      <c r="P436" t="s">
        <v>94</v>
      </c>
      <c r="Q436" t="s">
        <v>28</v>
      </c>
      <c r="R436" t="s">
        <v>129</v>
      </c>
    </row>
    <row r="437" spans="1:18">
      <c r="A437" t="s">
        <v>565</v>
      </c>
      <c r="B437" s="2">
        <v>45942</v>
      </c>
      <c r="C437" t="s">
        <v>147</v>
      </c>
      <c r="D437" t="s">
        <v>148</v>
      </c>
      <c r="E437" t="s">
        <v>39</v>
      </c>
      <c r="F437" t="s">
        <v>40</v>
      </c>
      <c r="G437" t="s">
        <v>41</v>
      </c>
      <c r="H437" t="s">
        <v>42</v>
      </c>
      <c r="I437">
        <v>8</v>
      </c>
      <c r="J437" s="3">
        <v>5160.66</v>
      </c>
      <c r="K437" s="3">
        <v>41285.279999999999</v>
      </c>
      <c r="L437" t="s">
        <v>52</v>
      </c>
      <c r="M437" s="2">
        <v>45952</v>
      </c>
      <c r="N437" s="2">
        <v>45952</v>
      </c>
      <c r="O437" t="s">
        <v>76</v>
      </c>
      <c r="P437" t="s">
        <v>44</v>
      </c>
      <c r="Q437" t="s">
        <v>28</v>
      </c>
      <c r="R437" t="s">
        <v>29</v>
      </c>
    </row>
    <row r="438" spans="1:18">
      <c r="A438" t="s">
        <v>566</v>
      </c>
      <c r="B438" s="2">
        <v>46095</v>
      </c>
      <c r="C438" t="s">
        <v>104</v>
      </c>
      <c r="D438" t="s">
        <v>105</v>
      </c>
      <c r="E438" t="s">
        <v>73</v>
      </c>
      <c r="F438" t="s">
        <v>49</v>
      </c>
      <c r="G438" t="s">
        <v>165</v>
      </c>
      <c r="H438" t="s">
        <v>166</v>
      </c>
      <c r="I438">
        <v>3</v>
      </c>
      <c r="J438" s="3">
        <v>47158.97</v>
      </c>
      <c r="K438" s="3">
        <v>141476.91</v>
      </c>
      <c r="L438" t="s">
        <v>34</v>
      </c>
      <c r="M438" s="2">
        <v>46101</v>
      </c>
      <c r="N438" s="2">
        <v>46098</v>
      </c>
      <c r="O438" t="s">
        <v>60</v>
      </c>
      <c r="P438" t="s">
        <v>77</v>
      </c>
      <c r="Q438" t="s">
        <v>28</v>
      </c>
      <c r="R438" t="s">
        <v>29</v>
      </c>
    </row>
    <row r="439" spans="1:18">
      <c r="A439" t="s">
        <v>567</v>
      </c>
      <c r="B439" s="2">
        <v>45953</v>
      </c>
      <c r="C439" t="s">
        <v>104</v>
      </c>
      <c r="D439" t="s">
        <v>105</v>
      </c>
      <c r="E439" t="s">
        <v>48</v>
      </c>
      <c r="F439" t="s">
        <v>49</v>
      </c>
      <c r="G439" t="s">
        <v>68</v>
      </c>
      <c r="H439" t="s">
        <v>69</v>
      </c>
      <c r="I439">
        <v>1</v>
      </c>
      <c r="J439" s="3">
        <v>48616.62</v>
      </c>
      <c r="K439" s="3">
        <v>48616.62</v>
      </c>
      <c r="L439" t="s">
        <v>52</v>
      </c>
      <c r="M439" s="2">
        <v>45960</v>
      </c>
      <c r="N439" s="2">
        <v>45957</v>
      </c>
      <c r="O439" t="s">
        <v>76</v>
      </c>
      <c r="P439" t="s">
        <v>53</v>
      </c>
      <c r="Q439" t="s">
        <v>28</v>
      </c>
      <c r="R439" t="s">
        <v>29</v>
      </c>
    </row>
    <row r="440" spans="1:18">
      <c r="A440" t="s">
        <v>568</v>
      </c>
      <c r="B440" s="2">
        <v>46042</v>
      </c>
      <c r="C440" t="s">
        <v>104</v>
      </c>
      <c r="D440" t="s">
        <v>105</v>
      </c>
      <c r="E440" t="s">
        <v>73</v>
      </c>
      <c r="F440" t="s">
        <v>49</v>
      </c>
      <c r="G440" t="s">
        <v>68</v>
      </c>
      <c r="H440" t="s">
        <v>69</v>
      </c>
      <c r="I440">
        <v>3</v>
      </c>
      <c r="J440" s="3">
        <v>48076.36</v>
      </c>
      <c r="K440" s="3">
        <v>144229.07999999999</v>
      </c>
      <c r="L440" t="s">
        <v>25</v>
      </c>
      <c r="M440" s="2">
        <v>46059</v>
      </c>
      <c r="N440" s="2">
        <v>46058</v>
      </c>
      <c r="O440" t="s">
        <v>60</v>
      </c>
      <c r="P440" t="s">
        <v>77</v>
      </c>
      <c r="Q440" t="s">
        <v>28</v>
      </c>
      <c r="R440" t="s">
        <v>29</v>
      </c>
    </row>
    <row r="441" spans="1:18">
      <c r="A441" t="s">
        <v>569</v>
      </c>
      <c r="B441" s="2">
        <v>46160</v>
      </c>
      <c r="C441" t="s">
        <v>46</v>
      </c>
      <c r="D441" t="s">
        <v>47</v>
      </c>
      <c r="E441" t="s">
        <v>48</v>
      </c>
      <c r="F441" t="s">
        <v>49</v>
      </c>
      <c r="G441" t="s">
        <v>68</v>
      </c>
      <c r="H441" t="s">
        <v>69</v>
      </c>
      <c r="I441">
        <v>1</v>
      </c>
      <c r="J441" s="3">
        <v>50967.040000000001</v>
      </c>
      <c r="K441" s="3">
        <v>50967.040000000001</v>
      </c>
      <c r="L441" t="s">
        <v>25</v>
      </c>
      <c r="M441" s="2">
        <v>46177</v>
      </c>
      <c r="N441" s="2">
        <v>46183</v>
      </c>
      <c r="O441" t="s">
        <v>60</v>
      </c>
      <c r="P441" t="s">
        <v>53</v>
      </c>
      <c r="Q441" t="s">
        <v>28</v>
      </c>
      <c r="R441" t="s">
        <v>129</v>
      </c>
    </row>
    <row r="442" spans="1:18">
      <c r="A442" t="s">
        <v>570</v>
      </c>
      <c r="B442" s="2">
        <v>45952</v>
      </c>
      <c r="C442" t="s">
        <v>142</v>
      </c>
      <c r="D442" t="s">
        <v>143</v>
      </c>
      <c r="E442" t="s">
        <v>31</v>
      </c>
      <c r="F442" t="s">
        <v>22</v>
      </c>
      <c r="G442" t="s">
        <v>32</v>
      </c>
      <c r="H442" t="s">
        <v>33</v>
      </c>
      <c r="I442">
        <v>5</v>
      </c>
      <c r="J442" s="3">
        <v>7571.79</v>
      </c>
      <c r="K442" s="3">
        <v>37858.949999999997</v>
      </c>
      <c r="L442" t="s">
        <v>34</v>
      </c>
      <c r="M442" s="2">
        <v>45964</v>
      </c>
      <c r="N442" s="2">
        <v>45964</v>
      </c>
      <c r="O442" t="s">
        <v>76</v>
      </c>
      <c r="P442" t="s">
        <v>35</v>
      </c>
      <c r="Q442" t="s">
        <v>28</v>
      </c>
      <c r="R442" t="s">
        <v>29</v>
      </c>
    </row>
    <row r="443" spans="1:18">
      <c r="A443" t="s">
        <v>571</v>
      </c>
      <c r="B443" s="2">
        <v>45780</v>
      </c>
      <c r="C443" t="s">
        <v>117</v>
      </c>
      <c r="D443" t="s">
        <v>118</v>
      </c>
      <c r="E443" t="s">
        <v>48</v>
      </c>
      <c r="F443" t="s">
        <v>57</v>
      </c>
      <c r="G443" t="s">
        <v>58</v>
      </c>
      <c r="H443" t="s">
        <v>59</v>
      </c>
      <c r="I443">
        <v>6</v>
      </c>
      <c r="J443" s="3">
        <v>55338.7</v>
      </c>
      <c r="K443" s="3">
        <v>332032.2</v>
      </c>
      <c r="L443" t="s">
        <v>25</v>
      </c>
      <c r="M443" s="2">
        <v>45792</v>
      </c>
      <c r="N443" s="2">
        <v>45791</v>
      </c>
      <c r="O443" t="s">
        <v>43</v>
      </c>
      <c r="P443" t="s">
        <v>53</v>
      </c>
      <c r="Q443" t="s">
        <v>28</v>
      </c>
      <c r="R443" t="s">
        <v>29</v>
      </c>
    </row>
    <row r="444" spans="1:18">
      <c r="A444" t="s">
        <v>572</v>
      </c>
      <c r="B444" s="2">
        <v>46027</v>
      </c>
      <c r="C444" t="s">
        <v>37</v>
      </c>
      <c r="D444" t="s">
        <v>38</v>
      </c>
      <c r="E444" t="s">
        <v>112</v>
      </c>
      <c r="F444" t="s">
        <v>40</v>
      </c>
      <c r="G444" t="s">
        <v>41</v>
      </c>
      <c r="H444" t="s">
        <v>42</v>
      </c>
      <c r="I444">
        <v>15</v>
      </c>
      <c r="J444" s="3">
        <v>5822.29</v>
      </c>
      <c r="K444" s="3">
        <v>87334.35</v>
      </c>
      <c r="L444" t="s">
        <v>34</v>
      </c>
      <c r="M444" s="2">
        <v>46033</v>
      </c>
      <c r="N444" s="2">
        <v>46032</v>
      </c>
      <c r="O444" t="s">
        <v>26</v>
      </c>
      <c r="P444" t="s">
        <v>115</v>
      </c>
      <c r="Q444" t="s">
        <v>28</v>
      </c>
      <c r="R444" t="s">
        <v>29</v>
      </c>
    </row>
    <row r="445" spans="1:18">
      <c r="A445" t="s">
        <v>573</v>
      </c>
      <c r="B445" s="2">
        <v>45966</v>
      </c>
      <c r="C445" t="s">
        <v>46</v>
      </c>
      <c r="D445" t="s">
        <v>47</v>
      </c>
      <c r="E445" t="s">
        <v>48</v>
      </c>
      <c r="F445" t="s">
        <v>49</v>
      </c>
      <c r="G445" t="s">
        <v>113</v>
      </c>
      <c r="H445" t="s">
        <v>114</v>
      </c>
      <c r="I445">
        <v>1</v>
      </c>
      <c r="J445" s="3">
        <v>39943.53</v>
      </c>
      <c r="K445" s="3">
        <v>39943.53</v>
      </c>
      <c r="L445" t="s">
        <v>25</v>
      </c>
      <c r="M445" s="2">
        <v>45971</v>
      </c>
      <c r="N445" s="2">
        <v>45969</v>
      </c>
      <c r="O445" t="s">
        <v>60</v>
      </c>
      <c r="P445" t="s">
        <v>53</v>
      </c>
      <c r="Q445" t="s">
        <v>28</v>
      </c>
      <c r="R445" t="s">
        <v>29</v>
      </c>
    </row>
    <row r="446" spans="1:18">
      <c r="A446" t="s">
        <v>574</v>
      </c>
      <c r="B446" s="2">
        <v>45824</v>
      </c>
      <c r="C446" t="s">
        <v>37</v>
      </c>
      <c r="D446" t="s">
        <v>38</v>
      </c>
      <c r="E446" t="s">
        <v>39</v>
      </c>
      <c r="F446" t="s">
        <v>22</v>
      </c>
      <c r="G446" t="s">
        <v>23</v>
      </c>
      <c r="H446" t="s">
        <v>24</v>
      </c>
      <c r="I446">
        <v>49</v>
      </c>
      <c r="J446" s="3">
        <v>264.83999999999997</v>
      </c>
      <c r="K446" s="3">
        <v>12977.16</v>
      </c>
      <c r="L446" t="s">
        <v>25</v>
      </c>
      <c r="M446" s="2">
        <v>45842</v>
      </c>
      <c r="N446" s="2">
        <v>45842</v>
      </c>
      <c r="O446" t="s">
        <v>43</v>
      </c>
      <c r="P446" t="s">
        <v>64</v>
      </c>
      <c r="Q446" t="s">
        <v>28</v>
      </c>
      <c r="R446" t="s">
        <v>29</v>
      </c>
    </row>
    <row r="447" spans="1:18">
      <c r="A447" t="s">
        <v>575</v>
      </c>
      <c r="B447" s="2">
        <v>46149</v>
      </c>
      <c r="C447" t="s">
        <v>131</v>
      </c>
      <c r="D447" t="s">
        <v>132</v>
      </c>
      <c r="E447" t="s">
        <v>48</v>
      </c>
      <c r="F447" t="s">
        <v>57</v>
      </c>
      <c r="G447" t="s">
        <v>74</v>
      </c>
      <c r="H447" t="s">
        <v>75</v>
      </c>
      <c r="I447">
        <v>13</v>
      </c>
      <c r="J447" s="3">
        <v>9203.17</v>
      </c>
      <c r="K447" s="3">
        <v>119641.21</v>
      </c>
      <c r="L447" t="s">
        <v>25</v>
      </c>
      <c r="M447" s="2">
        <v>46159</v>
      </c>
      <c r="N447" s="2">
        <v>46157</v>
      </c>
      <c r="O447" t="s">
        <v>43</v>
      </c>
      <c r="P447" t="s">
        <v>53</v>
      </c>
      <c r="Q447" t="s">
        <v>28</v>
      </c>
      <c r="R447" t="s">
        <v>29</v>
      </c>
    </row>
    <row r="448" spans="1:18">
      <c r="A448" t="s">
        <v>576</v>
      </c>
      <c r="B448" s="2">
        <v>45972</v>
      </c>
      <c r="C448" t="s">
        <v>19</v>
      </c>
      <c r="D448" t="s">
        <v>20</v>
      </c>
      <c r="E448" t="s">
        <v>39</v>
      </c>
      <c r="F448" t="s">
        <v>22</v>
      </c>
      <c r="G448" t="s">
        <v>160</v>
      </c>
      <c r="H448" t="s">
        <v>161</v>
      </c>
      <c r="I448">
        <v>2</v>
      </c>
      <c r="J448" s="3">
        <v>3019.03</v>
      </c>
      <c r="K448" s="3">
        <v>6038.06</v>
      </c>
      <c r="L448" t="s">
        <v>25</v>
      </c>
      <c r="M448" s="2">
        <v>45977</v>
      </c>
      <c r="N448" s="2">
        <v>45974</v>
      </c>
      <c r="O448" t="s">
        <v>43</v>
      </c>
      <c r="P448" t="s">
        <v>64</v>
      </c>
      <c r="Q448" t="s">
        <v>28</v>
      </c>
      <c r="R448" t="s">
        <v>29</v>
      </c>
    </row>
    <row r="449" spans="1:18">
      <c r="A449" t="s">
        <v>577</v>
      </c>
      <c r="B449" s="2">
        <v>46183</v>
      </c>
      <c r="C449" t="s">
        <v>104</v>
      </c>
      <c r="D449" t="s">
        <v>105</v>
      </c>
      <c r="E449" t="s">
        <v>73</v>
      </c>
      <c r="F449" t="s">
        <v>49</v>
      </c>
      <c r="G449" t="s">
        <v>113</v>
      </c>
      <c r="H449" t="s">
        <v>114</v>
      </c>
      <c r="I449">
        <v>1</v>
      </c>
      <c r="J449" s="3">
        <v>38763.15</v>
      </c>
      <c r="K449" s="3">
        <v>38763.15</v>
      </c>
      <c r="L449" t="s">
        <v>34</v>
      </c>
      <c r="M449" s="2">
        <v>46200</v>
      </c>
      <c r="N449" s="2">
        <v>46199</v>
      </c>
      <c r="O449" t="s">
        <v>26</v>
      </c>
      <c r="P449" t="s">
        <v>77</v>
      </c>
      <c r="Q449" t="s">
        <v>28</v>
      </c>
      <c r="R449" t="s">
        <v>29</v>
      </c>
    </row>
    <row r="450" spans="1:18">
      <c r="A450" t="s">
        <v>578</v>
      </c>
      <c r="B450" s="2">
        <v>46017</v>
      </c>
      <c r="C450" t="s">
        <v>80</v>
      </c>
      <c r="D450" t="s">
        <v>81</v>
      </c>
      <c r="E450" t="s">
        <v>39</v>
      </c>
      <c r="F450" t="s">
        <v>82</v>
      </c>
      <c r="G450" t="s">
        <v>98</v>
      </c>
      <c r="H450" t="s">
        <v>99</v>
      </c>
      <c r="I450">
        <v>15</v>
      </c>
      <c r="J450" s="3">
        <v>1083</v>
      </c>
      <c r="K450" s="3">
        <v>16245</v>
      </c>
      <c r="L450" t="s">
        <v>25</v>
      </c>
      <c r="M450" s="2">
        <v>46035</v>
      </c>
      <c r="N450" s="2">
        <v>46034</v>
      </c>
      <c r="O450" t="s">
        <v>43</v>
      </c>
      <c r="P450" t="s">
        <v>64</v>
      </c>
      <c r="Q450" t="s">
        <v>28</v>
      </c>
      <c r="R450" t="s">
        <v>29</v>
      </c>
    </row>
    <row r="451" spans="1:18">
      <c r="A451" t="s">
        <v>579</v>
      </c>
      <c r="B451" s="2">
        <v>45672</v>
      </c>
      <c r="C451" t="s">
        <v>66</v>
      </c>
      <c r="D451" t="s">
        <v>67</v>
      </c>
      <c r="E451" t="s">
        <v>48</v>
      </c>
      <c r="F451" t="s">
        <v>49</v>
      </c>
      <c r="G451" t="s">
        <v>50</v>
      </c>
      <c r="H451" t="s">
        <v>51</v>
      </c>
      <c r="I451">
        <v>1</v>
      </c>
      <c r="J451" s="3">
        <v>50860.74</v>
      </c>
      <c r="K451" s="3">
        <v>50860.74</v>
      </c>
      <c r="L451" t="s">
        <v>25</v>
      </c>
      <c r="M451" s="2">
        <v>45680</v>
      </c>
      <c r="N451" s="2">
        <v>45677</v>
      </c>
      <c r="O451" t="s">
        <v>26</v>
      </c>
      <c r="P451" t="s">
        <v>53</v>
      </c>
      <c r="Q451" t="s">
        <v>28</v>
      </c>
      <c r="R451" t="s">
        <v>29</v>
      </c>
    </row>
    <row r="452" spans="1:18">
      <c r="A452" t="s">
        <v>580</v>
      </c>
      <c r="B452" s="2">
        <v>45767</v>
      </c>
      <c r="C452" t="s">
        <v>104</v>
      </c>
      <c r="D452" t="s">
        <v>105</v>
      </c>
      <c r="E452" t="s">
        <v>21</v>
      </c>
      <c r="F452" t="s">
        <v>49</v>
      </c>
      <c r="G452" t="s">
        <v>68</v>
      </c>
      <c r="H452" t="s">
        <v>69</v>
      </c>
      <c r="I452">
        <v>1</v>
      </c>
      <c r="J452" s="3">
        <v>47063.03</v>
      </c>
      <c r="K452" s="3">
        <v>47063.03</v>
      </c>
      <c r="L452" t="s">
        <v>25</v>
      </c>
      <c r="M452" s="2">
        <v>45784</v>
      </c>
      <c r="N452" s="2">
        <v>45784</v>
      </c>
      <c r="O452" t="s">
        <v>26</v>
      </c>
      <c r="P452" t="s">
        <v>27</v>
      </c>
      <c r="Q452" t="s">
        <v>28</v>
      </c>
      <c r="R452" t="s">
        <v>29</v>
      </c>
    </row>
    <row r="453" spans="1:18">
      <c r="A453" t="s">
        <v>581</v>
      </c>
      <c r="B453" s="2">
        <v>45699</v>
      </c>
      <c r="C453" t="s">
        <v>71</v>
      </c>
      <c r="D453" t="s">
        <v>72</v>
      </c>
      <c r="E453" t="s">
        <v>31</v>
      </c>
      <c r="F453" t="s">
        <v>57</v>
      </c>
      <c r="G453" t="s">
        <v>58</v>
      </c>
      <c r="H453" t="s">
        <v>59</v>
      </c>
      <c r="I453">
        <v>8</v>
      </c>
      <c r="J453" s="3">
        <v>54632.72</v>
      </c>
      <c r="K453" s="3">
        <v>437061.76</v>
      </c>
      <c r="L453" t="s">
        <v>52</v>
      </c>
      <c r="M453" s="2">
        <v>45707</v>
      </c>
      <c r="N453" s="2">
        <v>45705</v>
      </c>
      <c r="O453" t="s">
        <v>60</v>
      </c>
      <c r="P453" t="s">
        <v>94</v>
      </c>
      <c r="Q453" t="s">
        <v>28</v>
      </c>
      <c r="R453" t="s">
        <v>29</v>
      </c>
    </row>
    <row r="454" spans="1:18">
      <c r="A454" t="s">
        <v>582</v>
      </c>
      <c r="B454" s="2">
        <v>46034</v>
      </c>
      <c r="C454" t="s">
        <v>134</v>
      </c>
      <c r="D454" t="s">
        <v>135</v>
      </c>
      <c r="E454" t="s">
        <v>112</v>
      </c>
      <c r="F454" t="s">
        <v>40</v>
      </c>
      <c r="G454" t="s">
        <v>41</v>
      </c>
      <c r="H454" t="s">
        <v>42</v>
      </c>
      <c r="I454">
        <v>11</v>
      </c>
      <c r="J454" s="3">
        <v>5438.01</v>
      </c>
      <c r="K454" s="3">
        <v>59818.11</v>
      </c>
      <c r="L454" t="s">
        <v>25</v>
      </c>
      <c r="M454" s="2">
        <v>46040</v>
      </c>
      <c r="N454" s="2">
        <v>46037</v>
      </c>
      <c r="O454" t="s">
        <v>43</v>
      </c>
      <c r="P454" t="s">
        <v>115</v>
      </c>
      <c r="Q454" t="s">
        <v>28</v>
      </c>
      <c r="R454" t="s">
        <v>29</v>
      </c>
    </row>
    <row r="455" spans="1:18">
      <c r="A455" t="s">
        <v>583</v>
      </c>
      <c r="B455" s="2">
        <v>45724</v>
      </c>
      <c r="C455" t="s">
        <v>37</v>
      </c>
      <c r="D455" t="s">
        <v>38</v>
      </c>
      <c r="E455" t="s">
        <v>39</v>
      </c>
      <c r="F455" t="s">
        <v>22</v>
      </c>
      <c r="G455" t="s">
        <v>32</v>
      </c>
      <c r="H455" t="s">
        <v>33</v>
      </c>
      <c r="I455">
        <v>4</v>
      </c>
      <c r="J455" s="3">
        <v>8315.84</v>
      </c>
      <c r="K455" s="3">
        <v>33263.360000000001</v>
      </c>
      <c r="L455" t="s">
        <v>25</v>
      </c>
      <c r="M455" s="2">
        <v>45742</v>
      </c>
      <c r="N455" s="2">
        <v>45739</v>
      </c>
      <c r="O455" t="s">
        <v>76</v>
      </c>
      <c r="P455" t="s">
        <v>44</v>
      </c>
      <c r="Q455" t="s">
        <v>28</v>
      </c>
      <c r="R455" t="s">
        <v>29</v>
      </c>
    </row>
    <row r="456" spans="1:18">
      <c r="A456" t="s">
        <v>584</v>
      </c>
      <c r="B456" s="2">
        <v>46022</v>
      </c>
      <c r="C456" t="s">
        <v>71</v>
      </c>
      <c r="D456" t="s">
        <v>72</v>
      </c>
      <c r="E456" t="s">
        <v>31</v>
      </c>
      <c r="F456" t="s">
        <v>57</v>
      </c>
      <c r="G456" t="s">
        <v>74</v>
      </c>
      <c r="H456" t="s">
        <v>75</v>
      </c>
      <c r="I456">
        <v>8</v>
      </c>
      <c r="J456" s="3">
        <v>7882.46</v>
      </c>
      <c r="K456" s="3">
        <v>63059.68</v>
      </c>
      <c r="L456" t="s">
        <v>25</v>
      </c>
      <c r="M456" s="2">
        <v>46028</v>
      </c>
      <c r="N456" s="2">
        <v>46037</v>
      </c>
      <c r="O456" t="s">
        <v>26</v>
      </c>
      <c r="P456" t="s">
        <v>94</v>
      </c>
      <c r="Q456" t="s">
        <v>28</v>
      </c>
      <c r="R456" t="s">
        <v>129</v>
      </c>
    </row>
    <row r="457" spans="1:18">
      <c r="A457" t="s">
        <v>585</v>
      </c>
      <c r="B457" s="2">
        <v>45727</v>
      </c>
      <c r="C457" t="s">
        <v>19</v>
      </c>
      <c r="D457" t="s">
        <v>20</v>
      </c>
      <c r="E457" t="s">
        <v>39</v>
      </c>
      <c r="F457" t="s">
        <v>22</v>
      </c>
      <c r="G457" t="s">
        <v>160</v>
      </c>
      <c r="H457" t="s">
        <v>161</v>
      </c>
      <c r="I457">
        <v>5</v>
      </c>
      <c r="J457" s="3">
        <v>2898.52</v>
      </c>
      <c r="K457" s="3">
        <v>14492.6</v>
      </c>
      <c r="L457" t="s">
        <v>34</v>
      </c>
      <c r="M457" s="2">
        <v>45741</v>
      </c>
      <c r="N457" s="2">
        <v>45741</v>
      </c>
      <c r="O457" t="s">
        <v>60</v>
      </c>
      <c r="P457" t="s">
        <v>44</v>
      </c>
      <c r="Q457" t="s">
        <v>28</v>
      </c>
      <c r="R457" t="s">
        <v>29</v>
      </c>
    </row>
    <row r="458" spans="1:18">
      <c r="A458" t="s">
        <v>586</v>
      </c>
      <c r="B458" s="2">
        <v>45864</v>
      </c>
      <c r="C458" t="s">
        <v>19</v>
      </c>
      <c r="D458" t="s">
        <v>20</v>
      </c>
      <c r="E458" t="s">
        <v>31</v>
      </c>
      <c r="F458" t="s">
        <v>22</v>
      </c>
      <c r="G458" t="s">
        <v>160</v>
      </c>
      <c r="H458" t="s">
        <v>161</v>
      </c>
      <c r="I458">
        <v>9</v>
      </c>
      <c r="J458" s="3">
        <v>3025.74</v>
      </c>
      <c r="K458" s="3">
        <v>27231.66</v>
      </c>
      <c r="L458" t="s">
        <v>25</v>
      </c>
      <c r="M458" s="2">
        <v>45877</v>
      </c>
      <c r="N458" s="2">
        <v>45891</v>
      </c>
      <c r="O458" t="s">
        <v>60</v>
      </c>
      <c r="P458" t="s">
        <v>94</v>
      </c>
      <c r="Q458" t="s">
        <v>28</v>
      </c>
      <c r="R458" t="s">
        <v>129</v>
      </c>
    </row>
    <row r="459" spans="1:18">
      <c r="A459" t="s">
        <v>587</v>
      </c>
      <c r="B459" s="2">
        <v>46050</v>
      </c>
      <c r="C459" t="s">
        <v>37</v>
      </c>
      <c r="D459" t="s">
        <v>38</v>
      </c>
      <c r="E459" t="s">
        <v>112</v>
      </c>
      <c r="F459" t="s">
        <v>40</v>
      </c>
      <c r="G459" t="s">
        <v>62</v>
      </c>
      <c r="H459" t="s">
        <v>63</v>
      </c>
      <c r="I459">
        <v>5</v>
      </c>
      <c r="J459" s="3">
        <v>19318.3</v>
      </c>
      <c r="K459" s="3">
        <v>96591.5</v>
      </c>
      <c r="L459" t="s">
        <v>25</v>
      </c>
      <c r="M459" s="2">
        <v>46066</v>
      </c>
      <c r="N459" s="2">
        <v>46063</v>
      </c>
      <c r="O459" t="s">
        <v>60</v>
      </c>
      <c r="P459" t="s">
        <v>115</v>
      </c>
      <c r="Q459" t="s">
        <v>28</v>
      </c>
      <c r="R459" t="s">
        <v>29</v>
      </c>
    </row>
    <row r="460" spans="1:18">
      <c r="A460" t="s">
        <v>588</v>
      </c>
      <c r="B460" s="2">
        <v>45770</v>
      </c>
      <c r="C460" t="s">
        <v>19</v>
      </c>
      <c r="D460" t="s">
        <v>20</v>
      </c>
      <c r="E460" t="s">
        <v>31</v>
      </c>
      <c r="F460" t="s">
        <v>22</v>
      </c>
      <c r="G460" t="s">
        <v>32</v>
      </c>
      <c r="H460" t="s">
        <v>33</v>
      </c>
      <c r="I460">
        <v>9</v>
      </c>
      <c r="J460" s="3">
        <v>7270.57</v>
      </c>
      <c r="K460" s="3">
        <v>65435.13</v>
      </c>
      <c r="L460" t="s">
        <v>25</v>
      </c>
      <c r="M460" s="2">
        <v>45788</v>
      </c>
      <c r="N460" s="2">
        <v>45790</v>
      </c>
      <c r="O460" t="s">
        <v>60</v>
      </c>
      <c r="P460" t="s">
        <v>35</v>
      </c>
      <c r="Q460" t="s">
        <v>28</v>
      </c>
      <c r="R460" t="s">
        <v>129</v>
      </c>
    </row>
    <row r="461" spans="1:18">
      <c r="A461" t="s">
        <v>589</v>
      </c>
      <c r="B461" s="2">
        <v>45949</v>
      </c>
      <c r="C461" t="s">
        <v>37</v>
      </c>
      <c r="D461" t="s">
        <v>38</v>
      </c>
      <c r="E461" t="s">
        <v>39</v>
      </c>
      <c r="F461" t="s">
        <v>22</v>
      </c>
      <c r="G461" t="s">
        <v>23</v>
      </c>
      <c r="H461" t="s">
        <v>24</v>
      </c>
      <c r="I461">
        <v>52</v>
      </c>
      <c r="J461" s="3">
        <v>259.89999999999998</v>
      </c>
      <c r="K461" s="3">
        <v>13514.8</v>
      </c>
      <c r="L461" t="s">
        <v>25</v>
      </c>
      <c r="M461" s="2">
        <v>45963</v>
      </c>
      <c r="N461" s="2">
        <v>45975</v>
      </c>
      <c r="O461" t="s">
        <v>43</v>
      </c>
      <c r="P461" t="s">
        <v>44</v>
      </c>
      <c r="Q461" t="s">
        <v>28</v>
      </c>
      <c r="R461" t="s">
        <v>129</v>
      </c>
    </row>
    <row r="462" spans="1:18">
      <c r="A462" t="s">
        <v>590</v>
      </c>
      <c r="B462" s="2">
        <v>46079</v>
      </c>
      <c r="C462" t="s">
        <v>71</v>
      </c>
      <c r="D462" t="s">
        <v>72</v>
      </c>
      <c r="E462" t="s">
        <v>48</v>
      </c>
      <c r="F462" t="s">
        <v>57</v>
      </c>
      <c r="G462" t="s">
        <v>86</v>
      </c>
      <c r="H462" t="s">
        <v>87</v>
      </c>
      <c r="I462">
        <v>2</v>
      </c>
      <c r="J462" s="3">
        <v>10327.84</v>
      </c>
      <c r="K462" s="3">
        <v>20655.68</v>
      </c>
      <c r="L462" t="s">
        <v>25</v>
      </c>
      <c r="M462" s="2">
        <v>46097</v>
      </c>
      <c r="N462" s="2">
        <v>46095</v>
      </c>
      <c r="O462" t="s">
        <v>76</v>
      </c>
      <c r="P462" t="s">
        <v>53</v>
      </c>
      <c r="Q462" t="s">
        <v>28</v>
      </c>
      <c r="R462" t="s">
        <v>29</v>
      </c>
    </row>
    <row r="463" spans="1:18">
      <c r="A463" t="s">
        <v>591</v>
      </c>
      <c r="B463" s="2">
        <v>46090</v>
      </c>
      <c r="C463" t="s">
        <v>147</v>
      </c>
      <c r="D463" t="s">
        <v>148</v>
      </c>
      <c r="E463" t="s">
        <v>112</v>
      </c>
      <c r="F463" t="s">
        <v>40</v>
      </c>
      <c r="G463" t="s">
        <v>41</v>
      </c>
      <c r="H463" t="s">
        <v>42</v>
      </c>
      <c r="I463">
        <v>6</v>
      </c>
      <c r="J463" s="3">
        <v>5250.97</v>
      </c>
      <c r="K463" s="3">
        <v>31505.82</v>
      </c>
      <c r="L463" t="s">
        <v>34</v>
      </c>
      <c r="M463" s="2">
        <v>46101</v>
      </c>
      <c r="N463" s="2">
        <v>46099</v>
      </c>
      <c r="O463" t="s">
        <v>60</v>
      </c>
      <c r="P463" t="s">
        <v>115</v>
      </c>
      <c r="Q463" t="s">
        <v>28</v>
      </c>
      <c r="R463" t="s">
        <v>29</v>
      </c>
    </row>
    <row r="464" spans="1:18">
      <c r="A464" t="s">
        <v>592</v>
      </c>
      <c r="B464" s="2">
        <v>45868</v>
      </c>
      <c r="C464" t="s">
        <v>142</v>
      </c>
      <c r="D464" t="s">
        <v>143</v>
      </c>
      <c r="E464" t="s">
        <v>31</v>
      </c>
      <c r="F464" t="s">
        <v>22</v>
      </c>
      <c r="G464" t="s">
        <v>160</v>
      </c>
      <c r="H464" t="s">
        <v>161</v>
      </c>
      <c r="I464">
        <v>7</v>
      </c>
      <c r="J464" s="3">
        <v>3108.91</v>
      </c>
      <c r="K464" s="3">
        <v>21762.37</v>
      </c>
      <c r="L464" t="s">
        <v>34</v>
      </c>
      <c r="M464" s="2">
        <v>45876</v>
      </c>
      <c r="N464" s="2">
        <v>45876</v>
      </c>
      <c r="O464" t="s">
        <v>26</v>
      </c>
      <c r="P464" t="s">
        <v>35</v>
      </c>
      <c r="Q464" t="s">
        <v>28</v>
      </c>
      <c r="R464" t="s">
        <v>29</v>
      </c>
    </row>
    <row r="465" spans="1:18">
      <c r="A465" t="s">
        <v>593</v>
      </c>
      <c r="B465" s="2">
        <v>45929</v>
      </c>
      <c r="C465" t="s">
        <v>134</v>
      </c>
      <c r="D465" t="s">
        <v>135</v>
      </c>
      <c r="E465" t="s">
        <v>112</v>
      </c>
      <c r="F465" t="s">
        <v>40</v>
      </c>
      <c r="G465" t="s">
        <v>149</v>
      </c>
      <c r="H465" t="s">
        <v>150</v>
      </c>
      <c r="I465">
        <v>50</v>
      </c>
      <c r="J465" s="3">
        <v>1412.39</v>
      </c>
      <c r="K465" s="3">
        <v>70619.5</v>
      </c>
      <c r="L465" t="s">
        <v>25</v>
      </c>
      <c r="M465" s="2">
        <v>45947</v>
      </c>
      <c r="N465" s="2">
        <v>45945</v>
      </c>
      <c r="O465" t="s">
        <v>60</v>
      </c>
      <c r="P465" t="s">
        <v>115</v>
      </c>
      <c r="Q465" t="s">
        <v>28</v>
      </c>
      <c r="R465" t="s">
        <v>29</v>
      </c>
    </row>
    <row r="466" spans="1:18">
      <c r="A466" t="s">
        <v>594</v>
      </c>
      <c r="B466" s="2">
        <v>45872</v>
      </c>
      <c r="C466" t="s">
        <v>134</v>
      </c>
      <c r="D466" t="s">
        <v>135</v>
      </c>
      <c r="E466" t="s">
        <v>39</v>
      </c>
      <c r="F466" t="s">
        <v>40</v>
      </c>
      <c r="G466" t="s">
        <v>136</v>
      </c>
      <c r="H466" t="s">
        <v>137</v>
      </c>
      <c r="I466">
        <v>17</v>
      </c>
      <c r="J466" s="3">
        <v>1664.18</v>
      </c>
      <c r="K466" s="3">
        <v>28291.06</v>
      </c>
      <c r="L466" t="s">
        <v>34</v>
      </c>
      <c r="M466" s="2">
        <v>45883</v>
      </c>
      <c r="N466" s="2">
        <v>45880</v>
      </c>
      <c r="O466" t="s">
        <v>26</v>
      </c>
      <c r="P466" t="s">
        <v>64</v>
      </c>
      <c r="Q466" t="s">
        <v>28</v>
      </c>
      <c r="R466" t="s">
        <v>29</v>
      </c>
    </row>
    <row r="467" spans="1:18">
      <c r="A467" t="s">
        <v>595</v>
      </c>
      <c r="B467" s="2">
        <v>46169</v>
      </c>
      <c r="C467" t="s">
        <v>104</v>
      </c>
      <c r="D467" t="s">
        <v>105</v>
      </c>
      <c r="E467" t="s">
        <v>112</v>
      </c>
      <c r="F467" t="s">
        <v>49</v>
      </c>
      <c r="G467" t="s">
        <v>68</v>
      </c>
      <c r="H467" t="s">
        <v>69</v>
      </c>
      <c r="I467">
        <v>3</v>
      </c>
      <c r="J467" s="3">
        <v>48835.839999999997</v>
      </c>
      <c r="K467" s="3">
        <v>146507.51999999999</v>
      </c>
      <c r="L467" t="s">
        <v>52</v>
      </c>
      <c r="M467" s="2">
        <v>46187</v>
      </c>
      <c r="N467" s="2">
        <v>46184</v>
      </c>
      <c r="O467" t="s">
        <v>43</v>
      </c>
      <c r="P467" t="s">
        <v>115</v>
      </c>
      <c r="Q467" t="s">
        <v>28</v>
      </c>
      <c r="R467" t="s">
        <v>29</v>
      </c>
    </row>
    <row r="468" spans="1:18">
      <c r="A468" t="s">
        <v>596</v>
      </c>
      <c r="B468" s="2">
        <v>46031</v>
      </c>
      <c r="C468" t="s">
        <v>71</v>
      </c>
      <c r="D468" t="s">
        <v>72</v>
      </c>
      <c r="E468" t="s">
        <v>21</v>
      </c>
      <c r="F468" t="s">
        <v>57</v>
      </c>
      <c r="G468" t="s">
        <v>120</v>
      </c>
      <c r="H468" t="s">
        <v>121</v>
      </c>
      <c r="I468">
        <v>7</v>
      </c>
      <c r="J468" s="3">
        <v>21211.51</v>
      </c>
      <c r="K468" s="3">
        <v>148480.57</v>
      </c>
      <c r="L468" t="s">
        <v>34</v>
      </c>
      <c r="M468" s="2">
        <v>46041</v>
      </c>
      <c r="N468" s="2">
        <v>46041</v>
      </c>
      <c r="O468" t="s">
        <v>60</v>
      </c>
      <c r="P468" t="s">
        <v>27</v>
      </c>
      <c r="Q468" t="s">
        <v>28</v>
      </c>
      <c r="R468" t="s">
        <v>29</v>
      </c>
    </row>
    <row r="469" spans="1:18">
      <c r="A469" t="s">
        <v>597</v>
      </c>
      <c r="B469" s="2">
        <v>45951</v>
      </c>
      <c r="C469" t="s">
        <v>71</v>
      </c>
      <c r="D469" t="s">
        <v>72</v>
      </c>
      <c r="E469" t="s">
        <v>21</v>
      </c>
      <c r="F469" t="s">
        <v>57</v>
      </c>
      <c r="G469" t="s">
        <v>86</v>
      </c>
      <c r="H469" t="s">
        <v>87</v>
      </c>
      <c r="I469">
        <v>4</v>
      </c>
      <c r="J469" s="3">
        <v>9888.49</v>
      </c>
      <c r="K469" s="3">
        <v>39553.96</v>
      </c>
      <c r="L469" t="s">
        <v>25</v>
      </c>
      <c r="M469" s="2">
        <v>45956</v>
      </c>
      <c r="N469" s="2">
        <v>45954</v>
      </c>
      <c r="O469" t="s">
        <v>60</v>
      </c>
      <c r="P469" t="s">
        <v>27</v>
      </c>
      <c r="Q469" t="s">
        <v>28</v>
      </c>
      <c r="R469" t="s">
        <v>29</v>
      </c>
    </row>
    <row r="470" spans="1:18">
      <c r="A470" t="s">
        <v>598</v>
      </c>
      <c r="B470" s="2">
        <v>45695</v>
      </c>
      <c r="C470" t="s">
        <v>37</v>
      </c>
      <c r="D470" t="s">
        <v>38</v>
      </c>
      <c r="E470" t="s">
        <v>21</v>
      </c>
      <c r="F470" t="s">
        <v>22</v>
      </c>
      <c r="G470" t="s">
        <v>160</v>
      </c>
      <c r="H470" t="s">
        <v>161</v>
      </c>
      <c r="I470">
        <v>9</v>
      </c>
      <c r="J470" s="3">
        <v>3319.94</v>
      </c>
      <c r="K470" s="3">
        <v>29879.46</v>
      </c>
      <c r="L470" t="s">
        <v>52</v>
      </c>
      <c r="M470" s="2">
        <v>45702</v>
      </c>
      <c r="N470" s="2">
        <v>45702</v>
      </c>
      <c r="O470" t="s">
        <v>60</v>
      </c>
      <c r="P470" t="s">
        <v>27</v>
      </c>
      <c r="Q470" t="s">
        <v>28</v>
      </c>
      <c r="R470" t="s">
        <v>29</v>
      </c>
    </row>
    <row r="471" spans="1:18">
      <c r="A471" t="s">
        <v>599</v>
      </c>
      <c r="B471" s="2">
        <v>45743</v>
      </c>
      <c r="C471" t="s">
        <v>37</v>
      </c>
      <c r="D471" t="s">
        <v>38</v>
      </c>
      <c r="E471" t="s">
        <v>21</v>
      </c>
      <c r="F471" t="s">
        <v>22</v>
      </c>
      <c r="G471" t="s">
        <v>160</v>
      </c>
      <c r="H471" t="s">
        <v>161</v>
      </c>
      <c r="I471">
        <v>15</v>
      </c>
      <c r="J471" s="3">
        <v>3439.43</v>
      </c>
      <c r="K471" s="3">
        <v>51591.45</v>
      </c>
      <c r="L471" t="s">
        <v>25</v>
      </c>
      <c r="M471" s="2">
        <v>45749</v>
      </c>
      <c r="N471" s="2">
        <v>45748</v>
      </c>
      <c r="O471" t="s">
        <v>43</v>
      </c>
      <c r="P471" t="s">
        <v>27</v>
      </c>
      <c r="Q471" t="s">
        <v>28</v>
      </c>
      <c r="R471" t="s">
        <v>29</v>
      </c>
    </row>
    <row r="472" spans="1:18">
      <c r="A472" t="s">
        <v>600</v>
      </c>
      <c r="B472" s="2">
        <v>45901</v>
      </c>
      <c r="C472" t="s">
        <v>66</v>
      </c>
      <c r="D472" t="s">
        <v>67</v>
      </c>
      <c r="E472" t="s">
        <v>48</v>
      </c>
      <c r="F472" t="s">
        <v>49</v>
      </c>
      <c r="G472" t="s">
        <v>165</v>
      </c>
      <c r="H472" t="s">
        <v>166</v>
      </c>
      <c r="I472">
        <v>1</v>
      </c>
      <c r="J472" s="3">
        <v>44800.23</v>
      </c>
      <c r="K472" s="3">
        <v>44800.23</v>
      </c>
      <c r="L472" t="s">
        <v>25</v>
      </c>
      <c r="M472" s="2">
        <v>45912</v>
      </c>
      <c r="N472" s="2">
        <v>45912</v>
      </c>
      <c r="O472" t="s">
        <v>76</v>
      </c>
      <c r="P472" t="s">
        <v>53</v>
      </c>
      <c r="Q472" t="s">
        <v>28</v>
      </c>
      <c r="R472" t="s">
        <v>29</v>
      </c>
    </row>
    <row r="473" spans="1:18">
      <c r="A473" t="s">
        <v>601</v>
      </c>
      <c r="B473" s="2">
        <v>46076</v>
      </c>
      <c r="C473" t="s">
        <v>71</v>
      </c>
      <c r="D473" t="s">
        <v>72</v>
      </c>
      <c r="E473" t="s">
        <v>31</v>
      </c>
      <c r="F473" t="s">
        <v>57</v>
      </c>
      <c r="G473" t="s">
        <v>127</v>
      </c>
      <c r="H473" t="s">
        <v>128</v>
      </c>
      <c r="I473">
        <v>6</v>
      </c>
      <c r="J473" s="3">
        <v>15981.83</v>
      </c>
      <c r="K473" s="3">
        <v>95890.98</v>
      </c>
      <c r="L473" t="s">
        <v>52</v>
      </c>
      <c r="M473" s="2">
        <v>46089</v>
      </c>
      <c r="N473" s="2">
        <v>46088</v>
      </c>
      <c r="O473" t="s">
        <v>26</v>
      </c>
      <c r="P473" t="s">
        <v>35</v>
      </c>
      <c r="Q473" t="s">
        <v>28</v>
      </c>
      <c r="R473" t="s">
        <v>29</v>
      </c>
    </row>
    <row r="474" spans="1:18">
      <c r="A474" t="s">
        <v>602</v>
      </c>
      <c r="B474" s="2">
        <v>45973</v>
      </c>
      <c r="C474" t="s">
        <v>66</v>
      </c>
      <c r="D474" t="s">
        <v>67</v>
      </c>
      <c r="E474" t="s">
        <v>112</v>
      </c>
      <c r="F474" t="s">
        <v>49</v>
      </c>
      <c r="G474" t="s">
        <v>113</v>
      </c>
      <c r="H474" t="s">
        <v>114</v>
      </c>
      <c r="I474">
        <v>1</v>
      </c>
      <c r="J474" s="3">
        <v>37582.46</v>
      </c>
      <c r="K474" s="3">
        <v>37582.46</v>
      </c>
      <c r="L474" t="s">
        <v>25</v>
      </c>
      <c r="M474" s="2">
        <v>45989</v>
      </c>
      <c r="N474" s="2">
        <v>45988</v>
      </c>
      <c r="O474" t="s">
        <v>60</v>
      </c>
      <c r="P474" t="s">
        <v>115</v>
      </c>
      <c r="Q474" t="s">
        <v>28</v>
      </c>
      <c r="R474" t="s">
        <v>29</v>
      </c>
    </row>
    <row r="475" spans="1:18">
      <c r="A475" t="s">
        <v>603</v>
      </c>
      <c r="B475" s="2">
        <v>45782</v>
      </c>
      <c r="C475" t="s">
        <v>37</v>
      </c>
      <c r="D475" t="s">
        <v>38</v>
      </c>
      <c r="E475" t="s">
        <v>39</v>
      </c>
      <c r="F475" t="s">
        <v>40</v>
      </c>
      <c r="G475" t="s">
        <v>62</v>
      </c>
      <c r="H475" t="s">
        <v>63</v>
      </c>
      <c r="I475">
        <v>5</v>
      </c>
      <c r="J475" s="3">
        <v>20714.82</v>
      </c>
      <c r="K475" s="3">
        <v>103574.1</v>
      </c>
      <c r="L475" t="s">
        <v>25</v>
      </c>
      <c r="M475" s="2">
        <v>45791</v>
      </c>
      <c r="N475" s="2">
        <v>45790</v>
      </c>
      <c r="O475" t="s">
        <v>26</v>
      </c>
      <c r="P475" t="s">
        <v>44</v>
      </c>
      <c r="Q475" t="s">
        <v>28</v>
      </c>
      <c r="R475" t="s">
        <v>29</v>
      </c>
    </row>
    <row r="476" spans="1:18">
      <c r="A476" t="s">
        <v>604</v>
      </c>
      <c r="B476" s="2">
        <v>46161</v>
      </c>
      <c r="C476" t="s">
        <v>66</v>
      </c>
      <c r="D476" t="s">
        <v>67</v>
      </c>
      <c r="E476" t="s">
        <v>73</v>
      </c>
      <c r="F476" t="s">
        <v>49</v>
      </c>
      <c r="G476" t="s">
        <v>68</v>
      </c>
      <c r="H476" t="s">
        <v>69</v>
      </c>
      <c r="I476">
        <v>1</v>
      </c>
      <c r="J476" s="3">
        <v>48134.74</v>
      </c>
      <c r="K476" s="3">
        <v>48134.74</v>
      </c>
      <c r="L476" t="s">
        <v>25</v>
      </c>
      <c r="M476" s="2">
        <v>46177</v>
      </c>
      <c r="N476" s="2">
        <v>46177</v>
      </c>
      <c r="O476" t="s">
        <v>76</v>
      </c>
      <c r="P476" t="s">
        <v>77</v>
      </c>
      <c r="Q476" t="s">
        <v>28</v>
      </c>
      <c r="R476" t="s">
        <v>29</v>
      </c>
    </row>
    <row r="477" spans="1:18">
      <c r="A477" t="s">
        <v>605</v>
      </c>
      <c r="B477" s="2">
        <v>45846</v>
      </c>
      <c r="C477" t="s">
        <v>71</v>
      </c>
      <c r="D477" t="s">
        <v>72</v>
      </c>
      <c r="E477" t="s">
        <v>48</v>
      </c>
      <c r="F477" t="s">
        <v>57</v>
      </c>
      <c r="G477" t="s">
        <v>101</v>
      </c>
      <c r="H477" t="s">
        <v>102</v>
      </c>
      <c r="I477">
        <v>25</v>
      </c>
      <c r="J477" s="3">
        <v>1711.36</v>
      </c>
      <c r="K477" s="3">
        <v>42784</v>
      </c>
      <c r="L477" t="s">
        <v>25</v>
      </c>
      <c r="M477" s="2">
        <v>45860</v>
      </c>
      <c r="N477" s="2">
        <v>45864</v>
      </c>
      <c r="O477" t="s">
        <v>26</v>
      </c>
      <c r="P477" t="s">
        <v>53</v>
      </c>
      <c r="Q477" t="s">
        <v>28</v>
      </c>
      <c r="R477" t="s">
        <v>129</v>
      </c>
    </row>
    <row r="478" spans="1:18">
      <c r="A478" t="s">
        <v>606</v>
      </c>
      <c r="B478" s="2">
        <v>45985</v>
      </c>
      <c r="C478" t="s">
        <v>142</v>
      </c>
      <c r="D478" t="s">
        <v>143</v>
      </c>
      <c r="E478" t="s">
        <v>112</v>
      </c>
      <c r="F478" t="s">
        <v>22</v>
      </c>
      <c r="G478" t="s">
        <v>160</v>
      </c>
      <c r="H478" t="s">
        <v>161</v>
      </c>
      <c r="I478">
        <v>6</v>
      </c>
      <c r="J478" s="3">
        <v>3383.65</v>
      </c>
      <c r="K478" s="3">
        <v>20301.900000000001</v>
      </c>
      <c r="L478" t="s">
        <v>25</v>
      </c>
      <c r="M478" s="2">
        <v>46002</v>
      </c>
      <c r="N478" s="2">
        <v>46002</v>
      </c>
      <c r="O478" t="s">
        <v>26</v>
      </c>
      <c r="P478" t="s">
        <v>115</v>
      </c>
      <c r="Q478" t="s">
        <v>28</v>
      </c>
      <c r="R478" t="s">
        <v>29</v>
      </c>
    </row>
    <row r="479" spans="1:18">
      <c r="A479" t="s">
        <v>607</v>
      </c>
      <c r="B479" s="2">
        <v>45887</v>
      </c>
      <c r="C479" t="s">
        <v>80</v>
      </c>
      <c r="D479" t="s">
        <v>81</v>
      </c>
      <c r="E479" t="s">
        <v>39</v>
      </c>
      <c r="F479" t="s">
        <v>82</v>
      </c>
      <c r="G479" t="s">
        <v>197</v>
      </c>
      <c r="H479" t="s">
        <v>198</v>
      </c>
      <c r="I479">
        <v>10</v>
      </c>
      <c r="J479" s="3">
        <v>1956.26</v>
      </c>
      <c r="K479" s="3">
        <v>19562.599999999999</v>
      </c>
      <c r="L479" t="s">
        <v>25</v>
      </c>
      <c r="M479" s="2">
        <v>45899</v>
      </c>
      <c r="N479" s="2">
        <v>45898</v>
      </c>
      <c r="O479" t="s">
        <v>60</v>
      </c>
      <c r="P479" t="s">
        <v>44</v>
      </c>
      <c r="Q479" t="s">
        <v>28</v>
      </c>
      <c r="R479" t="s">
        <v>29</v>
      </c>
    </row>
    <row r="480" spans="1:18">
      <c r="A480" t="s">
        <v>608</v>
      </c>
      <c r="B480" s="2">
        <v>45810</v>
      </c>
      <c r="C480" t="s">
        <v>117</v>
      </c>
      <c r="D480" t="s">
        <v>118</v>
      </c>
      <c r="E480" t="s">
        <v>73</v>
      </c>
      <c r="F480" t="s">
        <v>57</v>
      </c>
      <c r="G480" t="s">
        <v>101</v>
      </c>
      <c r="H480" t="s">
        <v>102</v>
      </c>
      <c r="I480">
        <v>54</v>
      </c>
      <c r="J480" s="3">
        <v>1826.28</v>
      </c>
      <c r="K480" s="3">
        <v>98619.12</v>
      </c>
      <c r="L480" t="s">
        <v>25</v>
      </c>
      <c r="M480" s="2">
        <v>45822</v>
      </c>
      <c r="N480" s="2">
        <v>45819</v>
      </c>
      <c r="O480" t="s">
        <v>26</v>
      </c>
      <c r="P480" t="s">
        <v>77</v>
      </c>
      <c r="Q480" t="s">
        <v>28</v>
      </c>
      <c r="R480" t="s">
        <v>29</v>
      </c>
    </row>
    <row r="481" spans="1:18">
      <c r="A481" t="s">
        <v>609</v>
      </c>
      <c r="B481" s="2">
        <v>45930</v>
      </c>
      <c r="C481" t="s">
        <v>107</v>
      </c>
      <c r="D481" t="s">
        <v>108</v>
      </c>
      <c r="E481" t="s">
        <v>31</v>
      </c>
      <c r="F481" t="s">
        <v>91</v>
      </c>
      <c r="G481" t="s">
        <v>109</v>
      </c>
      <c r="H481" t="s">
        <v>110</v>
      </c>
      <c r="I481">
        <v>1</v>
      </c>
      <c r="J481" s="3">
        <v>13942.6</v>
      </c>
      <c r="K481" s="3">
        <v>13942.6</v>
      </c>
      <c r="L481" t="s">
        <v>25</v>
      </c>
      <c r="M481" s="2">
        <v>45946</v>
      </c>
      <c r="N481" s="2">
        <v>45943</v>
      </c>
      <c r="O481" t="s">
        <v>26</v>
      </c>
      <c r="P481" t="s">
        <v>94</v>
      </c>
      <c r="Q481" t="s">
        <v>28</v>
      </c>
      <c r="R481" t="s">
        <v>29</v>
      </c>
    </row>
    <row r="482" spans="1:18">
      <c r="A482" t="s">
        <v>610</v>
      </c>
      <c r="B482" s="2">
        <v>45899</v>
      </c>
      <c r="C482" t="s">
        <v>37</v>
      </c>
      <c r="D482" t="s">
        <v>38</v>
      </c>
      <c r="E482" t="s">
        <v>112</v>
      </c>
      <c r="F482" t="s">
        <v>40</v>
      </c>
      <c r="G482" t="s">
        <v>62</v>
      </c>
      <c r="H482" t="s">
        <v>63</v>
      </c>
      <c r="I482">
        <v>6</v>
      </c>
      <c r="J482" s="3">
        <v>19838.54</v>
      </c>
      <c r="K482" s="3">
        <v>119031.24</v>
      </c>
      <c r="L482" t="s">
        <v>34</v>
      </c>
      <c r="M482" s="2">
        <v>45915</v>
      </c>
      <c r="N482" s="2">
        <v>45914</v>
      </c>
      <c r="O482" t="s">
        <v>60</v>
      </c>
      <c r="P482" t="s">
        <v>115</v>
      </c>
      <c r="Q482" t="s">
        <v>28</v>
      </c>
      <c r="R482" t="s">
        <v>29</v>
      </c>
    </row>
    <row r="483" spans="1:18">
      <c r="A483" t="s">
        <v>611</v>
      </c>
      <c r="B483" s="2">
        <v>45732</v>
      </c>
      <c r="C483" t="s">
        <v>134</v>
      </c>
      <c r="D483" t="s">
        <v>135</v>
      </c>
      <c r="E483" t="s">
        <v>39</v>
      </c>
      <c r="F483" t="s">
        <v>40</v>
      </c>
      <c r="G483" t="s">
        <v>149</v>
      </c>
      <c r="H483" t="s">
        <v>150</v>
      </c>
      <c r="I483">
        <v>43</v>
      </c>
      <c r="J483" s="3">
        <v>1339.05</v>
      </c>
      <c r="K483" s="3">
        <v>57579.15</v>
      </c>
      <c r="L483" t="s">
        <v>25</v>
      </c>
      <c r="M483" s="2">
        <v>45747</v>
      </c>
      <c r="N483" s="2">
        <v>45747</v>
      </c>
      <c r="O483" t="s">
        <v>60</v>
      </c>
      <c r="P483" t="s">
        <v>44</v>
      </c>
      <c r="Q483" t="s">
        <v>28</v>
      </c>
      <c r="R483" t="s">
        <v>29</v>
      </c>
    </row>
    <row r="484" spans="1:18">
      <c r="A484" t="s">
        <v>612</v>
      </c>
      <c r="B484" s="2">
        <v>45700</v>
      </c>
      <c r="C484" t="s">
        <v>131</v>
      </c>
      <c r="D484" t="s">
        <v>132</v>
      </c>
      <c r="E484" t="s">
        <v>21</v>
      </c>
      <c r="F484" t="s">
        <v>57</v>
      </c>
      <c r="G484" t="s">
        <v>74</v>
      </c>
      <c r="H484" t="s">
        <v>75</v>
      </c>
      <c r="I484">
        <v>3</v>
      </c>
      <c r="J484" s="3">
        <v>9432.14</v>
      </c>
      <c r="K484" s="3">
        <v>28296.42</v>
      </c>
      <c r="L484" t="s">
        <v>25</v>
      </c>
      <c r="M484" s="2">
        <v>45706</v>
      </c>
      <c r="N484" s="2">
        <v>45703</v>
      </c>
      <c r="O484" t="s">
        <v>43</v>
      </c>
      <c r="P484" t="s">
        <v>27</v>
      </c>
      <c r="Q484" t="s">
        <v>28</v>
      </c>
      <c r="R484" t="s">
        <v>29</v>
      </c>
    </row>
    <row r="485" spans="1:18">
      <c r="A485" t="s">
        <v>613</v>
      </c>
      <c r="B485" s="2">
        <v>45945</v>
      </c>
      <c r="C485" t="s">
        <v>134</v>
      </c>
      <c r="D485" t="s">
        <v>135</v>
      </c>
      <c r="E485" t="s">
        <v>112</v>
      </c>
      <c r="F485" t="s">
        <v>40</v>
      </c>
      <c r="G485" t="s">
        <v>136</v>
      </c>
      <c r="H485" t="s">
        <v>137</v>
      </c>
      <c r="I485">
        <v>21</v>
      </c>
      <c r="J485" s="3">
        <v>1697.09</v>
      </c>
      <c r="K485" s="3">
        <v>35638.89</v>
      </c>
      <c r="L485" t="s">
        <v>25</v>
      </c>
      <c r="M485" s="2">
        <v>45958</v>
      </c>
      <c r="N485" s="2">
        <v>45957</v>
      </c>
      <c r="O485" t="s">
        <v>60</v>
      </c>
      <c r="P485" t="s">
        <v>115</v>
      </c>
      <c r="Q485" t="s">
        <v>28</v>
      </c>
      <c r="R485" t="s">
        <v>29</v>
      </c>
    </row>
    <row r="486" spans="1:18">
      <c r="A486" t="s">
        <v>614</v>
      </c>
      <c r="B486" s="2">
        <v>46108</v>
      </c>
      <c r="C486" t="s">
        <v>142</v>
      </c>
      <c r="D486" t="s">
        <v>143</v>
      </c>
      <c r="E486" t="s">
        <v>39</v>
      </c>
      <c r="F486" t="s">
        <v>22</v>
      </c>
      <c r="G486" t="s">
        <v>23</v>
      </c>
      <c r="H486" t="s">
        <v>24</v>
      </c>
      <c r="I486">
        <v>50</v>
      </c>
      <c r="J486" s="3">
        <v>240.94</v>
      </c>
      <c r="K486" s="3">
        <v>12047</v>
      </c>
      <c r="L486" t="s">
        <v>25</v>
      </c>
      <c r="M486" s="2">
        <v>46120</v>
      </c>
      <c r="N486" s="2">
        <v>46117</v>
      </c>
      <c r="O486" t="s">
        <v>76</v>
      </c>
      <c r="P486" t="s">
        <v>44</v>
      </c>
      <c r="Q486" t="s">
        <v>28</v>
      </c>
      <c r="R486" t="s">
        <v>29</v>
      </c>
    </row>
    <row r="487" spans="1:18">
      <c r="A487" t="s">
        <v>615</v>
      </c>
      <c r="B487" s="2">
        <v>46126</v>
      </c>
      <c r="C487" t="s">
        <v>55</v>
      </c>
      <c r="D487" t="s">
        <v>56</v>
      </c>
      <c r="E487" t="s">
        <v>48</v>
      </c>
      <c r="F487" t="s">
        <v>57</v>
      </c>
      <c r="G487" t="s">
        <v>101</v>
      </c>
      <c r="H487" t="s">
        <v>102</v>
      </c>
      <c r="I487">
        <v>23</v>
      </c>
      <c r="J487" s="3">
        <v>1954.72</v>
      </c>
      <c r="K487" s="3">
        <v>44958.559999999998</v>
      </c>
      <c r="L487" t="s">
        <v>34</v>
      </c>
      <c r="M487" s="2">
        <v>46133</v>
      </c>
      <c r="N487" s="2">
        <v>46131</v>
      </c>
      <c r="O487" t="s">
        <v>26</v>
      </c>
      <c r="P487" t="s">
        <v>53</v>
      </c>
      <c r="Q487" t="s">
        <v>28</v>
      </c>
      <c r="R487" t="s">
        <v>29</v>
      </c>
    </row>
    <row r="488" spans="1:18">
      <c r="A488" t="s">
        <v>616</v>
      </c>
      <c r="B488" s="2">
        <v>45842</v>
      </c>
      <c r="C488" t="s">
        <v>147</v>
      </c>
      <c r="D488" t="s">
        <v>148</v>
      </c>
      <c r="E488" t="s">
        <v>39</v>
      </c>
      <c r="F488" t="s">
        <v>40</v>
      </c>
      <c r="G488" t="s">
        <v>41</v>
      </c>
      <c r="H488" t="s">
        <v>42</v>
      </c>
      <c r="I488">
        <v>11</v>
      </c>
      <c r="J488" s="3">
        <v>4988.75</v>
      </c>
      <c r="K488" s="3">
        <v>54876.25</v>
      </c>
      <c r="L488" t="s">
        <v>34</v>
      </c>
      <c r="M488" s="2">
        <v>45857</v>
      </c>
      <c r="N488" s="2">
        <v>45864</v>
      </c>
      <c r="O488" t="s">
        <v>43</v>
      </c>
      <c r="P488" t="s">
        <v>44</v>
      </c>
      <c r="Q488" t="s">
        <v>28</v>
      </c>
      <c r="R488" t="s">
        <v>129</v>
      </c>
    </row>
    <row r="489" spans="1:18">
      <c r="A489" t="s">
        <v>617</v>
      </c>
      <c r="B489" s="2">
        <v>45815</v>
      </c>
      <c r="C489" t="s">
        <v>71</v>
      </c>
      <c r="D489" t="s">
        <v>72</v>
      </c>
      <c r="E489" t="s">
        <v>73</v>
      </c>
      <c r="F489" t="s">
        <v>57</v>
      </c>
      <c r="G489" t="s">
        <v>120</v>
      </c>
      <c r="H489" t="s">
        <v>121</v>
      </c>
      <c r="I489">
        <v>5</v>
      </c>
      <c r="J489" s="3">
        <v>20813.900000000001</v>
      </c>
      <c r="K489" s="3">
        <v>104069.5</v>
      </c>
      <c r="L489" t="s">
        <v>52</v>
      </c>
      <c r="M489" s="2">
        <v>45829</v>
      </c>
      <c r="N489" s="2">
        <v>45827</v>
      </c>
      <c r="O489" t="s">
        <v>60</v>
      </c>
      <c r="P489" t="s">
        <v>77</v>
      </c>
      <c r="Q489" t="s">
        <v>28</v>
      </c>
      <c r="R489" t="s">
        <v>29</v>
      </c>
    </row>
    <row r="490" spans="1:18">
      <c r="A490" t="s">
        <v>618</v>
      </c>
      <c r="B490" s="2">
        <v>45790</v>
      </c>
      <c r="C490" t="s">
        <v>96</v>
      </c>
      <c r="D490" t="s">
        <v>97</v>
      </c>
      <c r="E490" t="s">
        <v>39</v>
      </c>
      <c r="F490" t="s">
        <v>82</v>
      </c>
      <c r="G490" t="s">
        <v>98</v>
      </c>
      <c r="H490" t="s">
        <v>99</v>
      </c>
      <c r="I490">
        <v>9</v>
      </c>
      <c r="J490" s="3">
        <v>1120.8499999999999</v>
      </c>
      <c r="K490" s="3">
        <v>10087.65</v>
      </c>
      <c r="L490" t="s">
        <v>25</v>
      </c>
      <c r="M490" s="2">
        <v>45803</v>
      </c>
      <c r="N490" s="2">
        <v>45800</v>
      </c>
      <c r="O490" t="s">
        <v>76</v>
      </c>
      <c r="P490" t="s">
        <v>64</v>
      </c>
      <c r="Q490" t="s">
        <v>28</v>
      </c>
      <c r="R490" t="s">
        <v>29</v>
      </c>
    </row>
    <row r="491" spans="1:18">
      <c r="A491" t="s">
        <v>619</v>
      </c>
      <c r="B491" s="2">
        <v>46066</v>
      </c>
      <c r="C491" t="s">
        <v>19</v>
      </c>
      <c r="D491" t="s">
        <v>20</v>
      </c>
      <c r="E491" t="s">
        <v>112</v>
      </c>
      <c r="F491" t="s">
        <v>22</v>
      </c>
      <c r="G491" t="s">
        <v>160</v>
      </c>
      <c r="H491" t="s">
        <v>161</v>
      </c>
      <c r="I491">
        <v>13</v>
      </c>
      <c r="J491" s="3">
        <v>3060.69</v>
      </c>
      <c r="K491" s="3">
        <v>39788.97</v>
      </c>
      <c r="L491" t="s">
        <v>25</v>
      </c>
      <c r="M491" s="2">
        <v>46081</v>
      </c>
      <c r="N491" s="2">
        <v>46087</v>
      </c>
      <c r="O491" t="s">
        <v>60</v>
      </c>
      <c r="P491" t="s">
        <v>115</v>
      </c>
      <c r="Q491" t="s">
        <v>28</v>
      </c>
      <c r="R491" t="s">
        <v>129</v>
      </c>
    </row>
    <row r="492" spans="1:18">
      <c r="A492" t="s">
        <v>620</v>
      </c>
      <c r="B492" s="2">
        <v>45792</v>
      </c>
      <c r="C492" t="s">
        <v>134</v>
      </c>
      <c r="D492" t="s">
        <v>135</v>
      </c>
      <c r="E492" t="s">
        <v>39</v>
      </c>
      <c r="F492" t="s">
        <v>40</v>
      </c>
      <c r="G492" t="s">
        <v>149</v>
      </c>
      <c r="H492" t="s">
        <v>150</v>
      </c>
      <c r="I492">
        <v>35</v>
      </c>
      <c r="J492" s="3">
        <v>1403.58</v>
      </c>
      <c r="K492" s="3">
        <v>49125.3</v>
      </c>
      <c r="L492" t="s">
        <v>25</v>
      </c>
      <c r="M492" s="2">
        <v>45801</v>
      </c>
      <c r="N492" s="2">
        <v>45798</v>
      </c>
      <c r="O492" t="s">
        <v>60</v>
      </c>
      <c r="P492" t="s">
        <v>44</v>
      </c>
      <c r="Q492" t="s">
        <v>28</v>
      </c>
      <c r="R492" t="s">
        <v>29</v>
      </c>
    </row>
    <row r="493" spans="1:18">
      <c r="A493" t="s">
        <v>621</v>
      </c>
      <c r="B493" s="2">
        <v>45848</v>
      </c>
      <c r="C493" t="s">
        <v>142</v>
      </c>
      <c r="D493" t="s">
        <v>143</v>
      </c>
      <c r="E493" t="s">
        <v>73</v>
      </c>
      <c r="F493" t="s">
        <v>22</v>
      </c>
      <c r="G493" t="s">
        <v>32</v>
      </c>
      <c r="H493" t="s">
        <v>33</v>
      </c>
      <c r="I493">
        <v>4</v>
      </c>
      <c r="J493" s="3">
        <v>7813.39</v>
      </c>
      <c r="K493" s="3">
        <v>31253.56</v>
      </c>
      <c r="L493" t="s">
        <v>52</v>
      </c>
      <c r="M493" s="2">
        <v>45863</v>
      </c>
      <c r="N493" s="2">
        <v>45862</v>
      </c>
      <c r="O493" t="s">
        <v>43</v>
      </c>
      <c r="P493" t="s">
        <v>77</v>
      </c>
      <c r="Q493" t="s">
        <v>28</v>
      </c>
      <c r="R493" t="s">
        <v>29</v>
      </c>
    </row>
    <row r="494" spans="1:18">
      <c r="A494" t="s">
        <v>622</v>
      </c>
      <c r="B494" s="2">
        <v>46137</v>
      </c>
      <c r="C494" t="s">
        <v>37</v>
      </c>
      <c r="D494" t="s">
        <v>38</v>
      </c>
      <c r="E494" t="s">
        <v>112</v>
      </c>
      <c r="F494" t="s">
        <v>40</v>
      </c>
      <c r="G494" t="s">
        <v>136</v>
      </c>
      <c r="H494" t="s">
        <v>137</v>
      </c>
      <c r="I494">
        <v>24</v>
      </c>
      <c r="J494" s="3">
        <v>1715.19</v>
      </c>
      <c r="K494" s="3">
        <v>41164.559999999998</v>
      </c>
      <c r="L494" t="s">
        <v>25</v>
      </c>
      <c r="M494" s="2">
        <v>46155</v>
      </c>
      <c r="N494" s="2">
        <v>46152</v>
      </c>
      <c r="O494" t="s">
        <v>43</v>
      </c>
      <c r="P494" t="s">
        <v>115</v>
      </c>
      <c r="Q494" t="s">
        <v>28</v>
      </c>
      <c r="R494" t="s">
        <v>29</v>
      </c>
    </row>
    <row r="495" spans="1:18">
      <c r="A495" t="s">
        <v>623</v>
      </c>
      <c r="B495" s="2">
        <v>45704</v>
      </c>
      <c r="C495" t="s">
        <v>71</v>
      </c>
      <c r="D495" t="s">
        <v>72</v>
      </c>
      <c r="E495" t="s">
        <v>31</v>
      </c>
      <c r="F495" t="s">
        <v>57</v>
      </c>
      <c r="G495" t="s">
        <v>101</v>
      </c>
      <c r="H495" t="s">
        <v>102</v>
      </c>
      <c r="I495">
        <v>57</v>
      </c>
      <c r="J495" s="3">
        <v>1725.3</v>
      </c>
      <c r="K495" s="3">
        <v>98342.1</v>
      </c>
      <c r="L495" t="s">
        <v>34</v>
      </c>
      <c r="M495" s="2">
        <v>45713</v>
      </c>
      <c r="N495" s="2">
        <v>45713</v>
      </c>
      <c r="O495" t="s">
        <v>43</v>
      </c>
      <c r="P495" t="s">
        <v>94</v>
      </c>
      <c r="Q495" t="s">
        <v>28</v>
      </c>
      <c r="R495" t="s">
        <v>29</v>
      </c>
    </row>
    <row r="496" spans="1:18">
      <c r="A496" t="s">
        <v>624</v>
      </c>
      <c r="B496" s="2">
        <v>46131</v>
      </c>
      <c r="C496" t="s">
        <v>37</v>
      </c>
      <c r="D496" t="s">
        <v>38</v>
      </c>
      <c r="E496" t="s">
        <v>39</v>
      </c>
      <c r="F496" t="s">
        <v>40</v>
      </c>
      <c r="G496" t="s">
        <v>41</v>
      </c>
      <c r="H496" t="s">
        <v>42</v>
      </c>
      <c r="I496">
        <v>5</v>
      </c>
      <c r="J496" s="3">
        <v>6002.81</v>
      </c>
      <c r="K496" s="3">
        <v>30014.05</v>
      </c>
      <c r="L496" t="s">
        <v>34</v>
      </c>
      <c r="M496" s="2">
        <v>46141</v>
      </c>
      <c r="N496" s="2">
        <v>46138</v>
      </c>
      <c r="O496" t="s">
        <v>60</v>
      </c>
      <c r="P496" t="s">
        <v>44</v>
      </c>
      <c r="Q496" t="s">
        <v>28</v>
      </c>
      <c r="R496" t="s">
        <v>29</v>
      </c>
    </row>
    <row r="497" spans="1:18">
      <c r="A497" t="s">
        <v>625</v>
      </c>
      <c r="B497" s="2">
        <v>45849</v>
      </c>
      <c r="C497" t="s">
        <v>80</v>
      </c>
      <c r="D497" t="s">
        <v>81</v>
      </c>
      <c r="E497" t="s">
        <v>39</v>
      </c>
      <c r="F497" t="s">
        <v>82</v>
      </c>
      <c r="G497" t="s">
        <v>98</v>
      </c>
      <c r="H497" t="s">
        <v>99</v>
      </c>
      <c r="I497">
        <v>39</v>
      </c>
      <c r="J497" s="3">
        <v>1059.25</v>
      </c>
      <c r="K497" s="3">
        <v>41310.75</v>
      </c>
      <c r="L497" t="s">
        <v>25</v>
      </c>
      <c r="M497" s="2">
        <v>45854</v>
      </c>
      <c r="N497" s="2">
        <v>45857</v>
      </c>
      <c r="O497" t="s">
        <v>60</v>
      </c>
      <c r="P497" t="s">
        <v>44</v>
      </c>
      <c r="Q497" t="s">
        <v>28</v>
      </c>
      <c r="R497" t="s">
        <v>129</v>
      </c>
    </row>
    <row r="498" spans="1:18">
      <c r="A498" t="s">
        <v>626</v>
      </c>
      <c r="B498" s="2">
        <v>46156</v>
      </c>
      <c r="C498" t="s">
        <v>66</v>
      </c>
      <c r="D498" t="s">
        <v>67</v>
      </c>
      <c r="E498" t="s">
        <v>48</v>
      </c>
      <c r="F498" t="s">
        <v>49</v>
      </c>
      <c r="G498" t="s">
        <v>68</v>
      </c>
      <c r="H498" t="s">
        <v>69</v>
      </c>
      <c r="I498">
        <v>1</v>
      </c>
      <c r="J498" s="3">
        <v>45064.83</v>
      </c>
      <c r="K498" s="3">
        <v>45064.83</v>
      </c>
      <c r="L498" t="s">
        <v>34</v>
      </c>
      <c r="M498" s="2">
        <v>46161</v>
      </c>
      <c r="N498" s="2">
        <v>46161</v>
      </c>
      <c r="O498" t="s">
        <v>26</v>
      </c>
      <c r="P498" t="s">
        <v>53</v>
      </c>
      <c r="Q498" t="s">
        <v>28</v>
      </c>
      <c r="R498" t="s">
        <v>29</v>
      </c>
    </row>
    <row r="499" spans="1:18">
      <c r="A499" t="s">
        <v>627</v>
      </c>
      <c r="B499" s="2">
        <v>45872</v>
      </c>
      <c r="C499" t="s">
        <v>37</v>
      </c>
      <c r="D499" t="s">
        <v>38</v>
      </c>
      <c r="E499" t="s">
        <v>39</v>
      </c>
      <c r="F499" t="s">
        <v>22</v>
      </c>
      <c r="G499" t="s">
        <v>160</v>
      </c>
      <c r="H499" t="s">
        <v>161</v>
      </c>
      <c r="I499">
        <v>9</v>
      </c>
      <c r="J499" s="3">
        <v>3496.01</v>
      </c>
      <c r="K499" s="3">
        <v>31464.09</v>
      </c>
      <c r="L499" t="s">
        <v>25</v>
      </c>
      <c r="M499" s="2">
        <v>45880</v>
      </c>
      <c r="N499" s="2">
        <v>45877</v>
      </c>
      <c r="O499" t="s">
        <v>60</v>
      </c>
      <c r="P499" t="s">
        <v>64</v>
      </c>
      <c r="Q499" t="s">
        <v>28</v>
      </c>
      <c r="R499" t="s">
        <v>29</v>
      </c>
    </row>
    <row r="500" spans="1:18">
      <c r="A500" t="s">
        <v>628</v>
      </c>
      <c r="B500" s="2">
        <v>45777</v>
      </c>
      <c r="C500" t="s">
        <v>80</v>
      </c>
      <c r="D500" t="s">
        <v>81</v>
      </c>
      <c r="E500" t="s">
        <v>39</v>
      </c>
      <c r="F500" t="s">
        <v>82</v>
      </c>
      <c r="G500" t="s">
        <v>98</v>
      </c>
      <c r="H500" t="s">
        <v>99</v>
      </c>
      <c r="I500">
        <v>60</v>
      </c>
      <c r="J500" s="3">
        <v>1095.1600000000001</v>
      </c>
      <c r="K500" s="3">
        <v>65709.600000000006</v>
      </c>
      <c r="L500" t="s">
        <v>25</v>
      </c>
      <c r="M500" s="2">
        <v>45789</v>
      </c>
      <c r="N500" s="2">
        <v>45788</v>
      </c>
      <c r="O500" t="s">
        <v>60</v>
      </c>
      <c r="P500" t="s">
        <v>64</v>
      </c>
      <c r="Q500" t="s">
        <v>28</v>
      </c>
      <c r="R500" t="s">
        <v>29</v>
      </c>
    </row>
    <row r="501" spans="1:18">
      <c r="A501" t="s">
        <v>629</v>
      </c>
      <c r="B501" s="2">
        <v>45999</v>
      </c>
      <c r="C501" t="s">
        <v>37</v>
      </c>
      <c r="D501" t="s">
        <v>38</v>
      </c>
      <c r="E501" t="s">
        <v>31</v>
      </c>
      <c r="F501" t="s">
        <v>22</v>
      </c>
      <c r="G501" t="s">
        <v>160</v>
      </c>
      <c r="H501" t="s">
        <v>161</v>
      </c>
      <c r="I501">
        <v>12</v>
      </c>
      <c r="J501" s="3">
        <v>3493.1</v>
      </c>
      <c r="K501" s="3">
        <v>41917.199999999997</v>
      </c>
      <c r="L501" t="s">
        <v>25</v>
      </c>
      <c r="M501" s="2">
        <v>46013</v>
      </c>
      <c r="N501" s="2">
        <v>46011</v>
      </c>
      <c r="O501" t="s">
        <v>60</v>
      </c>
      <c r="P501" t="s">
        <v>35</v>
      </c>
      <c r="Q501" t="s">
        <v>28</v>
      </c>
      <c r="R501" t="s">
        <v>29</v>
      </c>
    </row>
    <row r="502" spans="1:18">
      <c r="A502" t="s">
        <v>630</v>
      </c>
      <c r="B502" s="2">
        <v>46183</v>
      </c>
      <c r="C502" t="s">
        <v>142</v>
      </c>
      <c r="D502" t="s">
        <v>143</v>
      </c>
      <c r="E502" t="s">
        <v>31</v>
      </c>
      <c r="F502" t="s">
        <v>22</v>
      </c>
      <c r="G502" t="s">
        <v>160</v>
      </c>
      <c r="H502" t="s">
        <v>161</v>
      </c>
      <c r="I502">
        <v>1</v>
      </c>
      <c r="J502" s="3">
        <v>3041.21</v>
      </c>
      <c r="K502" s="3">
        <v>3041.21</v>
      </c>
      <c r="L502" t="s">
        <v>25</v>
      </c>
      <c r="M502" s="2">
        <v>46194</v>
      </c>
      <c r="N502" s="2">
        <v>46194</v>
      </c>
      <c r="O502" t="s">
        <v>60</v>
      </c>
      <c r="P502" t="s">
        <v>35</v>
      </c>
      <c r="Q502" t="s">
        <v>28</v>
      </c>
      <c r="R502" t="s">
        <v>29</v>
      </c>
    </row>
    <row r="503" spans="1:18">
      <c r="A503" t="s">
        <v>631</v>
      </c>
      <c r="B503" s="2">
        <v>45777</v>
      </c>
      <c r="C503" t="s">
        <v>147</v>
      </c>
      <c r="D503" t="s">
        <v>148</v>
      </c>
      <c r="E503" t="s">
        <v>112</v>
      </c>
      <c r="F503" t="s">
        <v>40</v>
      </c>
      <c r="G503" t="s">
        <v>62</v>
      </c>
      <c r="H503" t="s">
        <v>63</v>
      </c>
      <c r="I503">
        <v>5</v>
      </c>
      <c r="J503" s="3">
        <v>17082.86</v>
      </c>
      <c r="K503" s="3">
        <v>85414.3</v>
      </c>
      <c r="L503" t="s">
        <v>25</v>
      </c>
      <c r="M503" s="2">
        <v>45793</v>
      </c>
      <c r="N503" s="2">
        <v>45791</v>
      </c>
      <c r="O503" t="s">
        <v>26</v>
      </c>
      <c r="P503" t="s">
        <v>115</v>
      </c>
      <c r="Q503" t="s">
        <v>28</v>
      </c>
      <c r="R503" t="s">
        <v>29</v>
      </c>
    </row>
    <row r="504" spans="1:18">
      <c r="A504" t="s">
        <v>632</v>
      </c>
      <c r="B504" s="2">
        <v>46137</v>
      </c>
      <c r="C504" t="s">
        <v>131</v>
      </c>
      <c r="D504" t="s">
        <v>132</v>
      </c>
      <c r="E504" t="s">
        <v>21</v>
      </c>
      <c r="F504" t="s">
        <v>57</v>
      </c>
      <c r="G504" t="s">
        <v>74</v>
      </c>
      <c r="H504" t="s">
        <v>75</v>
      </c>
      <c r="I504">
        <v>11</v>
      </c>
      <c r="J504" s="3">
        <v>9395.52</v>
      </c>
      <c r="K504" s="3">
        <v>103350.72</v>
      </c>
      <c r="L504" t="s">
        <v>34</v>
      </c>
      <c r="M504" s="2">
        <v>46152</v>
      </c>
      <c r="N504" s="2">
        <v>46149</v>
      </c>
      <c r="O504" t="s">
        <v>26</v>
      </c>
      <c r="P504" t="s">
        <v>27</v>
      </c>
      <c r="Q504" t="s">
        <v>28</v>
      </c>
      <c r="R504" t="s">
        <v>29</v>
      </c>
    </row>
    <row r="505" spans="1:18">
      <c r="A505" t="s">
        <v>633</v>
      </c>
      <c r="B505" s="2">
        <v>45947</v>
      </c>
      <c r="C505" t="s">
        <v>37</v>
      </c>
      <c r="D505" t="s">
        <v>38</v>
      </c>
      <c r="E505" t="s">
        <v>39</v>
      </c>
      <c r="F505" t="s">
        <v>40</v>
      </c>
      <c r="G505" t="s">
        <v>149</v>
      </c>
      <c r="H505" t="s">
        <v>150</v>
      </c>
      <c r="I505">
        <v>36</v>
      </c>
      <c r="J505" s="3">
        <v>1407.04</v>
      </c>
      <c r="K505" s="3">
        <v>50653.440000000002</v>
      </c>
      <c r="L505" t="s">
        <v>25</v>
      </c>
      <c r="M505" s="2">
        <v>45953</v>
      </c>
      <c r="N505" s="2">
        <v>45950</v>
      </c>
      <c r="O505" t="s">
        <v>26</v>
      </c>
      <c r="P505" t="s">
        <v>64</v>
      </c>
      <c r="Q505" t="s">
        <v>28</v>
      </c>
      <c r="R505" t="s">
        <v>29</v>
      </c>
    </row>
    <row r="506" spans="1:18">
      <c r="A506" t="s">
        <v>634</v>
      </c>
      <c r="B506" s="2">
        <v>45676</v>
      </c>
      <c r="C506" t="s">
        <v>117</v>
      </c>
      <c r="D506" t="s">
        <v>118</v>
      </c>
      <c r="E506" t="s">
        <v>21</v>
      </c>
      <c r="F506" t="s">
        <v>57</v>
      </c>
      <c r="G506" t="s">
        <v>86</v>
      </c>
      <c r="H506" t="s">
        <v>87</v>
      </c>
      <c r="I506">
        <v>1</v>
      </c>
      <c r="J506" s="3">
        <v>11385.97</v>
      </c>
      <c r="K506" s="3">
        <v>11385.97</v>
      </c>
      <c r="L506" t="s">
        <v>25</v>
      </c>
      <c r="M506" s="2">
        <v>45693</v>
      </c>
      <c r="N506" s="2">
        <v>45701</v>
      </c>
      <c r="O506" t="s">
        <v>26</v>
      </c>
      <c r="P506" t="s">
        <v>27</v>
      </c>
      <c r="Q506" t="s">
        <v>28</v>
      </c>
      <c r="R506" t="s">
        <v>129</v>
      </c>
    </row>
    <row r="507" spans="1:18">
      <c r="A507" t="s">
        <v>635</v>
      </c>
      <c r="B507" s="2">
        <v>45887</v>
      </c>
      <c r="C507" t="s">
        <v>147</v>
      </c>
      <c r="D507" t="s">
        <v>148</v>
      </c>
      <c r="E507" t="s">
        <v>112</v>
      </c>
      <c r="F507" t="s">
        <v>40</v>
      </c>
      <c r="G507" t="s">
        <v>41</v>
      </c>
      <c r="H507" t="s">
        <v>42</v>
      </c>
      <c r="I507">
        <v>15</v>
      </c>
      <c r="J507" s="3">
        <v>5236.5200000000004</v>
      </c>
      <c r="K507" s="3">
        <v>78547.8</v>
      </c>
      <c r="L507" t="s">
        <v>34</v>
      </c>
      <c r="M507" s="2">
        <v>45894</v>
      </c>
      <c r="N507" s="2">
        <v>45894</v>
      </c>
      <c r="O507" t="s">
        <v>60</v>
      </c>
      <c r="P507" t="s">
        <v>115</v>
      </c>
      <c r="Q507" t="s">
        <v>28</v>
      </c>
      <c r="R507" t="s">
        <v>29</v>
      </c>
    </row>
    <row r="508" spans="1:18">
      <c r="A508" t="s">
        <v>636</v>
      </c>
      <c r="B508" s="2">
        <v>45700</v>
      </c>
      <c r="C508" t="s">
        <v>37</v>
      </c>
      <c r="D508" t="s">
        <v>38</v>
      </c>
      <c r="E508" t="s">
        <v>39</v>
      </c>
      <c r="F508" t="s">
        <v>22</v>
      </c>
      <c r="G508" t="s">
        <v>23</v>
      </c>
      <c r="H508" t="s">
        <v>24</v>
      </c>
      <c r="I508">
        <v>23</v>
      </c>
      <c r="J508" s="3">
        <v>255.37</v>
      </c>
      <c r="K508" s="3">
        <v>5873.51</v>
      </c>
      <c r="L508" t="s">
        <v>34</v>
      </c>
      <c r="M508" s="2">
        <v>45716</v>
      </c>
      <c r="N508" s="2">
        <v>45713</v>
      </c>
      <c r="O508" t="s">
        <v>43</v>
      </c>
      <c r="P508" t="s">
        <v>64</v>
      </c>
      <c r="Q508" t="s">
        <v>28</v>
      </c>
      <c r="R508" t="s">
        <v>29</v>
      </c>
    </row>
    <row r="509" spans="1:18">
      <c r="A509" t="s">
        <v>637</v>
      </c>
      <c r="B509" s="2">
        <v>46030</v>
      </c>
      <c r="C509" t="s">
        <v>37</v>
      </c>
      <c r="D509" t="s">
        <v>38</v>
      </c>
      <c r="E509" t="s">
        <v>39</v>
      </c>
      <c r="F509" t="s">
        <v>22</v>
      </c>
      <c r="G509" t="s">
        <v>160</v>
      </c>
      <c r="H509" t="s">
        <v>161</v>
      </c>
      <c r="I509">
        <v>1</v>
      </c>
      <c r="J509" s="3">
        <v>3469.02</v>
      </c>
      <c r="K509" s="3">
        <v>3469.02</v>
      </c>
      <c r="L509" t="s">
        <v>25</v>
      </c>
      <c r="M509" s="2">
        <v>46038</v>
      </c>
      <c r="N509" s="2">
        <v>46035</v>
      </c>
      <c r="O509" t="s">
        <v>26</v>
      </c>
      <c r="P509" t="s">
        <v>64</v>
      </c>
      <c r="Q509" t="s">
        <v>28</v>
      </c>
      <c r="R509" t="s">
        <v>29</v>
      </c>
    </row>
    <row r="510" spans="1:18">
      <c r="A510" t="s">
        <v>638</v>
      </c>
      <c r="B510" s="2">
        <v>45930</v>
      </c>
      <c r="C510" t="s">
        <v>104</v>
      </c>
      <c r="D510" t="s">
        <v>105</v>
      </c>
      <c r="E510" t="s">
        <v>48</v>
      </c>
      <c r="F510" t="s">
        <v>49</v>
      </c>
      <c r="G510" t="s">
        <v>50</v>
      </c>
      <c r="H510" t="s">
        <v>51</v>
      </c>
      <c r="I510">
        <v>2</v>
      </c>
      <c r="J510" s="3">
        <v>53446.41</v>
      </c>
      <c r="K510" s="3">
        <v>106892.82</v>
      </c>
      <c r="L510" t="s">
        <v>25</v>
      </c>
      <c r="M510" s="2">
        <v>45947</v>
      </c>
      <c r="N510" s="2">
        <v>45944</v>
      </c>
      <c r="O510" t="s">
        <v>60</v>
      </c>
      <c r="P510" t="s">
        <v>53</v>
      </c>
      <c r="Q510" t="s">
        <v>28</v>
      </c>
      <c r="R510" t="s">
        <v>29</v>
      </c>
    </row>
    <row r="511" spans="1:18">
      <c r="A511" t="s">
        <v>639</v>
      </c>
      <c r="B511" s="2">
        <v>46111</v>
      </c>
      <c r="C511" t="s">
        <v>96</v>
      </c>
      <c r="D511" t="s">
        <v>97</v>
      </c>
      <c r="E511" t="s">
        <v>39</v>
      </c>
      <c r="F511" t="s">
        <v>82</v>
      </c>
      <c r="G511" t="s">
        <v>83</v>
      </c>
      <c r="H511" t="s">
        <v>84</v>
      </c>
      <c r="I511">
        <v>54</v>
      </c>
      <c r="J511" s="3">
        <v>718.72</v>
      </c>
      <c r="K511" s="3">
        <v>38810.879999999997</v>
      </c>
      <c r="L511" t="s">
        <v>34</v>
      </c>
      <c r="M511" s="2">
        <v>46118</v>
      </c>
      <c r="N511" s="2">
        <v>46115</v>
      </c>
      <c r="O511" t="s">
        <v>26</v>
      </c>
      <c r="P511" t="s">
        <v>64</v>
      </c>
      <c r="Q511" t="s">
        <v>28</v>
      </c>
      <c r="R511" t="s">
        <v>29</v>
      </c>
    </row>
    <row r="512" spans="1:18">
      <c r="A512" t="s">
        <v>640</v>
      </c>
      <c r="B512" s="2">
        <v>46087</v>
      </c>
      <c r="C512" t="s">
        <v>66</v>
      </c>
      <c r="D512" t="s">
        <v>67</v>
      </c>
      <c r="E512" t="s">
        <v>48</v>
      </c>
      <c r="F512" t="s">
        <v>49</v>
      </c>
      <c r="G512" t="s">
        <v>165</v>
      </c>
      <c r="H512" t="s">
        <v>166</v>
      </c>
      <c r="I512">
        <v>1</v>
      </c>
      <c r="J512" s="3">
        <v>41935.040000000001</v>
      </c>
      <c r="K512" s="3">
        <v>41935.040000000001</v>
      </c>
      <c r="L512" t="s">
        <v>34</v>
      </c>
      <c r="M512" s="2">
        <v>46100</v>
      </c>
      <c r="N512" s="2">
        <v>46099</v>
      </c>
      <c r="O512" t="s">
        <v>60</v>
      </c>
      <c r="P512" t="s">
        <v>53</v>
      </c>
      <c r="Q512" t="s">
        <v>28</v>
      </c>
      <c r="R512" t="s">
        <v>29</v>
      </c>
    </row>
    <row r="513" spans="1:18">
      <c r="A513" t="s">
        <v>641</v>
      </c>
      <c r="B513" s="2">
        <v>46110</v>
      </c>
      <c r="C513" t="s">
        <v>66</v>
      </c>
      <c r="D513" t="s">
        <v>67</v>
      </c>
      <c r="E513" t="s">
        <v>112</v>
      </c>
      <c r="F513" t="s">
        <v>49</v>
      </c>
      <c r="G513" t="s">
        <v>68</v>
      </c>
      <c r="H513" t="s">
        <v>69</v>
      </c>
      <c r="I513">
        <v>1</v>
      </c>
      <c r="J513" s="3">
        <v>48389.24</v>
      </c>
      <c r="K513" s="3">
        <v>48389.24</v>
      </c>
      <c r="L513" t="s">
        <v>34</v>
      </c>
      <c r="M513" s="2">
        <v>46115</v>
      </c>
      <c r="N513" s="2">
        <v>46112</v>
      </c>
      <c r="O513" t="s">
        <v>26</v>
      </c>
      <c r="P513" t="s">
        <v>115</v>
      </c>
      <c r="Q513" t="s">
        <v>28</v>
      </c>
      <c r="R513" t="s">
        <v>29</v>
      </c>
    </row>
    <row r="514" spans="1:18">
      <c r="A514" t="s">
        <v>642</v>
      </c>
      <c r="B514" s="2">
        <v>45876</v>
      </c>
      <c r="C514" t="s">
        <v>19</v>
      </c>
      <c r="D514" t="s">
        <v>20</v>
      </c>
      <c r="E514" t="s">
        <v>31</v>
      </c>
      <c r="F514" t="s">
        <v>22</v>
      </c>
      <c r="G514" t="s">
        <v>160</v>
      </c>
      <c r="H514" t="s">
        <v>161</v>
      </c>
      <c r="I514">
        <v>1</v>
      </c>
      <c r="J514" s="3">
        <v>2854.51</v>
      </c>
      <c r="K514" s="3">
        <v>2854.51</v>
      </c>
      <c r="L514" t="s">
        <v>25</v>
      </c>
      <c r="M514" s="2">
        <v>45893</v>
      </c>
      <c r="N514" s="2">
        <v>45891</v>
      </c>
      <c r="O514" t="s">
        <v>76</v>
      </c>
      <c r="P514" t="s">
        <v>35</v>
      </c>
      <c r="Q514" t="s">
        <v>28</v>
      </c>
      <c r="R514" t="s">
        <v>29</v>
      </c>
    </row>
    <row r="515" spans="1:18">
      <c r="A515" t="s">
        <v>643</v>
      </c>
      <c r="B515" s="2">
        <v>46175</v>
      </c>
      <c r="C515" t="s">
        <v>134</v>
      </c>
      <c r="D515" t="s">
        <v>135</v>
      </c>
      <c r="E515" t="s">
        <v>39</v>
      </c>
      <c r="F515" t="s">
        <v>40</v>
      </c>
      <c r="G515" t="s">
        <v>136</v>
      </c>
      <c r="H515" t="s">
        <v>137</v>
      </c>
      <c r="I515">
        <v>8</v>
      </c>
      <c r="J515" s="3">
        <v>1636.64</v>
      </c>
      <c r="K515" s="3">
        <v>13093.12</v>
      </c>
      <c r="L515" t="s">
        <v>25</v>
      </c>
      <c r="M515" s="2">
        <v>46192</v>
      </c>
      <c r="N515" s="2">
        <v>46192</v>
      </c>
      <c r="O515" t="s">
        <v>43</v>
      </c>
      <c r="P515" t="s">
        <v>44</v>
      </c>
      <c r="Q515" t="s">
        <v>28</v>
      </c>
      <c r="R515" t="s">
        <v>29</v>
      </c>
    </row>
    <row r="516" spans="1:18">
      <c r="A516" t="s">
        <v>644</v>
      </c>
      <c r="B516" s="2">
        <v>45897</v>
      </c>
      <c r="C516" t="s">
        <v>71</v>
      </c>
      <c r="D516" t="s">
        <v>72</v>
      </c>
      <c r="E516" t="s">
        <v>21</v>
      </c>
      <c r="F516" t="s">
        <v>57</v>
      </c>
      <c r="G516" t="s">
        <v>127</v>
      </c>
      <c r="H516" t="s">
        <v>128</v>
      </c>
      <c r="I516">
        <v>4</v>
      </c>
      <c r="J516" s="3">
        <v>15659.37</v>
      </c>
      <c r="K516" s="3">
        <v>62637.48</v>
      </c>
      <c r="L516" t="s">
        <v>34</v>
      </c>
      <c r="M516" s="2">
        <v>45903</v>
      </c>
      <c r="N516" s="2">
        <v>45902</v>
      </c>
      <c r="O516" t="s">
        <v>76</v>
      </c>
      <c r="P516" t="s">
        <v>27</v>
      </c>
      <c r="Q516" t="s">
        <v>28</v>
      </c>
      <c r="R516" t="s">
        <v>29</v>
      </c>
    </row>
    <row r="517" spans="1:18">
      <c r="A517" t="s">
        <v>645</v>
      </c>
      <c r="B517" s="2">
        <v>45758</v>
      </c>
      <c r="C517" t="s">
        <v>104</v>
      </c>
      <c r="D517" t="s">
        <v>105</v>
      </c>
      <c r="E517" t="s">
        <v>73</v>
      </c>
      <c r="F517" t="s">
        <v>49</v>
      </c>
      <c r="G517" t="s">
        <v>113</v>
      </c>
      <c r="H517" t="s">
        <v>114</v>
      </c>
      <c r="I517">
        <v>1</v>
      </c>
      <c r="J517" s="3">
        <v>37933.11</v>
      </c>
      <c r="K517" s="3">
        <v>37933.11</v>
      </c>
      <c r="L517" t="s">
        <v>25</v>
      </c>
      <c r="M517" s="2">
        <v>45770</v>
      </c>
      <c r="N517" s="2">
        <v>45770</v>
      </c>
      <c r="O517" t="s">
        <v>60</v>
      </c>
      <c r="P517" t="s">
        <v>77</v>
      </c>
      <c r="Q517" t="s">
        <v>28</v>
      </c>
      <c r="R517" t="s">
        <v>29</v>
      </c>
    </row>
    <row r="518" spans="1:18">
      <c r="A518" t="s">
        <v>646</v>
      </c>
      <c r="B518" s="2">
        <v>45928</v>
      </c>
      <c r="C518" t="s">
        <v>131</v>
      </c>
      <c r="D518" t="s">
        <v>132</v>
      </c>
      <c r="E518" t="s">
        <v>31</v>
      </c>
      <c r="F518" t="s">
        <v>57</v>
      </c>
      <c r="G518" t="s">
        <v>120</v>
      </c>
      <c r="H518" t="s">
        <v>121</v>
      </c>
      <c r="I518">
        <v>7</v>
      </c>
      <c r="J518" s="3">
        <v>23043.15</v>
      </c>
      <c r="K518" s="3">
        <v>161302.04999999999</v>
      </c>
      <c r="L518" t="s">
        <v>25</v>
      </c>
      <c r="M518" s="2">
        <v>45946</v>
      </c>
      <c r="N518" s="2">
        <v>45945</v>
      </c>
      <c r="O518" t="s">
        <v>60</v>
      </c>
      <c r="P518" t="s">
        <v>94</v>
      </c>
      <c r="Q518" t="s">
        <v>28</v>
      </c>
      <c r="R518" t="s">
        <v>29</v>
      </c>
    </row>
    <row r="519" spans="1:18">
      <c r="A519" t="s">
        <v>647</v>
      </c>
      <c r="B519" s="2">
        <v>46124</v>
      </c>
      <c r="C519" t="s">
        <v>46</v>
      </c>
      <c r="D519" t="s">
        <v>47</v>
      </c>
      <c r="E519" t="s">
        <v>48</v>
      </c>
      <c r="F519" t="s">
        <v>49</v>
      </c>
      <c r="G519" t="s">
        <v>113</v>
      </c>
      <c r="H519" t="s">
        <v>114</v>
      </c>
      <c r="I519">
        <v>1</v>
      </c>
      <c r="J519" s="3">
        <v>40150.129999999997</v>
      </c>
      <c r="K519" s="3">
        <v>40150.129999999997</v>
      </c>
      <c r="L519" t="s">
        <v>25</v>
      </c>
      <c r="M519" s="2">
        <v>46134</v>
      </c>
      <c r="N519" s="2">
        <v>46134</v>
      </c>
      <c r="O519" t="s">
        <v>43</v>
      </c>
      <c r="P519" t="s">
        <v>53</v>
      </c>
      <c r="Q519" t="s">
        <v>28</v>
      </c>
      <c r="R519" t="s">
        <v>29</v>
      </c>
    </row>
    <row r="520" spans="1:18">
      <c r="A520" t="s">
        <v>648</v>
      </c>
      <c r="B520" s="2">
        <v>45968</v>
      </c>
      <c r="C520" t="s">
        <v>37</v>
      </c>
      <c r="D520" t="s">
        <v>38</v>
      </c>
      <c r="E520" t="s">
        <v>39</v>
      </c>
      <c r="F520" t="s">
        <v>22</v>
      </c>
      <c r="G520" t="s">
        <v>23</v>
      </c>
      <c r="H520" t="s">
        <v>24</v>
      </c>
      <c r="I520">
        <v>24</v>
      </c>
      <c r="J520" s="3">
        <v>261.61</v>
      </c>
      <c r="K520" s="3">
        <v>6278.64</v>
      </c>
      <c r="L520" t="s">
        <v>25</v>
      </c>
      <c r="M520" s="2">
        <v>45977</v>
      </c>
      <c r="N520" s="2">
        <v>45974</v>
      </c>
      <c r="O520" t="s">
        <v>76</v>
      </c>
      <c r="P520" t="s">
        <v>64</v>
      </c>
      <c r="Q520" t="s">
        <v>28</v>
      </c>
      <c r="R520" t="s">
        <v>29</v>
      </c>
    </row>
    <row r="521" spans="1:18">
      <c r="A521" t="s">
        <v>649</v>
      </c>
      <c r="B521" s="2">
        <v>45703</v>
      </c>
      <c r="C521" t="s">
        <v>37</v>
      </c>
      <c r="D521" t="s">
        <v>38</v>
      </c>
      <c r="E521" t="s">
        <v>31</v>
      </c>
      <c r="F521" t="s">
        <v>22</v>
      </c>
      <c r="G521" t="s">
        <v>160</v>
      </c>
      <c r="H521" t="s">
        <v>161</v>
      </c>
      <c r="I521">
        <v>8</v>
      </c>
      <c r="J521" s="3">
        <v>3472.7</v>
      </c>
      <c r="K521" s="3">
        <v>27781.599999999999</v>
      </c>
      <c r="L521" t="s">
        <v>34</v>
      </c>
      <c r="M521" s="2">
        <v>45721</v>
      </c>
      <c r="N521" s="2">
        <v>45720</v>
      </c>
      <c r="O521" t="s">
        <v>60</v>
      </c>
      <c r="P521" t="s">
        <v>35</v>
      </c>
      <c r="Q521" t="s">
        <v>28</v>
      </c>
      <c r="R521" t="s">
        <v>29</v>
      </c>
    </row>
    <row r="522" spans="1:18">
      <c r="A522" t="s">
        <v>650</v>
      </c>
      <c r="B522" s="2">
        <v>46117</v>
      </c>
      <c r="C522" t="s">
        <v>71</v>
      </c>
      <c r="D522" t="s">
        <v>72</v>
      </c>
      <c r="E522" t="s">
        <v>48</v>
      </c>
      <c r="F522" t="s">
        <v>57</v>
      </c>
      <c r="G522" t="s">
        <v>127</v>
      </c>
      <c r="H522" t="s">
        <v>128</v>
      </c>
      <c r="I522">
        <v>4</v>
      </c>
      <c r="J522" s="3">
        <v>15240.1</v>
      </c>
      <c r="K522" s="3">
        <v>60960.4</v>
      </c>
      <c r="L522" t="s">
        <v>52</v>
      </c>
      <c r="M522" s="2">
        <v>46128</v>
      </c>
      <c r="N522" s="2">
        <v>46128</v>
      </c>
      <c r="O522" t="s">
        <v>60</v>
      </c>
      <c r="P522" t="s">
        <v>53</v>
      </c>
      <c r="Q522" t="s">
        <v>28</v>
      </c>
      <c r="R522" t="s">
        <v>29</v>
      </c>
    </row>
    <row r="523" spans="1:18">
      <c r="A523" t="s">
        <v>651</v>
      </c>
      <c r="B523" s="2">
        <v>45683</v>
      </c>
      <c r="C523" t="s">
        <v>46</v>
      </c>
      <c r="D523" t="s">
        <v>47</v>
      </c>
      <c r="E523" t="s">
        <v>48</v>
      </c>
      <c r="F523" t="s">
        <v>49</v>
      </c>
      <c r="G523" t="s">
        <v>113</v>
      </c>
      <c r="H523" t="s">
        <v>114</v>
      </c>
      <c r="I523">
        <v>3</v>
      </c>
      <c r="J523" s="3">
        <v>38977.49</v>
      </c>
      <c r="K523" s="3">
        <v>116932.47</v>
      </c>
      <c r="L523" t="s">
        <v>52</v>
      </c>
      <c r="M523" s="2">
        <v>45696</v>
      </c>
      <c r="N523" s="2">
        <v>45696</v>
      </c>
      <c r="O523" t="s">
        <v>26</v>
      </c>
      <c r="P523" t="s">
        <v>53</v>
      </c>
      <c r="Q523" t="s">
        <v>28</v>
      </c>
      <c r="R523" t="s">
        <v>29</v>
      </c>
    </row>
    <row r="524" spans="1:18">
      <c r="A524" t="s">
        <v>652</v>
      </c>
      <c r="B524" s="2">
        <v>46202</v>
      </c>
      <c r="C524" t="s">
        <v>37</v>
      </c>
      <c r="D524" t="s">
        <v>38</v>
      </c>
      <c r="E524" t="s">
        <v>39</v>
      </c>
      <c r="F524" t="s">
        <v>22</v>
      </c>
      <c r="G524" t="s">
        <v>23</v>
      </c>
      <c r="H524" t="s">
        <v>24</v>
      </c>
      <c r="I524">
        <v>42</v>
      </c>
      <c r="J524" s="3">
        <v>271.45999999999998</v>
      </c>
      <c r="K524" s="3">
        <v>11401.32</v>
      </c>
      <c r="L524" t="s">
        <v>25</v>
      </c>
      <c r="M524" s="2">
        <v>46214</v>
      </c>
      <c r="N524" s="2">
        <v>46212</v>
      </c>
      <c r="O524" t="s">
        <v>43</v>
      </c>
      <c r="P524" t="s">
        <v>44</v>
      </c>
      <c r="Q524" t="s">
        <v>28</v>
      </c>
      <c r="R524" t="s">
        <v>29</v>
      </c>
    </row>
    <row r="525" spans="1:18">
      <c r="A525" t="s">
        <v>653</v>
      </c>
      <c r="B525" s="2">
        <v>46105</v>
      </c>
      <c r="C525" t="s">
        <v>96</v>
      </c>
      <c r="D525" t="s">
        <v>97</v>
      </c>
      <c r="E525" t="s">
        <v>39</v>
      </c>
      <c r="F525" t="s">
        <v>82</v>
      </c>
      <c r="G525" t="s">
        <v>98</v>
      </c>
      <c r="H525" t="s">
        <v>99</v>
      </c>
      <c r="I525">
        <v>11</v>
      </c>
      <c r="J525" s="3">
        <v>1124.56</v>
      </c>
      <c r="K525" s="3">
        <v>12370.16</v>
      </c>
      <c r="L525" t="s">
        <v>25</v>
      </c>
      <c r="M525" s="2">
        <v>46118</v>
      </c>
      <c r="N525" s="2">
        <v>46117</v>
      </c>
      <c r="O525" t="s">
        <v>43</v>
      </c>
      <c r="P525" t="s">
        <v>64</v>
      </c>
      <c r="Q525" t="s">
        <v>28</v>
      </c>
      <c r="R525" t="s">
        <v>29</v>
      </c>
    </row>
    <row r="526" spans="1:18">
      <c r="A526" t="s">
        <v>654</v>
      </c>
      <c r="B526" s="2">
        <v>45831</v>
      </c>
      <c r="C526" t="s">
        <v>19</v>
      </c>
      <c r="D526" t="s">
        <v>20</v>
      </c>
      <c r="E526" t="s">
        <v>112</v>
      </c>
      <c r="F526" t="s">
        <v>22</v>
      </c>
      <c r="G526" t="s">
        <v>23</v>
      </c>
      <c r="H526" t="s">
        <v>24</v>
      </c>
      <c r="I526">
        <v>11</v>
      </c>
      <c r="J526" s="3">
        <v>238.34</v>
      </c>
      <c r="K526" s="3">
        <v>2621.74</v>
      </c>
      <c r="L526" t="s">
        <v>25</v>
      </c>
      <c r="M526" s="2">
        <v>45841</v>
      </c>
      <c r="N526" s="2">
        <v>45848</v>
      </c>
      <c r="O526" t="s">
        <v>43</v>
      </c>
      <c r="P526" t="s">
        <v>115</v>
      </c>
      <c r="Q526" t="s">
        <v>28</v>
      </c>
      <c r="R526" t="s">
        <v>129</v>
      </c>
    </row>
    <row r="527" spans="1:18">
      <c r="A527" t="s">
        <v>655</v>
      </c>
      <c r="B527" s="2">
        <v>45865</v>
      </c>
      <c r="C527" t="s">
        <v>107</v>
      </c>
      <c r="D527" t="s">
        <v>108</v>
      </c>
      <c r="E527" t="s">
        <v>31</v>
      </c>
      <c r="F527" t="s">
        <v>91</v>
      </c>
      <c r="G527" t="s">
        <v>109</v>
      </c>
      <c r="H527" t="s">
        <v>110</v>
      </c>
      <c r="I527">
        <v>1</v>
      </c>
      <c r="J527" s="3">
        <v>13824.22</v>
      </c>
      <c r="K527" s="3">
        <v>13824.22</v>
      </c>
      <c r="L527" t="s">
        <v>34</v>
      </c>
      <c r="M527" s="2">
        <v>45874</v>
      </c>
      <c r="N527" s="2">
        <v>45871</v>
      </c>
      <c r="O527" t="s">
        <v>43</v>
      </c>
      <c r="P527" t="s">
        <v>35</v>
      </c>
      <c r="Q527" t="s">
        <v>28</v>
      </c>
      <c r="R527" t="s">
        <v>29</v>
      </c>
    </row>
    <row r="528" spans="1:18">
      <c r="A528" t="s">
        <v>656</v>
      </c>
      <c r="B528" s="2">
        <v>45687</v>
      </c>
      <c r="C528" t="s">
        <v>19</v>
      </c>
      <c r="D528" t="s">
        <v>20</v>
      </c>
      <c r="E528" t="s">
        <v>39</v>
      </c>
      <c r="F528" t="s">
        <v>22</v>
      </c>
      <c r="G528" t="s">
        <v>160</v>
      </c>
      <c r="H528" t="s">
        <v>161</v>
      </c>
      <c r="I528">
        <v>2</v>
      </c>
      <c r="J528" s="3">
        <v>2966.87</v>
      </c>
      <c r="K528" s="3">
        <v>5933.74</v>
      </c>
      <c r="L528" t="s">
        <v>25</v>
      </c>
      <c r="M528" s="2">
        <v>45695</v>
      </c>
      <c r="N528" s="2">
        <v>45694</v>
      </c>
      <c r="O528" t="s">
        <v>60</v>
      </c>
      <c r="P528" t="s">
        <v>44</v>
      </c>
      <c r="Q528" t="s">
        <v>28</v>
      </c>
      <c r="R528" t="s">
        <v>29</v>
      </c>
    </row>
    <row r="529" spans="1:18">
      <c r="A529" t="s">
        <v>657</v>
      </c>
      <c r="B529" s="2">
        <v>46170</v>
      </c>
      <c r="C529" t="s">
        <v>147</v>
      </c>
      <c r="D529" t="s">
        <v>148</v>
      </c>
      <c r="E529" t="s">
        <v>112</v>
      </c>
      <c r="F529" t="s">
        <v>40</v>
      </c>
      <c r="G529" t="s">
        <v>149</v>
      </c>
      <c r="H529" t="s">
        <v>150</v>
      </c>
      <c r="I529">
        <v>32</v>
      </c>
      <c r="J529" s="3">
        <v>1306.8599999999999</v>
      </c>
      <c r="K529" s="3">
        <v>41819.519999999997</v>
      </c>
      <c r="L529" t="s">
        <v>34</v>
      </c>
      <c r="M529" s="2">
        <v>46183</v>
      </c>
      <c r="N529" s="2">
        <v>46183</v>
      </c>
      <c r="O529" t="s">
        <v>76</v>
      </c>
      <c r="P529" t="s">
        <v>115</v>
      </c>
      <c r="Q529" t="s">
        <v>28</v>
      </c>
      <c r="R529" t="s">
        <v>29</v>
      </c>
    </row>
    <row r="530" spans="1:18">
      <c r="A530" t="s">
        <v>658</v>
      </c>
      <c r="B530" s="2">
        <v>45658</v>
      </c>
      <c r="C530" t="s">
        <v>147</v>
      </c>
      <c r="D530" t="s">
        <v>148</v>
      </c>
      <c r="E530" t="s">
        <v>112</v>
      </c>
      <c r="F530" t="s">
        <v>40</v>
      </c>
      <c r="G530" t="s">
        <v>136</v>
      </c>
      <c r="H530" t="s">
        <v>137</v>
      </c>
      <c r="I530">
        <v>27</v>
      </c>
      <c r="J530" s="3">
        <v>1574.83</v>
      </c>
      <c r="K530" s="3">
        <v>42520.41</v>
      </c>
      <c r="L530" t="s">
        <v>25</v>
      </c>
      <c r="M530" s="2">
        <v>45676</v>
      </c>
      <c r="N530" s="2">
        <v>45674</v>
      </c>
      <c r="O530" t="s">
        <v>43</v>
      </c>
      <c r="P530" t="s">
        <v>115</v>
      </c>
      <c r="Q530" t="s">
        <v>28</v>
      </c>
      <c r="R530" t="s">
        <v>29</v>
      </c>
    </row>
    <row r="531" spans="1:18">
      <c r="A531" t="s">
        <v>659</v>
      </c>
      <c r="B531" s="2">
        <v>45749</v>
      </c>
      <c r="C531" t="s">
        <v>19</v>
      </c>
      <c r="D531" t="s">
        <v>20</v>
      </c>
      <c r="E531" t="s">
        <v>39</v>
      </c>
      <c r="F531" t="s">
        <v>22</v>
      </c>
      <c r="G531" t="s">
        <v>32</v>
      </c>
      <c r="H531" t="s">
        <v>33</v>
      </c>
      <c r="I531">
        <v>7</v>
      </c>
      <c r="J531" s="3">
        <v>7146.29</v>
      </c>
      <c r="K531" s="3">
        <v>50024.03</v>
      </c>
      <c r="L531" t="s">
        <v>52</v>
      </c>
      <c r="M531" s="2">
        <v>45757</v>
      </c>
      <c r="N531" s="2">
        <v>45755</v>
      </c>
      <c r="O531" t="s">
        <v>76</v>
      </c>
      <c r="P531" t="s">
        <v>44</v>
      </c>
      <c r="Q531" t="s">
        <v>28</v>
      </c>
      <c r="R531" t="s">
        <v>29</v>
      </c>
    </row>
    <row r="532" spans="1:18">
      <c r="A532" t="s">
        <v>660</v>
      </c>
      <c r="B532" s="2">
        <v>46121</v>
      </c>
      <c r="C532" t="s">
        <v>104</v>
      </c>
      <c r="D532" t="s">
        <v>105</v>
      </c>
      <c r="E532" t="s">
        <v>48</v>
      </c>
      <c r="F532" t="s">
        <v>49</v>
      </c>
      <c r="G532" t="s">
        <v>165</v>
      </c>
      <c r="H532" t="s">
        <v>166</v>
      </c>
      <c r="I532">
        <v>1</v>
      </c>
      <c r="J532" s="3">
        <v>47083.92</v>
      </c>
      <c r="K532" s="3">
        <v>47083.92</v>
      </c>
      <c r="L532" t="s">
        <v>34</v>
      </c>
      <c r="M532" s="2">
        <v>46126</v>
      </c>
      <c r="N532" s="2">
        <v>46125</v>
      </c>
      <c r="O532" t="s">
        <v>43</v>
      </c>
      <c r="P532" t="s">
        <v>53</v>
      </c>
      <c r="Q532" t="s">
        <v>28</v>
      </c>
      <c r="R532" t="s">
        <v>29</v>
      </c>
    </row>
    <row r="533" spans="1:18">
      <c r="A533" t="s">
        <v>661</v>
      </c>
      <c r="B533" s="2">
        <v>45835</v>
      </c>
      <c r="C533" t="s">
        <v>66</v>
      </c>
      <c r="D533" t="s">
        <v>67</v>
      </c>
      <c r="E533" t="s">
        <v>112</v>
      </c>
      <c r="F533" t="s">
        <v>49</v>
      </c>
      <c r="G533" t="s">
        <v>68</v>
      </c>
      <c r="H533" t="s">
        <v>69</v>
      </c>
      <c r="I533">
        <v>1</v>
      </c>
      <c r="J533" s="3">
        <v>46952.59</v>
      </c>
      <c r="K533" s="3">
        <v>46952.59</v>
      </c>
      <c r="L533" t="s">
        <v>34</v>
      </c>
      <c r="M533" s="2">
        <v>45848</v>
      </c>
      <c r="N533" s="2">
        <v>45863</v>
      </c>
      <c r="O533" t="s">
        <v>60</v>
      </c>
      <c r="P533" t="s">
        <v>115</v>
      </c>
      <c r="Q533" t="s">
        <v>28</v>
      </c>
      <c r="R533" t="s">
        <v>129</v>
      </c>
    </row>
    <row r="534" spans="1:18">
      <c r="A534" t="s">
        <v>662</v>
      </c>
      <c r="B534" s="2">
        <v>46024</v>
      </c>
      <c r="C534" t="s">
        <v>71</v>
      </c>
      <c r="D534" t="s">
        <v>72</v>
      </c>
      <c r="E534" t="s">
        <v>48</v>
      </c>
      <c r="F534" t="s">
        <v>57</v>
      </c>
      <c r="G534" t="s">
        <v>101</v>
      </c>
      <c r="H534" t="s">
        <v>102</v>
      </c>
      <c r="I534">
        <v>33</v>
      </c>
      <c r="J534" s="3">
        <v>1758.02</v>
      </c>
      <c r="K534" s="3">
        <v>58014.66</v>
      </c>
      <c r="L534" t="s">
        <v>34</v>
      </c>
      <c r="M534" s="2">
        <v>46029</v>
      </c>
      <c r="N534" s="2">
        <v>46031</v>
      </c>
      <c r="O534" t="s">
        <v>76</v>
      </c>
      <c r="P534" t="s">
        <v>53</v>
      </c>
      <c r="Q534" t="s">
        <v>28</v>
      </c>
      <c r="R534" t="s">
        <v>129</v>
      </c>
    </row>
    <row r="535" spans="1:18">
      <c r="A535" t="s">
        <v>663</v>
      </c>
      <c r="B535" s="2">
        <v>45968</v>
      </c>
      <c r="C535" t="s">
        <v>37</v>
      </c>
      <c r="D535" t="s">
        <v>38</v>
      </c>
      <c r="E535" t="s">
        <v>39</v>
      </c>
      <c r="F535" t="s">
        <v>40</v>
      </c>
      <c r="G535" t="s">
        <v>136</v>
      </c>
      <c r="H535" t="s">
        <v>137</v>
      </c>
      <c r="I535">
        <v>50</v>
      </c>
      <c r="J535" s="3">
        <v>1773.19</v>
      </c>
      <c r="K535" s="3">
        <v>88659.5</v>
      </c>
      <c r="L535" t="s">
        <v>25</v>
      </c>
      <c r="M535" s="2">
        <v>45984</v>
      </c>
      <c r="N535" s="2">
        <v>45984</v>
      </c>
      <c r="O535" t="s">
        <v>60</v>
      </c>
      <c r="P535" t="s">
        <v>64</v>
      </c>
      <c r="Q535" t="s">
        <v>28</v>
      </c>
      <c r="R535" t="s">
        <v>29</v>
      </c>
    </row>
    <row r="536" spans="1:18">
      <c r="A536" t="s">
        <v>664</v>
      </c>
      <c r="B536" s="2">
        <v>45942</v>
      </c>
      <c r="C536" t="s">
        <v>19</v>
      </c>
      <c r="D536" t="s">
        <v>20</v>
      </c>
      <c r="E536" t="s">
        <v>31</v>
      </c>
      <c r="F536" t="s">
        <v>22</v>
      </c>
      <c r="G536" t="s">
        <v>23</v>
      </c>
      <c r="H536" t="s">
        <v>24</v>
      </c>
      <c r="I536">
        <v>48</v>
      </c>
      <c r="J536" s="3">
        <v>230.34</v>
      </c>
      <c r="K536" s="3">
        <v>11056.32</v>
      </c>
      <c r="L536" t="s">
        <v>34</v>
      </c>
      <c r="M536" s="2">
        <v>45956</v>
      </c>
      <c r="N536" s="2">
        <v>45956</v>
      </c>
      <c r="O536" t="s">
        <v>43</v>
      </c>
      <c r="P536" t="s">
        <v>94</v>
      </c>
      <c r="Q536" t="s">
        <v>28</v>
      </c>
      <c r="R536" t="s">
        <v>29</v>
      </c>
    </row>
    <row r="537" spans="1:18">
      <c r="A537" t="s">
        <v>665</v>
      </c>
      <c r="B537" s="2">
        <v>45938</v>
      </c>
      <c r="C537" t="s">
        <v>104</v>
      </c>
      <c r="D537" t="s">
        <v>105</v>
      </c>
      <c r="E537" t="s">
        <v>48</v>
      </c>
      <c r="F537" t="s">
        <v>49</v>
      </c>
      <c r="G537" t="s">
        <v>68</v>
      </c>
      <c r="H537" t="s">
        <v>69</v>
      </c>
      <c r="I537">
        <v>1</v>
      </c>
      <c r="J537" s="3">
        <v>47925.13</v>
      </c>
      <c r="K537" s="3">
        <v>47925.13</v>
      </c>
      <c r="L537" t="s">
        <v>34</v>
      </c>
      <c r="M537" s="2">
        <v>45956</v>
      </c>
      <c r="N537" s="2">
        <v>45953</v>
      </c>
      <c r="O537" t="s">
        <v>60</v>
      </c>
      <c r="P537" t="s">
        <v>53</v>
      </c>
      <c r="Q537" t="s">
        <v>28</v>
      </c>
      <c r="R537" t="s">
        <v>29</v>
      </c>
    </row>
    <row r="538" spans="1:18">
      <c r="A538" t="s">
        <v>666</v>
      </c>
      <c r="B538" s="2">
        <v>46135</v>
      </c>
      <c r="C538" t="s">
        <v>89</v>
      </c>
      <c r="D538" t="s">
        <v>90</v>
      </c>
      <c r="E538" t="s">
        <v>31</v>
      </c>
      <c r="F538" t="s">
        <v>91</v>
      </c>
      <c r="G538" t="s">
        <v>92</v>
      </c>
      <c r="H538" t="s">
        <v>93</v>
      </c>
      <c r="I538">
        <v>3</v>
      </c>
      <c r="J538" s="3">
        <v>43791.519999999997</v>
      </c>
      <c r="K538" s="3">
        <v>131374.56</v>
      </c>
      <c r="L538" t="s">
        <v>25</v>
      </c>
      <c r="M538" s="2">
        <v>46147</v>
      </c>
      <c r="N538" s="2">
        <v>46144</v>
      </c>
      <c r="O538" t="s">
        <v>43</v>
      </c>
      <c r="P538" t="s">
        <v>94</v>
      </c>
      <c r="Q538" t="s">
        <v>28</v>
      </c>
      <c r="R538" t="s">
        <v>29</v>
      </c>
    </row>
    <row r="539" spans="1:18">
      <c r="A539" t="s">
        <v>667</v>
      </c>
      <c r="B539" s="2">
        <v>45913</v>
      </c>
      <c r="C539" t="s">
        <v>19</v>
      </c>
      <c r="D539" t="s">
        <v>20</v>
      </c>
      <c r="E539" t="s">
        <v>21</v>
      </c>
      <c r="F539" t="s">
        <v>22</v>
      </c>
      <c r="G539" t="s">
        <v>32</v>
      </c>
      <c r="H539" t="s">
        <v>33</v>
      </c>
      <c r="I539">
        <v>7</v>
      </c>
      <c r="J539" s="3">
        <v>6982.04</v>
      </c>
      <c r="K539" s="3">
        <v>48874.28</v>
      </c>
      <c r="L539" t="s">
        <v>34</v>
      </c>
      <c r="M539" s="2">
        <v>45930</v>
      </c>
      <c r="N539" s="2">
        <v>45944</v>
      </c>
      <c r="O539" t="s">
        <v>76</v>
      </c>
      <c r="P539" t="s">
        <v>27</v>
      </c>
      <c r="Q539" t="s">
        <v>28</v>
      </c>
      <c r="R539" t="s">
        <v>129</v>
      </c>
    </row>
    <row r="540" spans="1:18">
      <c r="A540" t="s">
        <v>668</v>
      </c>
      <c r="B540" s="2">
        <v>45911</v>
      </c>
      <c r="C540" t="s">
        <v>147</v>
      </c>
      <c r="D540" t="s">
        <v>148</v>
      </c>
      <c r="E540" t="s">
        <v>39</v>
      </c>
      <c r="F540" t="s">
        <v>40</v>
      </c>
      <c r="G540" t="s">
        <v>41</v>
      </c>
      <c r="H540" t="s">
        <v>42</v>
      </c>
      <c r="I540">
        <v>4</v>
      </c>
      <c r="J540" s="3">
        <v>5219.1000000000004</v>
      </c>
      <c r="K540" s="3">
        <v>20876.400000000001</v>
      </c>
      <c r="L540" t="s">
        <v>34</v>
      </c>
      <c r="M540" s="2">
        <v>45917</v>
      </c>
      <c r="N540" s="2">
        <v>45914</v>
      </c>
      <c r="O540" t="s">
        <v>60</v>
      </c>
      <c r="P540" t="s">
        <v>64</v>
      </c>
      <c r="Q540" t="s">
        <v>28</v>
      </c>
      <c r="R540" t="s">
        <v>29</v>
      </c>
    </row>
    <row r="541" spans="1:18">
      <c r="A541" t="s">
        <v>669</v>
      </c>
      <c r="B541" s="2">
        <v>45692</v>
      </c>
      <c r="C541" t="s">
        <v>66</v>
      </c>
      <c r="D541" t="s">
        <v>67</v>
      </c>
      <c r="E541" t="s">
        <v>112</v>
      </c>
      <c r="F541" t="s">
        <v>49</v>
      </c>
      <c r="G541" t="s">
        <v>113</v>
      </c>
      <c r="H541" t="s">
        <v>114</v>
      </c>
      <c r="I541">
        <v>2</v>
      </c>
      <c r="J541" s="3">
        <v>35591.29</v>
      </c>
      <c r="K541" s="3">
        <v>71182.58</v>
      </c>
      <c r="L541" t="s">
        <v>25</v>
      </c>
      <c r="M541" s="2">
        <v>45697</v>
      </c>
      <c r="N541" s="2">
        <v>45694</v>
      </c>
      <c r="O541" t="s">
        <v>43</v>
      </c>
      <c r="P541" t="s">
        <v>115</v>
      </c>
      <c r="Q541" t="s">
        <v>28</v>
      </c>
      <c r="R541" t="s">
        <v>29</v>
      </c>
    </row>
    <row r="542" spans="1:18">
      <c r="A542" t="s">
        <v>670</v>
      </c>
      <c r="B542" s="2">
        <v>46069</v>
      </c>
      <c r="C542" t="s">
        <v>71</v>
      </c>
      <c r="D542" t="s">
        <v>72</v>
      </c>
      <c r="E542" t="s">
        <v>48</v>
      </c>
      <c r="F542" t="s">
        <v>57</v>
      </c>
      <c r="G542" t="s">
        <v>127</v>
      </c>
      <c r="H542" t="s">
        <v>128</v>
      </c>
      <c r="I542">
        <v>8</v>
      </c>
      <c r="J542" s="3">
        <v>15535.07</v>
      </c>
      <c r="K542" s="3">
        <v>124280.56</v>
      </c>
      <c r="L542" t="s">
        <v>52</v>
      </c>
      <c r="M542" s="2">
        <v>46080</v>
      </c>
      <c r="N542" s="2">
        <v>46077</v>
      </c>
      <c r="O542" t="s">
        <v>43</v>
      </c>
      <c r="P542" t="s">
        <v>53</v>
      </c>
      <c r="Q542" t="s">
        <v>28</v>
      </c>
      <c r="R542" t="s">
        <v>29</v>
      </c>
    </row>
    <row r="543" spans="1:18">
      <c r="A543" t="s">
        <v>671</v>
      </c>
      <c r="B543" s="2">
        <v>45684</v>
      </c>
      <c r="C543" t="s">
        <v>142</v>
      </c>
      <c r="D543" t="s">
        <v>143</v>
      </c>
      <c r="E543" t="s">
        <v>21</v>
      </c>
      <c r="F543" t="s">
        <v>22</v>
      </c>
      <c r="G543" t="s">
        <v>23</v>
      </c>
      <c r="H543" t="s">
        <v>24</v>
      </c>
      <c r="I543">
        <v>9</v>
      </c>
      <c r="J543" s="3">
        <v>248.32</v>
      </c>
      <c r="K543" s="3">
        <v>2234.88</v>
      </c>
      <c r="L543" t="s">
        <v>52</v>
      </c>
      <c r="M543" s="2">
        <v>45698</v>
      </c>
      <c r="N543" s="2">
        <v>45697</v>
      </c>
      <c r="O543" t="s">
        <v>26</v>
      </c>
      <c r="P543" t="s">
        <v>27</v>
      </c>
      <c r="Q543" t="s">
        <v>28</v>
      </c>
      <c r="R543" t="s">
        <v>29</v>
      </c>
    </row>
    <row r="544" spans="1:18">
      <c r="A544" t="s">
        <v>672</v>
      </c>
      <c r="B544" s="2">
        <v>46021</v>
      </c>
      <c r="C544" t="s">
        <v>104</v>
      </c>
      <c r="D544" t="s">
        <v>105</v>
      </c>
      <c r="E544" t="s">
        <v>48</v>
      </c>
      <c r="F544" t="s">
        <v>49</v>
      </c>
      <c r="G544" t="s">
        <v>50</v>
      </c>
      <c r="H544" t="s">
        <v>51</v>
      </c>
      <c r="I544">
        <v>1</v>
      </c>
      <c r="J544" s="3">
        <v>53650.080000000002</v>
      </c>
      <c r="K544" s="3">
        <v>53650.080000000002</v>
      </c>
      <c r="L544" t="s">
        <v>25</v>
      </c>
      <c r="M544" s="2">
        <v>46028</v>
      </c>
      <c r="N544" s="2">
        <v>46025</v>
      </c>
      <c r="O544" t="s">
        <v>76</v>
      </c>
      <c r="P544" t="s">
        <v>53</v>
      </c>
      <c r="Q544" t="s">
        <v>28</v>
      </c>
      <c r="R544" t="s">
        <v>29</v>
      </c>
    </row>
    <row r="545" spans="1:18">
      <c r="A545" t="s">
        <v>673</v>
      </c>
      <c r="B545" s="2">
        <v>45807</v>
      </c>
      <c r="C545" t="s">
        <v>104</v>
      </c>
      <c r="D545" t="s">
        <v>105</v>
      </c>
      <c r="E545" t="s">
        <v>21</v>
      </c>
      <c r="F545" t="s">
        <v>49</v>
      </c>
      <c r="G545" t="s">
        <v>165</v>
      </c>
      <c r="H545" t="s">
        <v>166</v>
      </c>
      <c r="I545">
        <v>3</v>
      </c>
      <c r="J545" s="3">
        <v>43232.73</v>
      </c>
      <c r="K545" s="3">
        <v>129698.19</v>
      </c>
      <c r="L545" t="s">
        <v>25</v>
      </c>
      <c r="M545" s="2">
        <v>45822</v>
      </c>
      <c r="N545" s="2">
        <v>45822</v>
      </c>
      <c r="O545" t="s">
        <v>43</v>
      </c>
      <c r="P545" t="s">
        <v>27</v>
      </c>
      <c r="Q545" t="s">
        <v>28</v>
      </c>
      <c r="R545" t="s">
        <v>29</v>
      </c>
    </row>
    <row r="546" spans="1:18">
      <c r="A546" t="s">
        <v>674</v>
      </c>
      <c r="B546" s="2">
        <v>46010</v>
      </c>
      <c r="C546" t="s">
        <v>142</v>
      </c>
      <c r="D546" t="s">
        <v>143</v>
      </c>
      <c r="E546" t="s">
        <v>39</v>
      </c>
      <c r="F546" t="s">
        <v>22</v>
      </c>
      <c r="G546" t="s">
        <v>23</v>
      </c>
      <c r="H546" t="s">
        <v>24</v>
      </c>
      <c r="I546">
        <v>49</v>
      </c>
      <c r="J546" s="3">
        <v>249.93</v>
      </c>
      <c r="K546" s="3">
        <v>12246.57</v>
      </c>
      <c r="L546" t="s">
        <v>52</v>
      </c>
      <c r="M546" s="2">
        <v>46026</v>
      </c>
      <c r="N546" s="2">
        <v>46024</v>
      </c>
      <c r="O546" t="s">
        <v>76</v>
      </c>
      <c r="P546" t="s">
        <v>44</v>
      </c>
      <c r="Q546" t="s">
        <v>28</v>
      </c>
      <c r="R546" t="s">
        <v>29</v>
      </c>
    </row>
    <row r="547" spans="1:18">
      <c r="A547" t="s">
        <v>675</v>
      </c>
      <c r="B547" s="2">
        <v>46086</v>
      </c>
      <c r="C547" t="s">
        <v>142</v>
      </c>
      <c r="D547" t="s">
        <v>143</v>
      </c>
      <c r="E547" t="s">
        <v>39</v>
      </c>
      <c r="F547" t="s">
        <v>22</v>
      </c>
      <c r="G547" t="s">
        <v>160</v>
      </c>
      <c r="H547" t="s">
        <v>161</v>
      </c>
      <c r="I547">
        <v>4</v>
      </c>
      <c r="J547" s="3">
        <v>3025.05</v>
      </c>
      <c r="K547" s="3">
        <v>12100.2</v>
      </c>
      <c r="L547" t="s">
        <v>25</v>
      </c>
      <c r="M547" s="2">
        <v>46102</v>
      </c>
      <c r="N547" s="2">
        <v>46101</v>
      </c>
      <c r="O547" t="s">
        <v>76</v>
      </c>
      <c r="P547" t="s">
        <v>44</v>
      </c>
      <c r="Q547" t="s">
        <v>28</v>
      </c>
      <c r="R547" t="s">
        <v>29</v>
      </c>
    </row>
    <row r="548" spans="1:18">
      <c r="A548" t="s">
        <v>676</v>
      </c>
      <c r="B548" s="2">
        <v>45868</v>
      </c>
      <c r="C548" t="s">
        <v>117</v>
      </c>
      <c r="D548" t="s">
        <v>118</v>
      </c>
      <c r="E548" t="s">
        <v>48</v>
      </c>
      <c r="F548" t="s">
        <v>57</v>
      </c>
      <c r="G548" t="s">
        <v>58</v>
      </c>
      <c r="H548" t="s">
        <v>59</v>
      </c>
      <c r="I548">
        <v>2</v>
      </c>
      <c r="J548" s="3">
        <v>56883.39</v>
      </c>
      <c r="K548" s="3">
        <v>113766.78</v>
      </c>
      <c r="L548" t="s">
        <v>34</v>
      </c>
      <c r="M548" s="2">
        <v>45875</v>
      </c>
      <c r="N548" s="2">
        <v>45874</v>
      </c>
      <c r="O548" t="s">
        <v>76</v>
      </c>
      <c r="P548" t="s">
        <v>53</v>
      </c>
      <c r="Q548" t="s">
        <v>28</v>
      </c>
      <c r="R548" t="s">
        <v>29</v>
      </c>
    </row>
    <row r="549" spans="1:18">
      <c r="A549" t="s">
        <v>677</v>
      </c>
      <c r="B549" s="2">
        <v>45688</v>
      </c>
      <c r="C549" t="s">
        <v>19</v>
      </c>
      <c r="D549" t="s">
        <v>20</v>
      </c>
      <c r="E549" t="s">
        <v>21</v>
      </c>
      <c r="F549" t="s">
        <v>22</v>
      </c>
      <c r="G549" t="s">
        <v>160</v>
      </c>
      <c r="H549" t="s">
        <v>161</v>
      </c>
      <c r="I549">
        <v>9</v>
      </c>
      <c r="J549" s="3">
        <v>2901.91</v>
      </c>
      <c r="K549" s="3">
        <v>26117.19</v>
      </c>
      <c r="L549" t="s">
        <v>25</v>
      </c>
      <c r="M549" s="2">
        <v>45696</v>
      </c>
      <c r="N549" s="2">
        <v>45698</v>
      </c>
      <c r="O549" t="s">
        <v>76</v>
      </c>
      <c r="P549" t="s">
        <v>27</v>
      </c>
      <c r="Q549" t="s">
        <v>28</v>
      </c>
      <c r="R549" t="s">
        <v>129</v>
      </c>
    </row>
    <row r="550" spans="1:18">
      <c r="A550" t="s">
        <v>678</v>
      </c>
      <c r="B550" s="2">
        <v>45798</v>
      </c>
      <c r="C550" t="s">
        <v>131</v>
      </c>
      <c r="D550" t="s">
        <v>132</v>
      </c>
      <c r="E550" t="s">
        <v>48</v>
      </c>
      <c r="F550" t="s">
        <v>57</v>
      </c>
      <c r="G550" t="s">
        <v>58</v>
      </c>
      <c r="H550" t="s">
        <v>59</v>
      </c>
      <c r="I550">
        <v>4</v>
      </c>
      <c r="J550" s="3">
        <v>58921.53</v>
      </c>
      <c r="K550" s="3">
        <v>235686.12</v>
      </c>
      <c r="L550" t="s">
        <v>52</v>
      </c>
      <c r="M550" s="2">
        <v>45808</v>
      </c>
      <c r="N550" s="2">
        <v>45807</v>
      </c>
      <c r="O550" t="s">
        <v>60</v>
      </c>
      <c r="P550" t="s">
        <v>53</v>
      </c>
      <c r="Q550" t="s">
        <v>28</v>
      </c>
      <c r="R550" t="s">
        <v>29</v>
      </c>
    </row>
    <row r="551" spans="1:18">
      <c r="A551" t="s">
        <v>679</v>
      </c>
      <c r="B551" s="2">
        <v>45779</v>
      </c>
      <c r="C551" t="s">
        <v>19</v>
      </c>
      <c r="D551" t="s">
        <v>20</v>
      </c>
      <c r="E551" t="s">
        <v>112</v>
      </c>
      <c r="F551" t="s">
        <v>22</v>
      </c>
      <c r="G551" t="s">
        <v>23</v>
      </c>
      <c r="H551" t="s">
        <v>24</v>
      </c>
      <c r="I551">
        <v>25</v>
      </c>
      <c r="J551" s="3">
        <v>246.95</v>
      </c>
      <c r="K551" s="3">
        <v>6173.75</v>
      </c>
      <c r="L551" t="s">
        <v>52</v>
      </c>
      <c r="M551" s="2">
        <v>45793</v>
      </c>
      <c r="N551" s="2">
        <v>45792</v>
      </c>
      <c r="O551" t="s">
        <v>26</v>
      </c>
      <c r="P551" t="s">
        <v>115</v>
      </c>
      <c r="Q551" t="s">
        <v>28</v>
      </c>
      <c r="R551" t="s">
        <v>29</v>
      </c>
    </row>
    <row r="552" spans="1:18">
      <c r="A552" t="s">
        <v>680</v>
      </c>
      <c r="B552" s="2">
        <v>45810</v>
      </c>
      <c r="C552" t="s">
        <v>147</v>
      </c>
      <c r="D552" t="s">
        <v>148</v>
      </c>
      <c r="E552" t="s">
        <v>39</v>
      </c>
      <c r="F552" t="s">
        <v>40</v>
      </c>
      <c r="G552" t="s">
        <v>149</v>
      </c>
      <c r="H552" t="s">
        <v>150</v>
      </c>
      <c r="I552">
        <v>36</v>
      </c>
      <c r="J552" s="3">
        <v>1357.11</v>
      </c>
      <c r="K552" s="3">
        <v>48855.96</v>
      </c>
      <c r="L552" t="s">
        <v>34</v>
      </c>
      <c r="M552" s="2">
        <v>45818</v>
      </c>
      <c r="N552" s="2">
        <v>45815</v>
      </c>
      <c r="O552" t="s">
        <v>43</v>
      </c>
      <c r="P552" t="s">
        <v>64</v>
      </c>
      <c r="Q552" t="s">
        <v>28</v>
      </c>
      <c r="R552" t="s">
        <v>29</v>
      </c>
    </row>
    <row r="553" spans="1:18">
      <c r="A553" t="s">
        <v>681</v>
      </c>
      <c r="B553" s="2">
        <v>46178</v>
      </c>
      <c r="C553" t="s">
        <v>104</v>
      </c>
      <c r="D553" t="s">
        <v>105</v>
      </c>
      <c r="E553" t="s">
        <v>112</v>
      </c>
      <c r="F553" t="s">
        <v>49</v>
      </c>
      <c r="G553" t="s">
        <v>165</v>
      </c>
      <c r="H553" t="s">
        <v>166</v>
      </c>
      <c r="I553">
        <v>1</v>
      </c>
      <c r="J553" s="3">
        <v>45080.28</v>
      </c>
      <c r="K553" s="3">
        <v>45080.28</v>
      </c>
      <c r="L553" t="s">
        <v>34</v>
      </c>
      <c r="M553" s="2">
        <v>46194</v>
      </c>
      <c r="N553" s="2">
        <v>46191</v>
      </c>
      <c r="O553" t="s">
        <v>60</v>
      </c>
      <c r="P553" t="s">
        <v>115</v>
      </c>
      <c r="Q553" t="s">
        <v>28</v>
      </c>
      <c r="R553" t="s">
        <v>29</v>
      </c>
    </row>
    <row r="554" spans="1:18">
      <c r="A554" t="s">
        <v>682</v>
      </c>
      <c r="B554" s="2">
        <v>45932</v>
      </c>
      <c r="C554" t="s">
        <v>142</v>
      </c>
      <c r="D554" t="s">
        <v>143</v>
      </c>
      <c r="E554" t="s">
        <v>31</v>
      </c>
      <c r="F554" t="s">
        <v>22</v>
      </c>
      <c r="G554" t="s">
        <v>32</v>
      </c>
      <c r="H554" t="s">
        <v>33</v>
      </c>
      <c r="I554">
        <v>4</v>
      </c>
      <c r="J554" s="3">
        <v>7642.11</v>
      </c>
      <c r="K554" s="3">
        <v>30568.44</v>
      </c>
      <c r="L554" t="s">
        <v>25</v>
      </c>
      <c r="M554" s="2">
        <v>45944</v>
      </c>
      <c r="N554" s="2">
        <v>45941</v>
      </c>
      <c r="O554" t="s">
        <v>60</v>
      </c>
      <c r="P554" t="s">
        <v>35</v>
      </c>
      <c r="Q554" t="s">
        <v>28</v>
      </c>
      <c r="R554" t="s">
        <v>29</v>
      </c>
    </row>
    <row r="555" spans="1:18">
      <c r="A555" t="s">
        <v>683</v>
      </c>
      <c r="B555" s="2">
        <v>46041</v>
      </c>
      <c r="C555" t="s">
        <v>142</v>
      </c>
      <c r="D555" t="s">
        <v>143</v>
      </c>
      <c r="E555" t="s">
        <v>39</v>
      </c>
      <c r="F555" t="s">
        <v>22</v>
      </c>
      <c r="G555" t="s">
        <v>160</v>
      </c>
      <c r="H555" t="s">
        <v>161</v>
      </c>
      <c r="I555">
        <v>10</v>
      </c>
      <c r="J555" s="3">
        <v>3123.67</v>
      </c>
      <c r="K555" s="3">
        <v>31236.7</v>
      </c>
      <c r="L555" t="s">
        <v>25</v>
      </c>
      <c r="M555" s="2">
        <v>46046</v>
      </c>
      <c r="N555" s="2">
        <v>46044</v>
      </c>
      <c r="O555" t="s">
        <v>60</v>
      </c>
      <c r="P555" t="s">
        <v>44</v>
      </c>
      <c r="Q555" t="s">
        <v>28</v>
      </c>
      <c r="R555" t="s">
        <v>29</v>
      </c>
    </row>
    <row r="556" spans="1:18">
      <c r="A556" t="s">
        <v>684</v>
      </c>
      <c r="B556" s="2">
        <v>46076</v>
      </c>
      <c r="C556" t="s">
        <v>117</v>
      </c>
      <c r="D556" t="s">
        <v>118</v>
      </c>
      <c r="E556" t="s">
        <v>31</v>
      </c>
      <c r="F556" t="s">
        <v>57</v>
      </c>
      <c r="G556" t="s">
        <v>74</v>
      </c>
      <c r="H556" t="s">
        <v>75</v>
      </c>
      <c r="I556">
        <v>5</v>
      </c>
      <c r="J556" s="3">
        <v>8719.84</v>
      </c>
      <c r="K556" s="3">
        <v>43599.199999999997</v>
      </c>
      <c r="L556" t="s">
        <v>25</v>
      </c>
      <c r="M556" s="2">
        <v>46091</v>
      </c>
      <c r="N556" s="2">
        <v>46091</v>
      </c>
      <c r="O556" t="s">
        <v>43</v>
      </c>
      <c r="P556" t="s">
        <v>35</v>
      </c>
      <c r="Q556" t="s">
        <v>28</v>
      </c>
      <c r="R556" t="s">
        <v>29</v>
      </c>
    </row>
    <row r="557" spans="1:18">
      <c r="A557" t="s">
        <v>685</v>
      </c>
      <c r="B557" s="2">
        <v>45891</v>
      </c>
      <c r="C557" t="s">
        <v>142</v>
      </c>
      <c r="D557" t="s">
        <v>143</v>
      </c>
      <c r="E557" t="s">
        <v>39</v>
      </c>
      <c r="F557" t="s">
        <v>22</v>
      </c>
      <c r="G557" t="s">
        <v>32</v>
      </c>
      <c r="H557" t="s">
        <v>33</v>
      </c>
      <c r="I557">
        <v>6</v>
      </c>
      <c r="J557" s="3">
        <v>7626.05</v>
      </c>
      <c r="K557" s="3">
        <v>45756.3</v>
      </c>
      <c r="L557" t="s">
        <v>25</v>
      </c>
      <c r="M557" s="2">
        <v>45900</v>
      </c>
      <c r="N557" s="2">
        <v>45898</v>
      </c>
      <c r="O557" t="s">
        <v>26</v>
      </c>
      <c r="P557" t="s">
        <v>44</v>
      </c>
      <c r="Q557" t="s">
        <v>28</v>
      </c>
      <c r="R557" t="s">
        <v>29</v>
      </c>
    </row>
    <row r="558" spans="1:18">
      <c r="A558" t="s">
        <v>686</v>
      </c>
      <c r="B558" s="2">
        <v>45670</v>
      </c>
      <c r="C558" t="s">
        <v>89</v>
      </c>
      <c r="D558" t="s">
        <v>90</v>
      </c>
      <c r="E558" t="s">
        <v>31</v>
      </c>
      <c r="F558" t="s">
        <v>91</v>
      </c>
      <c r="G558" t="s">
        <v>109</v>
      </c>
      <c r="H558" t="s">
        <v>110</v>
      </c>
      <c r="I558">
        <v>1</v>
      </c>
      <c r="J558" s="3">
        <v>12813.75</v>
      </c>
      <c r="K558" s="3">
        <v>12813.75</v>
      </c>
      <c r="L558" t="s">
        <v>34</v>
      </c>
      <c r="M558" s="2">
        <v>45682</v>
      </c>
      <c r="N558" s="2">
        <v>45679</v>
      </c>
      <c r="O558" t="s">
        <v>60</v>
      </c>
      <c r="P558" t="s">
        <v>35</v>
      </c>
      <c r="Q558" t="s">
        <v>28</v>
      </c>
      <c r="R558" t="s">
        <v>29</v>
      </c>
    </row>
    <row r="559" spans="1:18">
      <c r="A559" t="s">
        <v>687</v>
      </c>
      <c r="B559" s="2">
        <v>45745</v>
      </c>
      <c r="C559" t="s">
        <v>96</v>
      </c>
      <c r="D559" t="s">
        <v>97</v>
      </c>
      <c r="E559" t="s">
        <v>39</v>
      </c>
      <c r="F559" t="s">
        <v>82</v>
      </c>
      <c r="G559" t="s">
        <v>98</v>
      </c>
      <c r="H559" t="s">
        <v>99</v>
      </c>
      <c r="I559">
        <v>40</v>
      </c>
      <c r="J559" s="3">
        <v>1162.08</v>
      </c>
      <c r="K559" s="3">
        <v>46483.199999999997</v>
      </c>
      <c r="L559" t="s">
        <v>25</v>
      </c>
      <c r="M559" s="2">
        <v>45750</v>
      </c>
      <c r="N559" s="2">
        <v>45749</v>
      </c>
      <c r="O559" t="s">
        <v>43</v>
      </c>
      <c r="P559" t="s">
        <v>44</v>
      </c>
      <c r="Q559" t="s">
        <v>28</v>
      </c>
      <c r="R559" t="s">
        <v>29</v>
      </c>
    </row>
    <row r="560" spans="1:18">
      <c r="A560" t="s">
        <v>688</v>
      </c>
      <c r="B560" s="2">
        <v>46021</v>
      </c>
      <c r="C560" t="s">
        <v>71</v>
      </c>
      <c r="D560" t="s">
        <v>72</v>
      </c>
      <c r="E560" t="s">
        <v>73</v>
      </c>
      <c r="F560" t="s">
        <v>57</v>
      </c>
      <c r="G560" t="s">
        <v>74</v>
      </c>
      <c r="H560" t="s">
        <v>75</v>
      </c>
      <c r="I560">
        <v>5</v>
      </c>
      <c r="J560" s="3">
        <v>8278.3700000000008</v>
      </c>
      <c r="K560" s="3">
        <v>41391.85</v>
      </c>
      <c r="L560" t="s">
        <v>52</v>
      </c>
      <c r="M560" s="2">
        <v>46031</v>
      </c>
      <c r="N560" s="2">
        <v>46031</v>
      </c>
      <c r="O560" t="s">
        <v>26</v>
      </c>
      <c r="P560" t="s">
        <v>77</v>
      </c>
      <c r="Q560" t="s">
        <v>28</v>
      </c>
      <c r="R560" t="s">
        <v>29</v>
      </c>
    </row>
    <row r="561" spans="1:18">
      <c r="A561" t="s">
        <v>689</v>
      </c>
      <c r="B561" s="2">
        <v>45723</v>
      </c>
      <c r="C561" t="s">
        <v>19</v>
      </c>
      <c r="D561" t="s">
        <v>20</v>
      </c>
      <c r="E561" t="s">
        <v>39</v>
      </c>
      <c r="F561" t="s">
        <v>22</v>
      </c>
      <c r="G561" t="s">
        <v>160</v>
      </c>
      <c r="H561" t="s">
        <v>161</v>
      </c>
      <c r="I561">
        <v>15</v>
      </c>
      <c r="J561" s="3">
        <v>2931.37</v>
      </c>
      <c r="K561" s="3">
        <v>43970.55</v>
      </c>
      <c r="L561" t="s">
        <v>34</v>
      </c>
      <c r="M561" s="2">
        <v>45732</v>
      </c>
      <c r="N561" s="2">
        <v>45735</v>
      </c>
      <c r="O561" t="s">
        <v>26</v>
      </c>
      <c r="P561" t="s">
        <v>64</v>
      </c>
      <c r="Q561" t="s">
        <v>28</v>
      </c>
      <c r="R561" t="s">
        <v>129</v>
      </c>
    </row>
    <row r="562" spans="1:18">
      <c r="A562" t="s">
        <v>690</v>
      </c>
      <c r="B562" s="2">
        <v>46158</v>
      </c>
      <c r="C562" t="s">
        <v>37</v>
      </c>
      <c r="D562" t="s">
        <v>38</v>
      </c>
      <c r="E562" t="s">
        <v>39</v>
      </c>
      <c r="F562" t="s">
        <v>40</v>
      </c>
      <c r="G562" t="s">
        <v>136</v>
      </c>
      <c r="H562" t="s">
        <v>137</v>
      </c>
      <c r="I562">
        <v>38</v>
      </c>
      <c r="J562" s="3">
        <v>1741.14</v>
      </c>
      <c r="K562" s="3">
        <v>66163.320000000007</v>
      </c>
      <c r="L562" t="s">
        <v>25</v>
      </c>
      <c r="M562" s="2">
        <v>46164</v>
      </c>
      <c r="N562" s="2">
        <v>46162</v>
      </c>
      <c r="O562" t="s">
        <v>26</v>
      </c>
      <c r="P562" t="s">
        <v>44</v>
      </c>
      <c r="Q562" t="s">
        <v>28</v>
      </c>
      <c r="R562" t="s">
        <v>29</v>
      </c>
    </row>
    <row r="563" spans="1:18">
      <c r="A563" t="s">
        <v>691</v>
      </c>
      <c r="B563" s="2">
        <v>46078</v>
      </c>
      <c r="C563" t="s">
        <v>142</v>
      </c>
      <c r="D563" t="s">
        <v>143</v>
      </c>
      <c r="E563" t="s">
        <v>112</v>
      </c>
      <c r="F563" t="s">
        <v>22</v>
      </c>
      <c r="G563" t="s">
        <v>32</v>
      </c>
      <c r="H563" t="s">
        <v>33</v>
      </c>
      <c r="I563">
        <v>7</v>
      </c>
      <c r="J563" s="3">
        <v>8490.27</v>
      </c>
      <c r="K563" s="3">
        <v>59431.89</v>
      </c>
      <c r="L563" t="s">
        <v>25</v>
      </c>
      <c r="M563" s="2">
        <v>46096</v>
      </c>
      <c r="N563" s="2">
        <v>46095</v>
      </c>
      <c r="O563" t="s">
        <v>60</v>
      </c>
      <c r="P563" t="s">
        <v>115</v>
      </c>
      <c r="Q563" t="s">
        <v>28</v>
      </c>
      <c r="R563" t="s">
        <v>29</v>
      </c>
    </row>
    <row r="564" spans="1:18">
      <c r="A564" t="s">
        <v>692</v>
      </c>
      <c r="B564" s="2">
        <v>45975</v>
      </c>
      <c r="C564" t="s">
        <v>142</v>
      </c>
      <c r="D564" t="s">
        <v>143</v>
      </c>
      <c r="E564" t="s">
        <v>31</v>
      </c>
      <c r="F564" t="s">
        <v>22</v>
      </c>
      <c r="G564" t="s">
        <v>160</v>
      </c>
      <c r="H564" t="s">
        <v>161</v>
      </c>
      <c r="I564">
        <v>3</v>
      </c>
      <c r="J564" s="3">
        <v>3026.11</v>
      </c>
      <c r="K564" s="3">
        <v>9078.33</v>
      </c>
      <c r="L564" t="s">
        <v>34</v>
      </c>
      <c r="M564" s="2">
        <v>45987</v>
      </c>
      <c r="N564" s="2">
        <v>45995</v>
      </c>
      <c r="O564" t="s">
        <v>26</v>
      </c>
      <c r="P564" t="s">
        <v>35</v>
      </c>
      <c r="Q564" t="s">
        <v>28</v>
      </c>
      <c r="R564" t="s">
        <v>129</v>
      </c>
    </row>
    <row r="565" spans="1:18">
      <c r="A565" t="s">
        <v>693</v>
      </c>
      <c r="B565" s="2">
        <v>46160</v>
      </c>
      <c r="C565" t="s">
        <v>142</v>
      </c>
      <c r="D565" t="s">
        <v>143</v>
      </c>
      <c r="E565" t="s">
        <v>31</v>
      </c>
      <c r="F565" t="s">
        <v>22</v>
      </c>
      <c r="G565" t="s">
        <v>23</v>
      </c>
      <c r="H565" t="s">
        <v>24</v>
      </c>
      <c r="I565">
        <v>34</v>
      </c>
      <c r="J565" s="3">
        <v>254.63</v>
      </c>
      <c r="K565" s="3">
        <v>8657.42</v>
      </c>
      <c r="L565" t="s">
        <v>25</v>
      </c>
      <c r="M565" s="2">
        <v>46170</v>
      </c>
      <c r="N565" s="2">
        <v>46168</v>
      </c>
      <c r="O565" t="s">
        <v>26</v>
      </c>
      <c r="P565" t="s">
        <v>35</v>
      </c>
      <c r="Q565" t="s">
        <v>28</v>
      </c>
      <c r="R565" t="s">
        <v>29</v>
      </c>
    </row>
    <row r="566" spans="1:18">
      <c r="A566" t="s">
        <v>694</v>
      </c>
      <c r="B566" s="2">
        <v>45913</v>
      </c>
      <c r="C566" t="s">
        <v>71</v>
      </c>
      <c r="D566" t="s">
        <v>72</v>
      </c>
      <c r="E566" t="s">
        <v>31</v>
      </c>
      <c r="F566" t="s">
        <v>57</v>
      </c>
      <c r="G566" t="s">
        <v>74</v>
      </c>
      <c r="H566" t="s">
        <v>75</v>
      </c>
      <c r="I566">
        <v>12</v>
      </c>
      <c r="J566" s="3">
        <v>8255.4500000000007</v>
      </c>
      <c r="K566" s="3">
        <v>99065.4</v>
      </c>
      <c r="L566" t="s">
        <v>52</v>
      </c>
      <c r="M566" s="2">
        <v>45927</v>
      </c>
      <c r="N566" s="2">
        <v>45940</v>
      </c>
      <c r="O566" t="s">
        <v>26</v>
      </c>
      <c r="P566" t="s">
        <v>94</v>
      </c>
      <c r="Q566" t="s">
        <v>28</v>
      </c>
      <c r="R566" t="s">
        <v>129</v>
      </c>
    </row>
    <row r="567" spans="1:18">
      <c r="A567" t="s">
        <v>695</v>
      </c>
      <c r="B567" s="2">
        <v>45956</v>
      </c>
      <c r="C567" t="s">
        <v>80</v>
      </c>
      <c r="D567" t="s">
        <v>81</v>
      </c>
      <c r="E567" t="s">
        <v>39</v>
      </c>
      <c r="F567" t="s">
        <v>82</v>
      </c>
      <c r="G567" t="s">
        <v>197</v>
      </c>
      <c r="H567" t="s">
        <v>198</v>
      </c>
      <c r="I567">
        <v>31</v>
      </c>
      <c r="J567" s="3">
        <v>2078.36</v>
      </c>
      <c r="K567" s="3">
        <v>64429.16</v>
      </c>
      <c r="L567" t="s">
        <v>25</v>
      </c>
      <c r="M567" s="2">
        <v>45973</v>
      </c>
      <c r="N567" s="2">
        <v>45971</v>
      </c>
      <c r="O567" t="s">
        <v>43</v>
      </c>
      <c r="P567" t="s">
        <v>44</v>
      </c>
      <c r="Q567" t="s">
        <v>28</v>
      </c>
      <c r="R567" t="s">
        <v>29</v>
      </c>
    </row>
    <row r="568" spans="1:18">
      <c r="A568" t="s">
        <v>696</v>
      </c>
      <c r="B568" s="2">
        <v>46077</v>
      </c>
      <c r="C568" t="s">
        <v>71</v>
      </c>
      <c r="D568" t="s">
        <v>72</v>
      </c>
      <c r="E568" t="s">
        <v>21</v>
      </c>
      <c r="F568" t="s">
        <v>57</v>
      </c>
      <c r="G568" t="s">
        <v>101</v>
      </c>
      <c r="H568" t="s">
        <v>102</v>
      </c>
      <c r="I568">
        <v>49</v>
      </c>
      <c r="J568" s="3">
        <v>1627.25</v>
      </c>
      <c r="K568" s="3">
        <v>79735.25</v>
      </c>
      <c r="L568" t="s">
        <v>25</v>
      </c>
      <c r="M568" s="2">
        <v>46092</v>
      </c>
      <c r="N568" s="2">
        <v>46089</v>
      </c>
      <c r="O568" t="s">
        <v>60</v>
      </c>
      <c r="P568" t="s">
        <v>27</v>
      </c>
      <c r="Q568" t="s">
        <v>28</v>
      </c>
      <c r="R568" t="s">
        <v>29</v>
      </c>
    </row>
    <row r="569" spans="1:18">
      <c r="A569" t="s">
        <v>697</v>
      </c>
      <c r="B569" s="2">
        <v>46064</v>
      </c>
      <c r="C569" t="s">
        <v>55</v>
      </c>
      <c r="D569" t="s">
        <v>56</v>
      </c>
      <c r="E569" t="s">
        <v>21</v>
      </c>
      <c r="F569" t="s">
        <v>57</v>
      </c>
      <c r="G569" t="s">
        <v>86</v>
      </c>
      <c r="H569" t="s">
        <v>87</v>
      </c>
      <c r="I569">
        <v>8</v>
      </c>
      <c r="J569" s="3">
        <v>12427.2</v>
      </c>
      <c r="K569" s="3">
        <v>99417.600000000006</v>
      </c>
      <c r="L569" t="s">
        <v>34</v>
      </c>
      <c r="M569" s="2">
        <v>46076</v>
      </c>
      <c r="N569" s="2">
        <v>46075</v>
      </c>
      <c r="O569" t="s">
        <v>60</v>
      </c>
      <c r="P569" t="s">
        <v>27</v>
      </c>
      <c r="Q569" t="s">
        <v>28</v>
      </c>
      <c r="R569" t="s">
        <v>29</v>
      </c>
    </row>
    <row r="570" spans="1:18">
      <c r="A570" t="s">
        <v>698</v>
      </c>
      <c r="B570" s="2">
        <v>45823</v>
      </c>
      <c r="C570" t="s">
        <v>142</v>
      </c>
      <c r="D570" t="s">
        <v>143</v>
      </c>
      <c r="E570" t="s">
        <v>39</v>
      </c>
      <c r="F570" t="s">
        <v>22</v>
      </c>
      <c r="G570" t="s">
        <v>23</v>
      </c>
      <c r="H570" t="s">
        <v>24</v>
      </c>
      <c r="I570">
        <v>30</v>
      </c>
      <c r="J570" s="3">
        <v>246.99</v>
      </c>
      <c r="K570" s="3">
        <v>7409.7</v>
      </c>
      <c r="L570" t="s">
        <v>25</v>
      </c>
      <c r="M570" s="2">
        <v>45830</v>
      </c>
      <c r="N570" s="2">
        <v>45844</v>
      </c>
      <c r="O570" t="s">
        <v>76</v>
      </c>
      <c r="P570" t="s">
        <v>64</v>
      </c>
      <c r="Q570" t="s">
        <v>28</v>
      </c>
      <c r="R570" t="s">
        <v>129</v>
      </c>
    </row>
    <row r="571" spans="1:18">
      <c r="A571" t="s">
        <v>699</v>
      </c>
      <c r="B571" s="2">
        <v>46109</v>
      </c>
      <c r="C571" t="s">
        <v>19</v>
      </c>
      <c r="D571" t="s">
        <v>20</v>
      </c>
      <c r="E571" t="s">
        <v>39</v>
      </c>
      <c r="F571" t="s">
        <v>22</v>
      </c>
      <c r="G571" t="s">
        <v>32</v>
      </c>
      <c r="H571" t="s">
        <v>33</v>
      </c>
      <c r="I571">
        <v>1</v>
      </c>
      <c r="J571" s="3">
        <v>7252.44</v>
      </c>
      <c r="K571" s="3">
        <v>7252.44</v>
      </c>
      <c r="L571" t="s">
        <v>25</v>
      </c>
      <c r="M571" s="2">
        <v>46127</v>
      </c>
      <c r="N571" s="2">
        <v>46127</v>
      </c>
      <c r="O571" t="s">
        <v>76</v>
      </c>
      <c r="P571" t="s">
        <v>44</v>
      </c>
      <c r="Q571" t="s">
        <v>28</v>
      </c>
      <c r="R571" t="s">
        <v>29</v>
      </c>
    </row>
    <row r="572" spans="1:18">
      <c r="A572" t="s">
        <v>700</v>
      </c>
      <c r="B572" s="2">
        <v>45711</v>
      </c>
      <c r="C572" t="s">
        <v>147</v>
      </c>
      <c r="D572" t="s">
        <v>148</v>
      </c>
      <c r="E572" t="s">
        <v>39</v>
      </c>
      <c r="F572" t="s">
        <v>40</v>
      </c>
      <c r="G572" t="s">
        <v>149</v>
      </c>
      <c r="H572" t="s">
        <v>150</v>
      </c>
      <c r="I572">
        <v>20</v>
      </c>
      <c r="J572" s="3">
        <v>1287.8599999999999</v>
      </c>
      <c r="K572" s="3">
        <v>25757.200000000001</v>
      </c>
      <c r="L572" t="s">
        <v>25</v>
      </c>
      <c r="M572" s="2">
        <v>45719</v>
      </c>
      <c r="N572" s="2">
        <v>45727</v>
      </c>
      <c r="O572" t="s">
        <v>43</v>
      </c>
      <c r="P572" t="s">
        <v>44</v>
      </c>
      <c r="Q572" t="s">
        <v>28</v>
      </c>
      <c r="R572" t="s">
        <v>129</v>
      </c>
    </row>
    <row r="573" spans="1:18">
      <c r="A573" t="s">
        <v>701</v>
      </c>
      <c r="B573" s="2">
        <v>45722</v>
      </c>
      <c r="C573" t="s">
        <v>46</v>
      </c>
      <c r="D573" t="s">
        <v>47</v>
      </c>
      <c r="E573" t="s">
        <v>112</v>
      </c>
      <c r="F573" t="s">
        <v>49</v>
      </c>
      <c r="G573" t="s">
        <v>50</v>
      </c>
      <c r="H573" t="s">
        <v>51</v>
      </c>
      <c r="I573">
        <v>3</v>
      </c>
      <c r="J573" s="3">
        <v>53133.54</v>
      </c>
      <c r="K573" s="3">
        <v>159400.62</v>
      </c>
      <c r="L573" t="s">
        <v>34</v>
      </c>
      <c r="M573" s="2">
        <v>45728</v>
      </c>
      <c r="N573" s="2">
        <v>45726</v>
      </c>
      <c r="O573" t="s">
        <v>26</v>
      </c>
      <c r="P573" t="s">
        <v>115</v>
      </c>
      <c r="Q573" t="s">
        <v>28</v>
      </c>
      <c r="R573" t="s">
        <v>29</v>
      </c>
    </row>
    <row r="574" spans="1:18">
      <c r="A574" t="s">
        <v>702</v>
      </c>
      <c r="B574" s="2">
        <v>45781</v>
      </c>
      <c r="C574" t="s">
        <v>37</v>
      </c>
      <c r="D574" t="s">
        <v>38</v>
      </c>
      <c r="E574" t="s">
        <v>39</v>
      </c>
      <c r="F574" t="s">
        <v>40</v>
      </c>
      <c r="G574" t="s">
        <v>149</v>
      </c>
      <c r="H574" t="s">
        <v>150</v>
      </c>
      <c r="I574">
        <v>5</v>
      </c>
      <c r="J574" s="3">
        <v>1471.74</v>
      </c>
      <c r="K574" s="3">
        <v>7358.7</v>
      </c>
      <c r="L574" t="s">
        <v>25</v>
      </c>
      <c r="M574" s="2">
        <v>45792</v>
      </c>
      <c r="N574" s="2">
        <v>45791</v>
      </c>
      <c r="O574" t="s">
        <v>76</v>
      </c>
      <c r="P574" t="s">
        <v>44</v>
      </c>
      <c r="Q574" t="s">
        <v>28</v>
      </c>
      <c r="R574" t="s">
        <v>29</v>
      </c>
    </row>
    <row r="575" spans="1:18">
      <c r="A575" t="s">
        <v>703</v>
      </c>
      <c r="B575" s="2">
        <v>45702</v>
      </c>
      <c r="C575" t="s">
        <v>147</v>
      </c>
      <c r="D575" t="s">
        <v>148</v>
      </c>
      <c r="E575" t="s">
        <v>39</v>
      </c>
      <c r="F575" t="s">
        <v>40</v>
      </c>
      <c r="G575" t="s">
        <v>62</v>
      </c>
      <c r="H575" t="s">
        <v>63</v>
      </c>
      <c r="I575">
        <v>3</v>
      </c>
      <c r="J575" s="3">
        <v>17212.34</v>
      </c>
      <c r="K575" s="3">
        <v>51637.02</v>
      </c>
      <c r="L575" t="s">
        <v>52</v>
      </c>
      <c r="M575" s="2">
        <v>45711</v>
      </c>
      <c r="N575" s="2">
        <v>45709</v>
      </c>
      <c r="O575" t="s">
        <v>60</v>
      </c>
      <c r="P575" t="s">
        <v>64</v>
      </c>
      <c r="Q575" t="s">
        <v>28</v>
      </c>
      <c r="R575" t="s">
        <v>29</v>
      </c>
    </row>
    <row r="576" spans="1:18">
      <c r="A576" t="s">
        <v>704</v>
      </c>
      <c r="B576" s="2">
        <v>45998</v>
      </c>
      <c r="C576" t="s">
        <v>104</v>
      </c>
      <c r="D576" t="s">
        <v>105</v>
      </c>
      <c r="E576" t="s">
        <v>48</v>
      </c>
      <c r="F576" t="s">
        <v>49</v>
      </c>
      <c r="G576" t="s">
        <v>68</v>
      </c>
      <c r="H576" t="s">
        <v>69</v>
      </c>
      <c r="I576">
        <v>3</v>
      </c>
      <c r="J576" s="3">
        <v>46156.24</v>
      </c>
      <c r="K576" s="3">
        <v>138468.72</v>
      </c>
      <c r="L576" t="s">
        <v>25</v>
      </c>
      <c r="M576" s="2">
        <v>46010</v>
      </c>
      <c r="N576" s="2">
        <v>46009</v>
      </c>
      <c r="O576" t="s">
        <v>43</v>
      </c>
      <c r="P576" t="s">
        <v>53</v>
      </c>
      <c r="Q576" t="s">
        <v>28</v>
      </c>
      <c r="R576" t="s">
        <v>29</v>
      </c>
    </row>
    <row r="577" spans="1:18">
      <c r="A577" t="s">
        <v>705</v>
      </c>
      <c r="B577" s="2">
        <v>45679</v>
      </c>
      <c r="C577" t="s">
        <v>147</v>
      </c>
      <c r="D577" t="s">
        <v>148</v>
      </c>
      <c r="E577" t="s">
        <v>112</v>
      </c>
      <c r="F577" t="s">
        <v>40</v>
      </c>
      <c r="G577" t="s">
        <v>149</v>
      </c>
      <c r="H577" t="s">
        <v>150</v>
      </c>
      <c r="I577">
        <v>44</v>
      </c>
      <c r="J577" s="3">
        <v>1332.49</v>
      </c>
      <c r="K577" s="3">
        <v>58629.56</v>
      </c>
      <c r="L577" t="s">
        <v>25</v>
      </c>
      <c r="M577" s="2">
        <v>45685</v>
      </c>
      <c r="N577" s="2">
        <v>45692</v>
      </c>
      <c r="O577" t="s">
        <v>26</v>
      </c>
      <c r="P577" t="s">
        <v>115</v>
      </c>
      <c r="Q577" t="s">
        <v>28</v>
      </c>
      <c r="R577" t="s">
        <v>129</v>
      </c>
    </row>
    <row r="578" spans="1:18">
      <c r="A578" t="s">
        <v>706</v>
      </c>
      <c r="B578" s="2">
        <v>46042</v>
      </c>
      <c r="C578" t="s">
        <v>80</v>
      </c>
      <c r="D578" t="s">
        <v>81</v>
      </c>
      <c r="E578" t="s">
        <v>39</v>
      </c>
      <c r="F578" t="s">
        <v>82</v>
      </c>
      <c r="G578" t="s">
        <v>197</v>
      </c>
      <c r="H578" t="s">
        <v>198</v>
      </c>
      <c r="I578">
        <v>26</v>
      </c>
      <c r="J578" s="3">
        <v>1994.87</v>
      </c>
      <c r="K578" s="3">
        <v>51866.62</v>
      </c>
      <c r="L578" t="s">
        <v>25</v>
      </c>
      <c r="M578" s="2">
        <v>46049</v>
      </c>
      <c r="N578" s="2">
        <v>46049</v>
      </c>
      <c r="O578" t="s">
        <v>60</v>
      </c>
      <c r="P578" t="s">
        <v>44</v>
      </c>
      <c r="Q578" t="s">
        <v>28</v>
      </c>
      <c r="R578" t="s">
        <v>29</v>
      </c>
    </row>
    <row r="579" spans="1:18">
      <c r="A579" t="s">
        <v>707</v>
      </c>
      <c r="B579" s="2">
        <v>45682</v>
      </c>
      <c r="C579" t="s">
        <v>104</v>
      </c>
      <c r="D579" t="s">
        <v>105</v>
      </c>
      <c r="E579" t="s">
        <v>48</v>
      </c>
      <c r="F579" t="s">
        <v>49</v>
      </c>
      <c r="G579" t="s">
        <v>50</v>
      </c>
      <c r="H579" t="s">
        <v>51</v>
      </c>
      <c r="I579">
        <v>1</v>
      </c>
      <c r="J579" s="3">
        <v>50173.07</v>
      </c>
      <c r="K579" s="3">
        <v>50173.07</v>
      </c>
      <c r="L579" t="s">
        <v>34</v>
      </c>
      <c r="M579" s="2">
        <v>45699</v>
      </c>
      <c r="N579" s="2">
        <v>45698</v>
      </c>
      <c r="O579" t="s">
        <v>60</v>
      </c>
      <c r="P579" t="s">
        <v>53</v>
      </c>
      <c r="Q579" t="s">
        <v>28</v>
      </c>
      <c r="R579" t="s">
        <v>29</v>
      </c>
    </row>
    <row r="580" spans="1:18">
      <c r="A580" t="s">
        <v>708</v>
      </c>
      <c r="B580" s="2">
        <v>45845</v>
      </c>
      <c r="C580" t="s">
        <v>147</v>
      </c>
      <c r="D580" t="s">
        <v>148</v>
      </c>
      <c r="E580" t="s">
        <v>39</v>
      </c>
      <c r="F580" t="s">
        <v>40</v>
      </c>
      <c r="G580" t="s">
        <v>41</v>
      </c>
      <c r="H580" t="s">
        <v>42</v>
      </c>
      <c r="I580">
        <v>3</v>
      </c>
      <c r="J580" s="3">
        <v>5000.95</v>
      </c>
      <c r="K580" s="3">
        <v>15002.85</v>
      </c>
      <c r="L580" t="s">
        <v>34</v>
      </c>
      <c r="M580" s="2">
        <v>45853</v>
      </c>
      <c r="N580" s="2">
        <v>45857</v>
      </c>
      <c r="O580" t="s">
        <v>26</v>
      </c>
      <c r="P580" t="s">
        <v>64</v>
      </c>
      <c r="Q580" t="s">
        <v>28</v>
      </c>
      <c r="R580" t="s">
        <v>129</v>
      </c>
    </row>
    <row r="581" spans="1:18">
      <c r="A581" t="s">
        <v>709</v>
      </c>
      <c r="B581" s="2">
        <v>46177</v>
      </c>
      <c r="C581" t="s">
        <v>46</v>
      </c>
      <c r="D581" t="s">
        <v>47</v>
      </c>
      <c r="E581" t="s">
        <v>48</v>
      </c>
      <c r="F581" t="s">
        <v>49</v>
      </c>
      <c r="G581" t="s">
        <v>50</v>
      </c>
      <c r="H581" t="s">
        <v>51</v>
      </c>
      <c r="I581">
        <v>1</v>
      </c>
      <c r="J581" s="3">
        <v>54130.22</v>
      </c>
      <c r="K581" s="3">
        <v>54130.22</v>
      </c>
      <c r="L581" t="s">
        <v>34</v>
      </c>
      <c r="M581" s="2">
        <v>46191</v>
      </c>
      <c r="N581" s="2">
        <v>46189</v>
      </c>
      <c r="O581" t="s">
        <v>26</v>
      </c>
      <c r="P581" t="s">
        <v>53</v>
      </c>
      <c r="Q581" t="s">
        <v>28</v>
      </c>
      <c r="R581" t="s">
        <v>29</v>
      </c>
    </row>
    <row r="582" spans="1:18">
      <c r="A582" t="s">
        <v>710</v>
      </c>
      <c r="B582" s="2">
        <v>46150</v>
      </c>
      <c r="C582" t="s">
        <v>37</v>
      </c>
      <c r="D582" t="s">
        <v>38</v>
      </c>
      <c r="E582" t="s">
        <v>112</v>
      </c>
      <c r="F582" t="s">
        <v>40</v>
      </c>
      <c r="G582" t="s">
        <v>62</v>
      </c>
      <c r="H582" t="s">
        <v>63</v>
      </c>
      <c r="I582">
        <v>7</v>
      </c>
      <c r="J582" s="3">
        <v>19789.53</v>
      </c>
      <c r="K582" s="3">
        <v>138526.71</v>
      </c>
      <c r="L582" t="s">
        <v>25</v>
      </c>
      <c r="M582" s="2">
        <v>46167</v>
      </c>
      <c r="N582" s="2">
        <v>46164</v>
      </c>
      <c r="O582" t="s">
        <v>60</v>
      </c>
      <c r="P582" t="s">
        <v>115</v>
      </c>
      <c r="Q582" t="s">
        <v>28</v>
      </c>
      <c r="R582" t="s">
        <v>29</v>
      </c>
    </row>
    <row r="583" spans="1:18">
      <c r="A583" t="s">
        <v>711</v>
      </c>
      <c r="B583" s="2">
        <v>45743</v>
      </c>
      <c r="C583" t="s">
        <v>46</v>
      </c>
      <c r="D583" t="s">
        <v>47</v>
      </c>
      <c r="E583" t="s">
        <v>112</v>
      </c>
      <c r="F583" t="s">
        <v>49</v>
      </c>
      <c r="G583" t="s">
        <v>50</v>
      </c>
      <c r="H583" t="s">
        <v>51</v>
      </c>
      <c r="I583">
        <v>2</v>
      </c>
      <c r="J583" s="3">
        <v>53786.81</v>
      </c>
      <c r="K583" s="3">
        <v>107573.62</v>
      </c>
      <c r="L583" t="s">
        <v>25</v>
      </c>
      <c r="M583" s="2">
        <v>45755</v>
      </c>
      <c r="N583" s="2">
        <v>45753</v>
      </c>
      <c r="O583" t="s">
        <v>60</v>
      </c>
      <c r="P583" t="s">
        <v>115</v>
      </c>
      <c r="Q583" t="s">
        <v>28</v>
      </c>
      <c r="R583" t="s">
        <v>29</v>
      </c>
    </row>
    <row r="584" spans="1:18">
      <c r="A584" t="s">
        <v>712</v>
      </c>
      <c r="B584" s="2">
        <v>45999</v>
      </c>
      <c r="C584" t="s">
        <v>142</v>
      </c>
      <c r="D584" t="s">
        <v>143</v>
      </c>
      <c r="E584" t="s">
        <v>73</v>
      </c>
      <c r="F584" t="s">
        <v>22</v>
      </c>
      <c r="G584" t="s">
        <v>23</v>
      </c>
      <c r="H584" t="s">
        <v>24</v>
      </c>
      <c r="I584">
        <v>51</v>
      </c>
      <c r="J584" s="3">
        <v>254.2</v>
      </c>
      <c r="K584" s="3">
        <v>12964.2</v>
      </c>
      <c r="L584" t="s">
        <v>52</v>
      </c>
      <c r="M584" s="2">
        <v>46015</v>
      </c>
      <c r="N584" s="2">
        <v>46012</v>
      </c>
      <c r="O584" t="s">
        <v>60</v>
      </c>
      <c r="P584" t="s">
        <v>77</v>
      </c>
      <c r="Q584" t="s">
        <v>28</v>
      </c>
      <c r="R584" t="s">
        <v>29</v>
      </c>
    </row>
    <row r="585" spans="1:18">
      <c r="A585" t="s">
        <v>713</v>
      </c>
      <c r="B585" s="2">
        <v>46051</v>
      </c>
      <c r="C585" t="s">
        <v>142</v>
      </c>
      <c r="D585" t="s">
        <v>143</v>
      </c>
      <c r="E585" t="s">
        <v>31</v>
      </c>
      <c r="F585" t="s">
        <v>22</v>
      </c>
      <c r="G585" t="s">
        <v>23</v>
      </c>
      <c r="H585" t="s">
        <v>24</v>
      </c>
      <c r="I585">
        <v>12</v>
      </c>
      <c r="J585" s="3">
        <v>236.06</v>
      </c>
      <c r="K585" s="3">
        <v>2832.72</v>
      </c>
      <c r="L585" t="s">
        <v>25</v>
      </c>
      <c r="M585" s="2">
        <v>46062</v>
      </c>
      <c r="N585" s="2">
        <v>46061</v>
      </c>
      <c r="O585" t="s">
        <v>60</v>
      </c>
      <c r="P585" t="s">
        <v>35</v>
      </c>
      <c r="Q585" t="s">
        <v>28</v>
      </c>
      <c r="R585" t="s">
        <v>29</v>
      </c>
    </row>
    <row r="586" spans="1:18">
      <c r="A586" t="s">
        <v>714</v>
      </c>
      <c r="B586" s="2">
        <v>46014</v>
      </c>
      <c r="C586" t="s">
        <v>19</v>
      </c>
      <c r="D586" t="s">
        <v>20</v>
      </c>
      <c r="E586" t="s">
        <v>31</v>
      </c>
      <c r="F586" t="s">
        <v>22</v>
      </c>
      <c r="G586" t="s">
        <v>160</v>
      </c>
      <c r="H586" t="s">
        <v>161</v>
      </c>
      <c r="I586">
        <v>15</v>
      </c>
      <c r="J586" s="3">
        <v>2983.93</v>
      </c>
      <c r="K586" s="3">
        <v>44758.95</v>
      </c>
      <c r="L586" t="s">
        <v>25</v>
      </c>
      <c r="M586" s="2">
        <v>46025</v>
      </c>
      <c r="N586" s="2">
        <v>46024</v>
      </c>
      <c r="O586" t="s">
        <v>76</v>
      </c>
      <c r="P586" t="s">
        <v>94</v>
      </c>
      <c r="Q586" t="s">
        <v>28</v>
      </c>
      <c r="R586" t="s">
        <v>29</v>
      </c>
    </row>
    <row r="587" spans="1:18">
      <c r="A587" t="s">
        <v>715</v>
      </c>
      <c r="B587" s="2">
        <v>45809</v>
      </c>
      <c r="C587" t="s">
        <v>55</v>
      </c>
      <c r="D587" t="s">
        <v>56</v>
      </c>
      <c r="E587" t="s">
        <v>73</v>
      </c>
      <c r="F587" t="s">
        <v>57</v>
      </c>
      <c r="G587" t="s">
        <v>86</v>
      </c>
      <c r="H587" t="s">
        <v>87</v>
      </c>
      <c r="I587">
        <v>3</v>
      </c>
      <c r="J587" s="3">
        <v>12267.68</v>
      </c>
      <c r="K587" s="3">
        <v>36803.040000000001</v>
      </c>
      <c r="L587" t="s">
        <v>34</v>
      </c>
      <c r="M587" s="2">
        <v>45814</v>
      </c>
      <c r="N587" s="2">
        <v>45814</v>
      </c>
      <c r="O587" t="s">
        <v>60</v>
      </c>
      <c r="P587" t="s">
        <v>77</v>
      </c>
      <c r="Q587" t="s">
        <v>28</v>
      </c>
      <c r="R587" t="s">
        <v>29</v>
      </c>
    </row>
    <row r="588" spans="1:18">
      <c r="A588" t="s">
        <v>716</v>
      </c>
      <c r="B588" s="2">
        <v>45740</v>
      </c>
      <c r="C588" t="s">
        <v>147</v>
      </c>
      <c r="D588" t="s">
        <v>148</v>
      </c>
      <c r="E588" t="s">
        <v>39</v>
      </c>
      <c r="F588" t="s">
        <v>40</v>
      </c>
      <c r="G588" t="s">
        <v>149</v>
      </c>
      <c r="H588" t="s">
        <v>150</v>
      </c>
      <c r="I588">
        <v>24</v>
      </c>
      <c r="J588" s="3">
        <v>1273.6500000000001</v>
      </c>
      <c r="K588" s="3">
        <v>30567.599999999999</v>
      </c>
      <c r="L588" t="s">
        <v>34</v>
      </c>
      <c r="M588" s="2">
        <v>45753</v>
      </c>
      <c r="N588" s="2">
        <v>45750</v>
      </c>
      <c r="O588" t="s">
        <v>60</v>
      </c>
      <c r="P588" t="s">
        <v>64</v>
      </c>
      <c r="Q588" t="s">
        <v>28</v>
      </c>
      <c r="R588" t="s">
        <v>29</v>
      </c>
    </row>
    <row r="589" spans="1:18">
      <c r="A589" t="s">
        <v>717</v>
      </c>
      <c r="B589" s="2">
        <v>45769</v>
      </c>
      <c r="C589" t="s">
        <v>104</v>
      </c>
      <c r="D589" t="s">
        <v>105</v>
      </c>
      <c r="E589" t="s">
        <v>48</v>
      </c>
      <c r="F589" t="s">
        <v>49</v>
      </c>
      <c r="G589" t="s">
        <v>50</v>
      </c>
      <c r="H589" t="s">
        <v>51</v>
      </c>
      <c r="I589">
        <v>2</v>
      </c>
      <c r="J589" s="3">
        <v>50900.58</v>
      </c>
      <c r="K589" s="3">
        <v>101801.16</v>
      </c>
      <c r="L589" t="s">
        <v>34</v>
      </c>
      <c r="M589" s="2">
        <v>45785</v>
      </c>
      <c r="N589" s="2">
        <v>45784</v>
      </c>
      <c r="O589" t="s">
        <v>43</v>
      </c>
      <c r="P589" t="s">
        <v>53</v>
      </c>
      <c r="Q589" t="s">
        <v>28</v>
      </c>
      <c r="R589" t="s">
        <v>29</v>
      </c>
    </row>
    <row r="590" spans="1:18">
      <c r="A590" t="s">
        <v>718</v>
      </c>
      <c r="B590" s="2">
        <v>45729</v>
      </c>
      <c r="C590" t="s">
        <v>46</v>
      </c>
      <c r="D590" t="s">
        <v>47</v>
      </c>
      <c r="E590" t="s">
        <v>73</v>
      </c>
      <c r="F590" t="s">
        <v>49</v>
      </c>
      <c r="G590" t="s">
        <v>165</v>
      </c>
      <c r="H590" t="s">
        <v>166</v>
      </c>
      <c r="I590">
        <v>1</v>
      </c>
      <c r="J590" s="3">
        <v>46524.53</v>
      </c>
      <c r="K590" s="3">
        <v>46524.53</v>
      </c>
      <c r="L590" t="s">
        <v>25</v>
      </c>
      <c r="M590" s="2">
        <v>45736</v>
      </c>
      <c r="N590" s="2">
        <v>45735</v>
      </c>
      <c r="O590" t="s">
        <v>43</v>
      </c>
      <c r="P590" t="s">
        <v>719</v>
      </c>
      <c r="Q590" t="s">
        <v>28</v>
      </c>
      <c r="R590" t="s">
        <v>29</v>
      </c>
    </row>
    <row r="591" spans="1:18">
      <c r="A591" t="s">
        <v>720</v>
      </c>
      <c r="B591" s="2">
        <v>45875</v>
      </c>
      <c r="C591" t="s">
        <v>142</v>
      </c>
      <c r="D591" t="s">
        <v>143</v>
      </c>
      <c r="E591" t="s">
        <v>39</v>
      </c>
      <c r="F591" t="s">
        <v>22</v>
      </c>
      <c r="G591" t="s">
        <v>23</v>
      </c>
      <c r="H591" t="s">
        <v>24</v>
      </c>
      <c r="I591">
        <v>31</v>
      </c>
      <c r="J591" s="3">
        <v>255.1</v>
      </c>
      <c r="K591" s="3">
        <v>7908.1</v>
      </c>
      <c r="L591" t="s">
        <v>52</v>
      </c>
      <c r="M591" s="2">
        <v>45887</v>
      </c>
      <c r="N591" s="2">
        <v>45887</v>
      </c>
      <c r="O591" t="s">
        <v>26</v>
      </c>
      <c r="P591" t="s">
        <v>64</v>
      </c>
      <c r="Q591" t="s">
        <v>28</v>
      </c>
      <c r="R591" t="s">
        <v>29</v>
      </c>
    </row>
    <row r="592" spans="1:18">
      <c r="A592" t="s">
        <v>721</v>
      </c>
      <c r="B592" s="2">
        <v>45958</v>
      </c>
      <c r="C592" t="s">
        <v>142</v>
      </c>
      <c r="D592" t="s">
        <v>143</v>
      </c>
      <c r="E592" t="s">
        <v>39</v>
      </c>
      <c r="F592" t="s">
        <v>22</v>
      </c>
      <c r="G592" t="s">
        <v>160</v>
      </c>
      <c r="H592" t="s">
        <v>161</v>
      </c>
      <c r="I592">
        <v>8</v>
      </c>
      <c r="J592" s="3">
        <v>3090.56</v>
      </c>
      <c r="K592" s="3">
        <v>24724.48</v>
      </c>
      <c r="L592" t="s">
        <v>25</v>
      </c>
      <c r="M592" s="2">
        <v>45973</v>
      </c>
      <c r="N592" s="2">
        <v>45973</v>
      </c>
      <c r="O592" t="s">
        <v>43</v>
      </c>
      <c r="P592" t="s">
        <v>64</v>
      </c>
      <c r="Q592" t="s">
        <v>28</v>
      </c>
      <c r="R592" t="s">
        <v>29</v>
      </c>
    </row>
    <row r="593" spans="1:18">
      <c r="A593" t="s">
        <v>722</v>
      </c>
      <c r="B593" s="2">
        <v>45757</v>
      </c>
      <c r="C593" t="s">
        <v>66</v>
      </c>
      <c r="D593" t="s">
        <v>67</v>
      </c>
      <c r="E593" t="s">
        <v>48</v>
      </c>
      <c r="F593" t="s">
        <v>49</v>
      </c>
      <c r="G593" t="s">
        <v>165</v>
      </c>
      <c r="H593" t="s">
        <v>166</v>
      </c>
      <c r="I593">
        <v>1</v>
      </c>
      <c r="J593" s="3">
        <v>43763.09</v>
      </c>
      <c r="K593" s="3">
        <v>43763.09</v>
      </c>
      <c r="L593" t="s">
        <v>34</v>
      </c>
      <c r="M593" s="2">
        <v>45771</v>
      </c>
      <c r="N593" s="2">
        <v>45769</v>
      </c>
      <c r="O593" t="s">
        <v>76</v>
      </c>
      <c r="P593" t="s">
        <v>53</v>
      </c>
      <c r="Q593" t="s">
        <v>28</v>
      </c>
      <c r="R593" t="s">
        <v>29</v>
      </c>
    </row>
    <row r="594" spans="1:18">
      <c r="A594" t="s">
        <v>723</v>
      </c>
      <c r="B594" s="2">
        <v>46066</v>
      </c>
      <c r="C594" t="s">
        <v>147</v>
      </c>
      <c r="D594" t="s">
        <v>148</v>
      </c>
      <c r="E594" t="s">
        <v>39</v>
      </c>
      <c r="F594" t="s">
        <v>40</v>
      </c>
      <c r="G594" t="s">
        <v>136</v>
      </c>
      <c r="H594" t="s">
        <v>137</v>
      </c>
      <c r="I594">
        <v>60</v>
      </c>
      <c r="J594" s="3">
        <v>1521.08</v>
      </c>
      <c r="K594" s="3">
        <v>91264.8</v>
      </c>
      <c r="L594" t="s">
        <v>25</v>
      </c>
      <c r="M594" s="2">
        <v>46082</v>
      </c>
      <c r="N594" s="2">
        <v>46081</v>
      </c>
      <c r="O594" t="s">
        <v>43</v>
      </c>
      <c r="P594" t="s">
        <v>44</v>
      </c>
      <c r="Q594" t="s">
        <v>28</v>
      </c>
      <c r="R594" t="s">
        <v>29</v>
      </c>
    </row>
    <row r="595" spans="1:18">
      <c r="A595" t="s">
        <v>724</v>
      </c>
      <c r="B595" s="2">
        <v>45912</v>
      </c>
      <c r="C595" t="s">
        <v>19</v>
      </c>
      <c r="D595" t="s">
        <v>20</v>
      </c>
      <c r="E595" t="s">
        <v>31</v>
      </c>
      <c r="F595" t="s">
        <v>22</v>
      </c>
      <c r="G595" t="s">
        <v>160</v>
      </c>
      <c r="H595" t="s">
        <v>161</v>
      </c>
      <c r="I595">
        <v>1</v>
      </c>
      <c r="J595" s="3">
        <v>2986.39</v>
      </c>
      <c r="K595" s="3">
        <v>2986.39</v>
      </c>
      <c r="L595" t="s">
        <v>25</v>
      </c>
      <c r="M595" s="2">
        <v>45927</v>
      </c>
      <c r="N595" s="2">
        <v>45925</v>
      </c>
      <c r="O595" t="s">
        <v>76</v>
      </c>
      <c r="P595" t="s">
        <v>94</v>
      </c>
      <c r="Q595" t="s">
        <v>28</v>
      </c>
      <c r="R595" t="s">
        <v>29</v>
      </c>
    </row>
    <row r="596" spans="1:18">
      <c r="A596" t="s">
        <v>725</v>
      </c>
      <c r="B596" s="2">
        <v>45991</v>
      </c>
      <c r="C596" t="s">
        <v>147</v>
      </c>
      <c r="D596" t="s">
        <v>148</v>
      </c>
      <c r="E596" t="s">
        <v>39</v>
      </c>
      <c r="F596" t="s">
        <v>40</v>
      </c>
      <c r="G596" t="s">
        <v>62</v>
      </c>
      <c r="H596" t="s">
        <v>63</v>
      </c>
      <c r="I596">
        <v>6</v>
      </c>
      <c r="J596" s="3">
        <v>18318.669999999998</v>
      </c>
      <c r="K596" s="3">
        <v>109912.02</v>
      </c>
      <c r="L596" t="s">
        <v>52</v>
      </c>
      <c r="M596" s="2">
        <v>46002</v>
      </c>
      <c r="N596" s="2">
        <v>45999</v>
      </c>
      <c r="O596" t="s">
        <v>43</v>
      </c>
      <c r="P596" t="s">
        <v>44</v>
      </c>
      <c r="Q596" t="s">
        <v>28</v>
      </c>
      <c r="R596" t="s">
        <v>29</v>
      </c>
    </row>
    <row r="597" spans="1:18">
      <c r="A597" t="s">
        <v>726</v>
      </c>
      <c r="B597" s="2">
        <v>45958</v>
      </c>
      <c r="C597" t="s">
        <v>71</v>
      </c>
      <c r="D597" t="s">
        <v>72</v>
      </c>
      <c r="E597" t="s">
        <v>48</v>
      </c>
      <c r="F597" t="s">
        <v>57</v>
      </c>
      <c r="G597" t="s">
        <v>86</v>
      </c>
      <c r="H597" t="s">
        <v>87</v>
      </c>
      <c r="I597">
        <v>8</v>
      </c>
      <c r="J597" s="3">
        <v>9864.2099999999991</v>
      </c>
      <c r="K597" s="3">
        <v>78913.679999999993</v>
      </c>
      <c r="L597" t="s">
        <v>25</v>
      </c>
      <c r="M597" s="2">
        <v>45965</v>
      </c>
      <c r="N597" s="2">
        <v>45965</v>
      </c>
      <c r="O597" t="s">
        <v>26</v>
      </c>
      <c r="P597" t="s">
        <v>53</v>
      </c>
      <c r="Q597" t="s">
        <v>28</v>
      </c>
      <c r="R597" t="s">
        <v>29</v>
      </c>
    </row>
    <row r="598" spans="1:18">
      <c r="A598" t="s">
        <v>727</v>
      </c>
      <c r="B598" s="2">
        <v>45874</v>
      </c>
      <c r="C598" t="s">
        <v>104</v>
      </c>
      <c r="D598" t="s">
        <v>105</v>
      </c>
      <c r="E598" t="s">
        <v>112</v>
      </c>
      <c r="F598" t="s">
        <v>49</v>
      </c>
      <c r="G598" t="s">
        <v>113</v>
      </c>
      <c r="H598" t="s">
        <v>114</v>
      </c>
      <c r="I598">
        <v>1</v>
      </c>
      <c r="J598" s="3">
        <v>39877.300000000003</v>
      </c>
      <c r="K598" s="3">
        <v>39877.300000000003</v>
      </c>
      <c r="L598" t="s">
        <v>52</v>
      </c>
      <c r="M598" s="2">
        <v>45881</v>
      </c>
      <c r="N598" s="2">
        <v>45879</v>
      </c>
      <c r="O598" t="s">
        <v>76</v>
      </c>
      <c r="P598" t="s">
        <v>115</v>
      </c>
      <c r="Q598" t="s">
        <v>28</v>
      </c>
      <c r="R598" t="s">
        <v>29</v>
      </c>
    </row>
    <row r="599" spans="1:18">
      <c r="A599" t="s">
        <v>728</v>
      </c>
      <c r="B599" s="2">
        <v>46161</v>
      </c>
      <c r="C599" t="s">
        <v>71</v>
      </c>
      <c r="D599" t="s">
        <v>72</v>
      </c>
      <c r="E599" t="s">
        <v>48</v>
      </c>
      <c r="F599" t="s">
        <v>57</v>
      </c>
      <c r="G599" t="s">
        <v>127</v>
      </c>
      <c r="H599" t="s">
        <v>128</v>
      </c>
      <c r="I599">
        <v>6</v>
      </c>
      <c r="J599" s="3">
        <v>15502.97</v>
      </c>
      <c r="K599" s="3">
        <v>93017.82</v>
      </c>
      <c r="L599" t="s">
        <v>34</v>
      </c>
      <c r="M599" s="2">
        <v>46172</v>
      </c>
      <c r="N599" s="2">
        <v>46169</v>
      </c>
      <c r="O599" t="s">
        <v>60</v>
      </c>
      <c r="P599" t="s">
        <v>53</v>
      </c>
      <c r="Q599" t="s">
        <v>28</v>
      </c>
      <c r="R599" t="s">
        <v>29</v>
      </c>
    </row>
    <row r="600" spans="1:18">
      <c r="A600" t="s">
        <v>729</v>
      </c>
      <c r="B600" s="2">
        <v>45886</v>
      </c>
      <c r="C600" t="s">
        <v>142</v>
      </c>
      <c r="D600" t="s">
        <v>143</v>
      </c>
      <c r="E600" t="s">
        <v>21</v>
      </c>
      <c r="F600" t="s">
        <v>22</v>
      </c>
      <c r="G600" t="s">
        <v>23</v>
      </c>
      <c r="H600" t="s">
        <v>24</v>
      </c>
      <c r="I600">
        <v>17</v>
      </c>
      <c r="J600" s="3">
        <v>248.26</v>
      </c>
      <c r="K600" s="3">
        <v>4220.42</v>
      </c>
      <c r="L600" t="s">
        <v>25</v>
      </c>
      <c r="M600" s="2">
        <v>45902</v>
      </c>
      <c r="N600" s="2">
        <v>45900</v>
      </c>
      <c r="O600" t="s">
        <v>76</v>
      </c>
      <c r="P600" t="s">
        <v>27</v>
      </c>
      <c r="Q600" t="s">
        <v>28</v>
      </c>
      <c r="R600" t="s">
        <v>29</v>
      </c>
    </row>
    <row r="601" spans="1:18">
      <c r="A601" t="s">
        <v>730</v>
      </c>
      <c r="B601" s="2">
        <v>45659</v>
      </c>
      <c r="C601" t="s">
        <v>107</v>
      </c>
      <c r="D601" t="s">
        <v>108</v>
      </c>
      <c r="E601" t="s">
        <v>31</v>
      </c>
      <c r="F601" t="s">
        <v>91</v>
      </c>
      <c r="G601" t="s">
        <v>109</v>
      </c>
      <c r="H601" t="s">
        <v>110</v>
      </c>
      <c r="I601">
        <v>1</v>
      </c>
      <c r="J601" s="3">
        <v>13595.56</v>
      </c>
      <c r="K601" s="3">
        <v>13595.56</v>
      </c>
      <c r="L601" t="s">
        <v>25</v>
      </c>
      <c r="M601" s="2">
        <v>45676</v>
      </c>
      <c r="N601" s="2">
        <v>45675</v>
      </c>
      <c r="O601" t="s">
        <v>26</v>
      </c>
      <c r="P601" t="s">
        <v>94</v>
      </c>
      <c r="Q601" t="s">
        <v>28</v>
      </c>
      <c r="R601" t="s">
        <v>29</v>
      </c>
    </row>
    <row r="602" spans="1:18">
      <c r="A602" t="s">
        <v>731</v>
      </c>
      <c r="B602" s="2">
        <v>46062</v>
      </c>
      <c r="C602" t="s">
        <v>147</v>
      </c>
      <c r="D602" t="s">
        <v>148</v>
      </c>
      <c r="E602" t="s">
        <v>112</v>
      </c>
      <c r="F602" t="s">
        <v>40</v>
      </c>
      <c r="G602" t="s">
        <v>149</v>
      </c>
      <c r="H602" t="s">
        <v>150</v>
      </c>
      <c r="I602">
        <v>19</v>
      </c>
      <c r="J602" s="3">
        <v>1278.78</v>
      </c>
      <c r="K602" s="3">
        <v>24296.82</v>
      </c>
      <c r="L602" t="s">
        <v>34</v>
      </c>
      <c r="M602" s="2">
        <v>46074</v>
      </c>
      <c r="N602" s="2">
        <v>46073</v>
      </c>
      <c r="O602" t="s">
        <v>26</v>
      </c>
      <c r="P602" t="s">
        <v>115</v>
      </c>
      <c r="Q602" t="s">
        <v>28</v>
      </c>
      <c r="R602" t="s">
        <v>29</v>
      </c>
    </row>
    <row r="603" spans="1:18">
      <c r="A603" t="s">
        <v>732</v>
      </c>
      <c r="B603" s="2">
        <v>45985</v>
      </c>
      <c r="C603" t="s">
        <v>37</v>
      </c>
      <c r="D603" t="s">
        <v>38</v>
      </c>
      <c r="E603" t="s">
        <v>112</v>
      </c>
      <c r="F603" t="s">
        <v>22</v>
      </c>
      <c r="G603" t="s">
        <v>160</v>
      </c>
      <c r="H603" t="s">
        <v>161</v>
      </c>
      <c r="I603">
        <v>8</v>
      </c>
      <c r="J603" s="3">
        <v>3657</v>
      </c>
      <c r="K603" s="3">
        <v>29256</v>
      </c>
      <c r="L603" t="s">
        <v>25</v>
      </c>
      <c r="M603" s="2">
        <v>46000</v>
      </c>
      <c r="N603" s="2">
        <v>45997</v>
      </c>
      <c r="O603" t="s">
        <v>60</v>
      </c>
      <c r="P603" t="s">
        <v>115</v>
      </c>
      <c r="Q603" t="s">
        <v>28</v>
      </c>
      <c r="R603" t="s">
        <v>29</v>
      </c>
    </row>
    <row r="604" spans="1:18">
      <c r="A604" t="s">
        <v>733</v>
      </c>
      <c r="B604" s="2">
        <v>45999</v>
      </c>
      <c r="C604" t="s">
        <v>71</v>
      </c>
      <c r="D604" t="s">
        <v>72</v>
      </c>
      <c r="E604" t="s">
        <v>48</v>
      </c>
      <c r="F604" t="s">
        <v>57</v>
      </c>
      <c r="G604" t="s">
        <v>120</v>
      </c>
      <c r="H604" t="s">
        <v>121</v>
      </c>
      <c r="I604">
        <v>3</v>
      </c>
      <c r="J604" s="3">
        <v>21357.15</v>
      </c>
      <c r="K604" s="3">
        <v>64071.45</v>
      </c>
      <c r="L604" t="s">
        <v>25</v>
      </c>
      <c r="M604" s="2">
        <v>46017</v>
      </c>
      <c r="N604" s="2">
        <v>46014</v>
      </c>
      <c r="O604" t="s">
        <v>26</v>
      </c>
      <c r="P604" t="s">
        <v>53</v>
      </c>
      <c r="Q604" t="s">
        <v>28</v>
      </c>
      <c r="R604" t="s">
        <v>29</v>
      </c>
    </row>
    <row r="605" spans="1:18">
      <c r="A605" t="s">
        <v>734</v>
      </c>
      <c r="B605" s="2">
        <v>46059</v>
      </c>
      <c r="C605" t="s">
        <v>104</v>
      </c>
      <c r="D605" t="s">
        <v>105</v>
      </c>
      <c r="E605" t="s">
        <v>48</v>
      </c>
      <c r="F605" t="s">
        <v>49</v>
      </c>
      <c r="G605" t="s">
        <v>68</v>
      </c>
      <c r="H605" t="s">
        <v>69</v>
      </c>
      <c r="I605">
        <v>1</v>
      </c>
      <c r="J605" s="3">
        <v>48360.29</v>
      </c>
      <c r="K605" s="3">
        <v>48360.29</v>
      </c>
      <c r="L605" t="s">
        <v>34</v>
      </c>
      <c r="M605" s="2">
        <v>46068</v>
      </c>
      <c r="N605" s="2">
        <v>46067</v>
      </c>
      <c r="O605" t="s">
        <v>60</v>
      </c>
      <c r="P605" t="s">
        <v>53</v>
      </c>
      <c r="Q605" t="s">
        <v>28</v>
      </c>
      <c r="R605" t="s">
        <v>29</v>
      </c>
    </row>
    <row r="606" spans="1:18">
      <c r="A606" t="s">
        <v>735</v>
      </c>
      <c r="B606" s="2">
        <v>45792</v>
      </c>
      <c r="C606" t="s">
        <v>55</v>
      </c>
      <c r="D606" t="s">
        <v>56</v>
      </c>
      <c r="E606" t="s">
        <v>48</v>
      </c>
      <c r="F606" t="s">
        <v>57</v>
      </c>
      <c r="G606" t="s">
        <v>120</v>
      </c>
      <c r="H606" t="s">
        <v>121</v>
      </c>
      <c r="I606">
        <v>3</v>
      </c>
      <c r="J606" s="3">
        <v>24759.68</v>
      </c>
      <c r="K606" s="3">
        <v>74279.039999999994</v>
      </c>
      <c r="L606" t="s">
        <v>52</v>
      </c>
      <c r="M606" s="2">
        <v>45804</v>
      </c>
      <c r="N606" s="2">
        <v>45802</v>
      </c>
      <c r="O606" t="s">
        <v>26</v>
      </c>
      <c r="P606" t="s">
        <v>53</v>
      </c>
      <c r="Q606" t="s">
        <v>28</v>
      </c>
      <c r="R606" t="s">
        <v>29</v>
      </c>
    </row>
    <row r="607" spans="1:18">
      <c r="A607" t="s">
        <v>736</v>
      </c>
      <c r="B607" s="2">
        <v>45667</v>
      </c>
      <c r="C607" t="s">
        <v>37</v>
      </c>
      <c r="D607" t="s">
        <v>38</v>
      </c>
      <c r="E607" t="s">
        <v>112</v>
      </c>
      <c r="F607" t="s">
        <v>22</v>
      </c>
      <c r="G607" t="s">
        <v>32</v>
      </c>
      <c r="H607" t="s">
        <v>33</v>
      </c>
      <c r="I607">
        <v>7</v>
      </c>
      <c r="J607" s="3">
        <v>9176.3799999999992</v>
      </c>
      <c r="K607" s="3">
        <v>64234.66</v>
      </c>
      <c r="L607" t="s">
        <v>52</v>
      </c>
      <c r="M607" s="2">
        <v>45678</v>
      </c>
      <c r="N607" s="2">
        <v>45677</v>
      </c>
      <c r="O607" t="s">
        <v>43</v>
      </c>
      <c r="P607" t="s">
        <v>115</v>
      </c>
      <c r="Q607" t="s">
        <v>28</v>
      </c>
      <c r="R607" t="s">
        <v>29</v>
      </c>
    </row>
    <row r="608" spans="1:18">
      <c r="A608" t="s">
        <v>737</v>
      </c>
      <c r="B608" s="2">
        <v>46143</v>
      </c>
      <c r="C608" t="s">
        <v>96</v>
      </c>
      <c r="D608" t="s">
        <v>97</v>
      </c>
      <c r="E608" t="s">
        <v>39</v>
      </c>
      <c r="F608" t="s">
        <v>82</v>
      </c>
      <c r="G608" t="s">
        <v>197</v>
      </c>
      <c r="H608" t="s">
        <v>198</v>
      </c>
      <c r="I608">
        <v>14</v>
      </c>
      <c r="J608" s="3">
        <v>2118.9699999999998</v>
      </c>
      <c r="K608" s="3">
        <v>29665.58</v>
      </c>
      <c r="L608" t="s">
        <v>25</v>
      </c>
      <c r="M608" s="2">
        <v>46158</v>
      </c>
      <c r="N608" s="2">
        <v>46157</v>
      </c>
      <c r="O608" t="s">
        <v>26</v>
      </c>
      <c r="P608" t="s">
        <v>44</v>
      </c>
      <c r="Q608" t="s">
        <v>28</v>
      </c>
      <c r="R608" t="s">
        <v>29</v>
      </c>
    </row>
    <row r="609" spans="1:18">
      <c r="A609" t="s">
        <v>738</v>
      </c>
      <c r="B609" s="2">
        <v>46158</v>
      </c>
      <c r="C609" t="s">
        <v>107</v>
      </c>
      <c r="D609" t="s">
        <v>108</v>
      </c>
      <c r="E609" t="s">
        <v>31</v>
      </c>
      <c r="F609" t="s">
        <v>91</v>
      </c>
      <c r="G609" t="s">
        <v>109</v>
      </c>
      <c r="H609" t="s">
        <v>110</v>
      </c>
      <c r="I609">
        <v>1</v>
      </c>
      <c r="J609" s="3">
        <v>14426.57</v>
      </c>
      <c r="K609" s="3">
        <v>14426.57</v>
      </c>
      <c r="L609" t="s">
        <v>25</v>
      </c>
      <c r="M609" s="2">
        <v>46175</v>
      </c>
      <c r="N609" s="2">
        <v>46172</v>
      </c>
      <c r="O609" t="s">
        <v>60</v>
      </c>
      <c r="P609" t="s">
        <v>35</v>
      </c>
      <c r="Q609" t="s">
        <v>28</v>
      </c>
      <c r="R609" t="s">
        <v>29</v>
      </c>
    </row>
    <row r="610" spans="1:18">
      <c r="A610" t="s">
        <v>739</v>
      </c>
      <c r="B610" s="2">
        <v>45669</v>
      </c>
      <c r="C610" t="s">
        <v>37</v>
      </c>
      <c r="D610" t="s">
        <v>38</v>
      </c>
      <c r="E610" t="s">
        <v>39</v>
      </c>
      <c r="F610" t="s">
        <v>40</v>
      </c>
      <c r="G610" t="s">
        <v>149</v>
      </c>
      <c r="H610" t="s">
        <v>150</v>
      </c>
      <c r="I610">
        <v>41</v>
      </c>
      <c r="J610" s="3">
        <v>1461.21</v>
      </c>
      <c r="K610" s="3">
        <v>59909.61</v>
      </c>
      <c r="L610" t="s">
        <v>34</v>
      </c>
      <c r="M610" s="2">
        <v>45681</v>
      </c>
      <c r="N610" s="2">
        <v>45681</v>
      </c>
      <c r="O610" t="s">
        <v>26</v>
      </c>
      <c r="P610" t="s">
        <v>44</v>
      </c>
      <c r="Q610" t="s">
        <v>28</v>
      </c>
      <c r="R610" t="s">
        <v>29</v>
      </c>
    </row>
    <row r="611" spans="1:18">
      <c r="A611" t="s">
        <v>740</v>
      </c>
      <c r="B611" s="2">
        <v>46102</v>
      </c>
      <c r="C611" t="s">
        <v>147</v>
      </c>
      <c r="D611" t="s">
        <v>148</v>
      </c>
      <c r="E611" t="s">
        <v>39</v>
      </c>
      <c r="F611" t="s">
        <v>40</v>
      </c>
      <c r="G611" t="s">
        <v>41</v>
      </c>
      <c r="H611" t="s">
        <v>42</v>
      </c>
      <c r="I611">
        <v>9</v>
      </c>
      <c r="J611" s="3">
        <v>5378.91</v>
      </c>
      <c r="K611" s="3">
        <v>48410.19</v>
      </c>
      <c r="L611" t="s">
        <v>25</v>
      </c>
      <c r="M611" s="2">
        <v>46109</v>
      </c>
      <c r="N611" s="2">
        <v>46109</v>
      </c>
      <c r="O611" t="s">
        <v>60</v>
      </c>
      <c r="P611" t="s">
        <v>64</v>
      </c>
      <c r="Q611" t="s">
        <v>28</v>
      </c>
      <c r="R611" t="s">
        <v>29</v>
      </c>
    </row>
    <row r="612" spans="1:18">
      <c r="A612" t="s">
        <v>741</v>
      </c>
      <c r="B612" s="2">
        <v>45778</v>
      </c>
      <c r="C612" t="s">
        <v>107</v>
      </c>
      <c r="D612" t="s">
        <v>108</v>
      </c>
      <c r="E612" t="s">
        <v>31</v>
      </c>
      <c r="F612" t="s">
        <v>91</v>
      </c>
      <c r="G612" t="s">
        <v>92</v>
      </c>
      <c r="H612" t="s">
        <v>93</v>
      </c>
      <c r="I612">
        <v>1</v>
      </c>
      <c r="J612" s="3">
        <v>47680.53</v>
      </c>
      <c r="K612" s="3">
        <v>47680.53</v>
      </c>
      <c r="L612" t="s">
        <v>34</v>
      </c>
      <c r="M612" s="2">
        <v>45783</v>
      </c>
      <c r="N612" s="2">
        <v>45782</v>
      </c>
      <c r="O612" t="s">
        <v>43</v>
      </c>
      <c r="P612" t="s">
        <v>35</v>
      </c>
      <c r="Q612" t="s">
        <v>28</v>
      </c>
      <c r="R612" t="s">
        <v>29</v>
      </c>
    </row>
    <row r="613" spans="1:18">
      <c r="A613" t="s">
        <v>742</v>
      </c>
      <c r="B613" s="2">
        <v>45693</v>
      </c>
      <c r="C613" t="s">
        <v>147</v>
      </c>
      <c r="D613" t="s">
        <v>148</v>
      </c>
      <c r="E613" t="s">
        <v>39</v>
      </c>
      <c r="F613" t="s">
        <v>40</v>
      </c>
      <c r="G613" t="s">
        <v>136</v>
      </c>
      <c r="H613" t="s">
        <v>137</v>
      </c>
      <c r="I613">
        <v>47</v>
      </c>
      <c r="J613" s="3">
        <v>1545.1</v>
      </c>
      <c r="K613" s="3">
        <v>72619.7</v>
      </c>
      <c r="L613" t="s">
        <v>52</v>
      </c>
      <c r="M613" s="2">
        <v>45698</v>
      </c>
      <c r="N613" s="2">
        <v>45698</v>
      </c>
      <c r="O613" t="s">
        <v>76</v>
      </c>
      <c r="P613" t="s">
        <v>44</v>
      </c>
      <c r="Q613" t="s">
        <v>28</v>
      </c>
      <c r="R613" t="s">
        <v>29</v>
      </c>
    </row>
    <row r="614" spans="1:18">
      <c r="A614" t="s">
        <v>743</v>
      </c>
      <c r="B614" s="2">
        <v>45801</v>
      </c>
      <c r="C614" t="s">
        <v>46</v>
      </c>
      <c r="D614" t="s">
        <v>47</v>
      </c>
      <c r="E614" t="s">
        <v>48</v>
      </c>
      <c r="F614" t="s">
        <v>49</v>
      </c>
      <c r="G614" t="s">
        <v>50</v>
      </c>
      <c r="H614" t="s">
        <v>51</v>
      </c>
      <c r="I614">
        <v>1</v>
      </c>
      <c r="J614" s="3">
        <v>56202.31</v>
      </c>
      <c r="K614" s="3">
        <v>56202.31</v>
      </c>
      <c r="L614" t="s">
        <v>25</v>
      </c>
      <c r="M614" s="2">
        <v>45809</v>
      </c>
      <c r="N614" s="2">
        <v>45813</v>
      </c>
      <c r="O614" t="s">
        <v>26</v>
      </c>
      <c r="P614" t="s">
        <v>53</v>
      </c>
      <c r="Q614" t="s">
        <v>28</v>
      </c>
      <c r="R614" t="s">
        <v>129</v>
      </c>
    </row>
    <row r="615" spans="1:18">
      <c r="A615" t="s">
        <v>744</v>
      </c>
      <c r="B615" s="2">
        <v>45879</v>
      </c>
      <c r="C615" t="s">
        <v>71</v>
      </c>
      <c r="D615" t="s">
        <v>72</v>
      </c>
      <c r="E615" t="s">
        <v>21</v>
      </c>
      <c r="F615" t="s">
        <v>57</v>
      </c>
      <c r="G615" t="s">
        <v>127</v>
      </c>
      <c r="H615" t="s">
        <v>128</v>
      </c>
      <c r="I615">
        <v>5</v>
      </c>
      <c r="J615" s="3">
        <v>15433.03</v>
      </c>
      <c r="K615" s="3">
        <v>77165.149999999994</v>
      </c>
      <c r="L615" t="s">
        <v>25</v>
      </c>
      <c r="M615" s="2">
        <v>45890</v>
      </c>
      <c r="N615" s="2">
        <v>45889</v>
      </c>
      <c r="O615" t="s">
        <v>43</v>
      </c>
      <c r="P615" t="s">
        <v>27</v>
      </c>
      <c r="Q615" t="s">
        <v>28</v>
      </c>
      <c r="R615" t="s">
        <v>29</v>
      </c>
    </row>
    <row r="616" spans="1:18">
      <c r="A616" t="s">
        <v>745</v>
      </c>
      <c r="B616" s="2">
        <v>45804</v>
      </c>
      <c r="C616" t="s">
        <v>80</v>
      </c>
      <c r="D616" t="s">
        <v>81</v>
      </c>
      <c r="E616" t="s">
        <v>39</v>
      </c>
      <c r="F616" t="s">
        <v>82</v>
      </c>
      <c r="G616" t="s">
        <v>98</v>
      </c>
      <c r="H616" t="s">
        <v>99</v>
      </c>
      <c r="I616">
        <v>17</v>
      </c>
      <c r="J616" s="3">
        <v>1117.31</v>
      </c>
      <c r="K616" s="3">
        <v>18994.27</v>
      </c>
      <c r="L616" t="s">
        <v>25</v>
      </c>
      <c r="M616" s="2">
        <v>45820</v>
      </c>
      <c r="N616" s="2">
        <v>45819</v>
      </c>
      <c r="O616" t="s">
        <v>26</v>
      </c>
      <c r="P616" t="s">
        <v>44</v>
      </c>
      <c r="Q616" t="s">
        <v>28</v>
      </c>
      <c r="R616" t="s">
        <v>29</v>
      </c>
    </row>
    <row r="617" spans="1:18">
      <c r="A617" t="s">
        <v>746</v>
      </c>
      <c r="B617" s="2">
        <v>46102</v>
      </c>
      <c r="C617" t="s">
        <v>142</v>
      </c>
      <c r="D617" t="s">
        <v>143</v>
      </c>
      <c r="E617" t="s">
        <v>112</v>
      </c>
      <c r="F617" t="s">
        <v>22</v>
      </c>
      <c r="G617" t="s">
        <v>23</v>
      </c>
      <c r="H617" t="s">
        <v>24</v>
      </c>
      <c r="I617">
        <v>48</v>
      </c>
      <c r="J617" s="3">
        <v>261.73</v>
      </c>
      <c r="K617" s="3">
        <v>12563.04</v>
      </c>
      <c r="L617" t="s">
        <v>34</v>
      </c>
      <c r="M617" s="2">
        <v>46115</v>
      </c>
      <c r="N617" s="2">
        <v>46113</v>
      </c>
      <c r="O617" t="s">
        <v>76</v>
      </c>
      <c r="P617" t="s">
        <v>115</v>
      </c>
      <c r="Q617" t="s">
        <v>28</v>
      </c>
      <c r="R617" t="s">
        <v>29</v>
      </c>
    </row>
    <row r="618" spans="1:18">
      <c r="A618" t="s">
        <v>747</v>
      </c>
      <c r="B618" s="2">
        <v>45937</v>
      </c>
      <c r="C618" t="s">
        <v>104</v>
      </c>
      <c r="D618" t="s">
        <v>105</v>
      </c>
      <c r="E618" t="s">
        <v>48</v>
      </c>
      <c r="F618" t="s">
        <v>49</v>
      </c>
      <c r="G618" t="s">
        <v>113</v>
      </c>
      <c r="H618" t="s">
        <v>114</v>
      </c>
      <c r="I618">
        <v>1</v>
      </c>
      <c r="J618" s="3">
        <v>39829.839999999997</v>
      </c>
      <c r="K618" s="3">
        <v>39829.839999999997</v>
      </c>
      <c r="L618" t="s">
        <v>25</v>
      </c>
      <c r="M618" s="2">
        <v>45948</v>
      </c>
      <c r="N618" s="2">
        <v>45948</v>
      </c>
      <c r="O618" t="s">
        <v>76</v>
      </c>
      <c r="P618" t="s">
        <v>53</v>
      </c>
      <c r="Q618" t="s">
        <v>28</v>
      </c>
      <c r="R618" t="s">
        <v>29</v>
      </c>
    </row>
    <row r="619" spans="1:18">
      <c r="A619" t="s">
        <v>748</v>
      </c>
      <c r="B619" s="2">
        <v>45755</v>
      </c>
      <c r="C619" t="s">
        <v>46</v>
      </c>
      <c r="D619" t="s">
        <v>47</v>
      </c>
      <c r="E619" t="s">
        <v>48</v>
      </c>
      <c r="F619" t="s">
        <v>49</v>
      </c>
      <c r="G619" t="s">
        <v>165</v>
      </c>
      <c r="H619" t="s">
        <v>166</v>
      </c>
      <c r="I619">
        <v>1</v>
      </c>
      <c r="J619" s="3">
        <v>49640.98</v>
      </c>
      <c r="K619" s="3">
        <v>49640.98</v>
      </c>
      <c r="L619" t="s">
        <v>25</v>
      </c>
      <c r="M619" s="2">
        <v>45765</v>
      </c>
      <c r="N619" s="2">
        <v>45762</v>
      </c>
      <c r="O619" t="s">
        <v>60</v>
      </c>
      <c r="P619" t="s">
        <v>53</v>
      </c>
      <c r="Q619" t="s">
        <v>28</v>
      </c>
      <c r="R619" t="s">
        <v>29</v>
      </c>
    </row>
    <row r="620" spans="1:18">
      <c r="A620" t="s">
        <v>749</v>
      </c>
      <c r="B620" s="2">
        <v>45788</v>
      </c>
      <c r="C620" t="s">
        <v>117</v>
      </c>
      <c r="D620" t="s">
        <v>118</v>
      </c>
      <c r="E620" t="s">
        <v>48</v>
      </c>
      <c r="F620" t="s">
        <v>57</v>
      </c>
      <c r="G620" t="s">
        <v>120</v>
      </c>
      <c r="H620" t="s">
        <v>121</v>
      </c>
      <c r="I620">
        <v>5</v>
      </c>
      <c r="J620" s="3">
        <v>21919.73</v>
      </c>
      <c r="K620" s="3">
        <v>109598.65</v>
      </c>
      <c r="L620" t="s">
        <v>34</v>
      </c>
      <c r="M620" s="2">
        <v>45793</v>
      </c>
      <c r="N620" s="2">
        <v>45791</v>
      </c>
      <c r="O620" t="s">
        <v>26</v>
      </c>
      <c r="P620" t="s">
        <v>53</v>
      </c>
      <c r="Q620" t="s">
        <v>28</v>
      </c>
      <c r="R620" t="s">
        <v>29</v>
      </c>
    </row>
    <row r="621" spans="1:18">
      <c r="A621" t="s">
        <v>750</v>
      </c>
      <c r="B621" s="2">
        <v>46126</v>
      </c>
      <c r="C621" t="s">
        <v>37</v>
      </c>
      <c r="D621" t="s">
        <v>38</v>
      </c>
      <c r="E621" t="s">
        <v>112</v>
      </c>
      <c r="F621" t="s">
        <v>40</v>
      </c>
      <c r="G621" t="s">
        <v>136</v>
      </c>
      <c r="H621" t="s">
        <v>137</v>
      </c>
      <c r="I621">
        <v>50</v>
      </c>
      <c r="J621" s="3">
        <v>1762.85</v>
      </c>
      <c r="K621" s="3">
        <v>88142.5</v>
      </c>
      <c r="L621" t="s">
        <v>52</v>
      </c>
      <c r="M621" s="2">
        <v>46144</v>
      </c>
      <c r="N621" s="2">
        <v>46144</v>
      </c>
      <c r="O621" t="s">
        <v>60</v>
      </c>
      <c r="P621" t="s">
        <v>115</v>
      </c>
      <c r="Q621" t="s">
        <v>28</v>
      </c>
      <c r="R621" t="s">
        <v>29</v>
      </c>
    </row>
    <row r="622" spans="1:18">
      <c r="A622" t="s">
        <v>751</v>
      </c>
      <c r="B622" s="2">
        <v>45750</v>
      </c>
      <c r="C622" t="s">
        <v>142</v>
      </c>
      <c r="D622" t="s">
        <v>143</v>
      </c>
      <c r="E622" t="s">
        <v>39</v>
      </c>
      <c r="F622" t="s">
        <v>22</v>
      </c>
      <c r="G622" t="s">
        <v>23</v>
      </c>
      <c r="H622" t="s">
        <v>24</v>
      </c>
      <c r="I622">
        <v>52</v>
      </c>
      <c r="J622" s="3">
        <v>236.47</v>
      </c>
      <c r="K622" s="3">
        <v>12296.44</v>
      </c>
      <c r="L622" t="s">
        <v>34</v>
      </c>
      <c r="M622" s="2">
        <v>45759</v>
      </c>
      <c r="N622" s="2">
        <v>45756</v>
      </c>
      <c r="O622" t="s">
        <v>43</v>
      </c>
      <c r="P622" t="s">
        <v>44</v>
      </c>
      <c r="Q622" t="s">
        <v>28</v>
      </c>
      <c r="R622" t="s">
        <v>29</v>
      </c>
    </row>
    <row r="623" spans="1:18">
      <c r="A623" t="s">
        <v>752</v>
      </c>
      <c r="B623" s="2">
        <v>45797</v>
      </c>
      <c r="C623" t="s">
        <v>19</v>
      </c>
      <c r="D623" t="s">
        <v>20</v>
      </c>
      <c r="E623" t="s">
        <v>31</v>
      </c>
      <c r="F623" t="s">
        <v>22</v>
      </c>
      <c r="G623" t="s">
        <v>32</v>
      </c>
      <c r="H623" t="s">
        <v>33</v>
      </c>
      <c r="I623">
        <v>10</v>
      </c>
      <c r="J623" s="3">
        <v>7228.56</v>
      </c>
      <c r="K623" s="3">
        <v>72285.600000000006</v>
      </c>
      <c r="L623" t="s">
        <v>34</v>
      </c>
      <c r="M623" s="2">
        <v>45805</v>
      </c>
      <c r="N623" s="2">
        <v>45805</v>
      </c>
      <c r="O623" t="s">
        <v>76</v>
      </c>
      <c r="P623" t="s">
        <v>94</v>
      </c>
      <c r="Q623" t="s">
        <v>28</v>
      </c>
      <c r="R623" t="s">
        <v>29</v>
      </c>
    </row>
    <row r="624" spans="1:18">
      <c r="A624" t="s">
        <v>753</v>
      </c>
      <c r="B624" s="2">
        <v>45701</v>
      </c>
      <c r="C624" t="s">
        <v>104</v>
      </c>
      <c r="D624" t="s">
        <v>105</v>
      </c>
      <c r="E624" t="s">
        <v>112</v>
      </c>
      <c r="F624" t="s">
        <v>49</v>
      </c>
      <c r="G624" t="s">
        <v>50</v>
      </c>
      <c r="H624" t="s">
        <v>51</v>
      </c>
      <c r="I624">
        <v>1</v>
      </c>
      <c r="J624" s="3">
        <v>51637.8</v>
      </c>
      <c r="K624" s="3">
        <v>51637.8</v>
      </c>
      <c r="L624" t="s">
        <v>25</v>
      </c>
      <c r="M624" s="2">
        <v>45714</v>
      </c>
      <c r="N624" s="2">
        <v>45714</v>
      </c>
      <c r="O624" t="s">
        <v>60</v>
      </c>
      <c r="P624" t="s">
        <v>115</v>
      </c>
      <c r="Q624" t="s">
        <v>28</v>
      </c>
      <c r="R624" t="s">
        <v>29</v>
      </c>
    </row>
    <row r="625" spans="1:18">
      <c r="A625" t="s">
        <v>754</v>
      </c>
      <c r="B625" s="2">
        <v>45778</v>
      </c>
      <c r="C625" t="s">
        <v>117</v>
      </c>
      <c r="D625" t="s">
        <v>118</v>
      </c>
      <c r="E625" t="s">
        <v>31</v>
      </c>
      <c r="F625" t="s">
        <v>57</v>
      </c>
      <c r="G625" t="s">
        <v>86</v>
      </c>
      <c r="H625" t="s">
        <v>87</v>
      </c>
      <c r="I625">
        <v>7</v>
      </c>
      <c r="J625" s="3">
        <v>11160.46</v>
      </c>
      <c r="K625" s="3">
        <v>78123.22</v>
      </c>
      <c r="L625" t="s">
        <v>52</v>
      </c>
      <c r="M625" s="2">
        <v>45786</v>
      </c>
      <c r="N625" s="2">
        <v>45786</v>
      </c>
      <c r="O625" t="s">
        <v>60</v>
      </c>
      <c r="P625" t="s">
        <v>94</v>
      </c>
      <c r="Q625" t="s">
        <v>28</v>
      </c>
      <c r="R625" t="s">
        <v>29</v>
      </c>
    </row>
    <row r="626" spans="1:18">
      <c r="A626" t="s">
        <v>755</v>
      </c>
      <c r="B626" s="2">
        <v>46022</v>
      </c>
      <c r="C626" t="s">
        <v>104</v>
      </c>
      <c r="D626" t="s">
        <v>105</v>
      </c>
      <c r="E626" t="s">
        <v>73</v>
      </c>
      <c r="F626" t="s">
        <v>49</v>
      </c>
      <c r="G626" t="s">
        <v>165</v>
      </c>
      <c r="H626" t="s">
        <v>166</v>
      </c>
      <c r="I626">
        <v>1</v>
      </c>
      <c r="J626" s="3">
        <v>44616.37</v>
      </c>
      <c r="K626" s="3">
        <v>44616.37</v>
      </c>
      <c r="L626" t="s">
        <v>25</v>
      </c>
      <c r="M626" s="2">
        <v>46033</v>
      </c>
      <c r="N626" s="2">
        <v>46033</v>
      </c>
      <c r="O626" t="s">
        <v>26</v>
      </c>
      <c r="P626" t="s">
        <v>77</v>
      </c>
      <c r="Q626" t="s">
        <v>28</v>
      </c>
      <c r="R626" t="s">
        <v>29</v>
      </c>
    </row>
    <row r="627" spans="1:18">
      <c r="A627" t="s">
        <v>756</v>
      </c>
      <c r="B627" s="2">
        <v>46199</v>
      </c>
      <c r="C627" t="s">
        <v>142</v>
      </c>
      <c r="D627" t="s">
        <v>143</v>
      </c>
      <c r="E627" t="s">
        <v>39</v>
      </c>
      <c r="F627" t="s">
        <v>22</v>
      </c>
      <c r="G627" t="s">
        <v>160</v>
      </c>
      <c r="H627" t="s">
        <v>161</v>
      </c>
      <c r="I627">
        <v>5</v>
      </c>
      <c r="J627" s="3">
        <v>3242.14</v>
      </c>
      <c r="K627" s="3">
        <v>16210.7</v>
      </c>
      <c r="L627" t="s">
        <v>25</v>
      </c>
      <c r="M627" s="2">
        <v>46207</v>
      </c>
      <c r="N627" s="2"/>
      <c r="O627" t="s">
        <v>26</v>
      </c>
      <c r="P627" t="s">
        <v>44</v>
      </c>
      <c r="Q627" t="s">
        <v>167</v>
      </c>
      <c r="R627" t="s">
        <v>167</v>
      </c>
    </row>
    <row r="628" spans="1:18">
      <c r="A628" t="s">
        <v>757</v>
      </c>
      <c r="B628" s="2">
        <v>46107</v>
      </c>
      <c r="C628" t="s">
        <v>104</v>
      </c>
      <c r="D628" t="s">
        <v>105</v>
      </c>
      <c r="E628" t="s">
        <v>21</v>
      </c>
      <c r="F628" t="s">
        <v>49</v>
      </c>
      <c r="G628" t="s">
        <v>113</v>
      </c>
      <c r="H628" t="s">
        <v>114</v>
      </c>
      <c r="I628">
        <v>1</v>
      </c>
      <c r="J628" s="3">
        <v>39457.160000000003</v>
      </c>
      <c r="K628" s="3">
        <v>39457.160000000003</v>
      </c>
      <c r="L628" t="s">
        <v>25</v>
      </c>
      <c r="M628" s="2">
        <v>46113</v>
      </c>
      <c r="N628" s="2">
        <v>46113</v>
      </c>
      <c r="O628" t="s">
        <v>60</v>
      </c>
      <c r="P628" t="s">
        <v>27</v>
      </c>
      <c r="Q628" t="s">
        <v>28</v>
      </c>
      <c r="R628" t="s">
        <v>29</v>
      </c>
    </row>
    <row r="629" spans="1:18">
      <c r="A629" t="s">
        <v>758</v>
      </c>
      <c r="B629" s="2">
        <v>45690</v>
      </c>
      <c r="C629" t="s">
        <v>37</v>
      </c>
      <c r="D629" t="s">
        <v>38</v>
      </c>
      <c r="E629" t="s">
        <v>39</v>
      </c>
      <c r="F629" t="s">
        <v>40</v>
      </c>
      <c r="G629" t="s">
        <v>136</v>
      </c>
      <c r="H629" t="s">
        <v>137</v>
      </c>
      <c r="I629">
        <v>36</v>
      </c>
      <c r="J629" s="3">
        <v>1772.59</v>
      </c>
      <c r="K629" s="3">
        <v>63813.24</v>
      </c>
      <c r="L629" t="s">
        <v>25</v>
      </c>
      <c r="M629" s="2">
        <v>45707</v>
      </c>
      <c r="N629" s="2">
        <v>45706</v>
      </c>
      <c r="O629" t="s">
        <v>60</v>
      </c>
      <c r="P629" t="s">
        <v>44</v>
      </c>
      <c r="Q629" t="s">
        <v>28</v>
      </c>
      <c r="R629" t="s">
        <v>29</v>
      </c>
    </row>
    <row r="630" spans="1:18">
      <c r="A630" t="s">
        <v>759</v>
      </c>
      <c r="B630" s="2">
        <v>45792</v>
      </c>
      <c r="C630" t="s">
        <v>142</v>
      </c>
      <c r="D630" t="s">
        <v>143</v>
      </c>
      <c r="E630" t="s">
        <v>39</v>
      </c>
      <c r="F630" t="s">
        <v>22</v>
      </c>
      <c r="G630" t="s">
        <v>23</v>
      </c>
      <c r="H630" t="s">
        <v>24</v>
      </c>
      <c r="I630">
        <v>54</v>
      </c>
      <c r="J630" s="3">
        <v>246.23</v>
      </c>
      <c r="K630" s="3">
        <v>13296.42</v>
      </c>
      <c r="L630" t="s">
        <v>25</v>
      </c>
      <c r="M630" s="2">
        <v>45807</v>
      </c>
      <c r="N630" s="2">
        <v>45805</v>
      </c>
      <c r="O630" t="s">
        <v>43</v>
      </c>
      <c r="P630" t="s">
        <v>44</v>
      </c>
      <c r="Q630" t="s">
        <v>28</v>
      </c>
      <c r="R630" t="s">
        <v>29</v>
      </c>
    </row>
    <row r="631" spans="1:18">
      <c r="A631" t="s">
        <v>760</v>
      </c>
      <c r="B631" s="2">
        <v>46149</v>
      </c>
      <c r="C631" t="s">
        <v>71</v>
      </c>
      <c r="D631" t="s">
        <v>72</v>
      </c>
      <c r="E631" t="s">
        <v>31</v>
      </c>
      <c r="F631" t="s">
        <v>57</v>
      </c>
      <c r="G631" t="s">
        <v>86</v>
      </c>
      <c r="H631" t="s">
        <v>87</v>
      </c>
      <c r="I631">
        <v>3</v>
      </c>
      <c r="J631" s="3">
        <v>10453.25</v>
      </c>
      <c r="K631" s="3">
        <v>31359.75</v>
      </c>
      <c r="L631" t="s">
        <v>52</v>
      </c>
      <c r="M631" s="2">
        <v>46157</v>
      </c>
      <c r="N631" s="2">
        <v>46157</v>
      </c>
      <c r="O631" t="s">
        <v>26</v>
      </c>
      <c r="P631" t="s">
        <v>35</v>
      </c>
      <c r="Q631" t="s">
        <v>28</v>
      </c>
      <c r="R631" t="s">
        <v>29</v>
      </c>
    </row>
    <row r="632" spans="1:18">
      <c r="A632" t="s">
        <v>761</v>
      </c>
      <c r="B632" s="2">
        <v>45861</v>
      </c>
      <c r="C632" t="s">
        <v>71</v>
      </c>
      <c r="D632" t="s">
        <v>72</v>
      </c>
      <c r="E632" t="s">
        <v>48</v>
      </c>
      <c r="F632" t="s">
        <v>57</v>
      </c>
      <c r="G632" t="s">
        <v>120</v>
      </c>
      <c r="H632" t="s">
        <v>121</v>
      </c>
      <c r="I632">
        <v>4</v>
      </c>
      <c r="J632" s="3">
        <v>20782.11</v>
      </c>
      <c r="K632" s="3">
        <v>83128.44</v>
      </c>
      <c r="L632" t="s">
        <v>25</v>
      </c>
      <c r="M632" s="2">
        <v>45879</v>
      </c>
      <c r="N632" s="2">
        <v>45878</v>
      </c>
      <c r="O632" t="s">
        <v>26</v>
      </c>
      <c r="P632" t="s">
        <v>53</v>
      </c>
      <c r="Q632" t="s">
        <v>28</v>
      </c>
      <c r="R632" t="s">
        <v>29</v>
      </c>
    </row>
    <row r="633" spans="1:18">
      <c r="A633" t="s">
        <v>762</v>
      </c>
      <c r="B633" s="2">
        <v>45697</v>
      </c>
      <c r="C633" t="s">
        <v>142</v>
      </c>
      <c r="D633" t="s">
        <v>143</v>
      </c>
      <c r="E633" t="s">
        <v>39</v>
      </c>
      <c r="F633" t="s">
        <v>22</v>
      </c>
      <c r="G633" t="s">
        <v>160</v>
      </c>
      <c r="H633" t="s">
        <v>161</v>
      </c>
      <c r="I633">
        <v>14</v>
      </c>
      <c r="J633" s="3">
        <v>3080.6</v>
      </c>
      <c r="K633" s="3">
        <v>43128.4</v>
      </c>
      <c r="L633" t="s">
        <v>34</v>
      </c>
      <c r="M633" s="2">
        <v>45702</v>
      </c>
      <c r="N633" s="2">
        <v>45700</v>
      </c>
      <c r="O633" t="s">
        <v>26</v>
      </c>
      <c r="P633" t="s">
        <v>64</v>
      </c>
      <c r="Q633" t="s">
        <v>28</v>
      </c>
      <c r="R633" t="s">
        <v>29</v>
      </c>
    </row>
    <row r="634" spans="1:18">
      <c r="A634" t="s">
        <v>763</v>
      </c>
      <c r="B634" s="2">
        <v>46002</v>
      </c>
      <c r="C634" t="s">
        <v>37</v>
      </c>
      <c r="D634" t="s">
        <v>38</v>
      </c>
      <c r="E634" t="s">
        <v>39</v>
      </c>
      <c r="F634" t="s">
        <v>40</v>
      </c>
      <c r="G634" t="s">
        <v>41</v>
      </c>
      <c r="H634" t="s">
        <v>42</v>
      </c>
      <c r="I634">
        <v>5</v>
      </c>
      <c r="J634" s="3">
        <v>5686.89</v>
      </c>
      <c r="K634" s="3">
        <v>28434.45</v>
      </c>
      <c r="L634" t="s">
        <v>25</v>
      </c>
      <c r="M634" s="2">
        <v>46012</v>
      </c>
      <c r="N634" s="2">
        <v>46011</v>
      </c>
      <c r="O634" t="s">
        <v>43</v>
      </c>
      <c r="P634" t="s">
        <v>64</v>
      </c>
      <c r="Q634" t="s">
        <v>28</v>
      </c>
      <c r="R634" t="s">
        <v>29</v>
      </c>
    </row>
    <row r="635" spans="1:18">
      <c r="A635" t="s">
        <v>764</v>
      </c>
      <c r="B635" s="2">
        <v>45699</v>
      </c>
      <c r="C635" t="s">
        <v>104</v>
      </c>
      <c r="D635" t="s">
        <v>105</v>
      </c>
      <c r="E635" t="s">
        <v>48</v>
      </c>
      <c r="F635" t="s">
        <v>49</v>
      </c>
      <c r="G635" t="s">
        <v>50</v>
      </c>
      <c r="H635" t="s">
        <v>51</v>
      </c>
      <c r="I635">
        <v>3</v>
      </c>
      <c r="J635" s="3">
        <v>51231.15</v>
      </c>
      <c r="K635" s="3">
        <v>153693.45000000001</v>
      </c>
      <c r="L635" t="s">
        <v>52</v>
      </c>
      <c r="M635" s="2">
        <v>45705</v>
      </c>
      <c r="N635" s="2">
        <v>45703</v>
      </c>
      <c r="O635" t="s">
        <v>76</v>
      </c>
      <c r="P635" t="s">
        <v>53</v>
      </c>
      <c r="Q635" t="s">
        <v>28</v>
      </c>
      <c r="R635" t="s">
        <v>29</v>
      </c>
    </row>
    <row r="636" spans="1:18">
      <c r="A636" t="s">
        <v>765</v>
      </c>
      <c r="B636" s="2">
        <v>45969</v>
      </c>
      <c r="C636" t="s">
        <v>55</v>
      </c>
      <c r="D636" t="s">
        <v>56</v>
      </c>
      <c r="E636" t="s">
        <v>48</v>
      </c>
      <c r="F636" t="s">
        <v>57</v>
      </c>
      <c r="G636" t="s">
        <v>58</v>
      </c>
      <c r="H636" t="s">
        <v>59</v>
      </c>
      <c r="I636">
        <v>6</v>
      </c>
      <c r="J636" s="3">
        <v>65258.82</v>
      </c>
      <c r="K636" s="3">
        <v>391552.92</v>
      </c>
      <c r="L636" t="s">
        <v>34</v>
      </c>
      <c r="M636" s="2">
        <v>45977</v>
      </c>
      <c r="N636" s="2">
        <v>45976</v>
      </c>
      <c r="O636" t="s">
        <v>43</v>
      </c>
      <c r="P636" t="s">
        <v>53</v>
      </c>
      <c r="Q636" t="s">
        <v>28</v>
      </c>
      <c r="R636" t="s">
        <v>29</v>
      </c>
    </row>
    <row r="637" spans="1:18">
      <c r="A637" t="s">
        <v>766</v>
      </c>
      <c r="B637" s="2">
        <v>45791</v>
      </c>
      <c r="C637" t="s">
        <v>89</v>
      </c>
      <c r="D637" t="s">
        <v>90</v>
      </c>
      <c r="E637" t="s">
        <v>31</v>
      </c>
      <c r="F637" t="s">
        <v>91</v>
      </c>
      <c r="G637" t="s">
        <v>92</v>
      </c>
      <c r="H637" t="s">
        <v>93</v>
      </c>
      <c r="I637">
        <v>1</v>
      </c>
      <c r="J637" s="3">
        <v>42005.01</v>
      </c>
      <c r="K637" s="3">
        <v>42005.01</v>
      </c>
      <c r="L637" t="s">
        <v>25</v>
      </c>
      <c r="M637" s="2">
        <v>45797</v>
      </c>
      <c r="N637" s="2">
        <v>45795</v>
      </c>
      <c r="O637" t="s">
        <v>60</v>
      </c>
      <c r="P637" t="s">
        <v>94</v>
      </c>
      <c r="Q637" t="s">
        <v>28</v>
      </c>
      <c r="R637" t="s">
        <v>29</v>
      </c>
    </row>
    <row r="638" spans="1:18">
      <c r="A638" t="s">
        <v>767</v>
      </c>
      <c r="B638" s="2">
        <v>45815</v>
      </c>
      <c r="C638" t="s">
        <v>96</v>
      </c>
      <c r="D638" t="s">
        <v>97</v>
      </c>
      <c r="E638" t="s">
        <v>39</v>
      </c>
      <c r="F638" t="s">
        <v>82</v>
      </c>
      <c r="G638" t="s">
        <v>197</v>
      </c>
      <c r="H638" t="s">
        <v>198</v>
      </c>
      <c r="I638">
        <v>59</v>
      </c>
      <c r="J638" s="3">
        <v>2203.58</v>
      </c>
      <c r="K638" s="3">
        <v>130011.22</v>
      </c>
      <c r="L638" t="s">
        <v>52</v>
      </c>
      <c r="M638" s="2">
        <v>45833</v>
      </c>
      <c r="N638" s="2">
        <v>45831</v>
      </c>
      <c r="O638" t="s">
        <v>60</v>
      </c>
      <c r="P638" t="s">
        <v>64</v>
      </c>
      <c r="Q638" t="s">
        <v>28</v>
      </c>
      <c r="R638" t="s">
        <v>29</v>
      </c>
    </row>
    <row r="639" spans="1:18">
      <c r="A639" t="s">
        <v>768</v>
      </c>
      <c r="B639" s="2">
        <v>46104</v>
      </c>
      <c r="C639" t="s">
        <v>117</v>
      </c>
      <c r="D639" t="s">
        <v>118</v>
      </c>
      <c r="E639" t="s">
        <v>73</v>
      </c>
      <c r="F639" t="s">
        <v>57</v>
      </c>
      <c r="G639" t="s">
        <v>101</v>
      </c>
      <c r="H639" t="s">
        <v>102</v>
      </c>
      <c r="I639">
        <v>13</v>
      </c>
      <c r="J639" s="3">
        <v>1785.21</v>
      </c>
      <c r="K639" s="3">
        <v>23207.73</v>
      </c>
      <c r="L639" t="s">
        <v>25</v>
      </c>
      <c r="M639" s="2">
        <v>46113</v>
      </c>
      <c r="N639" s="2">
        <v>46124</v>
      </c>
      <c r="O639" t="s">
        <v>26</v>
      </c>
      <c r="P639" t="s">
        <v>77</v>
      </c>
      <c r="Q639" t="s">
        <v>28</v>
      </c>
      <c r="R639" t="s">
        <v>129</v>
      </c>
    </row>
    <row r="640" spans="1:18">
      <c r="A640" t="s">
        <v>769</v>
      </c>
      <c r="B640" s="2">
        <v>45827</v>
      </c>
      <c r="C640" t="s">
        <v>142</v>
      </c>
      <c r="D640" t="s">
        <v>143</v>
      </c>
      <c r="E640" t="s">
        <v>31</v>
      </c>
      <c r="F640" t="s">
        <v>22</v>
      </c>
      <c r="G640" t="s">
        <v>160</v>
      </c>
      <c r="H640" t="s">
        <v>161</v>
      </c>
      <c r="I640">
        <v>3</v>
      </c>
      <c r="J640" s="3">
        <v>3100.97</v>
      </c>
      <c r="K640" s="3">
        <v>9302.91</v>
      </c>
      <c r="L640" t="s">
        <v>34</v>
      </c>
      <c r="M640" s="2">
        <v>45832</v>
      </c>
      <c r="N640" s="2">
        <v>45831</v>
      </c>
      <c r="O640" t="s">
        <v>43</v>
      </c>
      <c r="P640" t="s">
        <v>35</v>
      </c>
      <c r="Q640" t="s">
        <v>28</v>
      </c>
      <c r="R640" t="s">
        <v>29</v>
      </c>
    </row>
    <row r="641" spans="1:18">
      <c r="A641" t="s">
        <v>770</v>
      </c>
      <c r="B641" s="2">
        <v>46195</v>
      </c>
      <c r="C641" t="s">
        <v>134</v>
      </c>
      <c r="D641" t="s">
        <v>135</v>
      </c>
      <c r="E641" t="s">
        <v>112</v>
      </c>
      <c r="F641" t="s">
        <v>40</v>
      </c>
      <c r="G641" t="s">
        <v>136</v>
      </c>
      <c r="H641" t="s">
        <v>137</v>
      </c>
      <c r="I641">
        <v>7</v>
      </c>
      <c r="J641" s="3">
        <v>1609.41</v>
      </c>
      <c r="K641" s="3">
        <v>11265.87</v>
      </c>
      <c r="L641" t="s">
        <v>52</v>
      </c>
      <c r="M641" s="2">
        <v>46208</v>
      </c>
      <c r="N641" s="2">
        <v>46208</v>
      </c>
      <c r="O641" t="s">
        <v>76</v>
      </c>
      <c r="P641" t="s">
        <v>115</v>
      </c>
      <c r="Q641" t="s">
        <v>28</v>
      </c>
      <c r="R641" t="s">
        <v>29</v>
      </c>
    </row>
    <row r="642" spans="1:18">
      <c r="A642" t="s">
        <v>771</v>
      </c>
      <c r="B642" s="2">
        <v>45873</v>
      </c>
      <c r="C642" t="s">
        <v>37</v>
      </c>
      <c r="D642" t="s">
        <v>38</v>
      </c>
      <c r="E642" t="s">
        <v>39</v>
      </c>
      <c r="F642" t="s">
        <v>40</v>
      </c>
      <c r="G642" t="s">
        <v>136</v>
      </c>
      <c r="H642" t="s">
        <v>137</v>
      </c>
      <c r="I642">
        <v>40</v>
      </c>
      <c r="J642" s="3">
        <v>1845.26</v>
      </c>
      <c r="K642" s="3">
        <v>73810.399999999994</v>
      </c>
      <c r="L642" t="s">
        <v>52</v>
      </c>
      <c r="M642" s="2">
        <v>45882</v>
      </c>
      <c r="N642" s="2">
        <v>45879</v>
      </c>
      <c r="O642" t="s">
        <v>76</v>
      </c>
      <c r="P642" t="s">
        <v>44</v>
      </c>
      <c r="Q642" t="s">
        <v>28</v>
      </c>
      <c r="R642" t="s">
        <v>29</v>
      </c>
    </row>
    <row r="643" spans="1:18">
      <c r="A643" t="s">
        <v>772</v>
      </c>
      <c r="B643" s="2">
        <v>45716</v>
      </c>
      <c r="C643" t="s">
        <v>147</v>
      </c>
      <c r="D643" t="s">
        <v>148</v>
      </c>
      <c r="E643" t="s">
        <v>39</v>
      </c>
      <c r="F643" t="s">
        <v>40</v>
      </c>
      <c r="G643" t="s">
        <v>149</v>
      </c>
      <c r="H643" t="s">
        <v>150</v>
      </c>
      <c r="I643">
        <v>21</v>
      </c>
      <c r="J643" s="3">
        <v>1276.78</v>
      </c>
      <c r="K643" s="3">
        <v>26812.38</v>
      </c>
      <c r="L643" t="s">
        <v>34</v>
      </c>
      <c r="M643" s="2">
        <v>45721</v>
      </c>
      <c r="N643" s="2">
        <v>45721</v>
      </c>
      <c r="O643" t="s">
        <v>60</v>
      </c>
      <c r="P643" t="s">
        <v>44</v>
      </c>
      <c r="Q643" t="s">
        <v>28</v>
      </c>
      <c r="R643" t="s">
        <v>29</v>
      </c>
    </row>
    <row r="644" spans="1:18">
      <c r="A644" t="s">
        <v>773</v>
      </c>
      <c r="B644" s="2">
        <v>45883</v>
      </c>
      <c r="C644" t="s">
        <v>96</v>
      </c>
      <c r="D644" t="s">
        <v>97</v>
      </c>
      <c r="E644" t="s">
        <v>39</v>
      </c>
      <c r="F644" t="s">
        <v>82</v>
      </c>
      <c r="G644" t="s">
        <v>98</v>
      </c>
      <c r="H644" t="s">
        <v>99</v>
      </c>
      <c r="I644">
        <v>51</v>
      </c>
      <c r="J644" s="3">
        <v>1139.26</v>
      </c>
      <c r="K644" s="3">
        <v>58102.26</v>
      </c>
      <c r="L644" t="s">
        <v>25</v>
      </c>
      <c r="M644" s="2">
        <v>45894</v>
      </c>
      <c r="N644" s="2">
        <v>45891</v>
      </c>
      <c r="O644" t="s">
        <v>26</v>
      </c>
      <c r="P644" t="s">
        <v>44</v>
      </c>
      <c r="Q644" t="s">
        <v>28</v>
      </c>
      <c r="R644" t="s">
        <v>29</v>
      </c>
    </row>
    <row r="645" spans="1:18">
      <c r="A645" t="s">
        <v>774</v>
      </c>
      <c r="B645" s="2">
        <v>45838</v>
      </c>
      <c r="C645" t="s">
        <v>19</v>
      </c>
      <c r="D645" t="s">
        <v>20</v>
      </c>
      <c r="E645" t="s">
        <v>31</v>
      </c>
      <c r="F645" t="s">
        <v>22</v>
      </c>
      <c r="G645" t="s">
        <v>23</v>
      </c>
      <c r="H645" t="s">
        <v>24</v>
      </c>
      <c r="I645">
        <v>15</v>
      </c>
      <c r="J645" s="3">
        <v>219.17</v>
      </c>
      <c r="K645" s="3">
        <v>3287.55</v>
      </c>
      <c r="L645" t="s">
        <v>25</v>
      </c>
      <c r="M645" s="2">
        <v>45845</v>
      </c>
      <c r="N645" s="2">
        <v>45844</v>
      </c>
      <c r="O645" t="s">
        <v>43</v>
      </c>
      <c r="P645" t="s">
        <v>35</v>
      </c>
      <c r="Q645" t="s">
        <v>28</v>
      </c>
      <c r="R645" t="s">
        <v>29</v>
      </c>
    </row>
    <row r="646" spans="1:18">
      <c r="A646" t="s">
        <v>775</v>
      </c>
      <c r="B646" s="2">
        <v>45909</v>
      </c>
      <c r="C646" t="s">
        <v>71</v>
      </c>
      <c r="D646" t="s">
        <v>72</v>
      </c>
      <c r="E646" t="s">
        <v>31</v>
      </c>
      <c r="F646" t="s">
        <v>57</v>
      </c>
      <c r="G646" t="s">
        <v>101</v>
      </c>
      <c r="H646" t="s">
        <v>102</v>
      </c>
      <c r="I646">
        <v>53</v>
      </c>
      <c r="J646" s="3">
        <v>1636.96</v>
      </c>
      <c r="K646" s="3">
        <v>86758.88</v>
      </c>
      <c r="L646" t="s">
        <v>25</v>
      </c>
      <c r="M646" s="2">
        <v>45926</v>
      </c>
      <c r="N646" s="2">
        <v>45929</v>
      </c>
      <c r="O646" t="s">
        <v>43</v>
      </c>
      <c r="P646" t="s">
        <v>94</v>
      </c>
      <c r="Q646" t="s">
        <v>28</v>
      </c>
      <c r="R646" t="s">
        <v>129</v>
      </c>
    </row>
    <row r="647" spans="1:18">
      <c r="A647" t="s">
        <v>776</v>
      </c>
      <c r="B647" s="2">
        <v>45702</v>
      </c>
      <c r="C647" t="s">
        <v>66</v>
      </c>
      <c r="D647" t="s">
        <v>67</v>
      </c>
      <c r="E647" t="s">
        <v>48</v>
      </c>
      <c r="F647" t="s">
        <v>49</v>
      </c>
      <c r="G647" t="s">
        <v>50</v>
      </c>
      <c r="H647" t="s">
        <v>51</v>
      </c>
      <c r="I647">
        <v>1</v>
      </c>
      <c r="J647" s="3">
        <v>51144.51</v>
      </c>
      <c r="K647" s="3">
        <v>51144.51</v>
      </c>
      <c r="L647" t="s">
        <v>34</v>
      </c>
      <c r="M647" s="2">
        <v>45719</v>
      </c>
      <c r="N647" s="2">
        <v>45732</v>
      </c>
      <c r="O647" t="s">
        <v>43</v>
      </c>
      <c r="P647" t="s">
        <v>53</v>
      </c>
      <c r="Q647" t="s">
        <v>28</v>
      </c>
      <c r="R647" t="s">
        <v>129</v>
      </c>
    </row>
    <row r="648" spans="1:18">
      <c r="A648" t="s">
        <v>777</v>
      </c>
      <c r="B648" s="2">
        <v>45800</v>
      </c>
      <c r="C648" t="s">
        <v>55</v>
      </c>
      <c r="D648" t="s">
        <v>56</v>
      </c>
      <c r="E648" t="s">
        <v>31</v>
      </c>
      <c r="F648" t="s">
        <v>57</v>
      </c>
      <c r="G648" t="s">
        <v>86</v>
      </c>
      <c r="H648" t="s">
        <v>87</v>
      </c>
      <c r="I648">
        <v>4</v>
      </c>
      <c r="J648" s="3">
        <v>12133.52</v>
      </c>
      <c r="K648" s="3">
        <v>48534.080000000002</v>
      </c>
      <c r="L648" t="s">
        <v>34</v>
      </c>
      <c r="M648" s="2">
        <v>45805</v>
      </c>
      <c r="N648" s="2">
        <v>45803</v>
      </c>
      <c r="O648" t="s">
        <v>43</v>
      </c>
      <c r="P648" t="s">
        <v>94</v>
      </c>
      <c r="Q648" t="s">
        <v>28</v>
      </c>
      <c r="R648" t="s">
        <v>29</v>
      </c>
    </row>
    <row r="649" spans="1:18">
      <c r="A649" t="s">
        <v>778</v>
      </c>
      <c r="B649" s="2">
        <v>45703</v>
      </c>
      <c r="C649" t="s">
        <v>117</v>
      </c>
      <c r="D649" t="s">
        <v>118</v>
      </c>
      <c r="E649" t="s">
        <v>21</v>
      </c>
      <c r="F649" t="s">
        <v>57</v>
      </c>
      <c r="G649" t="s">
        <v>74</v>
      </c>
      <c r="H649" t="s">
        <v>75</v>
      </c>
      <c r="I649">
        <v>1</v>
      </c>
      <c r="J649" s="3">
        <v>9089.15</v>
      </c>
      <c r="K649" s="3">
        <v>9089.15</v>
      </c>
      <c r="L649" t="s">
        <v>25</v>
      </c>
      <c r="M649" s="2">
        <v>45711</v>
      </c>
      <c r="N649" s="2">
        <v>45710</v>
      </c>
      <c r="O649" t="s">
        <v>76</v>
      </c>
      <c r="P649" t="s">
        <v>27</v>
      </c>
      <c r="Q649" t="s">
        <v>28</v>
      </c>
      <c r="R649" t="s">
        <v>29</v>
      </c>
    </row>
    <row r="650" spans="1:18">
      <c r="A650" t="s">
        <v>779</v>
      </c>
      <c r="B650" s="2">
        <v>45773</v>
      </c>
      <c r="C650" t="s">
        <v>37</v>
      </c>
      <c r="D650" t="s">
        <v>38</v>
      </c>
      <c r="E650" t="s">
        <v>112</v>
      </c>
      <c r="F650" t="s">
        <v>22</v>
      </c>
      <c r="G650" t="s">
        <v>23</v>
      </c>
      <c r="H650" t="s">
        <v>24</v>
      </c>
      <c r="I650">
        <v>9</v>
      </c>
      <c r="J650" s="3">
        <v>273.81</v>
      </c>
      <c r="K650" s="3">
        <v>2464.29</v>
      </c>
      <c r="L650" t="s">
        <v>52</v>
      </c>
      <c r="M650" s="2">
        <v>45787</v>
      </c>
      <c r="N650" s="2">
        <v>45785</v>
      </c>
      <c r="O650" t="s">
        <v>43</v>
      </c>
      <c r="P650" t="s">
        <v>115</v>
      </c>
      <c r="Q650" t="s">
        <v>28</v>
      </c>
      <c r="R650" t="s">
        <v>29</v>
      </c>
    </row>
    <row r="651" spans="1:18">
      <c r="A651" t="s">
        <v>780</v>
      </c>
      <c r="B651" s="2">
        <v>45812</v>
      </c>
      <c r="C651" t="s">
        <v>19</v>
      </c>
      <c r="D651" t="s">
        <v>20</v>
      </c>
      <c r="E651" t="s">
        <v>31</v>
      </c>
      <c r="F651" t="s">
        <v>22</v>
      </c>
      <c r="G651" t="s">
        <v>23</v>
      </c>
      <c r="H651" t="s">
        <v>24</v>
      </c>
      <c r="I651">
        <v>47</v>
      </c>
      <c r="J651" s="3">
        <v>221.82</v>
      </c>
      <c r="K651" s="3">
        <v>10425.540000000001</v>
      </c>
      <c r="L651" t="s">
        <v>25</v>
      </c>
      <c r="M651" s="2">
        <v>45827</v>
      </c>
      <c r="N651" s="2">
        <v>45825</v>
      </c>
      <c r="O651" t="s">
        <v>43</v>
      </c>
      <c r="P651" t="s">
        <v>35</v>
      </c>
      <c r="Q651" t="s">
        <v>28</v>
      </c>
      <c r="R651" t="s">
        <v>29</v>
      </c>
    </row>
    <row r="652" spans="1:18">
      <c r="A652" t="s">
        <v>781</v>
      </c>
      <c r="B652" s="2">
        <v>45736</v>
      </c>
      <c r="C652" t="s">
        <v>142</v>
      </c>
      <c r="D652" t="s">
        <v>143</v>
      </c>
      <c r="E652" t="s">
        <v>112</v>
      </c>
      <c r="F652" t="s">
        <v>22</v>
      </c>
      <c r="G652" t="s">
        <v>32</v>
      </c>
      <c r="H652" t="s">
        <v>33</v>
      </c>
      <c r="I652">
        <v>8</v>
      </c>
      <c r="J652" s="3">
        <v>8047.25</v>
      </c>
      <c r="K652" s="3">
        <v>64378</v>
      </c>
      <c r="L652" t="s">
        <v>34</v>
      </c>
      <c r="M652" s="2">
        <v>45752</v>
      </c>
      <c r="N652" s="2">
        <v>45749</v>
      </c>
      <c r="O652" t="s">
        <v>43</v>
      </c>
      <c r="P652" t="s">
        <v>115</v>
      </c>
      <c r="Q652" t="s">
        <v>28</v>
      </c>
      <c r="R652" t="s">
        <v>29</v>
      </c>
    </row>
    <row r="653" spans="1:18">
      <c r="A653" t="s">
        <v>782</v>
      </c>
      <c r="B653" s="2">
        <v>45943</v>
      </c>
      <c r="C653" t="s">
        <v>19</v>
      </c>
      <c r="D653" t="s">
        <v>20</v>
      </c>
      <c r="E653" t="s">
        <v>21</v>
      </c>
      <c r="F653" t="s">
        <v>22</v>
      </c>
      <c r="G653" t="s">
        <v>23</v>
      </c>
      <c r="H653" t="s">
        <v>24</v>
      </c>
      <c r="I653">
        <v>36</v>
      </c>
      <c r="J653" s="3">
        <v>225.97</v>
      </c>
      <c r="K653" s="3">
        <v>8134.92</v>
      </c>
      <c r="L653" t="s">
        <v>34</v>
      </c>
      <c r="M653" s="2">
        <v>45954</v>
      </c>
      <c r="N653" s="2">
        <v>45951</v>
      </c>
      <c r="O653" t="s">
        <v>76</v>
      </c>
      <c r="P653" t="s">
        <v>27</v>
      </c>
      <c r="Q653" t="s">
        <v>28</v>
      </c>
      <c r="R653" t="s">
        <v>29</v>
      </c>
    </row>
    <row r="654" spans="1:18">
      <c r="A654" t="s">
        <v>783</v>
      </c>
      <c r="B654" s="2">
        <v>45909</v>
      </c>
      <c r="C654" t="s">
        <v>19</v>
      </c>
      <c r="D654" t="s">
        <v>20</v>
      </c>
      <c r="E654" t="s">
        <v>31</v>
      </c>
      <c r="F654" t="s">
        <v>22</v>
      </c>
      <c r="G654" t="s">
        <v>32</v>
      </c>
      <c r="H654" t="s">
        <v>33</v>
      </c>
      <c r="I654">
        <v>4</v>
      </c>
      <c r="J654" s="3">
        <v>7313.91</v>
      </c>
      <c r="K654" s="3">
        <v>29255.64</v>
      </c>
      <c r="L654" t="s">
        <v>25</v>
      </c>
      <c r="M654" s="2">
        <v>45920</v>
      </c>
      <c r="N654" s="2">
        <v>45933</v>
      </c>
      <c r="O654" t="s">
        <v>26</v>
      </c>
      <c r="P654" t="s">
        <v>94</v>
      </c>
      <c r="Q654" t="s">
        <v>28</v>
      </c>
      <c r="R654" t="s">
        <v>129</v>
      </c>
    </row>
    <row r="655" spans="1:18">
      <c r="A655" t="s">
        <v>784</v>
      </c>
      <c r="B655" s="2">
        <v>45898</v>
      </c>
      <c r="C655" t="s">
        <v>19</v>
      </c>
      <c r="D655" t="s">
        <v>20</v>
      </c>
      <c r="E655" t="s">
        <v>39</v>
      </c>
      <c r="F655" t="s">
        <v>22</v>
      </c>
      <c r="G655" t="s">
        <v>160</v>
      </c>
      <c r="H655" t="s">
        <v>161</v>
      </c>
      <c r="I655">
        <v>15</v>
      </c>
      <c r="J655" s="3">
        <v>3064.8</v>
      </c>
      <c r="K655" s="3">
        <v>45972</v>
      </c>
      <c r="L655" t="s">
        <v>25</v>
      </c>
      <c r="M655" s="2">
        <v>45904</v>
      </c>
      <c r="N655" s="2">
        <v>45911</v>
      </c>
      <c r="O655" t="s">
        <v>26</v>
      </c>
      <c r="P655" t="s">
        <v>44</v>
      </c>
      <c r="Q655" t="s">
        <v>28</v>
      </c>
      <c r="R655" t="s">
        <v>129</v>
      </c>
    </row>
    <row r="656" spans="1:18">
      <c r="A656" t="s">
        <v>785</v>
      </c>
      <c r="B656" s="2">
        <v>46129</v>
      </c>
      <c r="C656" t="s">
        <v>37</v>
      </c>
      <c r="D656" t="s">
        <v>38</v>
      </c>
      <c r="E656" t="s">
        <v>112</v>
      </c>
      <c r="F656" t="s">
        <v>40</v>
      </c>
      <c r="G656" t="s">
        <v>149</v>
      </c>
      <c r="H656" t="s">
        <v>150</v>
      </c>
      <c r="I656">
        <v>52</v>
      </c>
      <c r="J656" s="3">
        <v>1415.92</v>
      </c>
      <c r="K656" s="3">
        <v>73627.839999999997</v>
      </c>
      <c r="L656" t="s">
        <v>25</v>
      </c>
      <c r="M656" s="2">
        <v>46136</v>
      </c>
      <c r="N656" s="2">
        <v>46135</v>
      </c>
      <c r="O656" t="s">
        <v>43</v>
      </c>
      <c r="P656" t="s">
        <v>115</v>
      </c>
      <c r="Q656" t="s">
        <v>28</v>
      </c>
      <c r="R656" t="s">
        <v>29</v>
      </c>
    </row>
    <row r="657" spans="1:18">
      <c r="A657" t="s">
        <v>786</v>
      </c>
      <c r="B657" s="2">
        <v>46038</v>
      </c>
      <c r="C657" t="s">
        <v>96</v>
      </c>
      <c r="D657" t="s">
        <v>97</v>
      </c>
      <c r="E657" t="s">
        <v>39</v>
      </c>
      <c r="F657" t="s">
        <v>82</v>
      </c>
      <c r="G657" t="s">
        <v>83</v>
      </c>
      <c r="H657" t="s">
        <v>84</v>
      </c>
      <c r="I657">
        <v>15</v>
      </c>
      <c r="J657" s="3">
        <v>736.98</v>
      </c>
      <c r="K657" s="3">
        <v>11054.7</v>
      </c>
      <c r="L657" t="s">
        <v>25</v>
      </c>
      <c r="M657" s="2">
        <v>46043</v>
      </c>
      <c r="N657" s="2">
        <v>46042</v>
      </c>
      <c r="O657" t="s">
        <v>43</v>
      </c>
      <c r="P657" t="s">
        <v>64</v>
      </c>
      <c r="Q657" t="s">
        <v>28</v>
      </c>
      <c r="R657" t="s">
        <v>29</v>
      </c>
    </row>
    <row r="658" spans="1:18">
      <c r="A658" t="s">
        <v>787</v>
      </c>
      <c r="B658" s="2">
        <v>46084</v>
      </c>
      <c r="C658" t="s">
        <v>80</v>
      </c>
      <c r="D658" t="s">
        <v>81</v>
      </c>
      <c r="E658" t="s">
        <v>39</v>
      </c>
      <c r="F658" t="s">
        <v>82</v>
      </c>
      <c r="G658" t="s">
        <v>83</v>
      </c>
      <c r="H658" t="s">
        <v>84</v>
      </c>
      <c r="I658">
        <v>24</v>
      </c>
      <c r="J658" s="3">
        <v>699.64</v>
      </c>
      <c r="K658" s="3">
        <v>16791.36</v>
      </c>
      <c r="L658" t="s">
        <v>25</v>
      </c>
      <c r="M658" s="2">
        <v>46096</v>
      </c>
      <c r="N658" s="2">
        <v>46094</v>
      </c>
      <c r="O658" t="s">
        <v>43</v>
      </c>
      <c r="P658" t="s">
        <v>44</v>
      </c>
      <c r="Q658" t="s">
        <v>28</v>
      </c>
      <c r="R658" t="s">
        <v>29</v>
      </c>
    </row>
    <row r="659" spans="1:18">
      <c r="A659" t="s">
        <v>788</v>
      </c>
      <c r="B659" s="2">
        <v>45771</v>
      </c>
      <c r="C659" t="s">
        <v>19</v>
      </c>
      <c r="D659" t="s">
        <v>20</v>
      </c>
      <c r="E659" t="s">
        <v>112</v>
      </c>
      <c r="F659" t="s">
        <v>22</v>
      </c>
      <c r="G659" t="s">
        <v>32</v>
      </c>
      <c r="H659" t="s">
        <v>33</v>
      </c>
      <c r="I659">
        <v>1</v>
      </c>
      <c r="J659" s="3">
        <v>7729.97</v>
      </c>
      <c r="K659" s="3">
        <v>7729.97</v>
      </c>
      <c r="L659" t="s">
        <v>34</v>
      </c>
      <c r="M659" s="2">
        <v>45782</v>
      </c>
      <c r="N659" s="2">
        <v>45779</v>
      </c>
      <c r="O659" t="s">
        <v>76</v>
      </c>
      <c r="P659" t="s">
        <v>115</v>
      </c>
      <c r="Q659" t="s">
        <v>28</v>
      </c>
      <c r="R659" t="s">
        <v>29</v>
      </c>
    </row>
    <row r="660" spans="1:18">
      <c r="A660" t="s">
        <v>789</v>
      </c>
      <c r="B660" s="2">
        <v>45890</v>
      </c>
      <c r="C660" t="s">
        <v>142</v>
      </c>
      <c r="D660" t="s">
        <v>143</v>
      </c>
      <c r="E660" t="s">
        <v>39</v>
      </c>
      <c r="F660" t="s">
        <v>22</v>
      </c>
      <c r="G660" t="s">
        <v>32</v>
      </c>
      <c r="H660" t="s">
        <v>33</v>
      </c>
      <c r="I660">
        <v>12</v>
      </c>
      <c r="J660" s="3">
        <v>8155.65</v>
      </c>
      <c r="K660" s="3">
        <v>97867.8</v>
      </c>
      <c r="L660" t="s">
        <v>25</v>
      </c>
      <c r="M660" s="2">
        <v>45898</v>
      </c>
      <c r="N660" s="2">
        <v>45898</v>
      </c>
      <c r="O660" t="s">
        <v>26</v>
      </c>
      <c r="P660" t="s">
        <v>64</v>
      </c>
      <c r="Q660" t="s">
        <v>28</v>
      </c>
      <c r="R660" t="s">
        <v>29</v>
      </c>
    </row>
    <row r="661" spans="1:18">
      <c r="A661" t="s">
        <v>790</v>
      </c>
      <c r="B661" s="2">
        <v>46137</v>
      </c>
      <c r="C661" t="s">
        <v>104</v>
      </c>
      <c r="D661" t="s">
        <v>105</v>
      </c>
      <c r="E661" t="s">
        <v>48</v>
      </c>
      <c r="F661" t="s">
        <v>49</v>
      </c>
      <c r="G661" t="s">
        <v>68</v>
      </c>
      <c r="H661" t="s">
        <v>69</v>
      </c>
      <c r="I661">
        <v>2</v>
      </c>
      <c r="J661" s="3">
        <v>49550.43</v>
      </c>
      <c r="K661" s="3">
        <v>99100.86</v>
      </c>
      <c r="L661" t="s">
        <v>25</v>
      </c>
      <c r="M661" s="2">
        <v>46145</v>
      </c>
      <c r="N661" s="2">
        <v>46145</v>
      </c>
      <c r="O661" t="s">
        <v>76</v>
      </c>
      <c r="P661" t="s">
        <v>53</v>
      </c>
      <c r="Q661" t="s">
        <v>28</v>
      </c>
      <c r="R661" t="s">
        <v>29</v>
      </c>
    </row>
    <row r="662" spans="1:18">
      <c r="A662" t="s">
        <v>791</v>
      </c>
      <c r="B662" s="2">
        <v>45903</v>
      </c>
      <c r="C662" t="s">
        <v>107</v>
      </c>
      <c r="D662" t="s">
        <v>108</v>
      </c>
      <c r="E662" t="s">
        <v>31</v>
      </c>
      <c r="F662" t="s">
        <v>91</v>
      </c>
      <c r="G662" t="s">
        <v>92</v>
      </c>
      <c r="H662" t="s">
        <v>93</v>
      </c>
      <c r="I662">
        <v>1</v>
      </c>
      <c r="J662" s="3">
        <v>47497.62</v>
      </c>
      <c r="K662" s="3">
        <v>47497.62</v>
      </c>
      <c r="L662" t="s">
        <v>25</v>
      </c>
      <c r="M662" s="2">
        <v>45911</v>
      </c>
      <c r="N662" s="2">
        <v>45911</v>
      </c>
      <c r="O662" t="s">
        <v>43</v>
      </c>
      <c r="P662" t="s">
        <v>94</v>
      </c>
      <c r="Q662" t="s">
        <v>28</v>
      </c>
      <c r="R662" t="s">
        <v>29</v>
      </c>
    </row>
    <row r="663" spans="1:18">
      <c r="A663" t="s">
        <v>792</v>
      </c>
      <c r="B663" s="2">
        <v>46153</v>
      </c>
      <c r="C663" t="s">
        <v>66</v>
      </c>
      <c r="D663" t="s">
        <v>67</v>
      </c>
      <c r="E663" t="s">
        <v>21</v>
      </c>
      <c r="F663" t="s">
        <v>49</v>
      </c>
      <c r="G663" t="s">
        <v>113</v>
      </c>
      <c r="H663" t="s">
        <v>114</v>
      </c>
      <c r="I663">
        <v>2</v>
      </c>
      <c r="J663" s="3">
        <v>37879.22</v>
      </c>
      <c r="K663" s="3">
        <v>75758.44</v>
      </c>
      <c r="L663" t="s">
        <v>34</v>
      </c>
      <c r="M663" s="2">
        <v>46166</v>
      </c>
      <c r="N663" s="2">
        <v>46163</v>
      </c>
      <c r="O663" t="s">
        <v>26</v>
      </c>
      <c r="P663" t="s">
        <v>27</v>
      </c>
      <c r="Q663" t="s">
        <v>28</v>
      </c>
      <c r="R663" t="s">
        <v>29</v>
      </c>
    </row>
    <row r="664" spans="1:18">
      <c r="A664" t="s">
        <v>793</v>
      </c>
      <c r="B664" s="2">
        <v>45997</v>
      </c>
      <c r="C664" t="s">
        <v>71</v>
      </c>
      <c r="D664" t="s">
        <v>72</v>
      </c>
      <c r="E664" t="s">
        <v>48</v>
      </c>
      <c r="F664" t="s">
        <v>57</v>
      </c>
      <c r="G664" t="s">
        <v>127</v>
      </c>
      <c r="H664" t="s">
        <v>128</v>
      </c>
      <c r="I664">
        <v>7</v>
      </c>
      <c r="J664" s="3">
        <v>14883.12</v>
      </c>
      <c r="K664" s="3">
        <v>104181.84</v>
      </c>
      <c r="L664" t="s">
        <v>25</v>
      </c>
      <c r="M664" s="2">
        <v>46009</v>
      </c>
      <c r="N664" s="2">
        <v>46009</v>
      </c>
      <c r="O664" t="s">
        <v>26</v>
      </c>
      <c r="P664" t="s">
        <v>53</v>
      </c>
      <c r="Q664" t="s">
        <v>28</v>
      </c>
      <c r="R664" t="s">
        <v>29</v>
      </c>
    </row>
    <row r="665" spans="1:18">
      <c r="A665" t="s">
        <v>794</v>
      </c>
      <c r="B665" s="2">
        <v>46171</v>
      </c>
      <c r="C665" t="s">
        <v>66</v>
      </c>
      <c r="D665" t="s">
        <v>67</v>
      </c>
      <c r="E665" t="s">
        <v>48</v>
      </c>
      <c r="F665" t="s">
        <v>49</v>
      </c>
      <c r="G665" t="s">
        <v>68</v>
      </c>
      <c r="H665" t="s">
        <v>69</v>
      </c>
      <c r="I665">
        <v>1</v>
      </c>
      <c r="J665" s="3">
        <v>46118.23</v>
      </c>
      <c r="K665" s="3">
        <v>46118.23</v>
      </c>
      <c r="L665" t="s">
        <v>25</v>
      </c>
      <c r="M665" s="2">
        <v>46185</v>
      </c>
      <c r="N665" s="2">
        <v>46182</v>
      </c>
      <c r="O665" t="s">
        <v>60</v>
      </c>
      <c r="P665" t="s">
        <v>53</v>
      </c>
      <c r="Q665" t="s">
        <v>28</v>
      </c>
      <c r="R665" t="s">
        <v>29</v>
      </c>
    </row>
    <row r="666" spans="1:18">
      <c r="A666" t="s">
        <v>795</v>
      </c>
      <c r="B666" s="2">
        <v>46167</v>
      </c>
      <c r="C666" t="s">
        <v>134</v>
      </c>
      <c r="D666" t="s">
        <v>135</v>
      </c>
      <c r="E666" t="s">
        <v>39</v>
      </c>
      <c r="F666" t="s">
        <v>40</v>
      </c>
      <c r="G666" t="s">
        <v>41</v>
      </c>
      <c r="H666" t="s">
        <v>42</v>
      </c>
      <c r="I666">
        <v>3</v>
      </c>
      <c r="J666" s="3">
        <v>5405.04</v>
      </c>
      <c r="K666" s="3">
        <v>16215.12</v>
      </c>
      <c r="L666" t="s">
        <v>34</v>
      </c>
      <c r="M666" s="2">
        <v>46176</v>
      </c>
      <c r="N666" s="2">
        <v>46174</v>
      </c>
      <c r="O666" t="s">
        <v>76</v>
      </c>
      <c r="P666" t="s">
        <v>64</v>
      </c>
      <c r="Q666" t="s">
        <v>28</v>
      </c>
      <c r="R666" t="s">
        <v>29</v>
      </c>
    </row>
    <row r="667" spans="1:18">
      <c r="A667" t="s">
        <v>796</v>
      </c>
      <c r="B667" s="2">
        <v>45730</v>
      </c>
      <c r="C667" t="s">
        <v>66</v>
      </c>
      <c r="D667" t="s">
        <v>67</v>
      </c>
      <c r="E667" t="s">
        <v>48</v>
      </c>
      <c r="F667" t="s">
        <v>49</v>
      </c>
      <c r="G667" t="s">
        <v>68</v>
      </c>
      <c r="H667" t="s">
        <v>69</v>
      </c>
      <c r="I667">
        <v>2</v>
      </c>
      <c r="J667" s="3">
        <v>47895.49</v>
      </c>
      <c r="K667" s="3">
        <v>95790.98</v>
      </c>
      <c r="L667" t="s">
        <v>52</v>
      </c>
      <c r="M667" s="2">
        <v>45745</v>
      </c>
      <c r="N667" s="2">
        <v>45745</v>
      </c>
      <c r="O667" t="s">
        <v>60</v>
      </c>
      <c r="P667" t="s">
        <v>53</v>
      </c>
      <c r="Q667" t="s">
        <v>28</v>
      </c>
      <c r="R667" t="s">
        <v>29</v>
      </c>
    </row>
    <row r="668" spans="1:18">
      <c r="A668" t="s">
        <v>797</v>
      </c>
      <c r="B668" s="2">
        <v>46068</v>
      </c>
      <c r="C668" t="s">
        <v>142</v>
      </c>
      <c r="D668" t="s">
        <v>143</v>
      </c>
      <c r="E668" t="s">
        <v>31</v>
      </c>
      <c r="F668" t="s">
        <v>22</v>
      </c>
      <c r="G668" t="s">
        <v>23</v>
      </c>
      <c r="H668" t="s">
        <v>24</v>
      </c>
      <c r="I668">
        <v>44</v>
      </c>
      <c r="J668" s="3">
        <v>246.5</v>
      </c>
      <c r="K668" s="3">
        <v>10846</v>
      </c>
      <c r="L668" t="s">
        <v>25</v>
      </c>
      <c r="M668" s="2">
        <v>46078</v>
      </c>
      <c r="N668" s="2">
        <v>46075</v>
      </c>
      <c r="O668" t="s">
        <v>76</v>
      </c>
      <c r="P668" t="s">
        <v>94</v>
      </c>
      <c r="Q668" t="s">
        <v>28</v>
      </c>
      <c r="R668" t="s">
        <v>29</v>
      </c>
    </row>
    <row r="669" spans="1:18">
      <c r="A669" t="s">
        <v>798</v>
      </c>
      <c r="B669" s="2">
        <v>45666</v>
      </c>
      <c r="C669" t="s">
        <v>134</v>
      </c>
      <c r="D669" t="s">
        <v>135</v>
      </c>
      <c r="E669" t="s">
        <v>39</v>
      </c>
      <c r="F669" t="s">
        <v>40</v>
      </c>
      <c r="G669" t="s">
        <v>149</v>
      </c>
      <c r="H669" t="s">
        <v>150</v>
      </c>
      <c r="I669">
        <v>19</v>
      </c>
      <c r="J669" s="3">
        <v>1399.74</v>
      </c>
      <c r="K669" s="3">
        <v>26595.06</v>
      </c>
      <c r="L669" t="s">
        <v>25</v>
      </c>
      <c r="M669" s="2">
        <v>45677</v>
      </c>
      <c r="N669" s="2">
        <v>45677</v>
      </c>
      <c r="O669" t="s">
        <v>60</v>
      </c>
      <c r="P669" t="s">
        <v>44</v>
      </c>
      <c r="Q669" t="s">
        <v>28</v>
      </c>
      <c r="R669" t="s">
        <v>29</v>
      </c>
    </row>
    <row r="670" spans="1:18">
      <c r="A670" t="s">
        <v>799</v>
      </c>
      <c r="B670" s="2">
        <v>45769</v>
      </c>
      <c r="C670" t="s">
        <v>104</v>
      </c>
      <c r="D670" t="s">
        <v>105</v>
      </c>
      <c r="E670" t="s">
        <v>48</v>
      </c>
      <c r="F670" t="s">
        <v>49</v>
      </c>
      <c r="G670" t="s">
        <v>68</v>
      </c>
      <c r="H670" t="s">
        <v>69</v>
      </c>
      <c r="I670">
        <v>1</v>
      </c>
      <c r="J670" s="3">
        <v>47500.07</v>
      </c>
      <c r="K670" s="3">
        <v>47500.07</v>
      </c>
      <c r="L670" t="s">
        <v>25</v>
      </c>
      <c r="M670" s="2">
        <v>45779</v>
      </c>
      <c r="N670" s="2">
        <v>45776</v>
      </c>
      <c r="O670" t="s">
        <v>60</v>
      </c>
      <c r="P670" t="s">
        <v>53</v>
      </c>
      <c r="Q670" t="s">
        <v>28</v>
      </c>
      <c r="R670" t="s">
        <v>29</v>
      </c>
    </row>
    <row r="671" spans="1:18">
      <c r="A671" t="s">
        <v>800</v>
      </c>
      <c r="B671" s="2">
        <v>45943</v>
      </c>
      <c r="C671" t="s">
        <v>71</v>
      </c>
      <c r="D671" t="s">
        <v>72</v>
      </c>
      <c r="E671" t="s">
        <v>31</v>
      </c>
      <c r="F671" t="s">
        <v>57</v>
      </c>
      <c r="G671" t="s">
        <v>86</v>
      </c>
      <c r="H671" t="s">
        <v>87</v>
      </c>
      <c r="I671">
        <v>1</v>
      </c>
      <c r="J671" s="3">
        <v>10078.02</v>
      </c>
      <c r="K671" s="3">
        <v>10078.02</v>
      </c>
      <c r="L671" t="s">
        <v>52</v>
      </c>
      <c r="M671" s="2">
        <v>45957</v>
      </c>
      <c r="N671" s="2">
        <v>45957</v>
      </c>
      <c r="O671" t="s">
        <v>76</v>
      </c>
      <c r="P671" t="s">
        <v>35</v>
      </c>
      <c r="Q671" t="s">
        <v>28</v>
      </c>
      <c r="R671" t="s">
        <v>29</v>
      </c>
    </row>
    <row r="672" spans="1:18">
      <c r="A672" t="s">
        <v>801</v>
      </c>
      <c r="B672" s="2">
        <v>46142</v>
      </c>
      <c r="C672" t="s">
        <v>142</v>
      </c>
      <c r="D672" t="s">
        <v>143</v>
      </c>
      <c r="E672" t="s">
        <v>39</v>
      </c>
      <c r="F672" t="s">
        <v>22</v>
      </c>
      <c r="G672" t="s">
        <v>32</v>
      </c>
      <c r="H672" t="s">
        <v>33</v>
      </c>
      <c r="I672">
        <v>3</v>
      </c>
      <c r="J672" s="3">
        <v>7664.95</v>
      </c>
      <c r="K672" s="3">
        <v>22994.85</v>
      </c>
      <c r="L672" t="s">
        <v>25</v>
      </c>
      <c r="M672" s="2">
        <v>46148</v>
      </c>
      <c r="N672" s="2">
        <v>46146</v>
      </c>
      <c r="O672" t="s">
        <v>76</v>
      </c>
      <c r="P672" t="s">
        <v>44</v>
      </c>
      <c r="Q672" t="s">
        <v>28</v>
      </c>
      <c r="R672" t="s">
        <v>29</v>
      </c>
    </row>
    <row r="673" spans="1:18">
      <c r="A673" t="s">
        <v>802</v>
      </c>
      <c r="B673" s="2">
        <v>46087</v>
      </c>
      <c r="C673" t="s">
        <v>66</v>
      </c>
      <c r="D673" t="s">
        <v>67</v>
      </c>
      <c r="E673" t="s">
        <v>48</v>
      </c>
      <c r="F673" t="s">
        <v>49</v>
      </c>
      <c r="G673" t="s">
        <v>50</v>
      </c>
      <c r="H673" t="s">
        <v>51</v>
      </c>
      <c r="I673">
        <v>2</v>
      </c>
      <c r="J673" s="3">
        <v>48842.05</v>
      </c>
      <c r="K673" s="3">
        <v>97684.1</v>
      </c>
      <c r="L673" t="s">
        <v>25</v>
      </c>
      <c r="M673" s="2">
        <v>46097</v>
      </c>
      <c r="N673" s="2">
        <v>46095</v>
      </c>
      <c r="O673" t="s">
        <v>76</v>
      </c>
      <c r="P673" t="s">
        <v>53</v>
      </c>
      <c r="Q673" t="s">
        <v>28</v>
      </c>
      <c r="R673" t="s">
        <v>29</v>
      </c>
    </row>
    <row r="674" spans="1:18">
      <c r="A674" t="s">
        <v>803</v>
      </c>
      <c r="B674" s="2">
        <v>46151</v>
      </c>
      <c r="C674" t="s">
        <v>71</v>
      </c>
      <c r="D674" t="s">
        <v>72</v>
      </c>
      <c r="E674" t="s">
        <v>48</v>
      </c>
      <c r="F674" t="s">
        <v>57</v>
      </c>
      <c r="G674" t="s">
        <v>120</v>
      </c>
      <c r="H674" t="s">
        <v>121</v>
      </c>
      <c r="I674">
        <v>7</v>
      </c>
      <c r="J674" s="3">
        <v>21337.69</v>
      </c>
      <c r="K674" s="3">
        <v>149363.82999999999</v>
      </c>
      <c r="L674" t="s">
        <v>52</v>
      </c>
      <c r="M674" s="2">
        <v>46169</v>
      </c>
      <c r="N674" s="2">
        <v>46183</v>
      </c>
      <c r="O674" t="s">
        <v>26</v>
      </c>
      <c r="P674" t="s">
        <v>53</v>
      </c>
      <c r="Q674" t="s">
        <v>28</v>
      </c>
      <c r="R674" t="s">
        <v>129</v>
      </c>
    </row>
    <row r="675" spans="1:18">
      <c r="A675" t="s">
        <v>804</v>
      </c>
      <c r="B675" s="2">
        <v>45806</v>
      </c>
      <c r="C675" t="s">
        <v>104</v>
      </c>
      <c r="D675" t="s">
        <v>105</v>
      </c>
      <c r="E675" t="s">
        <v>112</v>
      </c>
      <c r="F675" t="s">
        <v>49</v>
      </c>
      <c r="G675" t="s">
        <v>165</v>
      </c>
      <c r="H675" t="s">
        <v>166</v>
      </c>
      <c r="I675">
        <v>1</v>
      </c>
      <c r="J675" s="3">
        <v>46830.83</v>
      </c>
      <c r="K675" s="3">
        <v>46830.83</v>
      </c>
      <c r="L675" t="s">
        <v>34</v>
      </c>
      <c r="M675" s="2">
        <v>45818</v>
      </c>
      <c r="N675" s="2">
        <v>45818</v>
      </c>
      <c r="O675" t="s">
        <v>60</v>
      </c>
      <c r="P675" t="s">
        <v>115</v>
      </c>
      <c r="Q675" t="s">
        <v>28</v>
      </c>
      <c r="R675" t="s">
        <v>29</v>
      </c>
    </row>
    <row r="676" spans="1:18">
      <c r="A676" t="s">
        <v>805</v>
      </c>
      <c r="B676" s="2">
        <v>45786</v>
      </c>
      <c r="C676" t="s">
        <v>142</v>
      </c>
      <c r="D676" t="s">
        <v>143</v>
      </c>
      <c r="E676" t="s">
        <v>31</v>
      </c>
      <c r="F676" t="s">
        <v>22</v>
      </c>
      <c r="G676" t="s">
        <v>23</v>
      </c>
      <c r="H676" t="s">
        <v>24</v>
      </c>
      <c r="I676">
        <v>17</v>
      </c>
      <c r="J676" s="3">
        <v>251.64</v>
      </c>
      <c r="K676" s="3">
        <v>4277.88</v>
      </c>
      <c r="L676" t="s">
        <v>34</v>
      </c>
      <c r="M676" s="2">
        <v>45797</v>
      </c>
      <c r="N676" s="2">
        <v>45796</v>
      </c>
      <c r="O676" t="s">
        <v>26</v>
      </c>
      <c r="P676" t="s">
        <v>35</v>
      </c>
      <c r="Q676" t="s">
        <v>28</v>
      </c>
      <c r="R676" t="s">
        <v>29</v>
      </c>
    </row>
    <row r="677" spans="1:18">
      <c r="A677" t="s">
        <v>806</v>
      </c>
      <c r="B677" s="2">
        <v>45672</v>
      </c>
      <c r="C677" t="s">
        <v>46</v>
      </c>
      <c r="D677" t="s">
        <v>47</v>
      </c>
      <c r="E677" t="s">
        <v>73</v>
      </c>
      <c r="F677" t="s">
        <v>49</v>
      </c>
      <c r="G677" t="s">
        <v>165</v>
      </c>
      <c r="H677" t="s">
        <v>166</v>
      </c>
      <c r="I677">
        <v>2</v>
      </c>
      <c r="J677" s="3">
        <v>49517.29</v>
      </c>
      <c r="K677" s="3">
        <v>99034.58</v>
      </c>
      <c r="L677" t="s">
        <v>25</v>
      </c>
      <c r="M677" s="2">
        <v>45687</v>
      </c>
      <c r="N677" s="2">
        <v>45684</v>
      </c>
      <c r="O677" t="s">
        <v>76</v>
      </c>
      <c r="P677" t="s">
        <v>77</v>
      </c>
      <c r="Q677" t="s">
        <v>28</v>
      </c>
      <c r="R677" t="s">
        <v>29</v>
      </c>
    </row>
    <row r="678" spans="1:18">
      <c r="A678" t="s">
        <v>807</v>
      </c>
      <c r="B678" s="2">
        <v>46001</v>
      </c>
      <c r="C678" t="s">
        <v>37</v>
      </c>
      <c r="D678" t="s">
        <v>38</v>
      </c>
      <c r="E678" t="s">
        <v>39</v>
      </c>
      <c r="F678" t="s">
        <v>40</v>
      </c>
      <c r="G678" t="s">
        <v>136</v>
      </c>
      <c r="H678" t="s">
        <v>137</v>
      </c>
      <c r="I678">
        <v>39</v>
      </c>
      <c r="J678" s="3">
        <v>1789.41</v>
      </c>
      <c r="K678" s="3">
        <v>69786.990000000005</v>
      </c>
      <c r="L678" t="s">
        <v>34</v>
      </c>
      <c r="M678" s="2">
        <v>46012</v>
      </c>
      <c r="N678" s="2">
        <v>46009</v>
      </c>
      <c r="O678" t="s">
        <v>43</v>
      </c>
      <c r="P678" t="s">
        <v>64</v>
      </c>
      <c r="Q678" t="s">
        <v>28</v>
      </c>
      <c r="R678" t="s">
        <v>29</v>
      </c>
    </row>
    <row r="679" spans="1:18">
      <c r="A679" t="s">
        <v>808</v>
      </c>
      <c r="B679" s="2">
        <v>45764</v>
      </c>
      <c r="C679" t="s">
        <v>134</v>
      </c>
      <c r="D679" t="s">
        <v>135</v>
      </c>
      <c r="E679" t="s">
        <v>39</v>
      </c>
      <c r="F679" t="s">
        <v>40</v>
      </c>
      <c r="G679" t="s">
        <v>41</v>
      </c>
      <c r="H679" t="s">
        <v>42</v>
      </c>
      <c r="I679">
        <v>15</v>
      </c>
      <c r="J679" s="3">
        <v>5549.34</v>
      </c>
      <c r="K679" s="3">
        <v>83240.100000000006</v>
      </c>
      <c r="L679" t="s">
        <v>25</v>
      </c>
      <c r="M679" s="2">
        <v>45777</v>
      </c>
      <c r="N679" s="2">
        <v>45774</v>
      </c>
      <c r="O679" t="s">
        <v>43</v>
      </c>
      <c r="P679" t="s">
        <v>44</v>
      </c>
      <c r="Q679" t="s">
        <v>28</v>
      </c>
      <c r="R679" t="s">
        <v>29</v>
      </c>
    </row>
    <row r="680" spans="1:18">
      <c r="A680" t="s">
        <v>809</v>
      </c>
      <c r="B680" s="2">
        <v>46088</v>
      </c>
      <c r="C680" t="s">
        <v>104</v>
      </c>
      <c r="D680" t="s">
        <v>105</v>
      </c>
      <c r="E680" t="s">
        <v>48</v>
      </c>
      <c r="F680" t="s">
        <v>49</v>
      </c>
      <c r="G680" t="s">
        <v>113</v>
      </c>
      <c r="H680" t="s">
        <v>114</v>
      </c>
      <c r="I680">
        <v>1</v>
      </c>
      <c r="J680" s="3">
        <v>38085.94</v>
      </c>
      <c r="K680" s="3">
        <v>38085.94</v>
      </c>
      <c r="L680" t="s">
        <v>25</v>
      </c>
      <c r="M680" s="2">
        <v>46098</v>
      </c>
      <c r="N680" s="2">
        <v>46095</v>
      </c>
      <c r="O680" t="s">
        <v>60</v>
      </c>
      <c r="P680" t="s">
        <v>53</v>
      </c>
      <c r="Q680" t="s">
        <v>28</v>
      </c>
      <c r="R680" t="s">
        <v>29</v>
      </c>
    </row>
    <row r="681" spans="1:18">
      <c r="A681" t="s">
        <v>810</v>
      </c>
      <c r="B681" s="2">
        <v>46177</v>
      </c>
      <c r="C681" t="s">
        <v>147</v>
      </c>
      <c r="D681" t="s">
        <v>148</v>
      </c>
      <c r="E681" t="s">
        <v>112</v>
      </c>
      <c r="F681" t="s">
        <v>40</v>
      </c>
      <c r="G681" t="s">
        <v>136</v>
      </c>
      <c r="H681" t="s">
        <v>137</v>
      </c>
      <c r="I681">
        <v>31</v>
      </c>
      <c r="J681" s="3">
        <v>1633.99</v>
      </c>
      <c r="K681" s="3">
        <v>50653.69</v>
      </c>
      <c r="L681" t="s">
        <v>25</v>
      </c>
      <c r="M681" s="2">
        <v>46192</v>
      </c>
      <c r="N681" s="2">
        <v>46189</v>
      </c>
      <c r="O681" t="s">
        <v>43</v>
      </c>
      <c r="P681" t="s">
        <v>115</v>
      </c>
      <c r="Q681" t="s">
        <v>28</v>
      </c>
      <c r="R681" t="s">
        <v>29</v>
      </c>
    </row>
    <row r="682" spans="1:18">
      <c r="A682" t="s">
        <v>811</v>
      </c>
      <c r="B682" s="2">
        <v>45983</v>
      </c>
      <c r="C682" t="s">
        <v>134</v>
      </c>
      <c r="D682" t="s">
        <v>135</v>
      </c>
      <c r="E682" t="s">
        <v>112</v>
      </c>
      <c r="F682" t="s">
        <v>40</v>
      </c>
      <c r="G682" t="s">
        <v>149</v>
      </c>
      <c r="H682" t="s">
        <v>150</v>
      </c>
      <c r="I682">
        <v>44</v>
      </c>
      <c r="J682" s="3">
        <v>1343.55</v>
      </c>
      <c r="K682" s="3">
        <v>59116.2</v>
      </c>
      <c r="L682" t="s">
        <v>34</v>
      </c>
      <c r="M682" s="2">
        <v>45998</v>
      </c>
      <c r="N682" s="2">
        <v>45998</v>
      </c>
      <c r="O682" t="s">
        <v>60</v>
      </c>
      <c r="P682" t="s">
        <v>115</v>
      </c>
      <c r="Q682" t="s">
        <v>28</v>
      </c>
      <c r="R682" t="s">
        <v>29</v>
      </c>
    </row>
    <row r="683" spans="1:18">
      <c r="A683" t="s">
        <v>812</v>
      </c>
      <c r="B683" s="2">
        <v>45835</v>
      </c>
      <c r="C683" t="s">
        <v>142</v>
      </c>
      <c r="D683" t="s">
        <v>143</v>
      </c>
      <c r="E683" t="s">
        <v>21</v>
      </c>
      <c r="F683" t="s">
        <v>22</v>
      </c>
      <c r="G683" t="s">
        <v>160</v>
      </c>
      <c r="H683" t="s">
        <v>161</v>
      </c>
      <c r="I683">
        <v>3</v>
      </c>
      <c r="J683" s="3">
        <v>3225.29</v>
      </c>
      <c r="K683" s="3">
        <v>9675.8700000000008</v>
      </c>
      <c r="L683" t="s">
        <v>34</v>
      </c>
      <c r="M683" s="2">
        <v>45848</v>
      </c>
      <c r="N683" s="2">
        <v>45845</v>
      </c>
      <c r="O683" t="s">
        <v>76</v>
      </c>
      <c r="P683" t="s">
        <v>27</v>
      </c>
      <c r="Q683" t="s">
        <v>28</v>
      </c>
      <c r="R683" t="s">
        <v>29</v>
      </c>
    </row>
    <row r="684" spans="1:18">
      <c r="A684" t="s">
        <v>813</v>
      </c>
      <c r="B684" s="2">
        <v>45988</v>
      </c>
      <c r="C684" t="s">
        <v>134</v>
      </c>
      <c r="D684" t="s">
        <v>135</v>
      </c>
      <c r="E684" t="s">
        <v>39</v>
      </c>
      <c r="F684" t="s">
        <v>40</v>
      </c>
      <c r="G684" t="s">
        <v>41</v>
      </c>
      <c r="H684" t="s">
        <v>42</v>
      </c>
      <c r="I684">
        <v>1</v>
      </c>
      <c r="J684" s="3">
        <v>5472.34</v>
      </c>
      <c r="K684" s="3">
        <v>5472.34</v>
      </c>
      <c r="L684" t="s">
        <v>34</v>
      </c>
      <c r="M684" s="2">
        <v>46002</v>
      </c>
      <c r="N684" s="2">
        <v>46002</v>
      </c>
      <c r="O684" t="s">
        <v>43</v>
      </c>
      <c r="P684" t="s">
        <v>64</v>
      </c>
      <c r="Q684" t="s">
        <v>28</v>
      </c>
      <c r="R684" t="s">
        <v>29</v>
      </c>
    </row>
    <row r="685" spans="1:18">
      <c r="A685" t="s">
        <v>814</v>
      </c>
      <c r="B685" s="2">
        <v>46122</v>
      </c>
      <c r="C685" t="s">
        <v>71</v>
      </c>
      <c r="D685" t="s">
        <v>72</v>
      </c>
      <c r="E685" t="s">
        <v>48</v>
      </c>
      <c r="F685" t="s">
        <v>57</v>
      </c>
      <c r="G685" t="s">
        <v>86</v>
      </c>
      <c r="H685" t="s">
        <v>87</v>
      </c>
      <c r="I685">
        <v>4</v>
      </c>
      <c r="J685" s="3">
        <v>9987.73</v>
      </c>
      <c r="K685" s="3">
        <v>39950.92</v>
      </c>
      <c r="L685" t="s">
        <v>34</v>
      </c>
      <c r="M685" s="2">
        <v>46135</v>
      </c>
      <c r="N685" s="2">
        <v>46132</v>
      </c>
      <c r="O685" t="s">
        <v>43</v>
      </c>
      <c r="P685" t="s">
        <v>53</v>
      </c>
      <c r="Q685" t="s">
        <v>28</v>
      </c>
      <c r="R685" t="s">
        <v>29</v>
      </c>
    </row>
    <row r="686" spans="1:18">
      <c r="A686" t="s">
        <v>815</v>
      </c>
      <c r="B686" s="2">
        <v>45681</v>
      </c>
      <c r="C686" t="s">
        <v>89</v>
      </c>
      <c r="D686" t="s">
        <v>90</v>
      </c>
      <c r="E686" t="s">
        <v>31</v>
      </c>
      <c r="F686" t="s">
        <v>91</v>
      </c>
      <c r="G686" t="s">
        <v>92</v>
      </c>
      <c r="H686" t="s">
        <v>93</v>
      </c>
      <c r="I686">
        <v>1</v>
      </c>
      <c r="J686" s="3">
        <v>42572.480000000003</v>
      </c>
      <c r="K686" s="3">
        <v>42572.480000000003</v>
      </c>
      <c r="L686" t="s">
        <v>25</v>
      </c>
      <c r="M686" s="2">
        <v>45688</v>
      </c>
      <c r="N686" s="2">
        <v>45687</v>
      </c>
      <c r="O686" t="s">
        <v>60</v>
      </c>
      <c r="P686" t="s">
        <v>35</v>
      </c>
      <c r="Q686" t="s">
        <v>28</v>
      </c>
      <c r="R686" t="s">
        <v>29</v>
      </c>
    </row>
    <row r="687" spans="1:18">
      <c r="A687" t="s">
        <v>816</v>
      </c>
      <c r="B687" s="2">
        <v>45870</v>
      </c>
      <c r="C687" t="s">
        <v>89</v>
      </c>
      <c r="D687" t="s">
        <v>90</v>
      </c>
      <c r="E687" t="s">
        <v>31</v>
      </c>
      <c r="F687" t="s">
        <v>91</v>
      </c>
      <c r="G687" t="s">
        <v>109</v>
      </c>
      <c r="H687" t="s">
        <v>110</v>
      </c>
      <c r="I687">
        <v>1</v>
      </c>
      <c r="J687" s="3">
        <v>13079.12</v>
      </c>
      <c r="K687" s="3">
        <v>13079.12</v>
      </c>
      <c r="L687" t="s">
        <v>52</v>
      </c>
      <c r="M687" s="2">
        <v>45878</v>
      </c>
      <c r="N687" s="2">
        <v>45875</v>
      </c>
      <c r="O687" t="s">
        <v>60</v>
      </c>
      <c r="P687" t="s">
        <v>94</v>
      </c>
      <c r="Q687" t="s">
        <v>28</v>
      </c>
      <c r="R687" t="s">
        <v>29</v>
      </c>
    </row>
    <row r="688" spans="1:18">
      <c r="A688" t="s">
        <v>817</v>
      </c>
      <c r="B688" s="2">
        <v>45842</v>
      </c>
      <c r="C688" t="s">
        <v>104</v>
      </c>
      <c r="D688" t="s">
        <v>105</v>
      </c>
      <c r="E688" t="s">
        <v>112</v>
      </c>
      <c r="F688" t="s">
        <v>49</v>
      </c>
      <c r="G688" t="s">
        <v>113</v>
      </c>
      <c r="H688" t="s">
        <v>114</v>
      </c>
      <c r="I688">
        <v>1</v>
      </c>
      <c r="J688" s="3">
        <v>37652.410000000003</v>
      </c>
      <c r="K688" s="3">
        <v>37652.410000000003</v>
      </c>
      <c r="L688" t="s">
        <v>25</v>
      </c>
      <c r="M688" s="2">
        <v>45854</v>
      </c>
      <c r="N688" s="2">
        <v>45854</v>
      </c>
      <c r="O688" t="s">
        <v>76</v>
      </c>
      <c r="P688" t="s">
        <v>115</v>
      </c>
      <c r="Q688" t="s">
        <v>28</v>
      </c>
      <c r="R688" t="s">
        <v>29</v>
      </c>
    </row>
    <row r="689" spans="1:18">
      <c r="A689" t="s">
        <v>818</v>
      </c>
      <c r="B689" s="2">
        <v>45855</v>
      </c>
      <c r="C689" t="s">
        <v>19</v>
      </c>
      <c r="D689" t="s">
        <v>20</v>
      </c>
      <c r="E689" t="s">
        <v>31</v>
      </c>
      <c r="F689" t="s">
        <v>22</v>
      </c>
      <c r="G689" t="s">
        <v>32</v>
      </c>
      <c r="H689" t="s">
        <v>33</v>
      </c>
      <c r="I689">
        <v>6</v>
      </c>
      <c r="J689" s="3">
        <v>7105.06</v>
      </c>
      <c r="K689" s="3">
        <v>42630.36</v>
      </c>
      <c r="L689" t="s">
        <v>25</v>
      </c>
      <c r="M689" s="2">
        <v>45861</v>
      </c>
      <c r="N689" s="2">
        <v>45861</v>
      </c>
      <c r="O689" t="s">
        <v>26</v>
      </c>
      <c r="P689" t="s">
        <v>94</v>
      </c>
      <c r="Q689" t="s">
        <v>28</v>
      </c>
      <c r="R689" t="s">
        <v>29</v>
      </c>
    </row>
    <row r="690" spans="1:18">
      <c r="A690" t="s">
        <v>819</v>
      </c>
      <c r="B690" s="2">
        <v>45787</v>
      </c>
      <c r="C690" t="s">
        <v>107</v>
      </c>
      <c r="D690" t="s">
        <v>108</v>
      </c>
      <c r="E690" t="s">
        <v>31</v>
      </c>
      <c r="F690" t="s">
        <v>91</v>
      </c>
      <c r="G690" t="s">
        <v>109</v>
      </c>
      <c r="H690" t="s">
        <v>110</v>
      </c>
      <c r="I690">
        <v>2</v>
      </c>
      <c r="J690" s="3">
        <v>14006.76</v>
      </c>
      <c r="K690" s="3">
        <v>28013.52</v>
      </c>
      <c r="L690" t="s">
        <v>25</v>
      </c>
      <c r="M690" s="2">
        <v>45803</v>
      </c>
      <c r="N690" s="2">
        <v>45800</v>
      </c>
      <c r="O690" t="s">
        <v>60</v>
      </c>
      <c r="P690" t="s">
        <v>94</v>
      </c>
      <c r="Q690" t="s">
        <v>28</v>
      </c>
      <c r="R690" t="s">
        <v>29</v>
      </c>
    </row>
    <row r="691" spans="1:18">
      <c r="A691" t="s">
        <v>820</v>
      </c>
      <c r="B691" s="2">
        <v>45914</v>
      </c>
      <c r="C691" t="s">
        <v>104</v>
      </c>
      <c r="D691" t="s">
        <v>105</v>
      </c>
      <c r="E691" t="s">
        <v>48</v>
      </c>
      <c r="F691" t="s">
        <v>49</v>
      </c>
      <c r="G691" t="s">
        <v>68</v>
      </c>
      <c r="H691" t="s">
        <v>69</v>
      </c>
      <c r="I691">
        <v>3</v>
      </c>
      <c r="J691" s="3">
        <v>49506.42</v>
      </c>
      <c r="K691" s="3">
        <v>148519.26</v>
      </c>
      <c r="L691" t="s">
        <v>52</v>
      </c>
      <c r="M691" s="2">
        <v>45923</v>
      </c>
      <c r="N691" s="2">
        <v>45922</v>
      </c>
      <c r="O691" t="s">
        <v>60</v>
      </c>
      <c r="P691" t="s">
        <v>53</v>
      </c>
      <c r="Q691" t="s">
        <v>28</v>
      </c>
      <c r="R691" t="s">
        <v>29</v>
      </c>
    </row>
    <row r="692" spans="1:18">
      <c r="A692" t="s">
        <v>821</v>
      </c>
      <c r="B692" s="2">
        <v>46114</v>
      </c>
      <c r="C692" t="s">
        <v>46</v>
      </c>
      <c r="D692" t="s">
        <v>47</v>
      </c>
      <c r="E692" t="s">
        <v>48</v>
      </c>
      <c r="F692" t="s">
        <v>49</v>
      </c>
      <c r="G692" t="s">
        <v>113</v>
      </c>
      <c r="H692" t="s">
        <v>114</v>
      </c>
      <c r="I692">
        <v>3</v>
      </c>
      <c r="J692" s="3">
        <v>40225.15</v>
      </c>
      <c r="K692" s="3">
        <v>120675.45</v>
      </c>
      <c r="L692" t="s">
        <v>25</v>
      </c>
      <c r="M692" s="2">
        <v>46124</v>
      </c>
      <c r="N692" s="2">
        <v>46124</v>
      </c>
      <c r="O692" t="s">
        <v>43</v>
      </c>
      <c r="P692" t="s">
        <v>53</v>
      </c>
      <c r="Q692" t="s">
        <v>28</v>
      </c>
      <c r="R692" t="s">
        <v>29</v>
      </c>
    </row>
    <row r="693" spans="1:18">
      <c r="A693" t="s">
        <v>822</v>
      </c>
      <c r="B693" s="2">
        <v>46077</v>
      </c>
      <c r="C693" t="s">
        <v>104</v>
      </c>
      <c r="D693" t="s">
        <v>105</v>
      </c>
      <c r="E693" t="s">
        <v>48</v>
      </c>
      <c r="F693" t="s">
        <v>49</v>
      </c>
      <c r="G693" t="s">
        <v>68</v>
      </c>
      <c r="H693" t="s">
        <v>69</v>
      </c>
      <c r="I693">
        <v>1</v>
      </c>
      <c r="J693" s="3">
        <v>46857.19</v>
      </c>
      <c r="K693" s="3">
        <v>46857.19</v>
      </c>
      <c r="L693" t="s">
        <v>25</v>
      </c>
      <c r="M693" s="2">
        <v>46088</v>
      </c>
      <c r="N693" s="2">
        <v>46086</v>
      </c>
      <c r="O693" t="s">
        <v>26</v>
      </c>
      <c r="P693" t="s">
        <v>53</v>
      </c>
      <c r="Q693" t="s">
        <v>28</v>
      </c>
      <c r="R693" t="s">
        <v>29</v>
      </c>
    </row>
    <row r="694" spans="1:18">
      <c r="A694" t="s">
        <v>823</v>
      </c>
      <c r="B694" s="2">
        <v>46038</v>
      </c>
      <c r="C694" t="s">
        <v>19</v>
      </c>
      <c r="D694" t="s">
        <v>20</v>
      </c>
      <c r="E694" t="s">
        <v>21</v>
      </c>
      <c r="F694" t="s">
        <v>22</v>
      </c>
      <c r="G694" t="s">
        <v>160</v>
      </c>
      <c r="H694" t="s">
        <v>161</v>
      </c>
      <c r="I694">
        <v>4</v>
      </c>
      <c r="J694" s="3">
        <v>3001.31</v>
      </c>
      <c r="K694" s="3">
        <v>12005.24</v>
      </c>
      <c r="L694" t="s">
        <v>52</v>
      </c>
      <c r="M694" s="2">
        <v>46050</v>
      </c>
      <c r="N694" s="2">
        <v>46048</v>
      </c>
      <c r="O694" t="s">
        <v>43</v>
      </c>
      <c r="P694" t="s">
        <v>27</v>
      </c>
      <c r="Q694" t="s">
        <v>28</v>
      </c>
      <c r="R694" t="s">
        <v>29</v>
      </c>
    </row>
    <row r="695" spans="1:18">
      <c r="A695" t="s">
        <v>824</v>
      </c>
      <c r="B695" s="2">
        <v>45948</v>
      </c>
      <c r="C695" t="s">
        <v>107</v>
      </c>
      <c r="D695" t="s">
        <v>108</v>
      </c>
      <c r="E695" t="s">
        <v>31</v>
      </c>
      <c r="F695" t="s">
        <v>91</v>
      </c>
      <c r="G695" t="s">
        <v>109</v>
      </c>
      <c r="H695" t="s">
        <v>110</v>
      </c>
      <c r="I695">
        <v>1</v>
      </c>
      <c r="J695" s="3">
        <v>14371.01</v>
      </c>
      <c r="K695" s="3">
        <v>14371.01</v>
      </c>
      <c r="L695" t="s">
        <v>34</v>
      </c>
      <c r="M695" s="2">
        <v>45962</v>
      </c>
      <c r="N695" s="2">
        <v>45959</v>
      </c>
      <c r="O695" t="s">
        <v>60</v>
      </c>
      <c r="P695" t="s">
        <v>35</v>
      </c>
      <c r="Q695" t="s">
        <v>28</v>
      </c>
      <c r="R695" t="s">
        <v>29</v>
      </c>
    </row>
    <row r="696" spans="1:18">
      <c r="A696" t="s">
        <v>825</v>
      </c>
      <c r="B696" s="2">
        <v>45985</v>
      </c>
      <c r="C696" t="s">
        <v>37</v>
      </c>
      <c r="D696" t="s">
        <v>38</v>
      </c>
      <c r="E696" t="s">
        <v>39</v>
      </c>
      <c r="F696" t="s">
        <v>40</v>
      </c>
      <c r="G696" t="s">
        <v>62</v>
      </c>
      <c r="H696" t="s">
        <v>63</v>
      </c>
      <c r="I696">
        <v>2</v>
      </c>
      <c r="J696" s="3">
        <v>19492.080000000002</v>
      </c>
      <c r="K696" s="3">
        <v>38984.160000000003</v>
      </c>
      <c r="L696" t="s">
        <v>34</v>
      </c>
      <c r="M696" s="2">
        <v>45991</v>
      </c>
      <c r="N696" s="2">
        <v>45989</v>
      </c>
      <c r="O696" t="s">
        <v>26</v>
      </c>
      <c r="P696" t="s">
        <v>64</v>
      </c>
      <c r="Q696" t="s">
        <v>28</v>
      </c>
      <c r="R696" t="s">
        <v>29</v>
      </c>
    </row>
    <row r="697" spans="1:18">
      <c r="A697" t="s">
        <v>826</v>
      </c>
      <c r="B697" s="2">
        <v>45949</v>
      </c>
      <c r="C697" t="s">
        <v>55</v>
      </c>
      <c r="D697" t="s">
        <v>56</v>
      </c>
      <c r="E697" t="s">
        <v>48</v>
      </c>
      <c r="F697" t="s">
        <v>57</v>
      </c>
      <c r="G697" t="s">
        <v>74</v>
      </c>
      <c r="H697" t="s">
        <v>75</v>
      </c>
      <c r="I697">
        <v>7</v>
      </c>
      <c r="J697" s="3">
        <v>9955.61</v>
      </c>
      <c r="K697" s="3">
        <v>69689.27</v>
      </c>
      <c r="L697" t="s">
        <v>25</v>
      </c>
      <c r="M697" s="2">
        <v>45954</v>
      </c>
      <c r="N697" s="2">
        <v>45954</v>
      </c>
      <c r="O697" t="s">
        <v>43</v>
      </c>
      <c r="P697" t="s">
        <v>53</v>
      </c>
      <c r="Q697" t="s">
        <v>28</v>
      </c>
      <c r="R697" t="s">
        <v>29</v>
      </c>
    </row>
    <row r="698" spans="1:18">
      <c r="A698" t="s">
        <v>827</v>
      </c>
      <c r="B698" s="2">
        <v>46139</v>
      </c>
      <c r="C698" t="s">
        <v>104</v>
      </c>
      <c r="D698" t="s">
        <v>105</v>
      </c>
      <c r="E698" t="s">
        <v>48</v>
      </c>
      <c r="F698" t="s">
        <v>49</v>
      </c>
      <c r="G698" t="s">
        <v>165</v>
      </c>
      <c r="H698" t="s">
        <v>166</v>
      </c>
      <c r="I698">
        <v>1</v>
      </c>
      <c r="J698" s="3">
        <v>44600.59</v>
      </c>
      <c r="K698" s="3">
        <v>44600.59</v>
      </c>
      <c r="L698" t="s">
        <v>34</v>
      </c>
      <c r="M698" s="2">
        <v>46152</v>
      </c>
      <c r="N698" s="2">
        <v>46149</v>
      </c>
      <c r="O698" t="s">
        <v>60</v>
      </c>
      <c r="P698" t="s">
        <v>53</v>
      </c>
      <c r="Q698" t="s">
        <v>28</v>
      </c>
      <c r="R698" t="s">
        <v>29</v>
      </c>
    </row>
    <row r="699" spans="1:18">
      <c r="A699" t="s">
        <v>828</v>
      </c>
      <c r="B699" s="2">
        <v>46123</v>
      </c>
      <c r="C699" t="s">
        <v>107</v>
      </c>
      <c r="D699" t="s">
        <v>108</v>
      </c>
      <c r="E699" t="s">
        <v>31</v>
      </c>
      <c r="F699" t="s">
        <v>91</v>
      </c>
      <c r="G699" t="s">
        <v>109</v>
      </c>
      <c r="H699" t="s">
        <v>110</v>
      </c>
      <c r="I699">
        <v>1</v>
      </c>
      <c r="J699" s="3">
        <v>13327.15</v>
      </c>
      <c r="K699" s="3">
        <v>13327.15</v>
      </c>
      <c r="L699" t="s">
        <v>25</v>
      </c>
      <c r="M699" s="2">
        <v>46128</v>
      </c>
      <c r="N699" s="2">
        <v>46127</v>
      </c>
      <c r="O699" t="s">
        <v>76</v>
      </c>
      <c r="P699" t="s">
        <v>35</v>
      </c>
      <c r="Q699" t="s">
        <v>28</v>
      </c>
      <c r="R699" t="s">
        <v>29</v>
      </c>
    </row>
    <row r="700" spans="1:18">
      <c r="A700" t="s">
        <v>829</v>
      </c>
      <c r="B700" s="2">
        <v>45889</v>
      </c>
      <c r="C700" t="s">
        <v>147</v>
      </c>
      <c r="D700" t="s">
        <v>148</v>
      </c>
      <c r="E700" t="s">
        <v>39</v>
      </c>
      <c r="F700" t="s">
        <v>40</v>
      </c>
      <c r="G700" t="s">
        <v>41</v>
      </c>
      <c r="H700" t="s">
        <v>42</v>
      </c>
      <c r="I700">
        <v>5</v>
      </c>
      <c r="J700" s="3">
        <v>5381.62</v>
      </c>
      <c r="K700" s="3">
        <v>26908.1</v>
      </c>
      <c r="L700" t="s">
        <v>52</v>
      </c>
      <c r="M700" s="2">
        <v>45906</v>
      </c>
      <c r="N700" s="2">
        <v>45908</v>
      </c>
      <c r="O700" t="s">
        <v>43</v>
      </c>
      <c r="P700" t="s">
        <v>44</v>
      </c>
      <c r="Q700" t="s">
        <v>28</v>
      </c>
      <c r="R700" t="s">
        <v>129</v>
      </c>
    </row>
    <row r="701" spans="1:18">
      <c r="A701" t="s">
        <v>830</v>
      </c>
      <c r="B701" s="2">
        <v>46046</v>
      </c>
      <c r="C701" t="s">
        <v>142</v>
      </c>
      <c r="D701" t="s">
        <v>143</v>
      </c>
      <c r="E701" t="s">
        <v>39</v>
      </c>
      <c r="F701" t="s">
        <v>22</v>
      </c>
      <c r="G701" t="s">
        <v>32</v>
      </c>
      <c r="H701" t="s">
        <v>33</v>
      </c>
      <c r="I701">
        <v>14</v>
      </c>
      <c r="J701" s="3">
        <v>7576.65</v>
      </c>
      <c r="K701" s="3">
        <v>106073.1</v>
      </c>
      <c r="L701" t="s">
        <v>34</v>
      </c>
      <c r="M701" s="2">
        <v>46053</v>
      </c>
      <c r="N701" s="2">
        <v>46050</v>
      </c>
      <c r="O701" t="s">
        <v>43</v>
      </c>
      <c r="P701" t="s">
        <v>64</v>
      </c>
      <c r="Q701" t="s">
        <v>28</v>
      </c>
      <c r="R701" t="s">
        <v>29</v>
      </c>
    </row>
    <row r="702" spans="1:18">
      <c r="A702" t="s">
        <v>831</v>
      </c>
      <c r="B702" s="2">
        <v>45945</v>
      </c>
      <c r="C702" t="s">
        <v>55</v>
      </c>
      <c r="D702" t="s">
        <v>56</v>
      </c>
      <c r="E702" t="s">
        <v>48</v>
      </c>
      <c r="F702" t="s">
        <v>57</v>
      </c>
      <c r="G702" t="s">
        <v>101</v>
      </c>
      <c r="H702" t="s">
        <v>102</v>
      </c>
      <c r="I702">
        <v>10</v>
      </c>
      <c r="J702" s="3">
        <v>1971.35</v>
      </c>
      <c r="K702" s="3">
        <v>19713.5</v>
      </c>
      <c r="L702" t="s">
        <v>34</v>
      </c>
      <c r="M702" s="2">
        <v>45955</v>
      </c>
      <c r="N702" s="2">
        <v>45954</v>
      </c>
      <c r="O702" t="s">
        <v>26</v>
      </c>
      <c r="P702" t="s">
        <v>53</v>
      </c>
      <c r="Q702" t="s">
        <v>28</v>
      </c>
      <c r="R702" t="s">
        <v>29</v>
      </c>
    </row>
    <row r="703" spans="1:18">
      <c r="A703" t="s">
        <v>832</v>
      </c>
      <c r="B703" s="2">
        <v>45719</v>
      </c>
      <c r="C703" t="s">
        <v>104</v>
      </c>
      <c r="D703" t="s">
        <v>105</v>
      </c>
      <c r="E703" t="s">
        <v>48</v>
      </c>
      <c r="F703" t="s">
        <v>49</v>
      </c>
      <c r="G703" t="s">
        <v>68</v>
      </c>
      <c r="H703" t="s">
        <v>69</v>
      </c>
      <c r="I703">
        <v>1</v>
      </c>
      <c r="J703" s="3">
        <v>46531.59</v>
      </c>
      <c r="K703" s="3">
        <v>46531.59</v>
      </c>
      <c r="L703" t="s">
        <v>34</v>
      </c>
      <c r="M703" s="2">
        <v>45737</v>
      </c>
      <c r="N703" s="2">
        <v>45735</v>
      </c>
      <c r="O703" t="s">
        <v>76</v>
      </c>
      <c r="P703" t="s">
        <v>53</v>
      </c>
      <c r="Q703" t="s">
        <v>28</v>
      </c>
      <c r="R703" t="s">
        <v>29</v>
      </c>
    </row>
    <row r="704" spans="1:18">
      <c r="A704" t="s">
        <v>833</v>
      </c>
      <c r="B704" s="2">
        <v>46183</v>
      </c>
      <c r="C704" t="s">
        <v>142</v>
      </c>
      <c r="D704" t="s">
        <v>143</v>
      </c>
      <c r="E704" t="s">
        <v>73</v>
      </c>
      <c r="F704" t="s">
        <v>22</v>
      </c>
      <c r="G704" t="s">
        <v>160</v>
      </c>
      <c r="H704" t="s">
        <v>161</v>
      </c>
      <c r="I704">
        <v>14</v>
      </c>
      <c r="J704" s="3">
        <v>3218.56</v>
      </c>
      <c r="K704" s="3">
        <v>45059.839999999997</v>
      </c>
      <c r="L704" t="s">
        <v>25</v>
      </c>
      <c r="M704" s="2">
        <v>46197</v>
      </c>
      <c r="N704" s="2">
        <v>46196</v>
      </c>
      <c r="O704" t="s">
        <v>43</v>
      </c>
      <c r="P704" t="s">
        <v>77</v>
      </c>
      <c r="Q704" t="s">
        <v>28</v>
      </c>
      <c r="R704" t="s">
        <v>29</v>
      </c>
    </row>
    <row r="705" spans="1:18">
      <c r="A705" t="s">
        <v>834</v>
      </c>
      <c r="B705" s="2">
        <v>45904</v>
      </c>
      <c r="C705" t="s">
        <v>104</v>
      </c>
      <c r="D705" t="s">
        <v>105</v>
      </c>
      <c r="E705" t="s">
        <v>73</v>
      </c>
      <c r="F705" t="s">
        <v>49</v>
      </c>
      <c r="G705" t="s">
        <v>113</v>
      </c>
      <c r="H705" t="s">
        <v>114</v>
      </c>
      <c r="I705">
        <v>1</v>
      </c>
      <c r="J705" s="3">
        <v>38295.629999999997</v>
      </c>
      <c r="K705" s="3">
        <v>38295.629999999997</v>
      </c>
      <c r="L705" t="s">
        <v>25</v>
      </c>
      <c r="M705" s="2">
        <v>45913</v>
      </c>
      <c r="N705" s="2">
        <v>45913</v>
      </c>
      <c r="O705" t="s">
        <v>26</v>
      </c>
      <c r="P705" t="s">
        <v>77</v>
      </c>
      <c r="Q705" t="s">
        <v>28</v>
      </c>
      <c r="R705" t="s">
        <v>29</v>
      </c>
    </row>
    <row r="706" spans="1:18">
      <c r="A706" t="s">
        <v>835</v>
      </c>
      <c r="B706" s="2">
        <v>46064</v>
      </c>
      <c r="C706" t="s">
        <v>89</v>
      </c>
      <c r="D706" t="s">
        <v>90</v>
      </c>
      <c r="E706" t="s">
        <v>31</v>
      </c>
      <c r="F706" t="s">
        <v>91</v>
      </c>
      <c r="G706" t="s">
        <v>109</v>
      </c>
      <c r="H706" t="s">
        <v>110</v>
      </c>
      <c r="I706">
        <v>2</v>
      </c>
      <c r="J706" s="3">
        <v>12110.04</v>
      </c>
      <c r="K706" s="3">
        <v>24220.080000000002</v>
      </c>
      <c r="L706" t="s">
        <v>25</v>
      </c>
      <c r="M706" s="2">
        <v>46080</v>
      </c>
      <c r="N706" s="2">
        <v>46079</v>
      </c>
      <c r="O706" t="s">
        <v>60</v>
      </c>
      <c r="P706" t="s">
        <v>94</v>
      </c>
      <c r="Q706" t="s">
        <v>28</v>
      </c>
      <c r="R706" t="s">
        <v>29</v>
      </c>
    </row>
    <row r="707" spans="1:18">
      <c r="A707" t="s">
        <v>836</v>
      </c>
      <c r="B707" s="2">
        <v>45940</v>
      </c>
      <c r="C707" t="s">
        <v>71</v>
      </c>
      <c r="D707" t="s">
        <v>72</v>
      </c>
      <c r="E707" t="s">
        <v>31</v>
      </c>
      <c r="F707" t="s">
        <v>57</v>
      </c>
      <c r="G707" t="s">
        <v>101</v>
      </c>
      <c r="H707" t="s">
        <v>102</v>
      </c>
      <c r="I707">
        <v>12</v>
      </c>
      <c r="J707" s="3">
        <v>1714.09</v>
      </c>
      <c r="K707" s="3">
        <v>20569.080000000002</v>
      </c>
      <c r="L707" t="s">
        <v>34</v>
      </c>
      <c r="M707" s="2">
        <v>45948</v>
      </c>
      <c r="N707" s="2">
        <v>45950</v>
      </c>
      <c r="O707" t="s">
        <v>26</v>
      </c>
      <c r="P707" t="s">
        <v>94</v>
      </c>
      <c r="Q707" t="s">
        <v>28</v>
      </c>
      <c r="R707" t="s">
        <v>129</v>
      </c>
    </row>
    <row r="708" spans="1:18">
      <c r="A708" t="s">
        <v>837</v>
      </c>
      <c r="B708" s="2">
        <v>46202</v>
      </c>
      <c r="C708" t="s">
        <v>80</v>
      </c>
      <c r="D708" t="s">
        <v>81</v>
      </c>
      <c r="E708" t="s">
        <v>39</v>
      </c>
      <c r="F708" t="s">
        <v>82</v>
      </c>
      <c r="G708" t="s">
        <v>197</v>
      </c>
      <c r="H708" t="s">
        <v>198</v>
      </c>
      <c r="I708">
        <v>11</v>
      </c>
      <c r="J708" s="3">
        <v>1985.57</v>
      </c>
      <c r="K708" s="3">
        <v>21841.27</v>
      </c>
      <c r="L708" t="s">
        <v>25</v>
      </c>
      <c r="M708" s="2">
        <v>46210</v>
      </c>
      <c r="N708" s="2">
        <v>46208</v>
      </c>
      <c r="O708" t="s">
        <v>26</v>
      </c>
      <c r="P708" t="s">
        <v>44</v>
      </c>
      <c r="Q708" t="s">
        <v>28</v>
      </c>
      <c r="R708" t="s">
        <v>29</v>
      </c>
    </row>
    <row r="709" spans="1:18">
      <c r="A709" t="s">
        <v>838</v>
      </c>
      <c r="B709" s="2">
        <v>45952</v>
      </c>
      <c r="C709" t="s">
        <v>142</v>
      </c>
      <c r="D709" t="s">
        <v>143</v>
      </c>
      <c r="E709" t="s">
        <v>21</v>
      </c>
      <c r="F709" t="s">
        <v>22</v>
      </c>
      <c r="G709" t="s">
        <v>23</v>
      </c>
      <c r="H709" t="s">
        <v>24</v>
      </c>
      <c r="I709">
        <v>44</v>
      </c>
      <c r="J709" s="3">
        <v>255.22</v>
      </c>
      <c r="K709" s="3">
        <v>11229.68</v>
      </c>
      <c r="L709" t="s">
        <v>25</v>
      </c>
      <c r="M709" s="2">
        <v>45964</v>
      </c>
      <c r="N709" s="2">
        <v>45963</v>
      </c>
      <c r="O709" t="s">
        <v>43</v>
      </c>
      <c r="P709" t="s">
        <v>27</v>
      </c>
      <c r="Q709" t="s">
        <v>28</v>
      </c>
      <c r="R709" t="s">
        <v>29</v>
      </c>
    </row>
    <row r="710" spans="1:18">
      <c r="A710" t="s">
        <v>839</v>
      </c>
      <c r="B710" s="2">
        <v>45849</v>
      </c>
      <c r="C710" t="s">
        <v>142</v>
      </c>
      <c r="D710" t="s">
        <v>143</v>
      </c>
      <c r="E710" t="s">
        <v>73</v>
      </c>
      <c r="F710" t="s">
        <v>22</v>
      </c>
      <c r="G710" t="s">
        <v>32</v>
      </c>
      <c r="H710" t="s">
        <v>33</v>
      </c>
      <c r="I710">
        <v>3</v>
      </c>
      <c r="J710" s="3">
        <v>7722.51</v>
      </c>
      <c r="K710" s="3">
        <v>23167.53</v>
      </c>
      <c r="L710" t="s">
        <v>34</v>
      </c>
      <c r="M710" s="2">
        <v>45858</v>
      </c>
      <c r="N710" s="2">
        <v>45857</v>
      </c>
      <c r="O710" t="s">
        <v>43</v>
      </c>
      <c r="P710" t="s">
        <v>77</v>
      </c>
      <c r="Q710" t="s">
        <v>28</v>
      </c>
      <c r="R710" t="s">
        <v>29</v>
      </c>
    </row>
    <row r="711" spans="1:18">
      <c r="A711" t="s">
        <v>840</v>
      </c>
      <c r="B711" s="2">
        <v>46143</v>
      </c>
      <c r="C711" t="s">
        <v>89</v>
      </c>
      <c r="D711" t="s">
        <v>90</v>
      </c>
      <c r="E711" t="s">
        <v>31</v>
      </c>
      <c r="F711" t="s">
        <v>91</v>
      </c>
      <c r="G711" t="s">
        <v>109</v>
      </c>
      <c r="H711" t="s">
        <v>110</v>
      </c>
      <c r="I711">
        <v>3</v>
      </c>
      <c r="J711" s="3">
        <v>12921.29</v>
      </c>
      <c r="K711" s="3">
        <v>38763.870000000003</v>
      </c>
      <c r="L711" t="s">
        <v>25</v>
      </c>
      <c r="M711" s="2">
        <v>46158</v>
      </c>
      <c r="N711" s="2">
        <v>46157</v>
      </c>
      <c r="O711" t="s">
        <v>26</v>
      </c>
      <c r="P711" t="s">
        <v>94</v>
      </c>
      <c r="Q711" t="s">
        <v>28</v>
      </c>
      <c r="R711" t="s">
        <v>29</v>
      </c>
    </row>
    <row r="712" spans="1:18">
      <c r="A712" t="s">
        <v>841</v>
      </c>
      <c r="B712" s="2">
        <v>45754</v>
      </c>
      <c r="C712" t="s">
        <v>104</v>
      </c>
      <c r="D712" t="s">
        <v>105</v>
      </c>
      <c r="E712" t="s">
        <v>48</v>
      </c>
      <c r="F712" t="s">
        <v>49</v>
      </c>
      <c r="G712" t="s">
        <v>68</v>
      </c>
      <c r="H712" t="s">
        <v>69</v>
      </c>
      <c r="I712">
        <v>3</v>
      </c>
      <c r="J712" s="3">
        <v>47595.37</v>
      </c>
      <c r="K712" s="3">
        <v>142786.10999999999</v>
      </c>
      <c r="L712" t="s">
        <v>25</v>
      </c>
      <c r="M712" s="2">
        <v>45763</v>
      </c>
      <c r="N712" s="2">
        <v>45761</v>
      </c>
      <c r="O712" t="s">
        <v>43</v>
      </c>
      <c r="P712" t="s">
        <v>53</v>
      </c>
      <c r="Q712" t="s">
        <v>28</v>
      </c>
      <c r="R712" t="s">
        <v>29</v>
      </c>
    </row>
    <row r="713" spans="1:18">
      <c r="A713" t="s">
        <v>842</v>
      </c>
      <c r="B713" s="2">
        <v>45966</v>
      </c>
      <c r="C713" t="s">
        <v>104</v>
      </c>
      <c r="D713" t="s">
        <v>105</v>
      </c>
      <c r="E713" t="s">
        <v>112</v>
      </c>
      <c r="F713" t="s">
        <v>49</v>
      </c>
      <c r="G713" t="s">
        <v>68</v>
      </c>
      <c r="H713" t="s">
        <v>69</v>
      </c>
      <c r="I713">
        <v>1</v>
      </c>
      <c r="J713" s="3">
        <v>49042.59</v>
      </c>
      <c r="K713" s="3">
        <v>49042.59</v>
      </c>
      <c r="L713" t="s">
        <v>34</v>
      </c>
      <c r="M713" s="2">
        <v>45973</v>
      </c>
      <c r="N713" s="2">
        <v>45972</v>
      </c>
      <c r="O713" t="s">
        <v>26</v>
      </c>
      <c r="P713" t="s">
        <v>115</v>
      </c>
      <c r="Q713" t="s">
        <v>28</v>
      </c>
      <c r="R713" t="s">
        <v>29</v>
      </c>
    </row>
    <row r="714" spans="1:18">
      <c r="A714" t="s">
        <v>843</v>
      </c>
      <c r="B714" s="2">
        <v>46167</v>
      </c>
      <c r="C714" t="s">
        <v>142</v>
      </c>
      <c r="D714" t="s">
        <v>143</v>
      </c>
      <c r="E714" t="s">
        <v>31</v>
      </c>
      <c r="F714" t="s">
        <v>22</v>
      </c>
      <c r="G714" t="s">
        <v>160</v>
      </c>
      <c r="H714" t="s">
        <v>161</v>
      </c>
      <c r="I714">
        <v>4</v>
      </c>
      <c r="J714" s="3">
        <v>3235.03</v>
      </c>
      <c r="K714" s="3">
        <v>12940.12</v>
      </c>
      <c r="L714" t="s">
        <v>52</v>
      </c>
      <c r="M714" s="2">
        <v>46178</v>
      </c>
      <c r="N714" s="2">
        <v>46176</v>
      </c>
      <c r="O714" t="s">
        <v>60</v>
      </c>
      <c r="P714" t="s">
        <v>94</v>
      </c>
      <c r="Q714" t="s">
        <v>28</v>
      </c>
      <c r="R714" t="s">
        <v>29</v>
      </c>
    </row>
    <row r="715" spans="1:18">
      <c r="A715" t="s">
        <v>844</v>
      </c>
      <c r="B715" s="2">
        <v>46058</v>
      </c>
      <c r="C715" t="s">
        <v>37</v>
      </c>
      <c r="D715" t="s">
        <v>38</v>
      </c>
      <c r="E715" t="s">
        <v>112</v>
      </c>
      <c r="F715" t="s">
        <v>40</v>
      </c>
      <c r="G715" t="s">
        <v>136</v>
      </c>
      <c r="H715" t="s">
        <v>137</v>
      </c>
      <c r="I715">
        <v>49</v>
      </c>
      <c r="J715" s="3">
        <v>1786.96</v>
      </c>
      <c r="K715" s="3">
        <v>87561.04</v>
      </c>
      <c r="L715" t="s">
        <v>25</v>
      </c>
      <c r="M715" s="2">
        <v>46068</v>
      </c>
      <c r="N715" s="2">
        <v>46068</v>
      </c>
      <c r="O715" t="s">
        <v>60</v>
      </c>
      <c r="P715" t="s">
        <v>115</v>
      </c>
      <c r="Q715" t="s">
        <v>28</v>
      </c>
      <c r="R715" t="s">
        <v>29</v>
      </c>
    </row>
    <row r="716" spans="1:18">
      <c r="A716" t="s">
        <v>845</v>
      </c>
      <c r="B716" s="2">
        <v>45953</v>
      </c>
      <c r="C716" t="s">
        <v>96</v>
      </c>
      <c r="D716" t="s">
        <v>97</v>
      </c>
      <c r="E716" t="s">
        <v>39</v>
      </c>
      <c r="F716" t="s">
        <v>82</v>
      </c>
      <c r="G716" t="s">
        <v>83</v>
      </c>
      <c r="H716" t="s">
        <v>84</v>
      </c>
      <c r="I716">
        <v>23</v>
      </c>
      <c r="J716" s="3">
        <v>707.94</v>
      </c>
      <c r="K716" s="3">
        <v>16282.62</v>
      </c>
      <c r="L716" t="s">
        <v>25</v>
      </c>
      <c r="M716" s="2">
        <v>45967</v>
      </c>
      <c r="N716" s="2">
        <v>45966</v>
      </c>
      <c r="O716" t="s">
        <v>76</v>
      </c>
      <c r="P716" t="s">
        <v>64</v>
      </c>
      <c r="Q716" t="s">
        <v>28</v>
      </c>
      <c r="R716" t="s">
        <v>29</v>
      </c>
    </row>
    <row r="717" spans="1:18">
      <c r="A717" t="s">
        <v>846</v>
      </c>
      <c r="B717" s="2">
        <v>45959</v>
      </c>
      <c r="C717" t="s">
        <v>37</v>
      </c>
      <c r="D717" t="s">
        <v>38</v>
      </c>
      <c r="E717" t="s">
        <v>39</v>
      </c>
      <c r="F717" t="s">
        <v>40</v>
      </c>
      <c r="G717" t="s">
        <v>41</v>
      </c>
      <c r="H717" t="s">
        <v>42</v>
      </c>
      <c r="I717">
        <v>7</v>
      </c>
      <c r="J717" s="3">
        <v>5705.91</v>
      </c>
      <c r="K717" s="3">
        <v>39941.370000000003</v>
      </c>
      <c r="L717" t="s">
        <v>25</v>
      </c>
      <c r="M717" s="2">
        <v>45969</v>
      </c>
      <c r="N717" s="2">
        <v>45969</v>
      </c>
      <c r="O717" t="s">
        <v>26</v>
      </c>
      <c r="P717" t="s">
        <v>44</v>
      </c>
      <c r="Q717" t="s">
        <v>28</v>
      </c>
      <c r="R717" t="s">
        <v>29</v>
      </c>
    </row>
    <row r="718" spans="1:18">
      <c r="A718" t="s">
        <v>847</v>
      </c>
      <c r="B718" s="2">
        <v>45948</v>
      </c>
      <c r="C718" t="s">
        <v>37</v>
      </c>
      <c r="D718" t="s">
        <v>38</v>
      </c>
      <c r="E718" t="s">
        <v>31</v>
      </c>
      <c r="F718" t="s">
        <v>22</v>
      </c>
      <c r="G718" t="s">
        <v>23</v>
      </c>
      <c r="H718" t="s">
        <v>24</v>
      </c>
      <c r="I718">
        <v>14</v>
      </c>
      <c r="J718" s="3">
        <v>268.49</v>
      </c>
      <c r="K718" s="3">
        <v>3758.86</v>
      </c>
      <c r="L718" t="s">
        <v>25</v>
      </c>
      <c r="M718" s="2">
        <v>45964</v>
      </c>
      <c r="N718" s="2">
        <v>45964</v>
      </c>
      <c r="O718" t="s">
        <v>43</v>
      </c>
      <c r="P718" t="s">
        <v>35</v>
      </c>
      <c r="Q718" t="s">
        <v>28</v>
      </c>
      <c r="R718" t="s">
        <v>29</v>
      </c>
    </row>
    <row r="719" spans="1:18">
      <c r="A719" t="s">
        <v>848</v>
      </c>
      <c r="B719" s="2">
        <v>46021</v>
      </c>
      <c r="C719" t="s">
        <v>104</v>
      </c>
      <c r="D719" t="s">
        <v>105</v>
      </c>
      <c r="E719" t="s">
        <v>48</v>
      </c>
      <c r="F719" t="s">
        <v>49</v>
      </c>
      <c r="G719" t="s">
        <v>68</v>
      </c>
      <c r="H719" t="s">
        <v>69</v>
      </c>
      <c r="I719">
        <v>1</v>
      </c>
      <c r="J719" s="3">
        <v>49985.98</v>
      </c>
      <c r="K719" s="3">
        <v>49985.98</v>
      </c>
      <c r="L719" t="s">
        <v>34</v>
      </c>
      <c r="M719" s="2">
        <v>46030</v>
      </c>
      <c r="N719" s="2">
        <v>46029</v>
      </c>
      <c r="O719" t="s">
        <v>76</v>
      </c>
      <c r="P719" t="s">
        <v>53</v>
      </c>
      <c r="Q719" t="s">
        <v>28</v>
      </c>
      <c r="R719" t="s">
        <v>29</v>
      </c>
    </row>
    <row r="720" spans="1:18">
      <c r="A720" t="s">
        <v>849</v>
      </c>
      <c r="B720" s="2">
        <v>45862</v>
      </c>
      <c r="C720" t="s">
        <v>142</v>
      </c>
      <c r="D720" t="s">
        <v>143</v>
      </c>
      <c r="E720" t="s">
        <v>73</v>
      </c>
      <c r="F720" t="s">
        <v>22</v>
      </c>
      <c r="G720" t="s">
        <v>160</v>
      </c>
      <c r="H720" t="s">
        <v>161</v>
      </c>
      <c r="I720">
        <v>15</v>
      </c>
      <c r="J720" s="3">
        <v>3108.29</v>
      </c>
      <c r="K720" s="3">
        <v>46624.35</v>
      </c>
      <c r="L720" t="s">
        <v>25</v>
      </c>
      <c r="M720" s="2">
        <v>45877</v>
      </c>
      <c r="N720" s="2">
        <v>45876</v>
      </c>
      <c r="O720" t="s">
        <v>60</v>
      </c>
      <c r="P720" t="s">
        <v>77</v>
      </c>
      <c r="Q720" t="s">
        <v>28</v>
      </c>
      <c r="R720" t="s">
        <v>29</v>
      </c>
    </row>
    <row r="721" spans="1:18">
      <c r="A721" t="s">
        <v>850</v>
      </c>
      <c r="B721" s="2">
        <v>45799</v>
      </c>
      <c r="C721" t="s">
        <v>104</v>
      </c>
      <c r="D721" t="s">
        <v>105</v>
      </c>
      <c r="E721" t="s">
        <v>48</v>
      </c>
      <c r="F721" t="s">
        <v>49</v>
      </c>
      <c r="G721" t="s">
        <v>68</v>
      </c>
      <c r="H721" t="s">
        <v>69</v>
      </c>
      <c r="I721">
        <v>2</v>
      </c>
      <c r="J721" s="3">
        <v>48095.51</v>
      </c>
      <c r="K721" s="3">
        <v>96191.02</v>
      </c>
      <c r="L721" t="s">
        <v>25</v>
      </c>
      <c r="M721" s="2">
        <v>45811</v>
      </c>
      <c r="N721" s="2">
        <v>45821</v>
      </c>
      <c r="O721" t="s">
        <v>60</v>
      </c>
      <c r="P721" t="s">
        <v>53</v>
      </c>
      <c r="Q721" t="s">
        <v>28</v>
      </c>
      <c r="R721" t="s">
        <v>129</v>
      </c>
    </row>
    <row r="722" spans="1:18">
      <c r="A722" t="s">
        <v>851</v>
      </c>
      <c r="B722" s="2">
        <v>45801</v>
      </c>
      <c r="C722" t="s">
        <v>19</v>
      </c>
      <c r="D722" t="s">
        <v>20</v>
      </c>
      <c r="E722" t="s">
        <v>21</v>
      </c>
      <c r="F722" t="s">
        <v>22</v>
      </c>
      <c r="G722" t="s">
        <v>32</v>
      </c>
      <c r="H722" t="s">
        <v>33</v>
      </c>
      <c r="I722">
        <v>9</v>
      </c>
      <c r="J722" s="3">
        <v>7046.93</v>
      </c>
      <c r="K722" s="3">
        <v>63422.37</v>
      </c>
      <c r="L722" t="s">
        <v>34</v>
      </c>
      <c r="M722" s="2">
        <v>45815</v>
      </c>
      <c r="N722" s="2">
        <v>45815</v>
      </c>
      <c r="O722" t="s">
        <v>60</v>
      </c>
      <c r="P722" t="s">
        <v>27</v>
      </c>
      <c r="Q722" t="s">
        <v>28</v>
      </c>
      <c r="R722" t="s">
        <v>29</v>
      </c>
    </row>
    <row r="723" spans="1:18">
      <c r="A723" t="s">
        <v>852</v>
      </c>
      <c r="B723" s="2">
        <v>46188</v>
      </c>
      <c r="C723" t="s">
        <v>37</v>
      </c>
      <c r="D723" t="s">
        <v>38</v>
      </c>
      <c r="E723" t="s">
        <v>39</v>
      </c>
      <c r="F723" t="s">
        <v>22</v>
      </c>
      <c r="G723" t="s">
        <v>160</v>
      </c>
      <c r="H723" t="s">
        <v>161</v>
      </c>
      <c r="I723">
        <v>6</v>
      </c>
      <c r="J723" s="3">
        <v>3432.82</v>
      </c>
      <c r="K723" s="3">
        <v>20596.919999999998</v>
      </c>
      <c r="L723" t="s">
        <v>34</v>
      </c>
      <c r="M723" s="2">
        <v>46202</v>
      </c>
      <c r="N723" s="2">
        <v>46200</v>
      </c>
      <c r="O723" t="s">
        <v>43</v>
      </c>
      <c r="P723" t="s">
        <v>64</v>
      </c>
      <c r="Q723" t="s">
        <v>28</v>
      </c>
      <c r="R723" t="s">
        <v>29</v>
      </c>
    </row>
    <row r="724" spans="1:18">
      <c r="A724" t="s">
        <v>853</v>
      </c>
      <c r="B724" s="2">
        <v>46186</v>
      </c>
      <c r="C724" t="s">
        <v>104</v>
      </c>
      <c r="D724" t="s">
        <v>105</v>
      </c>
      <c r="E724" t="s">
        <v>48</v>
      </c>
      <c r="F724" t="s">
        <v>49</v>
      </c>
      <c r="G724" t="s">
        <v>50</v>
      </c>
      <c r="H724" t="s">
        <v>51</v>
      </c>
      <c r="I724">
        <v>1</v>
      </c>
      <c r="J724" s="3">
        <v>53082.19</v>
      </c>
      <c r="K724" s="3">
        <v>53082.19</v>
      </c>
      <c r="L724" t="s">
        <v>34</v>
      </c>
      <c r="M724" s="2">
        <v>46195</v>
      </c>
      <c r="N724" s="2">
        <v>46195</v>
      </c>
      <c r="O724" t="s">
        <v>26</v>
      </c>
      <c r="P724" t="s">
        <v>53</v>
      </c>
      <c r="Q724" t="s">
        <v>28</v>
      </c>
      <c r="R724" t="s">
        <v>29</v>
      </c>
    </row>
    <row r="725" spans="1:18">
      <c r="A725" t="s">
        <v>854</v>
      </c>
      <c r="B725" s="2">
        <v>45726</v>
      </c>
      <c r="C725" t="s">
        <v>89</v>
      </c>
      <c r="D725" t="s">
        <v>90</v>
      </c>
      <c r="E725" t="s">
        <v>31</v>
      </c>
      <c r="F725" t="s">
        <v>91</v>
      </c>
      <c r="G725" t="s">
        <v>92</v>
      </c>
      <c r="H725" t="s">
        <v>93</v>
      </c>
      <c r="I725">
        <v>1</v>
      </c>
      <c r="J725" s="3">
        <v>40711.629999999997</v>
      </c>
      <c r="K725" s="3">
        <v>40711.629999999997</v>
      </c>
      <c r="L725" t="s">
        <v>25</v>
      </c>
      <c r="M725" s="2">
        <v>45744</v>
      </c>
      <c r="N725" s="2">
        <v>45741</v>
      </c>
      <c r="O725" t="s">
        <v>43</v>
      </c>
      <c r="P725" t="s">
        <v>35</v>
      </c>
      <c r="Q725" t="s">
        <v>28</v>
      </c>
      <c r="R725" t="s">
        <v>29</v>
      </c>
    </row>
    <row r="726" spans="1:18">
      <c r="A726" t="s">
        <v>855</v>
      </c>
      <c r="B726" s="2">
        <v>46072</v>
      </c>
      <c r="C726" t="s">
        <v>142</v>
      </c>
      <c r="D726" t="s">
        <v>143</v>
      </c>
      <c r="E726" t="s">
        <v>39</v>
      </c>
      <c r="F726" t="s">
        <v>22</v>
      </c>
      <c r="G726" t="s">
        <v>32</v>
      </c>
      <c r="H726" t="s">
        <v>33</v>
      </c>
      <c r="I726">
        <v>8</v>
      </c>
      <c r="J726" s="3">
        <v>7918.16</v>
      </c>
      <c r="K726" s="3">
        <v>63345.279999999999</v>
      </c>
      <c r="L726" t="s">
        <v>25</v>
      </c>
      <c r="M726" s="2">
        <v>46090</v>
      </c>
      <c r="N726" s="2">
        <v>46090</v>
      </c>
      <c r="O726" t="s">
        <v>43</v>
      </c>
      <c r="P726" t="s">
        <v>64</v>
      </c>
      <c r="Q726" t="s">
        <v>28</v>
      </c>
      <c r="R726" t="s">
        <v>29</v>
      </c>
    </row>
    <row r="727" spans="1:18">
      <c r="A727" t="s">
        <v>856</v>
      </c>
      <c r="B727" s="2">
        <v>45904</v>
      </c>
      <c r="C727" t="s">
        <v>71</v>
      </c>
      <c r="D727" t="s">
        <v>72</v>
      </c>
      <c r="E727" t="s">
        <v>48</v>
      </c>
      <c r="F727" t="s">
        <v>57</v>
      </c>
      <c r="G727" t="s">
        <v>74</v>
      </c>
      <c r="H727" t="s">
        <v>75</v>
      </c>
      <c r="I727">
        <v>2</v>
      </c>
      <c r="J727" s="3">
        <v>7986.02</v>
      </c>
      <c r="K727" s="3">
        <v>15972.04</v>
      </c>
      <c r="L727" t="s">
        <v>25</v>
      </c>
      <c r="M727" s="2">
        <v>45918</v>
      </c>
      <c r="N727" s="2">
        <v>45916</v>
      </c>
      <c r="O727" t="s">
        <v>43</v>
      </c>
      <c r="P727" t="s">
        <v>53</v>
      </c>
      <c r="Q727" t="s">
        <v>28</v>
      </c>
      <c r="R727" t="s">
        <v>29</v>
      </c>
    </row>
    <row r="728" spans="1:18">
      <c r="A728" t="s">
        <v>857</v>
      </c>
      <c r="B728" s="2">
        <v>46084</v>
      </c>
      <c r="C728" t="s">
        <v>37</v>
      </c>
      <c r="D728" t="s">
        <v>38</v>
      </c>
      <c r="E728" t="s">
        <v>39</v>
      </c>
      <c r="F728" t="s">
        <v>40</v>
      </c>
      <c r="G728" t="s">
        <v>62</v>
      </c>
      <c r="H728" t="s">
        <v>63</v>
      </c>
      <c r="I728">
        <v>5</v>
      </c>
      <c r="J728" s="3">
        <v>19696.990000000002</v>
      </c>
      <c r="K728" s="3">
        <v>98484.95</v>
      </c>
      <c r="L728" t="s">
        <v>25</v>
      </c>
      <c r="M728" s="2">
        <v>46089</v>
      </c>
      <c r="N728" s="2">
        <v>46086</v>
      </c>
      <c r="O728" t="s">
        <v>76</v>
      </c>
      <c r="P728" t="s">
        <v>64</v>
      </c>
      <c r="Q728" t="s">
        <v>28</v>
      </c>
      <c r="R728" t="s">
        <v>29</v>
      </c>
    </row>
    <row r="729" spans="1:18">
      <c r="A729" t="s">
        <v>858</v>
      </c>
      <c r="B729" s="2">
        <v>46127</v>
      </c>
      <c r="C729" t="s">
        <v>134</v>
      </c>
      <c r="D729" t="s">
        <v>135</v>
      </c>
      <c r="E729" t="s">
        <v>112</v>
      </c>
      <c r="F729" t="s">
        <v>40</v>
      </c>
      <c r="G729" t="s">
        <v>149</v>
      </c>
      <c r="H729" t="s">
        <v>150</v>
      </c>
      <c r="I729">
        <v>29</v>
      </c>
      <c r="J729" s="3">
        <v>1381.81</v>
      </c>
      <c r="K729" s="3">
        <v>40072.49</v>
      </c>
      <c r="L729" t="s">
        <v>25</v>
      </c>
      <c r="M729" s="2">
        <v>46140</v>
      </c>
      <c r="N729" s="2">
        <v>46139</v>
      </c>
      <c r="O729" t="s">
        <v>76</v>
      </c>
      <c r="P729" t="s">
        <v>115</v>
      </c>
      <c r="Q729" t="s">
        <v>28</v>
      </c>
      <c r="R729" t="s">
        <v>29</v>
      </c>
    </row>
    <row r="730" spans="1:18">
      <c r="A730" t="s">
        <v>859</v>
      </c>
      <c r="B730" s="2">
        <v>45801</v>
      </c>
      <c r="C730" t="s">
        <v>104</v>
      </c>
      <c r="D730" t="s">
        <v>105</v>
      </c>
      <c r="E730" t="s">
        <v>48</v>
      </c>
      <c r="F730" t="s">
        <v>49</v>
      </c>
      <c r="G730" t="s">
        <v>68</v>
      </c>
      <c r="H730" t="s">
        <v>69</v>
      </c>
      <c r="I730">
        <v>2</v>
      </c>
      <c r="J730" s="3">
        <v>49705.89</v>
      </c>
      <c r="K730" s="3">
        <v>99411.78</v>
      </c>
      <c r="L730" t="s">
        <v>34</v>
      </c>
      <c r="M730" s="2">
        <v>45812</v>
      </c>
      <c r="N730" s="2">
        <v>45811</v>
      </c>
      <c r="O730" t="s">
        <v>76</v>
      </c>
      <c r="P730" t="s">
        <v>53</v>
      </c>
      <c r="Q730" t="s">
        <v>28</v>
      </c>
      <c r="R730" t="s">
        <v>29</v>
      </c>
    </row>
    <row r="731" spans="1:18">
      <c r="A731" t="s">
        <v>860</v>
      </c>
      <c r="B731" s="2">
        <v>45989</v>
      </c>
      <c r="C731" t="s">
        <v>37</v>
      </c>
      <c r="D731" t="s">
        <v>38</v>
      </c>
      <c r="E731" t="s">
        <v>31</v>
      </c>
      <c r="F731" t="s">
        <v>22</v>
      </c>
      <c r="G731" t="s">
        <v>32</v>
      </c>
      <c r="H731" t="s">
        <v>33</v>
      </c>
      <c r="I731">
        <v>1</v>
      </c>
      <c r="J731" s="3">
        <v>8062.91</v>
      </c>
      <c r="K731" s="3">
        <v>8062.91</v>
      </c>
      <c r="L731" t="s">
        <v>25</v>
      </c>
      <c r="M731" s="2">
        <v>46007</v>
      </c>
      <c r="N731" s="2">
        <v>46006</v>
      </c>
      <c r="O731" t="s">
        <v>43</v>
      </c>
      <c r="P731" t="s">
        <v>35</v>
      </c>
      <c r="Q731" t="s">
        <v>28</v>
      </c>
      <c r="R731" t="s">
        <v>29</v>
      </c>
    </row>
    <row r="732" spans="1:18">
      <c r="A732" t="s">
        <v>861</v>
      </c>
      <c r="B732" s="2">
        <v>46145</v>
      </c>
      <c r="C732" t="s">
        <v>96</v>
      </c>
      <c r="D732" t="s">
        <v>97</v>
      </c>
      <c r="E732" t="s">
        <v>39</v>
      </c>
      <c r="F732" t="s">
        <v>82</v>
      </c>
      <c r="G732" t="s">
        <v>83</v>
      </c>
      <c r="H732" t="s">
        <v>84</v>
      </c>
      <c r="I732">
        <v>51</v>
      </c>
      <c r="J732" s="3">
        <v>755.76</v>
      </c>
      <c r="K732" s="3">
        <v>38543.760000000002</v>
      </c>
      <c r="L732" t="s">
        <v>52</v>
      </c>
      <c r="M732" s="2">
        <v>46156</v>
      </c>
      <c r="N732" s="2">
        <v>46153</v>
      </c>
      <c r="O732" t="s">
        <v>43</v>
      </c>
      <c r="P732" t="s">
        <v>44</v>
      </c>
      <c r="Q732" t="s">
        <v>28</v>
      </c>
      <c r="R732" t="s">
        <v>29</v>
      </c>
    </row>
    <row r="733" spans="1:18">
      <c r="A733" t="s">
        <v>862</v>
      </c>
      <c r="B733" s="2">
        <v>45775</v>
      </c>
      <c r="C733" t="s">
        <v>46</v>
      </c>
      <c r="D733" t="s">
        <v>47</v>
      </c>
      <c r="E733" t="s">
        <v>48</v>
      </c>
      <c r="F733" t="s">
        <v>49</v>
      </c>
      <c r="G733" t="s">
        <v>165</v>
      </c>
      <c r="H733" t="s">
        <v>166</v>
      </c>
      <c r="I733">
        <v>1</v>
      </c>
      <c r="J733" s="3">
        <v>49401.04</v>
      </c>
      <c r="K733" s="3">
        <v>49401.04</v>
      </c>
      <c r="L733" t="s">
        <v>25</v>
      </c>
      <c r="M733" s="2">
        <v>45785</v>
      </c>
      <c r="N733" s="2">
        <v>45782</v>
      </c>
      <c r="O733" t="s">
        <v>26</v>
      </c>
      <c r="P733" t="s">
        <v>53</v>
      </c>
      <c r="Q733" t="s">
        <v>28</v>
      </c>
      <c r="R733" t="s">
        <v>29</v>
      </c>
    </row>
    <row r="734" spans="1:18">
      <c r="A734" t="s">
        <v>863</v>
      </c>
      <c r="B734" s="2">
        <v>45916</v>
      </c>
      <c r="C734" t="s">
        <v>71</v>
      </c>
      <c r="D734" t="s">
        <v>72</v>
      </c>
      <c r="E734" t="s">
        <v>48</v>
      </c>
      <c r="F734" t="s">
        <v>57</v>
      </c>
      <c r="G734" t="s">
        <v>86</v>
      </c>
      <c r="H734" t="s">
        <v>87</v>
      </c>
      <c r="I734">
        <v>4</v>
      </c>
      <c r="J734" s="3">
        <v>10182.48</v>
      </c>
      <c r="K734" s="3">
        <v>40729.919999999998</v>
      </c>
      <c r="L734" t="s">
        <v>25</v>
      </c>
      <c r="M734" s="2">
        <v>45922</v>
      </c>
      <c r="N734" s="2">
        <v>45922</v>
      </c>
      <c r="O734" t="s">
        <v>26</v>
      </c>
      <c r="P734" t="s">
        <v>424</v>
      </c>
      <c r="Q734" t="s">
        <v>28</v>
      </c>
      <c r="R734" t="s">
        <v>29</v>
      </c>
    </row>
    <row r="735" spans="1:18">
      <c r="A735" t="s">
        <v>864</v>
      </c>
      <c r="B735" s="2">
        <v>45731</v>
      </c>
      <c r="C735" t="s">
        <v>66</v>
      </c>
      <c r="D735" t="s">
        <v>67</v>
      </c>
      <c r="E735" t="s">
        <v>48</v>
      </c>
      <c r="F735" t="s">
        <v>49</v>
      </c>
      <c r="G735" t="s">
        <v>50</v>
      </c>
      <c r="H735" t="s">
        <v>51</v>
      </c>
      <c r="I735">
        <v>2</v>
      </c>
      <c r="J735" s="3">
        <v>51011.65</v>
      </c>
      <c r="K735" s="3">
        <v>102023.3</v>
      </c>
      <c r="L735" t="s">
        <v>34</v>
      </c>
      <c r="M735" s="2">
        <v>45744</v>
      </c>
      <c r="N735" s="2">
        <v>45743</v>
      </c>
      <c r="O735" t="s">
        <v>60</v>
      </c>
      <c r="P735" t="s">
        <v>53</v>
      </c>
      <c r="Q735" t="s">
        <v>28</v>
      </c>
      <c r="R735" t="s">
        <v>29</v>
      </c>
    </row>
    <row r="736" spans="1:18">
      <c r="A736" t="s">
        <v>865</v>
      </c>
      <c r="B736" s="2">
        <v>45738</v>
      </c>
      <c r="C736" t="s">
        <v>89</v>
      </c>
      <c r="D736" t="s">
        <v>90</v>
      </c>
      <c r="E736" t="s">
        <v>31</v>
      </c>
      <c r="F736" t="s">
        <v>91</v>
      </c>
      <c r="G736" t="s">
        <v>92</v>
      </c>
      <c r="H736" t="s">
        <v>93</v>
      </c>
      <c r="I736">
        <v>3</v>
      </c>
      <c r="J736" s="3">
        <v>40514.589999999997</v>
      </c>
      <c r="K736" s="3">
        <v>121543.77</v>
      </c>
      <c r="L736" t="s">
        <v>52</v>
      </c>
      <c r="M736" s="2">
        <v>45748</v>
      </c>
      <c r="N736" s="2">
        <v>45763</v>
      </c>
      <c r="O736" t="s">
        <v>76</v>
      </c>
      <c r="P736" t="s">
        <v>35</v>
      </c>
      <c r="Q736" t="s">
        <v>28</v>
      </c>
      <c r="R736" t="s">
        <v>129</v>
      </c>
    </row>
    <row r="737" spans="1:18">
      <c r="A737" t="s">
        <v>866</v>
      </c>
      <c r="B737" s="2">
        <v>46024</v>
      </c>
      <c r="C737" t="s">
        <v>134</v>
      </c>
      <c r="D737" t="s">
        <v>135</v>
      </c>
      <c r="E737" t="s">
        <v>112</v>
      </c>
      <c r="F737" t="s">
        <v>40</v>
      </c>
      <c r="G737" t="s">
        <v>41</v>
      </c>
      <c r="H737" t="s">
        <v>42</v>
      </c>
      <c r="I737">
        <v>9</v>
      </c>
      <c r="J737" s="3">
        <v>5301.32</v>
      </c>
      <c r="K737" s="3">
        <v>47711.88</v>
      </c>
      <c r="L737" t="s">
        <v>34</v>
      </c>
      <c r="M737" s="2">
        <v>46038</v>
      </c>
      <c r="N737" s="2">
        <v>46035</v>
      </c>
      <c r="O737" t="s">
        <v>43</v>
      </c>
      <c r="P737" t="s">
        <v>115</v>
      </c>
      <c r="Q737" t="s">
        <v>28</v>
      </c>
      <c r="R737" t="s">
        <v>29</v>
      </c>
    </row>
    <row r="738" spans="1:18">
      <c r="A738" t="s">
        <v>867</v>
      </c>
      <c r="B738" s="2">
        <v>45691</v>
      </c>
      <c r="C738" t="s">
        <v>104</v>
      </c>
      <c r="D738" t="s">
        <v>105</v>
      </c>
      <c r="E738" t="s">
        <v>21</v>
      </c>
      <c r="F738" t="s">
        <v>49</v>
      </c>
      <c r="G738" t="s">
        <v>113</v>
      </c>
      <c r="H738" t="s">
        <v>114</v>
      </c>
      <c r="I738">
        <v>1</v>
      </c>
      <c r="J738" s="3">
        <v>38351.040000000001</v>
      </c>
      <c r="K738" s="3">
        <v>38351.040000000001</v>
      </c>
      <c r="L738" t="s">
        <v>25</v>
      </c>
      <c r="M738" s="2">
        <v>45708</v>
      </c>
      <c r="N738" s="2">
        <v>45708</v>
      </c>
      <c r="O738" t="s">
        <v>43</v>
      </c>
      <c r="P738" t="s">
        <v>27</v>
      </c>
      <c r="Q738" t="s">
        <v>28</v>
      </c>
      <c r="R738" t="s">
        <v>29</v>
      </c>
    </row>
    <row r="739" spans="1:18">
      <c r="A739" t="s">
        <v>868</v>
      </c>
      <c r="B739" s="2">
        <v>46084</v>
      </c>
      <c r="C739" t="s">
        <v>107</v>
      </c>
      <c r="D739" t="s">
        <v>108</v>
      </c>
      <c r="E739" t="s">
        <v>31</v>
      </c>
      <c r="F739" t="s">
        <v>91</v>
      </c>
      <c r="G739" t="s">
        <v>109</v>
      </c>
      <c r="H739" t="s">
        <v>110</v>
      </c>
      <c r="I739">
        <v>1</v>
      </c>
      <c r="J739" s="3">
        <v>13534.75</v>
      </c>
      <c r="K739" s="3">
        <v>13534.75</v>
      </c>
      <c r="L739" t="s">
        <v>25</v>
      </c>
      <c r="M739" s="2">
        <v>46090</v>
      </c>
      <c r="N739" s="2">
        <v>46100</v>
      </c>
      <c r="O739" t="s">
        <v>76</v>
      </c>
      <c r="P739" t="s">
        <v>35</v>
      </c>
      <c r="Q739" t="s">
        <v>28</v>
      </c>
      <c r="R739" t="s">
        <v>129</v>
      </c>
    </row>
    <row r="740" spans="1:18">
      <c r="A740" t="s">
        <v>869</v>
      </c>
      <c r="B740" s="2">
        <v>46147</v>
      </c>
      <c r="C740" t="s">
        <v>131</v>
      </c>
      <c r="D740" t="s">
        <v>132</v>
      </c>
      <c r="E740" t="s">
        <v>48</v>
      </c>
      <c r="F740" t="s">
        <v>57</v>
      </c>
      <c r="G740" t="s">
        <v>101</v>
      </c>
      <c r="H740" t="s">
        <v>102</v>
      </c>
      <c r="I740">
        <v>55</v>
      </c>
      <c r="J740" s="3">
        <v>1816</v>
      </c>
      <c r="K740" s="3">
        <v>99880</v>
      </c>
      <c r="L740" t="s">
        <v>34</v>
      </c>
      <c r="M740" s="2">
        <v>46164</v>
      </c>
      <c r="N740" s="2">
        <v>46161</v>
      </c>
      <c r="O740" t="s">
        <v>43</v>
      </c>
      <c r="P740" t="s">
        <v>53</v>
      </c>
      <c r="Q740" t="s">
        <v>28</v>
      </c>
      <c r="R740" t="s">
        <v>29</v>
      </c>
    </row>
    <row r="741" spans="1:18">
      <c r="A741" t="s">
        <v>870</v>
      </c>
      <c r="B741" s="2">
        <v>45711</v>
      </c>
      <c r="C741" t="s">
        <v>19</v>
      </c>
      <c r="D741" t="s">
        <v>20</v>
      </c>
      <c r="E741" t="s">
        <v>73</v>
      </c>
      <c r="F741" t="s">
        <v>22</v>
      </c>
      <c r="G741" t="s">
        <v>160</v>
      </c>
      <c r="H741" t="s">
        <v>161</v>
      </c>
      <c r="I741">
        <v>2</v>
      </c>
      <c r="J741" s="3">
        <v>2957.21</v>
      </c>
      <c r="K741" s="3">
        <v>5914.42</v>
      </c>
      <c r="L741" t="s">
        <v>52</v>
      </c>
      <c r="M741" s="2">
        <v>45723</v>
      </c>
      <c r="N741" s="2">
        <v>45734</v>
      </c>
      <c r="O741" t="s">
        <v>76</v>
      </c>
      <c r="P741" t="s">
        <v>77</v>
      </c>
      <c r="Q741" t="s">
        <v>28</v>
      </c>
      <c r="R741" t="s">
        <v>129</v>
      </c>
    </row>
    <row r="742" spans="1:18">
      <c r="A742" t="s">
        <v>871</v>
      </c>
      <c r="B742" s="2">
        <v>45856</v>
      </c>
      <c r="C742" t="s">
        <v>142</v>
      </c>
      <c r="D742" t="s">
        <v>143</v>
      </c>
      <c r="E742" t="s">
        <v>112</v>
      </c>
      <c r="F742" t="s">
        <v>22</v>
      </c>
      <c r="G742" t="s">
        <v>23</v>
      </c>
      <c r="H742" t="s">
        <v>24</v>
      </c>
      <c r="I742">
        <v>31</v>
      </c>
      <c r="J742" s="3">
        <v>249.55</v>
      </c>
      <c r="K742" s="3">
        <v>7736.05</v>
      </c>
      <c r="L742" t="s">
        <v>52</v>
      </c>
      <c r="M742" s="2">
        <v>45872</v>
      </c>
      <c r="N742" s="2">
        <v>45872</v>
      </c>
      <c r="O742" t="s">
        <v>43</v>
      </c>
      <c r="P742" t="s">
        <v>115</v>
      </c>
      <c r="Q742" t="s">
        <v>28</v>
      </c>
      <c r="R742" t="s">
        <v>29</v>
      </c>
    </row>
    <row r="743" spans="1:18">
      <c r="A743" t="s">
        <v>872</v>
      </c>
      <c r="B743" s="2">
        <v>45716</v>
      </c>
      <c r="C743" t="s">
        <v>142</v>
      </c>
      <c r="D743" t="s">
        <v>143</v>
      </c>
      <c r="E743" t="s">
        <v>39</v>
      </c>
      <c r="F743" t="s">
        <v>22</v>
      </c>
      <c r="G743" t="s">
        <v>160</v>
      </c>
      <c r="H743" t="s">
        <v>161</v>
      </c>
      <c r="I743">
        <v>11</v>
      </c>
      <c r="J743" s="3">
        <v>3123.13</v>
      </c>
      <c r="K743" s="3">
        <v>34354.43</v>
      </c>
      <c r="L743" t="s">
        <v>34</v>
      </c>
      <c r="M743" s="2">
        <v>45724</v>
      </c>
      <c r="N743" s="2">
        <v>45723</v>
      </c>
      <c r="O743" t="s">
        <v>60</v>
      </c>
      <c r="P743" t="s">
        <v>64</v>
      </c>
      <c r="Q743" t="s">
        <v>28</v>
      </c>
      <c r="R743" t="s">
        <v>29</v>
      </c>
    </row>
    <row r="744" spans="1:18">
      <c r="A744" t="s">
        <v>873</v>
      </c>
      <c r="B744" s="2">
        <v>45736</v>
      </c>
      <c r="C744" t="s">
        <v>19</v>
      </c>
      <c r="D744" t="s">
        <v>20</v>
      </c>
      <c r="E744" t="s">
        <v>112</v>
      </c>
      <c r="F744" t="s">
        <v>22</v>
      </c>
      <c r="G744" t="s">
        <v>160</v>
      </c>
      <c r="H744" t="s">
        <v>161</v>
      </c>
      <c r="I744">
        <v>15</v>
      </c>
      <c r="J744" s="3">
        <v>3208.39</v>
      </c>
      <c r="K744" s="3">
        <v>48125.85</v>
      </c>
      <c r="L744" t="s">
        <v>52</v>
      </c>
      <c r="M744" s="2">
        <v>45754</v>
      </c>
      <c r="N744" s="2">
        <v>45752</v>
      </c>
      <c r="O744" t="s">
        <v>76</v>
      </c>
      <c r="P744" t="s">
        <v>115</v>
      </c>
      <c r="Q744" t="s">
        <v>28</v>
      </c>
      <c r="R744" t="s">
        <v>29</v>
      </c>
    </row>
    <row r="745" spans="1:18">
      <c r="A745" t="s">
        <v>874</v>
      </c>
      <c r="B745" s="2">
        <v>45984</v>
      </c>
      <c r="C745" t="s">
        <v>107</v>
      </c>
      <c r="D745" t="s">
        <v>108</v>
      </c>
      <c r="E745" t="s">
        <v>31</v>
      </c>
      <c r="F745" t="s">
        <v>91</v>
      </c>
      <c r="G745" t="s">
        <v>109</v>
      </c>
      <c r="H745" t="s">
        <v>110</v>
      </c>
      <c r="I745">
        <v>3</v>
      </c>
      <c r="J745" s="3">
        <v>14073.06</v>
      </c>
      <c r="K745" s="3">
        <v>42219.18</v>
      </c>
      <c r="L745" t="s">
        <v>52</v>
      </c>
      <c r="M745" s="2">
        <v>45996</v>
      </c>
      <c r="N745" s="2">
        <v>45995</v>
      </c>
      <c r="O745" t="s">
        <v>26</v>
      </c>
      <c r="P745" t="s">
        <v>35</v>
      </c>
      <c r="Q745" t="s">
        <v>28</v>
      </c>
      <c r="R745" t="s">
        <v>29</v>
      </c>
    </row>
    <row r="746" spans="1:18">
      <c r="A746" t="s">
        <v>875</v>
      </c>
      <c r="B746" s="2">
        <v>45873</v>
      </c>
      <c r="C746" t="s">
        <v>131</v>
      </c>
      <c r="D746" t="s">
        <v>132</v>
      </c>
      <c r="E746" t="s">
        <v>48</v>
      </c>
      <c r="F746" t="s">
        <v>57</v>
      </c>
      <c r="G746" t="s">
        <v>101</v>
      </c>
      <c r="H746" t="s">
        <v>102</v>
      </c>
      <c r="I746">
        <v>46</v>
      </c>
      <c r="J746" s="3">
        <v>1930.12</v>
      </c>
      <c r="K746" s="3">
        <v>88785.52</v>
      </c>
      <c r="L746" t="s">
        <v>25</v>
      </c>
      <c r="M746" s="2">
        <v>45890</v>
      </c>
      <c r="N746" s="2">
        <v>45890</v>
      </c>
      <c r="O746" t="s">
        <v>43</v>
      </c>
      <c r="P746" t="s">
        <v>53</v>
      </c>
      <c r="Q746" t="s">
        <v>28</v>
      </c>
      <c r="R746" t="s">
        <v>29</v>
      </c>
    </row>
    <row r="747" spans="1:18">
      <c r="A747" t="s">
        <v>876</v>
      </c>
      <c r="B747" s="2">
        <v>45942</v>
      </c>
      <c r="C747" t="s">
        <v>142</v>
      </c>
      <c r="D747" t="s">
        <v>143</v>
      </c>
      <c r="E747" t="s">
        <v>21</v>
      </c>
      <c r="F747" t="s">
        <v>22</v>
      </c>
      <c r="G747" t="s">
        <v>23</v>
      </c>
      <c r="H747" t="s">
        <v>24</v>
      </c>
      <c r="I747">
        <v>36</v>
      </c>
      <c r="J747" s="3">
        <v>248.64</v>
      </c>
      <c r="K747" s="3">
        <v>8951.0400000000009</v>
      </c>
      <c r="L747" t="s">
        <v>25</v>
      </c>
      <c r="M747" s="2">
        <v>45947</v>
      </c>
      <c r="N747" s="2">
        <v>45944</v>
      </c>
      <c r="O747" t="s">
        <v>26</v>
      </c>
      <c r="P747" t="s">
        <v>27</v>
      </c>
      <c r="Q747" t="s">
        <v>28</v>
      </c>
      <c r="R747" t="s">
        <v>29</v>
      </c>
    </row>
    <row r="748" spans="1:18">
      <c r="A748" t="s">
        <v>877</v>
      </c>
      <c r="B748" s="2">
        <v>46046</v>
      </c>
      <c r="C748" t="s">
        <v>142</v>
      </c>
      <c r="D748" t="s">
        <v>143</v>
      </c>
      <c r="E748" t="s">
        <v>73</v>
      </c>
      <c r="F748" t="s">
        <v>22</v>
      </c>
      <c r="G748" t="s">
        <v>32</v>
      </c>
      <c r="H748" t="s">
        <v>33</v>
      </c>
      <c r="I748">
        <v>6</v>
      </c>
      <c r="J748" s="3">
        <v>7868.17</v>
      </c>
      <c r="K748" s="3">
        <v>47209.02</v>
      </c>
      <c r="L748" t="s">
        <v>52</v>
      </c>
      <c r="M748" s="2">
        <v>46051</v>
      </c>
      <c r="N748" s="2">
        <v>46049</v>
      </c>
      <c r="O748" t="s">
        <v>76</v>
      </c>
      <c r="P748" t="s">
        <v>77</v>
      </c>
      <c r="Q748" t="s">
        <v>28</v>
      </c>
      <c r="R748" t="s">
        <v>29</v>
      </c>
    </row>
    <row r="749" spans="1:18">
      <c r="A749" t="s">
        <v>878</v>
      </c>
      <c r="B749" s="2">
        <v>45686</v>
      </c>
      <c r="C749" t="s">
        <v>66</v>
      </c>
      <c r="D749" t="s">
        <v>67</v>
      </c>
      <c r="E749" t="s">
        <v>48</v>
      </c>
      <c r="F749" t="s">
        <v>49</v>
      </c>
      <c r="G749" t="s">
        <v>68</v>
      </c>
      <c r="H749" t="s">
        <v>69</v>
      </c>
      <c r="I749">
        <v>1</v>
      </c>
      <c r="J749" s="3">
        <v>48588.66</v>
      </c>
      <c r="K749" s="3">
        <v>48588.66</v>
      </c>
      <c r="L749" t="s">
        <v>52</v>
      </c>
      <c r="M749" s="2">
        <v>45703</v>
      </c>
      <c r="N749" s="2">
        <v>45711</v>
      </c>
      <c r="O749" t="s">
        <v>76</v>
      </c>
      <c r="P749" t="s">
        <v>53</v>
      </c>
      <c r="Q749" t="s">
        <v>28</v>
      </c>
      <c r="R749" t="s">
        <v>129</v>
      </c>
    </row>
    <row r="750" spans="1:18">
      <c r="A750" t="s">
        <v>879</v>
      </c>
      <c r="B750" s="2">
        <v>46092</v>
      </c>
      <c r="C750" t="s">
        <v>142</v>
      </c>
      <c r="D750" t="s">
        <v>143</v>
      </c>
      <c r="E750" t="s">
        <v>31</v>
      </c>
      <c r="F750" t="s">
        <v>22</v>
      </c>
      <c r="G750" t="s">
        <v>160</v>
      </c>
      <c r="H750" t="s">
        <v>161</v>
      </c>
      <c r="I750">
        <v>12</v>
      </c>
      <c r="J750" s="3">
        <v>3132.1</v>
      </c>
      <c r="K750" s="3">
        <v>37585.199999999997</v>
      </c>
      <c r="L750" t="s">
        <v>25</v>
      </c>
      <c r="M750" s="2">
        <v>46100</v>
      </c>
      <c r="N750" s="2">
        <v>46100</v>
      </c>
      <c r="O750" t="s">
        <v>76</v>
      </c>
      <c r="P750" t="s">
        <v>94</v>
      </c>
      <c r="Q750" t="s">
        <v>28</v>
      </c>
      <c r="R750" t="s">
        <v>29</v>
      </c>
    </row>
    <row r="751" spans="1:18">
      <c r="A751" t="s">
        <v>880</v>
      </c>
      <c r="B751" s="2">
        <v>45960</v>
      </c>
      <c r="C751" t="s">
        <v>55</v>
      </c>
      <c r="D751" t="s">
        <v>56</v>
      </c>
      <c r="E751" t="s">
        <v>73</v>
      </c>
      <c r="F751" t="s">
        <v>57</v>
      </c>
      <c r="G751" t="s">
        <v>58</v>
      </c>
      <c r="H751" t="s">
        <v>59</v>
      </c>
      <c r="I751">
        <v>1</v>
      </c>
      <c r="J751" s="3">
        <v>64401.31</v>
      </c>
      <c r="K751" s="3">
        <v>64401.31</v>
      </c>
      <c r="L751" t="s">
        <v>34</v>
      </c>
      <c r="M751" s="2">
        <v>45966</v>
      </c>
      <c r="N751" s="2">
        <v>45964</v>
      </c>
      <c r="O751" t="s">
        <v>26</v>
      </c>
      <c r="P751" t="s">
        <v>77</v>
      </c>
      <c r="Q751" t="s">
        <v>28</v>
      </c>
      <c r="R751" t="s">
        <v>29</v>
      </c>
    </row>
    <row r="752" spans="1:18">
      <c r="A752" t="s">
        <v>881</v>
      </c>
      <c r="B752" s="2">
        <v>46131</v>
      </c>
      <c r="C752" t="s">
        <v>19</v>
      </c>
      <c r="D752" t="s">
        <v>20</v>
      </c>
      <c r="E752" t="s">
        <v>39</v>
      </c>
      <c r="F752" t="s">
        <v>22</v>
      </c>
      <c r="G752" t="s">
        <v>160</v>
      </c>
      <c r="H752" t="s">
        <v>161</v>
      </c>
      <c r="I752">
        <v>4</v>
      </c>
      <c r="J752" s="3">
        <v>3034.93</v>
      </c>
      <c r="K752" s="3">
        <v>12139.72</v>
      </c>
      <c r="L752" t="s">
        <v>25</v>
      </c>
      <c r="M752" s="2">
        <v>46142</v>
      </c>
      <c r="N752" s="2">
        <v>46145</v>
      </c>
      <c r="O752" t="s">
        <v>76</v>
      </c>
      <c r="P752" t="s">
        <v>64</v>
      </c>
      <c r="Q752" t="s">
        <v>28</v>
      </c>
      <c r="R752" t="s">
        <v>129</v>
      </c>
    </row>
    <row r="753" spans="1:18">
      <c r="A753" t="s">
        <v>882</v>
      </c>
      <c r="B753" s="2">
        <v>46109</v>
      </c>
      <c r="C753" t="s">
        <v>66</v>
      </c>
      <c r="D753" t="s">
        <v>67</v>
      </c>
      <c r="E753" t="s">
        <v>48</v>
      </c>
      <c r="F753" t="s">
        <v>49</v>
      </c>
      <c r="G753" t="s">
        <v>165</v>
      </c>
      <c r="H753" t="s">
        <v>166</v>
      </c>
      <c r="I753">
        <v>1</v>
      </c>
      <c r="J753" s="3">
        <v>42403.79</v>
      </c>
      <c r="K753" s="3">
        <v>42403.79</v>
      </c>
      <c r="L753" t="s">
        <v>25</v>
      </c>
      <c r="M753" s="2">
        <v>46116</v>
      </c>
      <c r="N753" s="2">
        <v>46116</v>
      </c>
      <c r="O753" t="s">
        <v>43</v>
      </c>
      <c r="P753" t="s">
        <v>53</v>
      </c>
      <c r="Q753" t="s">
        <v>28</v>
      </c>
      <c r="R753" t="s">
        <v>29</v>
      </c>
    </row>
    <row r="754" spans="1:18">
      <c r="A754" t="s">
        <v>883</v>
      </c>
      <c r="B754" s="2">
        <v>45982</v>
      </c>
      <c r="C754" t="s">
        <v>131</v>
      </c>
      <c r="D754" t="s">
        <v>132</v>
      </c>
      <c r="E754" t="s">
        <v>48</v>
      </c>
      <c r="F754" t="s">
        <v>57</v>
      </c>
      <c r="G754" t="s">
        <v>120</v>
      </c>
      <c r="H754" t="s">
        <v>121</v>
      </c>
      <c r="I754">
        <v>1</v>
      </c>
      <c r="J754" s="3">
        <v>24046.45</v>
      </c>
      <c r="K754" s="3">
        <v>24046.45</v>
      </c>
      <c r="L754" t="s">
        <v>25</v>
      </c>
      <c r="M754" s="2">
        <v>45997</v>
      </c>
      <c r="N754" s="2">
        <v>45995</v>
      </c>
      <c r="O754" t="s">
        <v>43</v>
      </c>
      <c r="P754" t="s">
        <v>53</v>
      </c>
      <c r="Q754" t="s">
        <v>28</v>
      </c>
      <c r="R754" t="s">
        <v>29</v>
      </c>
    </row>
    <row r="755" spans="1:18">
      <c r="A755" t="s">
        <v>884</v>
      </c>
      <c r="B755" s="2">
        <v>46016</v>
      </c>
      <c r="C755" t="s">
        <v>89</v>
      </c>
      <c r="D755" t="s">
        <v>90</v>
      </c>
      <c r="E755" t="s">
        <v>31</v>
      </c>
      <c r="F755" t="s">
        <v>91</v>
      </c>
      <c r="G755" t="s">
        <v>92</v>
      </c>
      <c r="H755" t="s">
        <v>93</v>
      </c>
      <c r="I755">
        <v>1</v>
      </c>
      <c r="J755" s="3">
        <v>41551.480000000003</v>
      </c>
      <c r="K755" s="3">
        <v>41551.480000000003</v>
      </c>
      <c r="L755" t="s">
        <v>25</v>
      </c>
      <c r="M755" s="2">
        <v>46034</v>
      </c>
      <c r="N755" s="2">
        <v>46031</v>
      </c>
      <c r="O755" t="s">
        <v>60</v>
      </c>
      <c r="P755" t="s">
        <v>35</v>
      </c>
      <c r="Q755" t="s">
        <v>28</v>
      </c>
      <c r="R755" t="s">
        <v>29</v>
      </c>
    </row>
    <row r="756" spans="1:18">
      <c r="A756" t="s">
        <v>885</v>
      </c>
      <c r="B756" s="2">
        <v>45804</v>
      </c>
      <c r="C756" t="s">
        <v>131</v>
      </c>
      <c r="D756" t="s">
        <v>132</v>
      </c>
      <c r="E756" t="s">
        <v>31</v>
      </c>
      <c r="F756" t="s">
        <v>57</v>
      </c>
      <c r="G756" t="s">
        <v>58</v>
      </c>
      <c r="H756" t="s">
        <v>59</v>
      </c>
      <c r="I756">
        <v>6</v>
      </c>
      <c r="J756" s="3">
        <v>62102.47</v>
      </c>
      <c r="K756" s="3">
        <v>372614.82</v>
      </c>
      <c r="L756" t="s">
        <v>34</v>
      </c>
      <c r="M756" s="2">
        <v>45816</v>
      </c>
      <c r="N756" s="2">
        <v>45814</v>
      </c>
      <c r="O756" t="s">
        <v>26</v>
      </c>
      <c r="P756" t="s">
        <v>35</v>
      </c>
      <c r="Q756" t="s">
        <v>28</v>
      </c>
      <c r="R756" t="s">
        <v>29</v>
      </c>
    </row>
    <row r="757" spans="1:18">
      <c r="A757" t="s">
        <v>886</v>
      </c>
      <c r="B757" s="2">
        <v>45703</v>
      </c>
      <c r="C757" t="s">
        <v>96</v>
      </c>
      <c r="D757" t="s">
        <v>97</v>
      </c>
      <c r="E757" t="s">
        <v>39</v>
      </c>
      <c r="F757" t="s">
        <v>82</v>
      </c>
      <c r="G757" t="s">
        <v>83</v>
      </c>
      <c r="H757" t="s">
        <v>84</v>
      </c>
      <c r="I757">
        <v>25</v>
      </c>
      <c r="J757" s="3">
        <v>711.95</v>
      </c>
      <c r="K757" s="3">
        <v>17798.75</v>
      </c>
      <c r="L757" t="s">
        <v>52</v>
      </c>
      <c r="M757" s="2">
        <v>45716</v>
      </c>
      <c r="N757" s="2">
        <v>45714</v>
      </c>
      <c r="O757" t="s">
        <v>60</v>
      </c>
      <c r="P757" t="s">
        <v>64</v>
      </c>
      <c r="Q757" t="s">
        <v>28</v>
      </c>
      <c r="R757" t="s">
        <v>29</v>
      </c>
    </row>
    <row r="758" spans="1:18">
      <c r="A758" t="s">
        <v>887</v>
      </c>
      <c r="B758" s="2">
        <v>45811</v>
      </c>
      <c r="C758" t="s">
        <v>37</v>
      </c>
      <c r="D758" t="s">
        <v>38</v>
      </c>
      <c r="E758" t="s">
        <v>112</v>
      </c>
      <c r="F758" t="s">
        <v>22</v>
      </c>
      <c r="G758" t="s">
        <v>23</v>
      </c>
      <c r="H758" t="s">
        <v>24</v>
      </c>
      <c r="I758">
        <v>41</v>
      </c>
      <c r="J758" s="3">
        <v>291.58</v>
      </c>
      <c r="K758" s="3">
        <v>11954.78</v>
      </c>
      <c r="L758" t="s">
        <v>25</v>
      </c>
      <c r="M758" s="2">
        <v>45824</v>
      </c>
      <c r="N758" s="2">
        <v>45821</v>
      </c>
      <c r="O758" t="s">
        <v>43</v>
      </c>
      <c r="P758" t="s">
        <v>115</v>
      </c>
      <c r="Q758" t="s">
        <v>28</v>
      </c>
      <c r="R758" t="s">
        <v>29</v>
      </c>
    </row>
    <row r="759" spans="1:18">
      <c r="A759" t="s">
        <v>888</v>
      </c>
      <c r="B759" s="2">
        <v>46190</v>
      </c>
      <c r="C759" t="s">
        <v>131</v>
      </c>
      <c r="D759" t="s">
        <v>132</v>
      </c>
      <c r="E759" t="s">
        <v>21</v>
      </c>
      <c r="F759" t="s">
        <v>57</v>
      </c>
      <c r="G759" t="s">
        <v>58</v>
      </c>
      <c r="H759" t="s">
        <v>59</v>
      </c>
      <c r="I759">
        <v>6</v>
      </c>
      <c r="J759" s="3">
        <v>59048.33</v>
      </c>
      <c r="K759" s="3">
        <v>354289.98</v>
      </c>
      <c r="L759" t="s">
        <v>25</v>
      </c>
      <c r="M759" s="2">
        <v>46198</v>
      </c>
      <c r="N759" s="2">
        <v>46198</v>
      </c>
      <c r="O759" t="s">
        <v>60</v>
      </c>
      <c r="P759" t="s">
        <v>27</v>
      </c>
      <c r="Q759" t="s">
        <v>28</v>
      </c>
      <c r="R759" t="s">
        <v>29</v>
      </c>
    </row>
    <row r="760" spans="1:18">
      <c r="A760" t="s">
        <v>889</v>
      </c>
      <c r="B760" s="2">
        <v>45739</v>
      </c>
      <c r="C760" t="s">
        <v>71</v>
      </c>
      <c r="D760" t="s">
        <v>72</v>
      </c>
      <c r="E760" t="s">
        <v>31</v>
      </c>
      <c r="F760" t="s">
        <v>57</v>
      </c>
      <c r="G760" t="s">
        <v>120</v>
      </c>
      <c r="H760" t="s">
        <v>121</v>
      </c>
      <c r="I760">
        <v>7</v>
      </c>
      <c r="J760" s="3">
        <v>20080.48</v>
      </c>
      <c r="K760" s="3">
        <v>140563.35999999999</v>
      </c>
      <c r="L760" t="s">
        <v>52</v>
      </c>
      <c r="M760" s="2">
        <v>45747</v>
      </c>
      <c r="N760" s="2">
        <v>45746</v>
      </c>
      <c r="O760" t="s">
        <v>26</v>
      </c>
      <c r="P760" t="s">
        <v>35</v>
      </c>
      <c r="Q760" t="s">
        <v>28</v>
      </c>
      <c r="R760" t="s">
        <v>29</v>
      </c>
    </row>
    <row r="761" spans="1:18">
      <c r="A761" t="s">
        <v>890</v>
      </c>
      <c r="B761" s="2">
        <v>45799</v>
      </c>
      <c r="C761" t="s">
        <v>104</v>
      </c>
      <c r="D761" t="s">
        <v>105</v>
      </c>
      <c r="E761" t="s">
        <v>48</v>
      </c>
      <c r="F761" t="s">
        <v>49</v>
      </c>
      <c r="G761" t="s">
        <v>165</v>
      </c>
      <c r="H761" t="s">
        <v>166</v>
      </c>
      <c r="I761">
        <v>3</v>
      </c>
      <c r="J761" s="3">
        <v>44854.44</v>
      </c>
      <c r="K761" s="3">
        <v>134563.32</v>
      </c>
      <c r="L761" t="s">
        <v>52</v>
      </c>
      <c r="M761" s="2">
        <v>45806</v>
      </c>
      <c r="N761" s="2">
        <v>45805</v>
      </c>
      <c r="O761" t="s">
        <v>60</v>
      </c>
      <c r="P761" t="s">
        <v>53</v>
      </c>
      <c r="Q761" t="s">
        <v>28</v>
      </c>
      <c r="R761" t="s">
        <v>29</v>
      </c>
    </row>
    <row r="762" spans="1:18">
      <c r="A762" t="s">
        <v>891</v>
      </c>
      <c r="B762" s="2">
        <v>45828</v>
      </c>
      <c r="C762" t="s">
        <v>131</v>
      </c>
      <c r="D762" t="s">
        <v>132</v>
      </c>
      <c r="E762" t="s">
        <v>21</v>
      </c>
      <c r="F762" t="s">
        <v>57</v>
      </c>
      <c r="G762" t="s">
        <v>120</v>
      </c>
      <c r="H762" t="s">
        <v>121</v>
      </c>
      <c r="I762">
        <v>3</v>
      </c>
      <c r="J762" s="3">
        <v>23566.36</v>
      </c>
      <c r="K762" s="3">
        <v>70699.08</v>
      </c>
      <c r="L762" t="s">
        <v>25</v>
      </c>
      <c r="M762" s="2">
        <v>45846</v>
      </c>
      <c r="N762" s="2">
        <v>45854</v>
      </c>
      <c r="O762" t="s">
        <v>26</v>
      </c>
      <c r="P762" t="s">
        <v>27</v>
      </c>
      <c r="Q762" t="s">
        <v>28</v>
      </c>
      <c r="R762" t="s">
        <v>129</v>
      </c>
    </row>
    <row r="763" spans="1:18">
      <c r="A763" t="s">
        <v>892</v>
      </c>
      <c r="B763" s="2">
        <v>45793</v>
      </c>
      <c r="C763" t="s">
        <v>55</v>
      </c>
      <c r="D763" t="s">
        <v>56</v>
      </c>
      <c r="E763" t="s">
        <v>31</v>
      </c>
      <c r="F763" t="s">
        <v>57</v>
      </c>
      <c r="G763" t="s">
        <v>74</v>
      </c>
      <c r="H763" t="s">
        <v>75</v>
      </c>
      <c r="I763">
        <v>9</v>
      </c>
      <c r="J763" s="3">
        <v>9575.56</v>
      </c>
      <c r="K763" s="3">
        <v>86180.04</v>
      </c>
      <c r="L763" t="s">
        <v>25</v>
      </c>
      <c r="M763" s="2">
        <v>45801</v>
      </c>
      <c r="N763" s="2">
        <v>45801</v>
      </c>
      <c r="O763" t="s">
        <v>76</v>
      </c>
      <c r="P763" t="s">
        <v>94</v>
      </c>
      <c r="Q763" t="s">
        <v>28</v>
      </c>
      <c r="R763" t="s">
        <v>29</v>
      </c>
    </row>
    <row r="764" spans="1:18">
      <c r="A764" t="s">
        <v>893</v>
      </c>
      <c r="B764" s="2">
        <v>45704</v>
      </c>
      <c r="C764" t="s">
        <v>134</v>
      </c>
      <c r="D764" t="s">
        <v>135</v>
      </c>
      <c r="E764" t="s">
        <v>112</v>
      </c>
      <c r="F764" t="s">
        <v>40</v>
      </c>
      <c r="G764" t="s">
        <v>62</v>
      </c>
      <c r="H764" t="s">
        <v>63</v>
      </c>
      <c r="I764">
        <v>7</v>
      </c>
      <c r="J764" s="3">
        <v>18993.259999999998</v>
      </c>
      <c r="K764" s="3">
        <v>132952.82</v>
      </c>
      <c r="L764" t="s">
        <v>34</v>
      </c>
      <c r="M764" s="2">
        <v>45713</v>
      </c>
      <c r="N764" s="2">
        <v>45712</v>
      </c>
      <c r="O764" t="s">
        <v>43</v>
      </c>
      <c r="P764" t="s">
        <v>115</v>
      </c>
      <c r="Q764" t="s">
        <v>28</v>
      </c>
      <c r="R764" t="s">
        <v>29</v>
      </c>
    </row>
    <row r="765" spans="1:18">
      <c r="A765" t="s">
        <v>894</v>
      </c>
      <c r="B765" s="2">
        <v>45665</v>
      </c>
      <c r="C765" t="s">
        <v>71</v>
      </c>
      <c r="D765" t="s">
        <v>72</v>
      </c>
      <c r="E765" t="s">
        <v>73</v>
      </c>
      <c r="F765" t="s">
        <v>57</v>
      </c>
      <c r="G765" t="s">
        <v>74</v>
      </c>
      <c r="H765" t="s">
        <v>75</v>
      </c>
      <c r="I765">
        <v>9</v>
      </c>
      <c r="J765" s="3">
        <v>8094.73</v>
      </c>
      <c r="K765" s="3">
        <v>72852.570000000007</v>
      </c>
      <c r="L765" t="s">
        <v>25</v>
      </c>
      <c r="M765" s="2">
        <v>45681</v>
      </c>
      <c r="N765" s="2">
        <v>45681</v>
      </c>
      <c r="O765" t="s">
        <v>60</v>
      </c>
      <c r="P765" t="s">
        <v>77</v>
      </c>
      <c r="Q765" t="s">
        <v>28</v>
      </c>
      <c r="R765" t="s">
        <v>29</v>
      </c>
    </row>
    <row r="766" spans="1:18">
      <c r="A766" t="s">
        <v>895</v>
      </c>
      <c r="B766" s="2">
        <v>45707</v>
      </c>
      <c r="C766" t="s">
        <v>104</v>
      </c>
      <c r="D766" t="s">
        <v>105</v>
      </c>
      <c r="E766" t="s">
        <v>112</v>
      </c>
      <c r="F766" t="s">
        <v>49</v>
      </c>
      <c r="G766" t="s">
        <v>68</v>
      </c>
      <c r="H766" t="s">
        <v>69</v>
      </c>
      <c r="I766">
        <v>1</v>
      </c>
      <c r="J766" s="3">
        <v>47739.17</v>
      </c>
      <c r="K766" s="3">
        <v>47739.17</v>
      </c>
      <c r="L766" t="s">
        <v>52</v>
      </c>
      <c r="M766" s="2">
        <v>45714</v>
      </c>
      <c r="N766" s="2">
        <v>45727</v>
      </c>
      <c r="O766" t="s">
        <v>26</v>
      </c>
      <c r="P766" t="s">
        <v>115</v>
      </c>
      <c r="Q766" t="s">
        <v>28</v>
      </c>
      <c r="R766" t="s">
        <v>129</v>
      </c>
    </row>
    <row r="767" spans="1:18">
      <c r="A767" t="s">
        <v>896</v>
      </c>
      <c r="B767" s="2">
        <v>46189</v>
      </c>
      <c r="C767" t="s">
        <v>134</v>
      </c>
      <c r="D767" t="s">
        <v>135</v>
      </c>
      <c r="E767" t="s">
        <v>112</v>
      </c>
      <c r="F767" t="s">
        <v>40</v>
      </c>
      <c r="G767" t="s">
        <v>41</v>
      </c>
      <c r="H767" t="s">
        <v>42</v>
      </c>
      <c r="I767">
        <v>5</v>
      </c>
      <c r="J767" s="3">
        <v>5264.48</v>
      </c>
      <c r="K767" s="3">
        <v>26322.400000000001</v>
      </c>
      <c r="L767" t="s">
        <v>25</v>
      </c>
      <c r="M767" s="2">
        <v>46198</v>
      </c>
      <c r="N767" s="2">
        <v>46197</v>
      </c>
      <c r="O767" t="s">
        <v>76</v>
      </c>
      <c r="P767" t="s">
        <v>115</v>
      </c>
      <c r="Q767" t="s">
        <v>28</v>
      </c>
      <c r="R767" t="s">
        <v>29</v>
      </c>
    </row>
    <row r="768" spans="1:18">
      <c r="A768" t="s">
        <v>897</v>
      </c>
      <c r="B768" s="2">
        <v>45802</v>
      </c>
      <c r="C768" t="s">
        <v>142</v>
      </c>
      <c r="D768" t="s">
        <v>143</v>
      </c>
      <c r="E768" t="s">
        <v>31</v>
      </c>
      <c r="F768" t="s">
        <v>22</v>
      </c>
      <c r="G768" t="s">
        <v>23</v>
      </c>
      <c r="H768" t="s">
        <v>24</v>
      </c>
      <c r="I768">
        <v>39</v>
      </c>
      <c r="J768" s="3">
        <v>255.1</v>
      </c>
      <c r="K768" s="3">
        <v>9948.9</v>
      </c>
      <c r="L768" t="s">
        <v>25</v>
      </c>
      <c r="M768" s="2">
        <v>45815</v>
      </c>
      <c r="N768" s="2">
        <v>45815</v>
      </c>
      <c r="O768" t="s">
        <v>43</v>
      </c>
      <c r="P768" t="s">
        <v>35</v>
      </c>
      <c r="Q768" t="s">
        <v>28</v>
      </c>
      <c r="R768" t="s">
        <v>29</v>
      </c>
    </row>
    <row r="769" spans="1:18">
      <c r="A769" t="s">
        <v>898</v>
      </c>
      <c r="B769" s="2">
        <v>45866</v>
      </c>
      <c r="C769" t="s">
        <v>134</v>
      </c>
      <c r="D769" t="s">
        <v>135</v>
      </c>
      <c r="E769" t="s">
        <v>112</v>
      </c>
      <c r="F769" t="s">
        <v>40</v>
      </c>
      <c r="G769" t="s">
        <v>62</v>
      </c>
      <c r="H769" t="s">
        <v>63</v>
      </c>
      <c r="I769">
        <v>5</v>
      </c>
      <c r="J769" s="3">
        <v>19143.68</v>
      </c>
      <c r="K769" s="3">
        <v>95718.399999999994</v>
      </c>
      <c r="L769" t="s">
        <v>25</v>
      </c>
      <c r="M769" s="2">
        <v>45872</v>
      </c>
      <c r="N769" s="2">
        <v>45872</v>
      </c>
      <c r="O769" t="s">
        <v>60</v>
      </c>
      <c r="P769" t="s">
        <v>115</v>
      </c>
      <c r="Q769" t="s">
        <v>28</v>
      </c>
      <c r="R769" t="s">
        <v>29</v>
      </c>
    </row>
    <row r="770" spans="1:18">
      <c r="A770" t="s">
        <v>899</v>
      </c>
      <c r="B770" s="2">
        <v>45927</v>
      </c>
      <c r="C770" t="s">
        <v>147</v>
      </c>
      <c r="D770" t="s">
        <v>148</v>
      </c>
      <c r="E770" t="s">
        <v>39</v>
      </c>
      <c r="F770" t="s">
        <v>40</v>
      </c>
      <c r="G770" t="s">
        <v>41</v>
      </c>
      <c r="H770" t="s">
        <v>42</v>
      </c>
      <c r="I770">
        <v>12</v>
      </c>
      <c r="J770" s="3">
        <v>5351.59</v>
      </c>
      <c r="K770" s="3">
        <v>64219.08</v>
      </c>
      <c r="L770" t="s">
        <v>25</v>
      </c>
      <c r="M770" s="2">
        <v>45944</v>
      </c>
      <c r="N770" s="2">
        <v>45944</v>
      </c>
      <c r="O770" t="s">
        <v>76</v>
      </c>
      <c r="P770" t="s">
        <v>44</v>
      </c>
      <c r="Q770" t="s">
        <v>28</v>
      </c>
      <c r="R770" t="s">
        <v>29</v>
      </c>
    </row>
    <row r="771" spans="1:18">
      <c r="A771" t="s">
        <v>900</v>
      </c>
      <c r="B771" s="2">
        <v>46122</v>
      </c>
      <c r="C771" t="s">
        <v>107</v>
      </c>
      <c r="D771" t="s">
        <v>108</v>
      </c>
      <c r="E771" t="s">
        <v>31</v>
      </c>
      <c r="F771" t="s">
        <v>91</v>
      </c>
      <c r="G771" t="s">
        <v>109</v>
      </c>
      <c r="H771" t="s">
        <v>110</v>
      </c>
      <c r="I771">
        <v>1</v>
      </c>
      <c r="J771" s="3">
        <v>13247.47</v>
      </c>
      <c r="K771" s="3">
        <v>13247.47</v>
      </c>
      <c r="L771" t="s">
        <v>25</v>
      </c>
      <c r="M771" s="2">
        <v>46138</v>
      </c>
      <c r="N771" s="2">
        <v>46136</v>
      </c>
      <c r="O771" t="s">
        <v>43</v>
      </c>
      <c r="P771" t="s">
        <v>94</v>
      </c>
      <c r="Q771" t="s">
        <v>28</v>
      </c>
      <c r="R771" t="s">
        <v>29</v>
      </c>
    </row>
    <row r="772" spans="1:18">
      <c r="A772" t="s">
        <v>901</v>
      </c>
      <c r="B772" s="2">
        <v>45909</v>
      </c>
      <c r="C772" t="s">
        <v>142</v>
      </c>
      <c r="D772" t="s">
        <v>143</v>
      </c>
      <c r="E772" t="s">
        <v>73</v>
      </c>
      <c r="F772" t="s">
        <v>22</v>
      </c>
      <c r="G772" t="s">
        <v>32</v>
      </c>
      <c r="H772" t="s">
        <v>33</v>
      </c>
      <c r="I772">
        <v>8</v>
      </c>
      <c r="J772" s="3">
        <v>7818.02</v>
      </c>
      <c r="K772" s="3">
        <v>62544.160000000003</v>
      </c>
      <c r="L772" t="s">
        <v>25</v>
      </c>
      <c r="M772" s="2">
        <v>45927</v>
      </c>
      <c r="N772" s="2">
        <v>45924</v>
      </c>
      <c r="O772" t="s">
        <v>26</v>
      </c>
      <c r="P772" t="s">
        <v>77</v>
      </c>
      <c r="Q772" t="s">
        <v>28</v>
      </c>
      <c r="R772" t="s">
        <v>29</v>
      </c>
    </row>
    <row r="773" spans="1:18">
      <c r="A773" t="s">
        <v>902</v>
      </c>
      <c r="B773" s="2">
        <v>45877</v>
      </c>
      <c r="C773" t="s">
        <v>96</v>
      </c>
      <c r="D773" t="s">
        <v>97</v>
      </c>
      <c r="E773" t="s">
        <v>39</v>
      </c>
      <c r="F773" t="s">
        <v>82</v>
      </c>
      <c r="G773" t="s">
        <v>197</v>
      </c>
      <c r="H773" t="s">
        <v>198</v>
      </c>
      <c r="I773">
        <v>31</v>
      </c>
      <c r="J773" s="3">
        <v>2070.16</v>
      </c>
      <c r="K773" s="3">
        <v>64174.96</v>
      </c>
      <c r="L773" t="s">
        <v>34</v>
      </c>
      <c r="M773" s="2">
        <v>45893</v>
      </c>
      <c r="N773" s="2">
        <v>45890</v>
      </c>
      <c r="O773" t="s">
        <v>26</v>
      </c>
      <c r="P773" t="s">
        <v>44</v>
      </c>
      <c r="Q773" t="s">
        <v>28</v>
      </c>
      <c r="R773" t="s">
        <v>29</v>
      </c>
    </row>
    <row r="774" spans="1:18">
      <c r="A774" t="s">
        <v>903</v>
      </c>
      <c r="B774" s="2">
        <v>46153</v>
      </c>
      <c r="C774" t="s">
        <v>147</v>
      </c>
      <c r="D774" t="s">
        <v>148</v>
      </c>
      <c r="E774" t="s">
        <v>112</v>
      </c>
      <c r="F774" t="s">
        <v>40</v>
      </c>
      <c r="G774" t="s">
        <v>149</v>
      </c>
      <c r="H774" t="s">
        <v>150</v>
      </c>
      <c r="I774">
        <v>36</v>
      </c>
      <c r="J774" s="3">
        <v>1322.07</v>
      </c>
      <c r="K774" s="3">
        <v>47594.52</v>
      </c>
      <c r="L774" t="s">
        <v>25</v>
      </c>
      <c r="M774" s="2">
        <v>46170</v>
      </c>
      <c r="N774" s="2">
        <v>46168</v>
      </c>
      <c r="O774" t="s">
        <v>76</v>
      </c>
      <c r="P774" t="s">
        <v>115</v>
      </c>
      <c r="Q774" t="s">
        <v>28</v>
      </c>
      <c r="R774" t="s">
        <v>29</v>
      </c>
    </row>
    <row r="775" spans="1:18">
      <c r="A775" t="s">
        <v>904</v>
      </c>
      <c r="B775" s="2">
        <v>45882</v>
      </c>
      <c r="C775" t="s">
        <v>147</v>
      </c>
      <c r="D775" t="s">
        <v>148</v>
      </c>
      <c r="E775" t="s">
        <v>112</v>
      </c>
      <c r="F775" t="s">
        <v>40</v>
      </c>
      <c r="G775" t="s">
        <v>62</v>
      </c>
      <c r="H775" t="s">
        <v>63</v>
      </c>
      <c r="I775">
        <v>7</v>
      </c>
      <c r="J775" s="3">
        <v>17569.71</v>
      </c>
      <c r="K775" s="3">
        <v>122987.97</v>
      </c>
      <c r="L775" t="s">
        <v>34</v>
      </c>
      <c r="M775" s="2">
        <v>45888</v>
      </c>
      <c r="N775" s="2">
        <v>45886</v>
      </c>
      <c r="O775" t="s">
        <v>76</v>
      </c>
      <c r="P775" t="s">
        <v>115</v>
      </c>
      <c r="Q775" t="s">
        <v>28</v>
      </c>
      <c r="R775" t="s">
        <v>29</v>
      </c>
    </row>
    <row r="776" spans="1:18">
      <c r="A776" t="s">
        <v>905</v>
      </c>
      <c r="B776" s="2">
        <v>46158</v>
      </c>
      <c r="C776" t="s">
        <v>55</v>
      </c>
      <c r="D776" t="s">
        <v>56</v>
      </c>
      <c r="E776" t="s">
        <v>48</v>
      </c>
      <c r="F776" t="s">
        <v>57</v>
      </c>
      <c r="G776" t="s">
        <v>58</v>
      </c>
      <c r="H776" t="s">
        <v>59</v>
      </c>
      <c r="I776">
        <v>7</v>
      </c>
      <c r="J776" s="3">
        <v>61875.94</v>
      </c>
      <c r="K776" s="3">
        <v>433131.58</v>
      </c>
      <c r="L776" t="s">
        <v>25</v>
      </c>
      <c r="M776" s="2">
        <v>46163</v>
      </c>
      <c r="N776" s="2">
        <v>46161</v>
      </c>
      <c r="O776" t="s">
        <v>76</v>
      </c>
      <c r="P776" t="s">
        <v>53</v>
      </c>
      <c r="Q776" t="s">
        <v>28</v>
      </c>
      <c r="R776" t="s">
        <v>29</v>
      </c>
    </row>
    <row r="777" spans="1:18">
      <c r="A777" t="s">
        <v>906</v>
      </c>
      <c r="B777" s="2">
        <v>46093</v>
      </c>
      <c r="C777" t="s">
        <v>147</v>
      </c>
      <c r="D777" t="s">
        <v>148</v>
      </c>
      <c r="E777" t="s">
        <v>112</v>
      </c>
      <c r="F777" t="s">
        <v>40</v>
      </c>
      <c r="G777" t="s">
        <v>62</v>
      </c>
      <c r="H777" t="s">
        <v>63</v>
      </c>
      <c r="I777">
        <v>1</v>
      </c>
      <c r="J777" s="3">
        <v>17592.8</v>
      </c>
      <c r="K777" s="3">
        <v>17592.8</v>
      </c>
      <c r="L777" t="s">
        <v>34</v>
      </c>
      <c r="M777" s="2">
        <v>46102</v>
      </c>
      <c r="N777" s="2">
        <v>46101</v>
      </c>
      <c r="O777" t="s">
        <v>26</v>
      </c>
      <c r="P777" t="s">
        <v>115</v>
      </c>
      <c r="Q777" t="s">
        <v>28</v>
      </c>
      <c r="R777" t="s">
        <v>29</v>
      </c>
    </row>
    <row r="778" spans="1:18">
      <c r="A778" t="s">
        <v>907</v>
      </c>
      <c r="B778" s="2">
        <v>45995</v>
      </c>
      <c r="C778" t="s">
        <v>37</v>
      </c>
      <c r="D778" t="s">
        <v>38</v>
      </c>
      <c r="E778" t="s">
        <v>31</v>
      </c>
      <c r="F778" t="s">
        <v>22</v>
      </c>
      <c r="G778" t="s">
        <v>23</v>
      </c>
      <c r="H778" t="s">
        <v>24</v>
      </c>
      <c r="I778">
        <v>50</v>
      </c>
      <c r="J778" s="3">
        <v>253.79</v>
      </c>
      <c r="K778" s="3">
        <v>12689.5</v>
      </c>
      <c r="L778" t="s">
        <v>34</v>
      </c>
      <c r="M778" s="2">
        <v>46005</v>
      </c>
      <c r="N778" s="2">
        <v>46005</v>
      </c>
      <c r="O778" t="s">
        <v>26</v>
      </c>
      <c r="P778" t="s">
        <v>35</v>
      </c>
      <c r="Q778" t="s">
        <v>28</v>
      </c>
      <c r="R778" t="s">
        <v>29</v>
      </c>
    </row>
    <row r="779" spans="1:18">
      <c r="A779" t="s">
        <v>908</v>
      </c>
      <c r="B779" s="2">
        <v>45892</v>
      </c>
      <c r="C779" t="s">
        <v>134</v>
      </c>
      <c r="D779" t="s">
        <v>135</v>
      </c>
      <c r="E779" t="s">
        <v>39</v>
      </c>
      <c r="F779" t="s">
        <v>40</v>
      </c>
      <c r="G779" t="s">
        <v>136</v>
      </c>
      <c r="H779" t="s">
        <v>137</v>
      </c>
      <c r="I779">
        <v>20</v>
      </c>
      <c r="J779" s="3">
        <v>1666.11</v>
      </c>
      <c r="K779" s="3">
        <v>33322.199999999997</v>
      </c>
      <c r="L779" t="s">
        <v>34</v>
      </c>
      <c r="M779" s="2">
        <v>45897</v>
      </c>
      <c r="N779" s="2">
        <v>45899</v>
      </c>
      <c r="O779" t="s">
        <v>43</v>
      </c>
      <c r="P779" t="s">
        <v>44</v>
      </c>
      <c r="Q779" t="s">
        <v>28</v>
      </c>
      <c r="R779" t="s">
        <v>129</v>
      </c>
    </row>
    <row r="780" spans="1:18">
      <c r="A780" t="s">
        <v>909</v>
      </c>
      <c r="B780" s="2">
        <v>46154</v>
      </c>
      <c r="C780" t="s">
        <v>19</v>
      </c>
      <c r="D780" t="s">
        <v>20</v>
      </c>
      <c r="E780" t="s">
        <v>21</v>
      </c>
      <c r="F780" t="s">
        <v>22</v>
      </c>
      <c r="G780" t="s">
        <v>23</v>
      </c>
      <c r="H780" t="s">
        <v>24</v>
      </c>
      <c r="I780">
        <v>7</v>
      </c>
      <c r="J780" s="3">
        <v>232.85</v>
      </c>
      <c r="K780" s="3">
        <v>1629.95</v>
      </c>
      <c r="L780" t="s">
        <v>34</v>
      </c>
      <c r="M780" s="2">
        <v>46163</v>
      </c>
      <c r="N780" s="2">
        <v>46160</v>
      </c>
      <c r="O780" t="s">
        <v>26</v>
      </c>
      <c r="P780" t="s">
        <v>27</v>
      </c>
      <c r="Q780" t="s">
        <v>28</v>
      </c>
      <c r="R780" t="s">
        <v>29</v>
      </c>
    </row>
    <row r="781" spans="1:18">
      <c r="A781" t="s">
        <v>910</v>
      </c>
      <c r="B781" s="2">
        <v>45744</v>
      </c>
      <c r="C781" t="s">
        <v>142</v>
      </c>
      <c r="D781" t="s">
        <v>143</v>
      </c>
      <c r="E781" t="s">
        <v>31</v>
      </c>
      <c r="F781" t="s">
        <v>22</v>
      </c>
      <c r="G781" t="s">
        <v>32</v>
      </c>
      <c r="H781" t="s">
        <v>33</v>
      </c>
      <c r="I781">
        <v>14</v>
      </c>
      <c r="J781" s="3">
        <v>7498.35</v>
      </c>
      <c r="K781" s="3">
        <v>104976.9</v>
      </c>
      <c r="L781" t="s">
        <v>25</v>
      </c>
      <c r="M781" s="2">
        <v>45757</v>
      </c>
      <c r="N781" s="2">
        <v>45756</v>
      </c>
      <c r="O781" t="s">
        <v>60</v>
      </c>
      <c r="P781" t="s">
        <v>94</v>
      </c>
      <c r="Q781" t="s">
        <v>28</v>
      </c>
      <c r="R781" t="s">
        <v>29</v>
      </c>
    </row>
    <row r="782" spans="1:18">
      <c r="A782" t="s">
        <v>911</v>
      </c>
      <c r="B782" s="2">
        <v>45977</v>
      </c>
      <c r="C782" t="s">
        <v>55</v>
      </c>
      <c r="D782" t="s">
        <v>56</v>
      </c>
      <c r="E782" t="s">
        <v>73</v>
      </c>
      <c r="F782" t="s">
        <v>57</v>
      </c>
      <c r="G782" t="s">
        <v>101</v>
      </c>
      <c r="H782" t="s">
        <v>102</v>
      </c>
      <c r="I782">
        <v>11</v>
      </c>
      <c r="J782" s="3">
        <v>2000.6</v>
      </c>
      <c r="K782" s="3">
        <v>22006.6</v>
      </c>
      <c r="L782" t="s">
        <v>25</v>
      </c>
      <c r="M782" s="2">
        <v>45986</v>
      </c>
      <c r="N782" s="2">
        <v>45983</v>
      </c>
      <c r="O782" t="s">
        <v>60</v>
      </c>
      <c r="P782" t="s">
        <v>77</v>
      </c>
      <c r="Q782" t="s">
        <v>28</v>
      </c>
      <c r="R782" t="s">
        <v>29</v>
      </c>
    </row>
    <row r="783" spans="1:18">
      <c r="A783" t="s">
        <v>912</v>
      </c>
      <c r="B783" s="2">
        <v>45943</v>
      </c>
      <c r="C783" t="s">
        <v>104</v>
      </c>
      <c r="D783" t="s">
        <v>105</v>
      </c>
      <c r="E783" t="s">
        <v>112</v>
      </c>
      <c r="F783" t="s">
        <v>49</v>
      </c>
      <c r="G783" t="s">
        <v>50</v>
      </c>
      <c r="H783" t="s">
        <v>51</v>
      </c>
      <c r="I783">
        <v>2</v>
      </c>
      <c r="J783" s="3">
        <v>54567.96</v>
      </c>
      <c r="K783" s="3">
        <v>109135.92</v>
      </c>
      <c r="L783" t="s">
        <v>25</v>
      </c>
      <c r="M783" s="2">
        <v>45953</v>
      </c>
      <c r="N783" s="2">
        <v>45953</v>
      </c>
      <c r="O783" t="s">
        <v>43</v>
      </c>
      <c r="P783" t="s">
        <v>115</v>
      </c>
      <c r="Q783" t="s">
        <v>28</v>
      </c>
      <c r="R783" t="s">
        <v>29</v>
      </c>
    </row>
    <row r="784" spans="1:18">
      <c r="A784" t="s">
        <v>913</v>
      </c>
      <c r="B784" s="2">
        <v>45895</v>
      </c>
      <c r="C784" t="s">
        <v>89</v>
      </c>
      <c r="D784" t="s">
        <v>90</v>
      </c>
      <c r="E784" t="s">
        <v>31</v>
      </c>
      <c r="F784" t="s">
        <v>91</v>
      </c>
      <c r="G784" t="s">
        <v>109</v>
      </c>
      <c r="H784" t="s">
        <v>110</v>
      </c>
      <c r="I784">
        <v>1</v>
      </c>
      <c r="J784" s="3">
        <v>12910.89</v>
      </c>
      <c r="K784" s="3">
        <v>12910.89</v>
      </c>
      <c r="L784" t="s">
        <v>52</v>
      </c>
      <c r="M784" s="2">
        <v>45901</v>
      </c>
      <c r="N784" s="2">
        <v>45900</v>
      </c>
      <c r="O784" t="s">
        <v>60</v>
      </c>
      <c r="P784" t="s">
        <v>94</v>
      </c>
      <c r="Q784" t="s">
        <v>28</v>
      </c>
      <c r="R784" t="s">
        <v>29</v>
      </c>
    </row>
    <row r="785" spans="1:18">
      <c r="A785" t="s">
        <v>914</v>
      </c>
      <c r="B785" s="2">
        <v>45743</v>
      </c>
      <c r="C785" t="s">
        <v>71</v>
      </c>
      <c r="D785" t="s">
        <v>72</v>
      </c>
      <c r="E785" t="s">
        <v>31</v>
      </c>
      <c r="F785" t="s">
        <v>57</v>
      </c>
      <c r="G785" t="s">
        <v>127</v>
      </c>
      <c r="H785" t="s">
        <v>128</v>
      </c>
      <c r="I785">
        <v>4</v>
      </c>
      <c r="J785" s="3">
        <v>15456.13</v>
      </c>
      <c r="K785" s="3">
        <v>61824.52</v>
      </c>
      <c r="L785" t="s">
        <v>25</v>
      </c>
      <c r="M785" s="2">
        <v>45748</v>
      </c>
      <c r="N785" s="2">
        <v>45746</v>
      </c>
      <c r="O785" t="s">
        <v>76</v>
      </c>
      <c r="P785" t="s">
        <v>94</v>
      </c>
      <c r="Q785" t="s">
        <v>28</v>
      </c>
      <c r="R785" t="s">
        <v>29</v>
      </c>
    </row>
    <row r="786" spans="1:18">
      <c r="A786" t="s">
        <v>915</v>
      </c>
      <c r="B786" s="2">
        <v>45695</v>
      </c>
      <c r="C786" t="s">
        <v>55</v>
      </c>
      <c r="D786" t="s">
        <v>56</v>
      </c>
      <c r="E786" t="s">
        <v>31</v>
      </c>
      <c r="F786" t="s">
        <v>57</v>
      </c>
      <c r="G786" t="s">
        <v>101</v>
      </c>
      <c r="H786" t="s">
        <v>102</v>
      </c>
      <c r="I786">
        <v>40</v>
      </c>
      <c r="J786" s="3">
        <v>1955.7</v>
      </c>
      <c r="K786" s="3">
        <v>78228</v>
      </c>
      <c r="L786" t="s">
        <v>25</v>
      </c>
      <c r="M786" s="2">
        <v>45712</v>
      </c>
      <c r="N786" s="2">
        <v>45709</v>
      </c>
      <c r="O786" t="s">
        <v>26</v>
      </c>
      <c r="P786" t="s">
        <v>35</v>
      </c>
      <c r="Q786" t="s">
        <v>28</v>
      </c>
      <c r="R786" t="s">
        <v>29</v>
      </c>
    </row>
    <row r="787" spans="1:18">
      <c r="A787" t="s">
        <v>916</v>
      </c>
      <c r="B787" s="2">
        <v>46184</v>
      </c>
      <c r="C787" t="s">
        <v>71</v>
      </c>
      <c r="D787" t="s">
        <v>72</v>
      </c>
      <c r="E787" t="s">
        <v>48</v>
      </c>
      <c r="F787" t="s">
        <v>57</v>
      </c>
      <c r="G787" t="s">
        <v>101</v>
      </c>
      <c r="H787" t="s">
        <v>102</v>
      </c>
      <c r="I787">
        <v>13</v>
      </c>
      <c r="J787" s="3">
        <v>1627.9</v>
      </c>
      <c r="K787" s="3">
        <v>21162.7</v>
      </c>
      <c r="L787" t="s">
        <v>34</v>
      </c>
      <c r="M787" s="2">
        <v>46201</v>
      </c>
      <c r="N787" s="2">
        <v>46211</v>
      </c>
      <c r="O787" t="s">
        <v>26</v>
      </c>
      <c r="P787" t="s">
        <v>53</v>
      </c>
      <c r="Q787" t="s">
        <v>28</v>
      </c>
      <c r="R787" t="s">
        <v>129</v>
      </c>
    </row>
    <row r="788" spans="1:18">
      <c r="A788" t="s">
        <v>917</v>
      </c>
      <c r="B788" s="2">
        <v>45774</v>
      </c>
      <c r="C788" t="s">
        <v>37</v>
      </c>
      <c r="D788" t="s">
        <v>38</v>
      </c>
      <c r="E788" t="s">
        <v>73</v>
      </c>
      <c r="F788" t="s">
        <v>22</v>
      </c>
      <c r="G788" t="s">
        <v>32</v>
      </c>
      <c r="H788" t="s">
        <v>33</v>
      </c>
      <c r="I788">
        <v>12</v>
      </c>
      <c r="J788" s="3">
        <v>8378.11</v>
      </c>
      <c r="K788" s="3">
        <v>100537.32</v>
      </c>
      <c r="L788" t="s">
        <v>25</v>
      </c>
      <c r="M788" s="2">
        <v>45792</v>
      </c>
      <c r="N788" s="2">
        <v>45789</v>
      </c>
      <c r="O788" t="s">
        <v>43</v>
      </c>
      <c r="P788" t="s">
        <v>77</v>
      </c>
      <c r="Q788" t="s">
        <v>28</v>
      </c>
      <c r="R788" t="s">
        <v>29</v>
      </c>
    </row>
    <row r="789" spans="1:18">
      <c r="A789" t="s">
        <v>918</v>
      </c>
      <c r="B789" s="2">
        <v>45959</v>
      </c>
      <c r="C789" t="s">
        <v>134</v>
      </c>
      <c r="D789" t="s">
        <v>135</v>
      </c>
      <c r="E789" t="s">
        <v>112</v>
      </c>
      <c r="F789" t="s">
        <v>40</v>
      </c>
      <c r="G789" t="s">
        <v>136</v>
      </c>
      <c r="H789" t="s">
        <v>137</v>
      </c>
      <c r="I789">
        <v>46</v>
      </c>
      <c r="J789" s="3">
        <v>1639.19</v>
      </c>
      <c r="K789" s="3">
        <v>75402.740000000005</v>
      </c>
      <c r="L789" t="s">
        <v>34</v>
      </c>
      <c r="M789" s="2">
        <v>45966</v>
      </c>
      <c r="N789" s="2">
        <v>45965</v>
      </c>
      <c r="O789" t="s">
        <v>76</v>
      </c>
      <c r="P789" t="s">
        <v>115</v>
      </c>
      <c r="Q789" t="s">
        <v>28</v>
      </c>
      <c r="R789" t="s">
        <v>29</v>
      </c>
    </row>
    <row r="790" spans="1:18">
      <c r="A790" t="s">
        <v>919</v>
      </c>
      <c r="B790" s="2">
        <v>46141</v>
      </c>
      <c r="C790" t="s">
        <v>104</v>
      </c>
      <c r="D790" t="s">
        <v>105</v>
      </c>
      <c r="E790" t="s">
        <v>112</v>
      </c>
      <c r="F790" t="s">
        <v>49</v>
      </c>
      <c r="G790" t="s">
        <v>50</v>
      </c>
      <c r="H790" t="s">
        <v>51</v>
      </c>
      <c r="I790">
        <v>2</v>
      </c>
      <c r="J790" s="3">
        <v>53266.58</v>
      </c>
      <c r="K790" s="3">
        <v>106533.16</v>
      </c>
      <c r="L790" t="s">
        <v>25</v>
      </c>
      <c r="M790" s="2">
        <v>46146</v>
      </c>
      <c r="N790" s="2">
        <v>46145</v>
      </c>
      <c r="O790" t="s">
        <v>43</v>
      </c>
      <c r="P790" t="s">
        <v>115</v>
      </c>
      <c r="Q790" t="s">
        <v>28</v>
      </c>
      <c r="R790" t="s">
        <v>29</v>
      </c>
    </row>
    <row r="791" spans="1:18">
      <c r="A791" t="s">
        <v>920</v>
      </c>
      <c r="B791" s="2">
        <v>45977</v>
      </c>
      <c r="C791" t="s">
        <v>142</v>
      </c>
      <c r="D791" t="s">
        <v>143</v>
      </c>
      <c r="E791" t="s">
        <v>39</v>
      </c>
      <c r="F791" t="s">
        <v>22</v>
      </c>
      <c r="G791" t="s">
        <v>32</v>
      </c>
      <c r="H791" t="s">
        <v>33</v>
      </c>
      <c r="I791">
        <v>10</v>
      </c>
      <c r="J791" s="3">
        <v>7554.49</v>
      </c>
      <c r="K791" s="3">
        <v>75544.899999999994</v>
      </c>
      <c r="L791" t="s">
        <v>25</v>
      </c>
      <c r="M791" s="2">
        <v>45989</v>
      </c>
      <c r="N791" s="2">
        <v>45989</v>
      </c>
      <c r="O791" t="s">
        <v>26</v>
      </c>
      <c r="P791" t="s">
        <v>44</v>
      </c>
      <c r="Q791" t="s">
        <v>28</v>
      </c>
      <c r="R791" t="s">
        <v>29</v>
      </c>
    </row>
    <row r="792" spans="1:18">
      <c r="A792" t="s">
        <v>921</v>
      </c>
      <c r="B792" s="2">
        <v>45939</v>
      </c>
      <c r="C792" t="s">
        <v>134</v>
      </c>
      <c r="D792" t="s">
        <v>135</v>
      </c>
      <c r="E792" t="s">
        <v>112</v>
      </c>
      <c r="F792" t="s">
        <v>40</v>
      </c>
      <c r="G792" t="s">
        <v>136</v>
      </c>
      <c r="H792" t="s">
        <v>137</v>
      </c>
      <c r="I792">
        <v>21</v>
      </c>
      <c r="J792" s="3">
        <v>1697.9</v>
      </c>
      <c r="K792" s="3">
        <v>35655.9</v>
      </c>
      <c r="L792" t="s">
        <v>25</v>
      </c>
      <c r="M792" s="2">
        <v>45952</v>
      </c>
      <c r="N792" s="2">
        <v>45951</v>
      </c>
      <c r="O792" t="s">
        <v>26</v>
      </c>
      <c r="P792" t="s">
        <v>115</v>
      </c>
      <c r="Q792" t="s">
        <v>28</v>
      </c>
      <c r="R792" t="s">
        <v>29</v>
      </c>
    </row>
    <row r="793" spans="1:18">
      <c r="A793" t="s">
        <v>922</v>
      </c>
      <c r="B793" s="2">
        <v>45879</v>
      </c>
      <c r="C793" t="s">
        <v>37</v>
      </c>
      <c r="D793" t="s">
        <v>38</v>
      </c>
      <c r="E793" t="s">
        <v>21</v>
      </c>
      <c r="F793" t="s">
        <v>22</v>
      </c>
      <c r="G793" t="s">
        <v>23</v>
      </c>
      <c r="H793" t="s">
        <v>24</v>
      </c>
      <c r="I793">
        <v>54</v>
      </c>
      <c r="J793" s="3">
        <v>265.52</v>
      </c>
      <c r="K793" s="3">
        <v>14338.08</v>
      </c>
      <c r="L793" t="s">
        <v>52</v>
      </c>
      <c r="M793" s="2">
        <v>45890</v>
      </c>
      <c r="N793" s="2">
        <v>45888</v>
      </c>
      <c r="O793" t="s">
        <v>60</v>
      </c>
      <c r="P793" t="s">
        <v>27</v>
      </c>
      <c r="Q793" t="s">
        <v>28</v>
      </c>
      <c r="R793" t="s">
        <v>29</v>
      </c>
    </row>
    <row r="794" spans="1:18">
      <c r="A794" t="s">
        <v>923</v>
      </c>
      <c r="B794" s="2">
        <v>45830</v>
      </c>
      <c r="C794" t="s">
        <v>37</v>
      </c>
      <c r="D794" t="s">
        <v>38</v>
      </c>
      <c r="E794" t="s">
        <v>39</v>
      </c>
      <c r="F794" t="s">
        <v>22</v>
      </c>
      <c r="G794" t="s">
        <v>23</v>
      </c>
      <c r="H794" t="s">
        <v>24</v>
      </c>
      <c r="I794">
        <v>14</v>
      </c>
      <c r="J794" s="3">
        <v>266.17</v>
      </c>
      <c r="K794" s="3">
        <v>3726.38</v>
      </c>
      <c r="L794" t="s">
        <v>25</v>
      </c>
      <c r="M794" s="2">
        <v>45837</v>
      </c>
      <c r="N794" s="2">
        <v>45837</v>
      </c>
      <c r="O794" t="s">
        <v>43</v>
      </c>
      <c r="P794" t="s">
        <v>64</v>
      </c>
      <c r="Q794" t="s">
        <v>28</v>
      </c>
      <c r="R794" t="s">
        <v>29</v>
      </c>
    </row>
    <row r="795" spans="1:18">
      <c r="A795" t="s">
        <v>924</v>
      </c>
      <c r="B795" s="2">
        <v>46093</v>
      </c>
      <c r="C795" t="s">
        <v>55</v>
      </c>
      <c r="D795" t="s">
        <v>56</v>
      </c>
      <c r="E795" t="s">
        <v>21</v>
      </c>
      <c r="F795" t="s">
        <v>57</v>
      </c>
      <c r="G795" t="s">
        <v>101</v>
      </c>
      <c r="H795" t="s">
        <v>102</v>
      </c>
      <c r="I795">
        <v>54</v>
      </c>
      <c r="J795" s="3">
        <v>1988.79</v>
      </c>
      <c r="K795" s="3">
        <v>107394.66</v>
      </c>
      <c r="L795" t="s">
        <v>25</v>
      </c>
      <c r="M795" s="2">
        <v>46104</v>
      </c>
      <c r="N795" s="2">
        <v>46102</v>
      </c>
      <c r="O795" t="s">
        <v>76</v>
      </c>
      <c r="P795" t="s">
        <v>27</v>
      </c>
      <c r="Q795" t="s">
        <v>28</v>
      </c>
      <c r="R795" t="s">
        <v>29</v>
      </c>
    </row>
    <row r="796" spans="1:18">
      <c r="A796" t="s">
        <v>925</v>
      </c>
      <c r="B796" s="2">
        <v>45942</v>
      </c>
      <c r="C796" t="s">
        <v>46</v>
      </c>
      <c r="D796" t="s">
        <v>47</v>
      </c>
      <c r="E796" t="s">
        <v>48</v>
      </c>
      <c r="F796" t="s">
        <v>49</v>
      </c>
      <c r="G796" t="s">
        <v>68</v>
      </c>
      <c r="H796" t="s">
        <v>69</v>
      </c>
      <c r="I796">
        <v>1</v>
      </c>
      <c r="J796" s="3">
        <v>49992.07</v>
      </c>
      <c r="K796" s="3">
        <v>49992.07</v>
      </c>
      <c r="L796" t="s">
        <v>25</v>
      </c>
      <c r="M796" s="2">
        <v>45955</v>
      </c>
      <c r="N796" s="2">
        <v>45953</v>
      </c>
      <c r="O796" t="s">
        <v>76</v>
      </c>
      <c r="P796" t="s">
        <v>53</v>
      </c>
      <c r="Q796" t="s">
        <v>28</v>
      </c>
      <c r="R796" t="s">
        <v>29</v>
      </c>
    </row>
    <row r="797" spans="1:18">
      <c r="A797" t="s">
        <v>926</v>
      </c>
      <c r="B797" s="2">
        <v>45876</v>
      </c>
      <c r="C797" t="s">
        <v>142</v>
      </c>
      <c r="D797" t="s">
        <v>143</v>
      </c>
      <c r="E797" t="s">
        <v>112</v>
      </c>
      <c r="F797" t="s">
        <v>22</v>
      </c>
      <c r="G797" t="s">
        <v>160</v>
      </c>
      <c r="H797" t="s">
        <v>161</v>
      </c>
      <c r="I797">
        <v>1</v>
      </c>
      <c r="J797" s="3">
        <v>3485.87</v>
      </c>
      <c r="K797" s="3">
        <v>3485.87</v>
      </c>
      <c r="L797" t="s">
        <v>25</v>
      </c>
      <c r="M797" s="2">
        <v>45884</v>
      </c>
      <c r="N797" s="2">
        <v>45883</v>
      </c>
      <c r="O797" t="s">
        <v>76</v>
      </c>
      <c r="P797" t="s">
        <v>115</v>
      </c>
      <c r="Q797" t="s">
        <v>28</v>
      </c>
      <c r="R797" t="s">
        <v>29</v>
      </c>
    </row>
    <row r="798" spans="1:18">
      <c r="A798" t="s">
        <v>927</v>
      </c>
      <c r="B798" s="2">
        <v>45917</v>
      </c>
      <c r="C798" t="s">
        <v>134</v>
      </c>
      <c r="D798" t="s">
        <v>135</v>
      </c>
      <c r="E798" t="s">
        <v>39</v>
      </c>
      <c r="F798" t="s">
        <v>40</v>
      </c>
      <c r="G798" t="s">
        <v>41</v>
      </c>
      <c r="H798" t="s">
        <v>42</v>
      </c>
      <c r="I798">
        <v>7</v>
      </c>
      <c r="J798" s="3">
        <v>5495.85</v>
      </c>
      <c r="K798" s="3">
        <v>38470.949999999997</v>
      </c>
      <c r="L798" t="s">
        <v>25</v>
      </c>
      <c r="M798" s="2">
        <v>45922</v>
      </c>
      <c r="N798" s="2">
        <v>45920</v>
      </c>
      <c r="O798" t="s">
        <v>43</v>
      </c>
      <c r="P798" t="s">
        <v>64</v>
      </c>
      <c r="Q798" t="s">
        <v>28</v>
      </c>
      <c r="R798" t="s">
        <v>29</v>
      </c>
    </row>
    <row r="799" spans="1:18">
      <c r="A799" t="s">
        <v>928</v>
      </c>
      <c r="B799" s="2">
        <v>46123</v>
      </c>
      <c r="C799" t="s">
        <v>37</v>
      </c>
      <c r="D799" t="s">
        <v>38</v>
      </c>
      <c r="E799" t="s">
        <v>31</v>
      </c>
      <c r="F799" t="s">
        <v>22</v>
      </c>
      <c r="G799" t="s">
        <v>32</v>
      </c>
      <c r="H799" t="s">
        <v>33</v>
      </c>
      <c r="I799">
        <v>1</v>
      </c>
      <c r="J799" s="3">
        <v>8040.85</v>
      </c>
      <c r="K799" s="3">
        <v>8040.85</v>
      </c>
      <c r="L799" t="s">
        <v>34</v>
      </c>
      <c r="M799" s="2">
        <v>46137</v>
      </c>
      <c r="N799" s="2">
        <v>46136</v>
      </c>
      <c r="O799" t="s">
        <v>26</v>
      </c>
      <c r="P799" t="s">
        <v>94</v>
      </c>
      <c r="Q799" t="s">
        <v>28</v>
      </c>
      <c r="R799" t="s">
        <v>29</v>
      </c>
    </row>
    <row r="800" spans="1:18">
      <c r="A800" t="s">
        <v>929</v>
      </c>
      <c r="B800" s="2">
        <v>45742</v>
      </c>
      <c r="C800" t="s">
        <v>71</v>
      </c>
      <c r="D800" t="s">
        <v>72</v>
      </c>
      <c r="E800" t="s">
        <v>48</v>
      </c>
      <c r="F800" t="s">
        <v>57</v>
      </c>
      <c r="G800" t="s">
        <v>74</v>
      </c>
      <c r="H800" t="s">
        <v>75</v>
      </c>
      <c r="I800">
        <v>2</v>
      </c>
      <c r="J800" s="3">
        <v>7820.47</v>
      </c>
      <c r="K800" s="3">
        <v>15640.94</v>
      </c>
      <c r="L800" t="s">
        <v>34</v>
      </c>
      <c r="M800" s="2">
        <v>45760</v>
      </c>
      <c r="N800" s="2">
        <v>45759</v>
      </c>
      <c r="O800" t="s">
        <v>43</v>
      </c>
      <c r="P800" t="s">
        <v>53</v>
      </c>
      <c r="Q800" t="s">
        <v>28</v>
      </c>
      <c r="R800" t="s">
        <v>29</v>
      </c>
    </row>
    <row r="801" spans="1:18">
      <c r="A801" t="s">
        <v>930</v>
      </c>
      <c r="B801" s="2">
        <v>46033</v>
      </c>
      <c r="C801" t="s">
        <v>147</v>
      </c>
      <c r="D801" t="s">
        <v>148</v>
      </c>
      <c r="E801" t="s">
        <v>112</v>
      </c>
      <c r="F801" t="s">
        <v>40</v>
      </c>
      <c r="G801" t="s">
        <v>62</v>
      </c>
      <c r="H801" t="s">
        <v>63</v>
      </c>
      <c r="I801">
        <v>2</v>
      </c>
      <c r="J801" s="3">
        <v>18119.95</v>
      </c>
      <c r="K801" s="3">
        <v>36239.9</v>
      </c>
      <c r="L801" t="s">
        <v>34</v>
      </c>
      <c r="M801" s="2">
        <v>46041</v>
      </c>
      <c r="N801" s="2">
        <v>46040</v>
      </c>
      <c r="O801" t="s">
        <v>43</v>
      </c>
      <c r="P801" t="s">
        <v>115</v>
      </c>
      <c r="Q801" t="s">
        <v>28</v>
      </c>
      <c r="R801" t="s">
        <v>29</v>
      </c>
    </row>
    <row r="802" spans="1:18">
      <c r="A802" t="s">
        <v>931</v>
      </c>
      <c r="B802" s="2">
        <v>46112</v>
      </c>
      <c r="C802" t="s">
        <v>142</v>
      </c>
      <c r="D802" t="s">
        <v>143</v>
      </c>
      <c r="E802" t="s">
        <v>31</v>
      </c>
      <c r="F802" t="s">
        <v>22</v>
      </c>
      <c r="G802" t="s">
        <v>32</v>
      </c>
      <c r="H802" t="s">
        <v>33</v>
      </c>
      <c r="I802">
        <v>14</v>
      </c>
      <c r="J802" s="3">
        <v>7933.98</v>
      </c>
      <c r="K802" s="3">
        <v>111075.72</v>
      </c>
      <c r="L802" t="s">
        <v>25</v>
      </c>
      <c r="M802" s="2">
        <v>46130</v>
      </c>
      <c r="N802" s="2">
        <v>46128</v>
      </c>
      <c r="O802" t="s">
        <v>76</v>
      </c>
      <c r="P802" t="s">
        <v>94</v>
      </c>
      <c r="Q802" t="s">
        <v>28</v>
      </c>
      <c r="R802" t="s">
        <v>29</v>
      </c>
    </row>
    <row r="803" spans="1:18">
      <c r="A803" t="s">
        <v>932</v>
      </c>
      <c r="B803" s="2">
        <v>46007</v>
      </c>
      <c r="C803" t="s">
        <v>131</v>
      </c>
      <c r="D803" t="s">
        <v>132</v>
      </c>
      <c r="E803" t="s">
        <v>48</v>
      </c>
      <c r="F803" t="s">
        <v>57</v>
      </c>
      <c r="G803" t="s">
        <v>127</v>
      </c>
      <c r="H803" t="s">
        <v>128</v>
      </c>
      <c r="I803">
        <v>2</v>
      </c>
      <c r="J803" s="3">
        <v>16586.53</v>
      </c>
      <c r="K803" s="3">
        <v>33173.06</v>
      </c>
      <c r="L803" t="s">
        <v>25</v>
      </c>
      <c r="M803" s="2">
        <v>46014</v>
      </c>
      <c r="N803" s="2">
        <v>46013</v>
      </c>
      <c r="O803" t="s">
        <v>43</v>
      </c>
      <c r="P803" t="s">
        <v>53</v>
      </c>
      <c r="Q803" t="s">
        <v>28</v>
      </c>
      <c r="R803" t="s">
        <v>29</v>
      </c>
    </row>
    <row r="804" spans="1:18">
      <c r="A804" t="s">
        <v>933</v>
      </c>
      <c r="B804" s="2">
        <v>45668</v>
      </c>
      <c r="C804" t="s">
        <v>37</v>
      </c>
      <c r="D804" t="s">
        <v>38</v>
      </c>
      <c r="E804" t="s">
        <v>73</v>
      </c>
      <c r="F804" t="s">
        <v>22</v>
      </c>
      <c r="G804" t="s">
        <v>32</v>
      </c>
      <c r="H804" t="s">
        <v>33</v>
      </c>
      <c r="I804">
        <v>11</v>
      </c>
      <c r="J804" s="3">
        <v>8243.35</v>
      </c>
      <c r="K804" s="3">
        <v>90676.85</v>
      </c>
      <c r="L804" t="s">
        <v>34</v>
      </c>
      <c r="M804" s="2">
        <v>45683</v>
      </c>
      <c r="N804" s="2">
        <v>45682</v>
      </c>
      <c r="O804" t="s">
        <v>26</v>
      </c>
      <c r="P804" t="s">
        <v>77</v>
      </c>
      <c r="Q804" t="s">
        <v>28</v>
      </c>
      <c r="R804" t="s">
        <v>29</v>
      </c>
    </row>
    <row r="805" spans="1:18">
      <c r="A805" t="s">
        <v>934</v>
      </c>
      <c r="B805" s="2">
        <v>45712</v>
      </c>
      <c r="C805" t="s">
        <v>46</v>
      </c>
      <c r="D805" t="s">
        <v>47</v>
      </c>
      <c r="E805" t="s">
        <v>21</v>
      </c>
      <c r="F805" t="s">
        <v>49</v>
      </c>
      <c r="G805" t="s">
        <v>50</v>
      </c>
      <c r="H805" t="s">
        <v>51</v>
      </c>
      <c r="I805">
        <v>1</v>
      </c>
      <c r="J805" s="3">
        <v>54968.89</v>
      </c>
      <c r="K805" s="3">
        <v>54968.89</v>
      </c>
      <c r="L805" t="s">
        <v>52</v>
      </c>
      <c r="M805" s="2">
        <v>45721</v>
      </c>
      <c r="N805" s="2">
        <v>45720</v>
      </c>
      <c r="O805" t="s">
        <v>76</v>
      </c>
      <c r="P805" t="s">
        <v>27</v>
      </c>
      <c r="Q805" t="s">
        <v>28</v>
      </c>
      <c r="R805" t="s">
        <v>29</v>
      </c>
    </row>
    <row r="806" spans="1:18">
      <c r="A806" t="s">
        <v>935</v>
      </c>
      <c r="B806" s="2">
        <v>45928</v>
      </c>
      <c r="C806" t="s">
        <v>66</v>
      </c>
      <c r="D806" t="s">
        <v>67</v>
      </c>
      <c r="E806" t="s">
        <v>21</v>
      </c>
      <c r="F806" t="s">
        <v>49</v>
      </c>
      <c r="G806" t="s">
        <v>165</v>
      </c>
      <c r="H806" t="s">
        <v>166</v>
      </c>
      <c r="I806">
        <v>1</v>
      </c>
      <c r="J806" s="3">
        <v>43958.77</v>
      </c>
      <c r="K806" s="3">
        <v>43958.77</v>
      </c>
      <c r="L806" t="s">
        <v>25</v>
      </c>
      <c r="M806" s="2">
        <v>45933</v>
      </c>
      <c r="N806" s="2">
        <v>45930</v>
      </c>
      <c r="O806" t="s">
        <v>26</v>
      </c>
      <c r="P806" t="s">
        <v>27</v>
      </c>
      <c r="Q806" t="s">
        <v>28</v>
      </c>
      <c r="R806" t="s">
        <v>29</v>
      </c>
    </row>
    <row r="807" spans="1:18">
      <c r="A807" t="s">
        <v>936</v>
      </c>
      <c r="B807" s="2">
        <v>45953</v>
      </c>
      <c r="C807" t="s">
        <v>46</v>
      </c>
      <c r="D807" t="s">
        <v>47</v>
      </c>
      <c r="E807" t="s">
        <v>48</v>
      </c>
      <c r="F807" t="s">
        <v>49</v>
      </c>
      <c r="G807" t="s">
        <v>113</v>
      </c>
      <c r="H807" t="s">
        <v>114</v>
      </c>
      <c r="I807">
        <v>1</v>
      </c>
      <c r="J807" s="3">
        <v>39432.71</v>
      </c>
      <c r="K807" s="3">
        <v>39432.71</v>
      </c>
      <c r="L807" t="s">
        <v>25</v>
      </c>
      <c r="M807" s="2">
        <v>45965</v>
      </c>
      <c r="N807" s="2">
        <v>45965</v>
      </c>
      <c r="O807" t="s">
        <v>26</v>
      </c>
      <c r="P807" t="s">
        <v>53</v>
      </c>
      <c r="Q807" t="s">
        <v>28</v>
      </c>
      <c r="R807" t="s">
        <v>29</v>
      </c>
    </row>
    <row r="808" spans="1:18">
      <c r="A808" t="s">
        <v>937</v>
      </c>
      <c r="B808" s="2">
        <v>45801</v>
      </c>
      <c r="C808" t="s">
        <v>71</v>
      </c>
      <c r="D808" t="s">
        <v>72</v>
      </c>
      <c r="E808" t="s">
        <v>21</v>
      </c>
      <c r="F808" t="s">
        <v>57</v>
      </c>
      <c r="G808" t="s">
        <v>74</v>
      </c>
      <c r="H808" t="s">
        <v>75</v>
      </c>
      <c r="I808">
        <v>6</v>
      </c>
      <c r="J808" s="3">
        <v>8431.99</v>
      </c>
      <c r="K808" s="3">
        <v>50591.94</v>
      </c>
      <c r="L808" t="s">
        <v>52</v>
      </c>
      <c r="M808" s="2">
        <v>45817</v>
      </c>
      <c r="N808" s="2">
        <v>45824</v>
      </c>
      <c r="O808" t="s">
        <v>43</v>
      </c>
      <c r="P808" t="s">
        <v>27</v>
      </c>
      <c r="Q808" t="s">
        <v>28</v>
      </c>
      <c r="R808" t="s">
        <v>129</v>
      </c>
    </row>
    <row r="809" spans="1:18">
      <c r="A809" t="s">
        <v>938</v>
      </c>
      <c r="B809" s="2">
        <v>46089</v>
      </c>
      <c r="C809" t="s">
        <v>37</v>
      </c>
      <c r="D809" t="s">
        <v>38</v>
      </c>
      <c r="E809" t="s">
        <v>21</v>
      </c>
      <c r="F809" t="s">
        <v>22</v>
      </c>
      <c r="G809" t="s">
        <v>23</v>
      </c>
      <c r="H809" t="s">
        <v>24</v>
      </c>
      <c r="I809">
        <v>34</v>
      </c>
      <c r="J809" s="3">
        <v>258.89</v>
      </c>
      <c r="K809" s="3">
        <v>8802.26</v>
      </c>
      <c r="L809" t="s">
        <v>25</v>
      </c>
      <c r="M809" s="2">
        <v>46102</v>
      </c>
      <c r="N809" s="2">
        <v>46102</v>
      </c>
      <c r="O809" t="s">
        <v>60</v>
      </c>
      <c r="P809" t="s">
        <v>27</v>
      </c>
      <c r="Q809" t="s">
        <v>28</v>
      </c>
      <c r="R809" t="s">
        <v>29</v>
      </c>
    </row>
    <row r="810" spans="1:18">
      <c r="A810" t="s">
        <v>939</v>
      </c>
      <c r="B810" s="2">
        <v>46066</v>
      </c>
      <c r="C810" t="s">
        <v>71</v>
      </c>
      <c r="D810" t="s">
        <v>72</v>
      </c>
      <c r="E810" t="s">
        <v>21</v>
      </c>
      <c r="F810" t="s">
        <v>57</v>
      </c>
      <c r="G810" t="s">
        <v>58</v>
      </c>
      <c r="H810" t="s">
        <v>59</v>
      </c>
      <c r="I810">
        <v>7</v>
      </c>
      <c r="J810" s="3">
        <v>53417.61</v>
      </c>
      <c r="K810" s="3">
        <v>373923.27</v>
      </c>
      <c r="L810" t="s">
        <v>34</v>
      </c>
      <c r="M810" s="2">
        <v>46075</v>
      </c>
      <c r="N810" s="2">
        <v>46080</v>
      </c>
      <c r="O810" t="s">
        <v>43</v>
      </c>
      <c r="P810" t="s">
        <v>27</v>
      </c>
      <c r="Q810" t="s">
        <v>28</v>
      </c>
      <c r="R810" t="s">
        <v>129</v>
      </c>
    </row>
    <row r="811" spans="1:18">
      <c r="A811" t="s">
        <v>940</v>
      </c>
      <c r="B811" s="2">
        <v>46094</v>
      </c>
      <c r="C811" t="s">
        <v>37</v>
      </c>
      <c r="D811" t="s">
        <v>38</v>
      </c>
      <c r="E811" t="s">
        <v>112</v>
      </c>
      <c r="F811" t="s">
        <v>40</v>
      </c>
      <c r="G811" t="s">
        <v>41</v>
      </c>
      <c r="H811" t="s">
        <v>42</v>
      </c>
      <c r="I811">
        <v>5</v>
      </c>
      <c r="J811" s="3">
        <v>5633.4</v>
      </c>
      <c r="K811" s="3">
        <v>28167</v>
      </c>
      <c r="L811" t="s">
        <v>52</v>
      </c>
      <c r="M811" s="2">
        <v>46108</v>
      </c>
      <c r="N811" s="2">
        <v>46107</v>
      </c>
      <c r="O811" t="s">
        <v>26</v>
      </c>
      <c r="P811" t="s">
        <v>115</v>
      </c>
      <c r="Q811" t="s">
        <v>28</v>
      </c>
      <c r="R811" t="s">
        <v>29</v>
      </c>
    </row>
    <row r="812" spans="1:18">
      <c r="A812" t="s">
        <v>941</v>
      </c>
      <c r="B812" s="2">
        <v>45974</v>
      </c>
      <c r="C812" t="s">
        <v>134</v>
      </c>
      <c r="D812" t="s">
        <v>135</v>
      </c>
      <c r="E812" t="s">
        <v>39</v>
      </c>
      <c r="F812" t="s">
        <v>40</v>
      </c>
      <c r="G812" t="s">
        <v>62</v>
      </c>
      <c r="H812" t="s">
        <v>63</v>
      </c>
      <c r="I812">
        <v>3</v>
      </c>
      <c r="J812" s="3">
        <v>18526.88</v>
      </c>
      <c r="K812" s="3">
        <v>55580.639999999999</v>
      </c>
      <c r="L812" t="s">
        <v>25</v>
      </c>
      <c r="M812" s="2">
        <v>45982</v>
      </c>
      <c r="N812" s="2">
        <v>45980</v>
      </c>
      <c r="O812" t="s">
        <v>26</v>
      </c>
      <c r="P812" t="s">
        <v>64</v>
      </c>
      <c r="Q812" t="s">
        <v>28</v>
      </c>
      <c r="R812" t="s">
        <v>29</v>
      </c>
    </row>
    <row r="813" spans="1:18">
      <c r="A813" t="s">
        <v>942</v>
      </c>
      <c r="B813" s="2">
        <v>45866</v>
      </c>
      <c r="C813" t="s">
        <v>71</v>
      </c>
      <c r="D813" t="s">
        <v>72</v>
      </c>
      <c r="E813" t="s">
        <v>48</v>
      </c>
      <c r="F813" t="s">
        <v>57</v>
      </c>
      <c r="G813" t="s">
        <v>120</v>
      </c>
      <c r="H813" t="s">
        <v>121</v>
      </c>
      <c r="I813">
        <v>1</v>
      </c>
      <c r="J813" s="3">
        <v>21085.25</v>
      </c>
      <c r="K813" s="3">
        <v>21085.25</v>
      </c>
      <c r="L813" t="s">
        <v>25</v>
      </c>
      <c r="M813" s="2">
        <v>45878</v>
      </c>
      <c r="N813" s="2">
        <v>45881</v>
      </c>
      <c r="O813" t="s">
        <v>60</v>
      </c>
      <c r="P813" t="s">
        <v>53</v>
      </c>
      <c r="Q813" t="s">
        <v>28</v>
      </c>
      <c r="R813" t="s">
        <v>129</v>
      </c>
    </row>
    <row r="814" spans="1:18">
      <c r="A814" t="s">
        <v>943</v>
      </c>
      <c r="B814" s="2">
        <v>45756</v>
      </c>
      <c r="C814" t="s">
        <v>19</v>
      </c>
      <c r="D814" t="s">
        <v>20</v>
      </c>
      <c r="E814" t="s">
        <v>21</v>
      </c>
      <c r="F814" t="s">
        <v>22</v>
      </c>
      <c r="G814" t="s">
        <v>160</v>
      </c>
      <c r="H814" t="s">
        <v>161</v>
      </c>
      <c r="I814">
        <v>14</v>
      </c>
      <c r="J814" s="3">
        <v>3049.09</v>
      </c>
      <c r="K814" s="3">
        <v>42687.26</v>
      </c>
      <c r="L814" t="s">
        <v>34</v>
      </c>
      <c r="M814" s="2">
        <v>45771</v>
      </c>
      <c r="N814" s="2">
        <v>45768</v>
      </c>
      <c r="O814" t="s">
        <v>43</v>
      </c>
      <c r="P814" t="s">
        <v>27</v>
      </c>
      <c r="Q814" t="s">
        <v>28</v>
      </c>
      <c r="R814" t="s">
        <v>29</v>
      </c>
    </row>
    <row r="815" spans="1:18">
      <c r="A815" t="s">
        <v>944</v>
      </c>
      <c r="B815" s="2">
        <v>45685</v>
      </c>
      <c r="C815" t="s">
        <v>89</v>
      </c>
      <c r="D815" t="s">
        <v>90</v>
      </c>
      <c r="E815" t="s">
        <v>31</v>
      </c>
      <c r="F815" t="s">
        <v>91</v>
      </c>
      <c r="G815" t="s">
        <v>109</v>
      </c>
      <c r="H815" t="s">
        <v>110</v>
      </c>
      <c r="I815">
        <v>1</v>
      </c>
      <c r="J815" s="3">
        <v>12564.14</v>
      </c>
      <c r="K815" s="3">
        <v>12564.14</v>
      </c>
      <c r="L815" t="s">
        <v>52</v>
      </c>
      <c r="M815" s="2">
        <v>45699</v>
      </c>
      <c r="N815" s="2">
        <v>45696</v>
      </c>
      <c r="O815" t="s">
        <v>26</v>
      </c>
      <c r="P815" t="s">
        <v>94</v>
      </c>
      <c r="Q815" t="s">
        <v>28</v>
      </c>
      <c r="R815" t="s">
        <v>29</v>
      </c>
    </row>
    <row r="816" spans="1:18">
      <c r="A816" t="s">
        <v>945</v>
      </c>
      <c r="B816" s="2">
        <v>46169</v>
      </c>
      <c r="C816" t="s">
        <v>134</v>
      </c>
      <c r="D816" t="s">
        <v>135</v>
      </c>
      <c r="E816" t="s">
        <v>39</v>
      </c>
      <c r="F816" t="s">
        <v>40</v>
      </c>
      <c r="G816" t="s">
        <v>41</v>
      </c>
      <c r="H816" t="s">
        <v>42</v>
      </c>
      <c r="I816">
        <v>7</v>
      </c>
      <c r="J816" s="3">
        <v>5501.87</v>
      </c>
      <c r="K816" s="3">
        <v>38513.089999999997</v>
      </c>
      <c r="L816" t="s">
        <v>34</v>
      </c>
      <c r="M816" s="2">
        <v>46176</v>
      </c>
      <c r="N816" s="2">
        <v>46173</v>
      </c>
      <c r="O816" t="s">
        <v>60</v>
      </c>
      <c r="P816" t="s">
        <v>64</v>
      </c>
      <c r="Q816" t="s">
        <v>28</v>
      </c>
      <c r="R816" t="s">
        <v>29</v>
      </c>
    </row>
    <row r="817" spans="1:18">
      <c r="A817" t="s">
        <v>946</v>
      </c>
      <c r="B817" s="2">
        <v>46089</v>
      </c>
      <c r="C817" t="s">
        <v>71</v>
      </c>
      <c r="D817" t="s">
        <v>72</v>
      </c>
      <c r="E817" t="s">
        <v>73</v>
      </c>
      <c r="F817" t="s">
        <v>57</v>
      </c>
      <c r="G817" t="s">
        <v>101</v>
      </c>
      <c r="H817" t="s">
        <v>102</v>
      </c>
      <c r="I817">
        <v>48</v>
      </c>
      <c r="J817" s="3">
        <v>1628.68</v>
      </c>
      <c r="K817" s="3">
        <v>78176.639999999999</v>
      </c>
      <c r="L817" t="s">
        <v>25</v>
      </c>
      <c r="M817" s="2">
        <v>46105</v>
      </c>
      <c r="N817" s="2">
        <v>46120</v>
      </c>
      <c r="O817" t="s">
        <v>43</v>
      </c>
      <c r="P817" t="s">
        <v>77</v>
      </c>
      <c r="Q817" t="s">
        <v>28</v>
      </c>
      <c r="R817" t="s">
        <v>129</v>
      </c>
    </row>
    <row r="818" spans="1:18">
      <c r="A818" t="s">
        <v>947</v>
      </c>
      <c r="B818" s="2">
        <v>45984</v>
      </c>
      <c r="C818" t="s">
        <v>142</v>
      </c>
      <c r="D818" t="s">
        <v>143</v>
      </c>
      <c r="E818" t="s">
        <v>31</v>
      </c>
      <c r="F818" t="s">
        <v>22</v>
      </c>
      <c r="G818" t="s">
        <v>160</v>
      </c>
      <c r="H818" t="s">
        <v>161</v>
      </c>
      <c r="I818">
        <v>11</v>
      </c>
      <c r="J818" s="3">
        <v>3209.36</v>
      </c>
      <c r="K818" s="3">
        <v>35302.959999999999</v>
      </c>
      <c r="L818" t="s">
        <v>25</v>
      </c>
      <c r="M818" s="2">
        <v>45995</v>
      </c>
      <c r="N818" s="2">
        <v>45995</v>
      </c>
      <c r="O818" t="s">
        <v>76</v>
      </c>
      <c r="P818" t="s">
        <v>94</v>
      </c>
      <c r="Q818" t="s">
        <v>28</v>
      </c>
      <c r="R818" t="s">
        <v>29</v>
      </c>
    </row>
    <row r="819" spans="1:18">
      <c r="A819" t="s">
        <v>948</v>
      </c>
      <c r="B819" s="2">
        <v>46119</v>
      </c>
      <c r="C819" t="s">
        <v>104</v>
      </c>
      <c r="D819" t="s">
        <v>105</v>
      </c>
      <c r="E819" t="s">
        <v>48</v>
      </c>
      <c r="F819" t="s">
        <v>49</v>
      </c>
      <c r="G819" t="s">
        <v>165</v>
      </c>
      <c r="H819" t="s">
        <v>166</v>
      </c>
      <c r="I819">
        <v>2</v>
      </c>
      <c r="J819" s="3">
        <v>43924.3</v>
      </c>
      <c r="K819" s="3">
        <v>87848.6</v>
      </c>
      <c r="L819" t="s">
        <v>25</v>
      </c>
      <c r="M819" s="2">
        <v>46132</v>
      </c>
      <c r="N819" s="2">
        <v>46132</v>
      </c>
      <c r="O819" t="s">
        <v>76</v>
      </c>
      <c r="P819" t="s">
        <v>53</v>
      </c>
      <c r="Q819" t="s">
        <v>28</v>
      </c>
      <c r="R819" t="s">
        <v>29</v>
      </c>
    </row>
    <row r="820" spans="1:18">
      <c r="A820" t="s">
        <v>949</v>
      </c>
      <c r="B820" s="2">
        <v>45860</v>
      </c>
      <c r="C820" t="s">
        <v>117</v>
      </c>
      <c r="D820" t="s">
        <v>118</v>
      </c>
      <c r="E820" t="s">
        <v>31</v>
      </c>
      <c r="F820" t="s">
        <v>57</v>
      </c>
      <c r="G820" t="s">
        <v>74</v>
      </c>
      <c r="H820" t="s">
        <v>75</v>
      </c>
      <c r="I820">
        <v>2</v>
      </c>
      <c r="J820" s="3">
        <v>8594.26</v>
      </c>
      <c r="K820" s="3">
        <v>17188.52</v>
      </c>
      <c r="L820" t="s">
        <v>25</v>
      </c>
      <c r="M820" s="2">
        <v>45878</v>
      </c>
      <c r="N820" s="2">
        <v>45876</v>
      </c>
      <c r="O820" t="s">
        <v>76</v>
      </c>
      <c r="P820" t="s">
        <v>35</v>
      </c>
      <c r="Q820" t="s">
        <v>28</v>
      </c>
      <c r="R820" t="s">
        <v>29</v>
      </c>
    </row>
    <row r="821" spans="1:18">
      <c r="A821" t="s">
        <v>950</v>
      </c>
      <c r="B821" s="2">
        <v>46093</v>
      </c>
      <c r="C821" t="s">
        <v>142</v>
      </c>
      <c r="D821" t="s">
        <v>143</v>
      </c>
      <c r="E821" t="s">
        <v>21</v>
      </c>
      <c r="F821" t="s">
        <v>22</v>
      </c>
      <c r="G821" t="s">
        <v>32</v>
      </c>
      <c r="H821" t="s">
        <v>33</v>
      </c>
      <c r="I821">
        <v>7</v>
      </c>
      <c r="J821" s="3">
        <v>7693.85</v>
      </c>
      <c r="K821" s="3">
        <v>53856.95</v>
      </c>
      <c r="L821" t="s">
        <v>34</v>
      </c>
      <c r="M821" s="2">
        <v>46098</v>
      </c>
      <c r="N821" s="2">
        <v>46096</v>
      </c>
      <c r="O821" t="s">
        <v>43</v>
      </c>
      <c r="P821" t="s">
        <v>27</v>
      </c>
      <c r="Q821" t="s">
        <v>28</v>
      </c>
      <c r="R821" t="s">
        <v>29</v>
      </c>
    </row>
    <row r="822" spans="1:18">
      <c r="A822" t="s">
        <v>951</v>
      </c>
      <c r="B822" s="2">
        <v>45695</v>
      </c>
      <c r="C822" t="s">
        <v>19</v>
      </c>
      <c r="D822" t="s">
        <v>20</v>
      </c>
      <c r="E822" t="s">
        <v>73</v>
      </c>
      <c r="F822" t="s">
        <v>22</v>
      </c>
      <c r="G822" t="s">
        <v>23</v>
      </c>
      <c r="H822" t="s">
        <v>24</v>
      </c>
      <c r="I822">
        <v>14</v>
      </c>
      <c r="J822" s="3">
        <v>221.32</v>
      </c>
      <c r="K822" s="3">
        <v>3098.48</v>
      </c>
      <c r="L822" t="s">
        <v>25</v>
      </c>
      <c r="M822" s="2">
        <v>45710</v>
      </c>
      <c r="N822" s="2">
        <v>45708</v>
      </c>
      <c r="O822" t="s">
        <v>60</v>
      </c>
      <c r="P822" t="s">
        <v>77</v>
      </c>
      <c r="Q822" t="s">
        <v>28</v>
      </c>
      <c r="R822" t="s">
        <v>29</v>
      </c>
    </row>
    <row r="823" spans="1:18">
      <c r="A823" t="s">
        <v>952</v>
      </c>
      <c r="B823" s="2">
        <v>46194</v>
      </c>
      <c r="C823" t="s">
        <v>37</v>
      </c>
      <c r="D823" t="s">
        <v>38</v>
      </c>
      <c r="E823" t="s">
        <v>39</v>
      </c>
      <c r="F823" t="s">
        <v>40</v>
      </c>
      <c r="G823" t="s">
        <v>136</v>
      </c>
      <c r="H823" t="s">
        <v>137</v>
      </c>
      <c r="I823">
        <v>51</v>
      </c>
      <c r="J823" s="3">
        <v>1791.7</v>
      </c>
      <c r="K823" s="3">
        <v>91376.7</v>
      </c>
      <c r="L823" t="s">
        <v>52</v>
      </c>
      <c r="M823" s="2">
        <v>46209</v>
      </c>
      <c r="N823" s="2">
        <v>46209</v>
      </c>
      <c r="O823" t="s">
        <v>43</v>
      </c>
      <c r="P823" t="s">
        <v>44</v>
      </c>
      <c r="Q823" t="s">
        <v>28</v>
      </c>
      <c r="R823" t="s">
        <v>29</v>
      </c>
    </row>
    <row r="824" spans="1:18">
      <c r="A824" t="s">
        <v>953</v>
      </c>
      <c r="B824" s="2">
        <v>45967</v>
      </c>
      <c r="C824" t="s">
        <v>80</v>
      </c>
      <c r="D824" t="s">
        <v>81</v>
      </c>
      <c r="E824" t="s">
        <v>39</v>
      </c>
      <c r="F824" t="s">
        <v>82</v>
      </c>
      <c r="G824" t="s">
        <v>98</v>
      </c>
      <c r="H824" t="s">
        <v>99</v>
      </c>
      <c r="I824">
        <v>10</v>
      </c>
      <c r="J824" s="3">
        <v>1121.82</v>
      </c>
      <c r="K824" s="3">
        <v>11218.2</v>
      </c>
      <c r="L824" t="s">
        <v>34</v>
      </c>
      <c r="M824" s="2">
        <v>45985</v>
      </c>
      <c r="N824" s="2">
        <v>45985</v>
      </c>
      <c r="O824" t="s">
        <v>76</v>
      </c>
      <c r="P824" t="s">
        <v>44</v>
      </c>
      <c r="Q824" t="s">
        <v>28</v>
      </c>
      <c r="R824" t="s">
        <v>29</v>
      </c>
    </row>
    <row r="825" spans="1:18">
      <c r="A825" t="s">
        <v>954</v>
      </c>
      <c r="B825" s="2">
        <v>46184</v>
      </c>
      <c r="C825" t="s">
        <v>71</v>
      </c>
      <c r="D825" t="s">
        <v>72</v>
      </c>
      <c r="E825" t="s">
        <v>48</v>
      </c>
      <c r="F825" t="s">
        <v>57</v>
      </c>
      <c r="G825" t="s">
        <v>58</v>
      </c>
      <c r="H825" t="s">
        <v>59</v>
      </c>
      <c r="I825">
        <v>7</v>
      </c>
      <c r="J825" s="3">
        <v>52136.7</v>
      </c>
      <c r="K825" s="3">
        <v>364956.9</v>
      </c>
      <c r="L825" t="s">
        <v>25</v>
      </c>
      <c r="M825" s="2">
        <v>46193</v>
      </c>
      <c r="N825" s="2">
        <v>46192</v>
      </c>
      <c r="O825" t="s">
        <v>43</v>
      </c>
      <c r="P825" t="s">
        <v>53</v>
      </c>
      <c r="Q825" t="s">
        <v>28</v>
      </c>
      <c r="R825" t="s">
        <v>29</v>
      </c>
    </row>
    <row r="826" spans="1:18">
      <c r="A826" t="s">
        <v>955</v>
      </c>
      <c r="B826" s="2">
        <v>45937</v>
      </c>
      <c r="C826" t="s">
        <v>37</v>
      </c>
      <c r="D826" t="s">
        <v>38</v>
      </c>
      <c r="E826" t="s">
        <v>39</v>
      </c>
      <c r="F826" t="s">
        <v>40</v>
      </c>
      <c r="G826" t="s">
        <v>149</v>
      </c>
      <c r="H826" t="s">
        <v>150</v>
      </c>
      <c r="I826">
        <v>55</v>
      </c>
      <c r="J826" s="3">
        <v>1446.84</v>
      </c>
      <c r="K826" s="3">
        <v>79576.2</v>
      </c>
      <c r="L826" t="s">
        <v>25</v>
      </c>
      <c r="M826" s="2">
        <v>45952</v>
      </c>
      <c r="N826" s="2">
        <v>45951</v>
      </c>
      <c r="O826" t="s">
        <v>76</v>
      </c>
      <c r="P826" t="s">
        <v>64</v>
      </c>
      <c r="Q826" t="s">
        <v>28</v>
      </c>
      <c r="R826" t="s">
        <v>29</v>
      </c>
    </row>
    <row r="827" spans="1:18">
      <c r="A827" t="s">
        <v>956</v>
      </c>
      <c r="B827" s="2">
        <v>45723</v>
      </c>
      <c r="C827" t="s">
        <v>46</v>
      </c>
      <c r="D827" t="s">
        <v>47</v>
      </c>
      <c r="E827" t="s">
        <v>48</v>
      </c>
      <c r="F827" t="s">
        <v>49</v>
      </c>
      <c r="G827" t="s">
        <v>68</v>
      </c>
      <c r="H827" t="s">
        <v>69</v>
      </c>
      <c r="I827">
        <v>2</v>
      </c>
      <c r="J827" s="3">
        <v>50350.22</v>
      </c>
      <c r="K827" s="3">
        <v>100700.44</v>
      </c>
      <c r="L827" t="s">
        <v>25</v>
      </c>
      <c r="M827" s="2">
        <v>45735</v>
      </c>
      <c r="N827" s="2">
        <v>45735</v>
      </c>
      <c r="O827" t="s">
        <v>76</v>
      </c>
      <c r="P827" t="s">
        <v>53</v>
      </c>
      <c r="Q827" t="s">
        <v>28</v>
      </c>
      <c r="R827" t="s">
        <v>29</v>
      </c>
    </row>
    <row r="828" spans="1:18">
      <c r="A828" t="s">
        <v>957</v>
      </c>
      <c r="B828" s="2">
        <v>46113</v>
      </c>
      <c r="C828" t="s">
        <v>134</v>
      </c>
      <c r="D828" t="s">
        <v>135</v>
      </c>
      <c r="E828" t="s">
        <v>112</v>
      </c>
      <c r="F828" t="s">
        <v>40</v>
      </c>
      <c r="G828" t="s">
        <v>149</v>
      </c>
      <c r="H828" t="s">
        <v>150</v>
      </c>
      <c r="I828">
        <v>29</v>
      </c>
      <c r="J828" s="3">
        <v>1316.66</v>
      </c>
      <c r="K828" s="3">
        <v>38183.14</v>
      </c>
      <c r="L828" t="s">
        <v>34</v>
      </c>
      <c r="M828" s="2">
        <v>46122</v>
      </c>
      <c r="N828" s="2">
        <v>46122</v>
      </c>
      <c r="O828" t="s">
        <v>76</v>
      </c>
      <c r="P828" t="s">
        <v>115</v>
      </c>
      <c r="Q828" t="s">
        <v>28</v>
      </c>
      <c r="R828" t="s">
        <v>29</v>
      </c>
    </row>
    <row r="829" spans="1:18">
      <c r="A829" t="s">
        <v>958</v>
      </c>
      <c r="B829" s="2">
        <v>46200</v>
      </c>
      <c r="C829" t="s">
        <v>46</v>
      </c>
      <c r="D829" t="s">
        <v>47</v>
      </c>
      <c r="E829" t="s">
        <v>21</v>
      </c>
      <c r="F829" t="s">
        <v>49</v>
      </c>
      <c r="G829" t="s">
        <v>68</v>
      </c>
      <c r="H829" t="s">
        <v>69</v>
      </c>
      <c r="I829">
        <v>3</v>
      </c>
      <c r="J829" s="3">
        <v>48980.18</v>
      </c>
      <c r="K829" s="3">
        <v>146940.54</v>
      </c>
      <c r="L829" t="s">
        <v>25</v>
      </c>
      <c r="M829" s="2">
        <v>46214</v>
      </c>
      <c r="N829" s="2">
        <v>46212</v>
      </c>
      <c r="O829" t="s">
        <v>43</v>
      </c>
      <c r="P829" t="s">
        <v>27</v>
      </c>
      <c r="Q829" t="s">
        <v>28</v>
      </c>
      <c r="R829" t="s">
        <v>29</v>
      </c>
    </row>
    <row r="830" spans="1:18">
      <c r="A830" t="s">
        <v>959</v>
      </c>
      <c r="B830" s="2">
        <v>45792</v>
      </c>
      <c r="C830" t="s">
        <v>142</v>
      </c>
      <c r="D830" t="s">
        <v>143</v>
      </c>
      <c r="E830" t="s">
        <v>112</v>
      </c>
      <c r="F830" t="s">
        <v>22</v>
      </c>
      <c r="G830" t="s">
        <v>23</v>
      </c>
      <c r="H830" t="s">
        <v>24</v>
      </c>
      <c r="I830">
        <v>12</v>
      </c>
      <c r="J830" s="3">
        <v>254.25</v>
      </c>
      <c r="K830" s="3">
        <v>3051</v>
      </c>
      <c r="L830" t="s">
        <v>34</v>
      </c>
      <c r="M830" s="2">
        <v>45806</v>
      </c>
      <c r="N830" s="2">
        <v>45805</v>
      </c>
      <c r="O830" t="s">
        <v>60</v>
      </c>
      <c r="P830" t="s">
        <v>115</v>
      </c>
      <c r="Q830" t="s">
        <v>28</v>
      </c>
      <c r="R830" t="s">
        <v>29</v>
      </c>
    </row>
    <row r="831" spans="1:18">
      <c r="A831" t="s">
        <v>960</v>
      </c>
      <c r="B831" s="2">
        <v>45943</v>
      </c>
      <c r="C831" t="s">
        <v>37</v>
      </c>
      <c r="D831" t="s">
        <v>38</v>
      </c>
      <c r="E831" t="s">
        <v>73</v>
      </c>
      <c r="F831" t="s">
        <v>22</v>
      </c>
      <c r="G831" t="s">
        <v>32</v>
      </c>
      <c r="H831" t="s">
        <v>33</v>
      </c>
      <c r="I831">
        <v>13</v>
      </c>
      <c r="J831" s="3">
        <v>8733.43</v>
      </c>
      <c r="K831" s="3">
        <v>113534.59</v>
      </c>
      <c r="L831" t="s">
        <v>25</v>
      </c>
      <c r="M831" s="2">
        <v>45958</v>
      </c>
      <c r="N831" s="2">
        <v>45955</v>
      </c>
      <c r="O831" t="s">
        <v>60</v>
      </c>
      <c r="P831" t="s">
        <v>77</v>
      </c>
      <c r="Q831" t="s">
        <v>28</v>
      </c>
      <c r="R831" t="s">
        <v>29</v>
      </c>
    </row>
    <row r="832" spans="1:18">
      <c r="A832" t="s">
        <v>961</v>
      </c>
      <c r="B832" s="2">
        <v>46133</v>
      </c>
      <c r="C832" t="s">
        <v>142</v>
      </c>
      <c r="D832" t="s">
        <v>143</v>
      </c>
      <c r="E832" t="s">
        <v>112</v>
      </c>
      <c r="F832" t="s">
        <v>22</v>
      </c>
      <c r="G832" t="s">
        <v>23</v>
      </c>
      <c r="H832" t="s">
        <v>24</v>
      </c>
      <c r="I832">
        <v>58</v>
      </c>
      <c r="J832" s="3">
        <v>249.39</v>
      </c>
      <c r="K832" s="3">
        <v>14464.62</v>
      </c>
      <c r="L832" t="s">
        <v>34</v>
      </c>
      <c r="M832" s="2">
        <v>46143</v>
      </c>
      <c r="N832" s="2">
        <v>46142</v>
      </c>
      <c r="O832" t="s">
        <v>43</v>
      </c>
      <c r="P832" t="s">
        <v>115</v>
      </c>
      <c r="Q832" t="s">
        <v>28</v>
      </c>
      <c r="R832" t="s">
        <v>29</v>
      </c>
    </row>
    <row r="833" spans="1:18">
      <c r="A833" t="s">
        <v>962</v>
      </c>
      <c r="B833" s="2">
        <v>46078</v>
      </c>
      <c r="C833" t="s">
        <v>19</v>
      </c>
      <c r="D833" t="s">
        <v>20</v>
      </c>
      <c r="E833" t="s">
        <v>39</v>
      </c>
      <c r="F833" t="s">
        <v>22</v>
      </c>
      <c r="G833" t="s">
        <v>23</v>
      </c>
      <c r="H833" t="s">
        <v>24</v>
      </c>
      <c r="I833">
        <v>10</v>
      </c>
      <c r="J833" s="3">
        <v>229.06</v>
      </c>
      <c r="K833" s="3">
        <v>2290.6</v>
      </c>
      <c r="L833" t="s">
        <v>52</v>
      </c>
      <c r="M833" s="2">
        <v>46092</v>
      </c>
      <c r="N833" s="2">
        <v>46089</v>
      </c>
      <c r="O833" t="s">
        <v>76</v>
      </c>
      <c r="P833" t="s">
        <v>64</v>
      </c>
      <c r="Q833" t="s">
        <v>28</v>
      </c>
      <c r="R833" t="s">
        <v>29</v>
      </c>
    </row>
    <row r="834" spans="1:18">
      <c r="A834" t="s">
        <v>963</v>
      </c>
      <c r="B834" s="2">
        <v>45828</v>
      </c>
      <c r="C834" t="s">
        <v>89</v>
      </c>
      <c r="D834" t="s">
        <v>90</v>
      </c>
      <c r="E834" t="s">
        <v>31</v>
      </c>
      <c r="F834" t="s">
        <v>91</v>
      </c>
      <c r="G834" t="s">
        <v>109</v>
      </c>
      <c r="H834" t="s">
        <v>110</v>
      </c>
      <c r="I834">
        <v>2</v>
      </c>
      <c r="J834" s="3">
        <v>12676.51</v>
      </c>
      <c r="K834" s="3">
        <v>25353.02</v>
      </c>
      <c r="L834" t="s">
        <v>52</v>
      </c>
      <c r="M834" s="2">
        <v>45841</v>
      </c>
      <c r="N834" s="2">
        <v>45840</v>
      </c>
      <c r="O834" t="s">
        <v>26</v>
      </c>
      <c r="P834" t="s">
        <v>35</v>
      </c>
      <c r="Q834" t="s">
        <v>28</v>
      </c>
      <c r="R834" t="s">
        <v>29</v>
      </c>
    </row>
    <row r="835" spans="1:18">
      <c r="A835" t="s">
        <v>964</v>
      </c>
      <c r="B835" s="2">
        <v>45903</v>
      </c>
      <c r="C835" t="s">
        <v>142</v>
      </c>
      <c r="D835" t="s">
        <v>143</v>
      </c>
      <c r="E835" t="s">
        <v>112</v>
      </c>
      <c r="F835" t="s">
        <v>22</v>
      </c>
      <c r="G835" t="s">
        <v>160</v>
      </c>
      <c r="H835" t="s">
        <v>161</v>
      </c>
      <c r="I835">
        <v>1</v>
      </c>
      <c r="J835" s="3">
        <v>3224.92</v>
      </c>
      <c r="K835" s="3">
        <v>3224.92</v>
      </c>
      <c r="L835" t="s">
        <v>25</v>
      </c>
      <c r="M835" s="2">
        <v>45911</v>
      </c>
      <c r="N835" s="2">
        <v>45908</v>
      </c>
      <c r="O835" t="s">
        <v>60</v>
      </c>
      <c r="P835" t="s">
        <v>115</v>
      </c>
      <c r="Q835" t="s">
        <v>28</v>
      </c>
      <c r="R835" t="s">
        <v>29</v>
      </c>
    </row>
    <row r="836" spans="1:18">
      <c r="A836" t="s">
        <v>965</v>
      </c>
      <c r="B836" s="2">
        <v>45821</v>
      </c>
      <c r="C836" t="s">
        <v>71</v>
      </c>
      <c r="D836" t="s">
        <v>72</v>
      </c>
      <c r="E836" t="s">
        <v>48</v>
      </c>
      <c r="F836" t="s">
        <v>57</v>
      </c>
      <c r="G836" t="s">
        <v>101</v>
      </c>
      <c r="H836" t="s">
        <v>102</v>
      </c>
      <c r="I836">
        <v>31</v>
      </c>
      <c r="J836" s="3">
        <v>1719.5</v>
      </c>
      <c r="K836" s="3">
        <v>53304.5</v>
      </c>
      <c r="L836" t="s">
        <v>52</v>
      </c>
      <c r="M836" s="2">
        <v>45839</v>
      </c>
      <c r="N836" s="2">
        <v>45836</v>
      </c>
      <c r="O836" t="s">
        <v>43</v>
      </c>
      <c r="P836" t="s">
        <v>53</v>
      </c>
      <c r="Q836" t="s">
        <v>28</v>
      </c>
      <c r="R836" t="s">
        <v>29</v>
      </c>
    </row>
    <row r="837" spans="1:18">
      <c r="A837" t="s">
        <v>966</v>
      </c>
      <c r="B837" s="2">
        <v>45682</v>
      </c>
      <c r="C837" t="s">
        <v>71</v>
      </c>
      <c r="D837" t="s">
        <v>72</v>
      </c>
      <c r="E837" t="s">
        <v>48</v>
      </c>
      <c r="F837" t="s">
        <v>57</v>
      </c>
      <c r="G837" t="s">
        <v>58</v>
      </c>
      <c r="H837" t="s">
        <v>59</v>
      </c>
      <c r="I837">
        <v>1</v>
      </c>
      <c r="J837" s="3">
        <v>55074.15</v>
      </c>
      <c r="K837" s="3">
        <v>55074.15</v>
      </c>
      <c r="L837" t="s">
        <v>25</v>
      </c>
      <c r="M837" s="2">
        <v>45692</v>
      </c>
      <c r="N837" s="2">
        <v>45689</v>
      </c>
      <c r="O837" t="s">
        <v>43</v>
      </c>
      <c r="P837" t="s">
        <v>53</v>
      </c>
      <c r="Q837" t="s">
        <v>28</v>
      </c>
      <c r="R837" t="s">
        <v>29</v>
      </c>
    </row>
    <row r="838" spans="1:18">
      <c r="A838" t="s">
        <v>967</v>
      </c>
      <c r="B838" s="2">
        <v>46033</v>
      </c>
      <c r="C838" t="s">
        <v>142</v>
      </c>
      <c r="D838" t="s">
        <v>143</v>
      </c>
      <c r="E838" t="s">
        <v>21</v>
      </c>
      <c r="F838" t="s">
        <v>22</v>
      </c>
      <c r="G838" t="s">
        <v>160</v>
      </c>
      <c r="H838" t="s">
        <v>161</v>
      </c>
      <c r="I838">
        <v>11</v>
      </c>
      <c r="J838" s="3">
        <v>3051.54</v>
      </c>
      <c r="K838" s="3">
        <v>33566.94</v>
      </c>
      <c r="L838" t="s">
        <v>25</v>
      </c>
      <c r="M838" s="2">
        <v>46049</v>
      </c>
      <c r="N838" s="2">
        <v>46062</v>
      </c>
      <c r="O838" t="s">
        <v>26</v>
      </c>
      <c r="P838" t="s">
        <v>27</v>
      </c>
      <c r="Q838" t="s">
        <v>28</v>
      </c>
      <c r="R838" t="s">
        <v>129</v>
      </c>
    </row>
    <row r="839" spans="1:18">
      <c r="A839" t="s">
        <v>968</v>
      </c>
      <c r="B839" s="2">
        <v>46008</v>
      </c>
      <c r="C839" t="s">
        <v>46</v>
      </c>
      <c r="D839" t="s">
        <v>47</v>
      </c>
      <c r="E839" t="s">
        <v>73</v>
      </c>
      <c r="F839" t="s">
        <v>49</v>
      </c>
      <c r="G839" t="s">
        <v>165</v>
      </c>
      <c r="H839" t="s">
        <v>166</v>
      </c>
      <c r="I839">
        <v>1</v>
      </c>
      <c r="J839" s="3">
        <v>48343.88</v>
      </c>
      <c r="K839" s="3">
        <v>48343.88</v>
      </c>
      <c r="L839" t="s">
        <v>25</v>
      </c>
      <c r="M839" s="2">
        <v>46015</v>
      </c>
      <c r="N839" s="2">
        <v>46015</v>
      </c>
      <c r="O839" t="s">
        <v>76</v>
      </c>
      <c r="P839" t="s">
        <v>77</v>
      </c>
      <c r="Q839" t="s">
        <v>28</v>
      </c>
      <c r="R839" t="s">
        <v>29</v>
      </c>
    </row>
    <row r="840" spans="1:18">
      <c r="A840" t="s">
        <v>969</v>
      </c>
      <c r="B840" s="2">
        <v>45956</v>
      </c>
      <c r="C840" t="s">
        <v>46</v>
      </c>
      <c r="D840" t="s">
        <v>47</v>
      </c>
      <c r="E840" t="s">
        <v>48</v>
      </c>
      <c r="F840" t="s">
        <v>49</v>
      </c>
      <c r="G840" t="s">
        <v>68</v>
      </c>
      <c r="H840" t="s">
        <v>69</v>
      </c>
      <c r="I840">
        <v>1</v>
      </c>
      <c r="J840" s="3">
        <v>51927.88</v>
      </c>
      <c r="K840" s="3">
        <v>51927.88</v>
      </c>
      <c r="L840" t="s">
        <v>25</v>
      </c>
      <c r="M840" s="2">
        <v>45972</v>
      </c>
      <c r="N840" s="2">
        <v>45971</v>
      </c>
      <c r="O840" t="s">
        <v>76</v>
      </c>
      <c r="P840" t="s">
        <v>53</v>
      </c>
      <c r="Q840" t="s">
        <v>28</v>
      </c>
      <c r="R840" t="s">
        <v>29</v>
      </c>
    </row>
    <row r="841" spans="1:18">
      <c r="A841" t="s">
        <v>970</v>
      </c>
      <c r="B841" s="2">
        <v>45921</v>
      </c>
      <c r="C841" t="s">
        <v>142</v>
      </c>
      <c r="D841" t="s">
        <v>143</v>
      </c>
      <c r="E841" t="s">
        <v>39</v>
      </c>
      <c r="F841" t="s">
        <v>22</v>
      </c>
      <c r="G841" t="s">
        <v>32</v>
      </c>
      <c r="H841" t="s">
        <v>33</v>
      </c>
      <c r="I841">
        <v>5</v>
      </c>
      <c r="J841" s="3">
        <v>7898.13</v>
      </c>
      <c r="K841" s="3">
        <v>39490.65</v>
      </c>
      <c r="L841" t="s">
        <v>25</v>
      </c>
      <c r="M841" s="2">
        <v>45931</v>
      </c>
      <c r="N841" s="2">
        <v>45928</v>
      </c>
      <c r="O841" t="s">
        <v>26</v>
      </c>
      <c r="P841" t="s">
        <v>44</v>
      </c>
      <c r="Q841" t="s">
        <v>28</v>
      </c>
      <c r="R841" t="s">
        <v>29</v>
      </c>
    </row>
    <row r="842" spans="1:18">
      <c r="A842" t="s">
        <v>971</v>
      </c>
      <c r="B842" s="2">
        <v>45817</v>
      </c>
      <c r="C842" t="s">
        <v>142</v>
      </c>
      <c r="D842" t="s">
        <v>143</v>
      </c>
      <c r="E842" t="s">
        <v>31</v>
      </c>
      <c r="F842" t="s">
        <v>22</v>
      </c>
      <c r="G842" t="s">
        <v>160</v>
      </c>
      <c r="H842" t="s">
        <v>161</v>
      </c>
      <c r="I842">
        <v>11</v>
      </c>
      <c r="J842" s="3">
        <v>3286.54</v>
      </c>
      <c r="K842" s="3">
        <v>36151.94</v>
      </c>
      <c r="L842" t="s">
        <v>25</v>
      </c>
      <c r="M842" s="2">
        <v>45824</v>
      </c>
      <c r="N842" s="2">
        <v>45821</v>
      </c>
      <c r="O842" t="s">
        <v>60</v>
      </c>
      <c r="P842" t="s">
        <v>94</v>
      </c>
      <c r="Q842" t="s">
        <v>28</v>
      </c>
      <c r="R842" t="s">
        <v>29</v>
      </c>
    </row>
    <row r="843" spans="1:18">
      <c r="A843" t="s">
        <v>972</v>
      </c>
      <c r="B843" s="2">
        <v>45724</v>
      </c>
      <c r="C843" t="s">
        <v>142</v>
      </c>
      <c r="D843" t="s">
        <v>143</v>
      </c>
      <c r="E843" t="s">
        <v>21</v>
      </c>
      <c r="F843" t="s">
        <v>22</v>
      </c>
      <c r="G843" t="s">
        <v>23</v>
      </c>
      <c r="H843" t="s">
        <v>24</v>
      </c>
      <c r="I843">
        <v>55</v>
      </c>
      <c r="J843" s="3">
        <v>252.36</v>
      </c>
      <c r="K843" s="3">
        <v>13879.8</v>
      </c>
      <c r="L843" t="s">
        <v>25</v>
      </c>
      <c r="M843" s="2">
        <v>45730</v>
      </c>
      <c r="N843" s="2">
        <v>45728</v>
      </c>
      <c r="O843" t="s">
        <v>43</v>
      </c>
      <c r="P843" t="s">
        <v>27</v>
      </c>
      <c r="Q843" t="s">
        <v>28</v>
      </c>
      <c r="R843" t="s">
        <v>29</v>
      </c>
    </row>
    <row r="844" spans="1:18">
      <c r="A844" t="s">
        <v>973</v>
      </c>
      <c r="B844" s="2">
        <v>45865</v>
      </c>
      <c r="C844" t="s">
        <v>80</v>
      </c>
      <c r="D844" t="s">
        <v>81</v>
      </c>
      <c r="E844" t="s">
        <v>39</v>
      </c>
      <c r="F844" t="s">
        <v>82</v>
      </c>
      <c r="G844" t="s">
        <v>83</v>
      </c>
      <c r="H844" t="s">
        <v>84</v>
      </c>
      <c r="I844">
        <v>22</v>
      </c>
      <c r="J844" s="3">
        <v>687.88</v>
      </c>
      <c r="K844" s="3">
        <v>15133.36</v>
      </c>
      <c r="L844" t="s">
        <v>52</v>
      </c>
      <c r="M844" s="2">
        <v>45878</v>
      </c>
      <c r="N844" s="2">
        <v>45878</v>
      </c>
      <c r="O844" t="s">
        <v>43</v>
      </c>
      <c r="P844" t="s">
        <v>44</v>
      </c>
      <c r="Q844" t="s">
        <v>28</v>
      </c>
      <c r="R844" t="s">
        <v>29</v>
      </c>
    </row>
    <row r="845" spans="1:18">
      <c r="A845" t="s">
        <v>974</v>
      </c>
      <c r="B845" s="2">
        <v>46193</v>
      </c>
      <c r="C845" t="s">
        <v>71</v>
      </c>
      <c r="D845" t="s">
        <v>72</v>
      </c>
      <c r="E845" t="s">
        <v>21</v>
      </c>
      <c r="F845" t="s">
        <v>57</v>
      </c>
      <c r="G845" t="s">
        <v>86</v>
      </c>
      <c r="H845" t="s">
        <v>87</v>
      </c>
      <c r="I845">
        <v>4</v>
      </c>
      <c r="J845" s="3">
        <v>10381.290000000001</v>
      </c>
      <c r="K845" s="3">
        <v>41525.160000000003</v>
      </c>
      <c r="L845" t="s">
        <v>52</v>
      </c>
      <c r="M845" s="2">
        <v>46201</v>
      </c>
      <c r="N845" s="2"/>
      <c r="O845" t="s">
        <v>76</v>
      </c>
      <c r="P845" t="s">
        <v>27</v>
      </c>
      <c r="Q845" t="s">
        <v>167</v>
      </c>
      <c r="R845" t="s">
        <v>167</v>
      </c>
    </row>
    <row r="846" spans="1:18">
      <c r="A846" t="s">
        <v>975</v>
      </c>
      <c r="B846" s="2">
        <v>45793</v>
      </c>
      <c r="C846" t="s">
        <v>19</v>
      </c>
      <c r="D846" t="s">
        <v>20</v>
      </c>
      <c r="E846" t="s">
        <v>39</v>
      </c>
      <c r="F846" t="s">
        <v>22</v>
      </c>
      <c r="G846" t="s">
        <v>23</v>
      </c>
      <c r="H846" t="s">
        <v>24</v>
      </c>
      <c r="I846">
        <v>34</v>
      </c>
      <c r="J846" s="3">
        <v>230.66</v>
      </c>
      <c r="K846" s="3">
        <v>7842.44</v>
      </c>
      <c r="L846" t="s">
        <v>25</v>
      </c>
      <c r="M846" s="2">
        <v>45799</v>
      </c>
      <c r="N846" s="2">
        <v>45799</v>
      </c>
      <c r="O846" t="s">
        <v>43</v>
      </c>
      <c r="P846" t="s">
        <v>64</v>
      </c>
      <c r="Q846" t="s">
        <v>28</v>
      </c>
      <c r="R846" t="s">
        <v>29</v>
      </c>
    </row>
    <row r="847" spans="1:18">
      <c r="A847" t="s">
        <v>976</v>
      </c>
      <c r="B847" s="2">
        <v>46147</v>
      </c>
      <c r="C847" t="s">
        <v>19</v>
      </c>
      <c r="D847" t="s">
        <v>20</v>
      </c>
      <c r="E847" t="s">
        <v>39</v>
      </c>
      <c r="F847" t="s">
        <v>22</v>
      </c>
      <c r="G847" t="s">
        <v>23</v>
      </c>
      <c r="H847" t="s">
        <v>24</v>
      </c>
      <c r="I847">
        <v>36</v>
      </c>
      <c r="J847" s="3">
        <v>223.14</v>
      </c>
      <c r="K847" s="3">
        <v>8033.04</v>
      </c>
      <c r="L847" t="s">
        <v>52</v>
      </c>
      <c r="M847" s="2">
        <v>46156</v>
      </c>
      <c r="N847" s="2">
        <v>46153</v>
      </c>
      <c r="O847" t="s">
        <v>43</v>
      </c>
      <c r="P847" t="s">
        <v>44</v>
      </c>
      <c r="Q847" t="s">
        <v>28</v>
      </c>
      <c r="R847" t="s">
        <v>29</v>
      </c>
    </row>
    <row r="848" spans="1:18">
      <c r="A848" t="s">
        <v>977</v>
      </c>
      <c r="B848" s="2">
        <v>45857</v>
      </c>
      <c r="C848" t="s">
        <v>55</v>
      </c>
      <c r="D848" t="s">
        <v>56</v>
      </c>
      <c r="E848" t="s">
        <v>31</v>
      </c>
      <c r="F848" t="s">
        <v>57</v>
      </c>
      <c r="G848" t="s">
        <v>101</v>
      </c>
      <c r="H848" t="s">
        <v>102</v>
      </c>
      <c r="I848">
        <v>22</v>
      </c>
      <c r="J848" s="3">
        <v>1991.3</v>
      </c>
      <c r="K848" s="3">
        <v>43808.6</v>
      </c>
      <c r="L848" t="s">
        <v>25</v>
      </c>
      <c r="M848" s="2">
        <v>45869</v>
      </c>
      <c r="N848" s="2">
        <v>45867</v>
      </c>
      <c r="O848" t="s">
        <v>76</v>
      </c>
      <c r="P848" t="s">
        <v>35</v>
      </c>
      <c r="Q848" t="s">
        <v>28</v>
      </c>
      <c r="R848" t="s">
        <v>29</v>
      </c>
    </row>
    <row r="849" spans="1:18">
      <c r="A849" t="s">
        <v>978</v>
      </c>
      <c r="B849" s="2">
        <v>45912</v>
      </c>
      <c r="C849" t="s">
        <v>104</v>
      </c>
      <c r="D849" t="s">
        <v>105</v>
      </c>
      <c r="E849" t="s">
        <v>48</v>
      </c>
      <c r="F849" t="s">
        <v>49</v>
      </c>
      <c r="G849" t="s">
        <v>68</v>
      </c>
      <c r="H849" t="s">
        <v>69</v>
      </c>
      <c r="I849">
        <v>1</v>
      </c>
      <c r="J849" s="3">
        <v>49348.56</v>
      </c>
      <c r="K849" s="3">
        <v>49348.56</v>
      </c>
      <c r="L849" t="s">
        <v>25</v>
      </c>
      <c r="M849" s="2">
        <v>45924</v>
      </c>
      <c r="N849" s="2">
        <v>45934</v>
      </c>
      <c r="O849" t="s">
        <v>26</v>
      </c>
      <c r="P849" t="s">
        <v>53</v>
      </c>
      <c r="Q849" t="s">
        <v>28</v>
      </c>
      <c r="R849" t="s">
        <v>129</v>
      </c>
    </row>
    <row r="850" spans="1:18">
      <c r="A850" t="s">
        <v>979</v>
      </c>
      <c r="B850" s="2">
        <v>45725</v>
      </c>
      <c r="C850" t="s">
        <v>55</v>
      </c>
      <c r="D850" t="s">
        <v>56</v>
      </c>
      <c r="E850" t="s">
        <v>48</v>
      </c>
      <c r="F850" t="s">
        <v>57</v>
      </c>
      <c r="G850" t="s">
        <v>74</v>
      </c>
      <c r="H850" t="s">
        <v>75</v>
      </c>
      <c r="I850">
        <v>14</v>
      </c>
      <c r="J850" s="3">
        <v>9821.7900000000009</v>
      </c>
      <c r="K850" s="3">
        <v>137505.06</v>
      </c>
      <c r="L850" t="s">
        <v>34</v>
      </c>
      <c r="M850" s="2">
        <v>45732</v>
      </c>
      <c r="N850" s="2">
        <v>45732</v>
      </c>
      <c r="O850" t="s">
        <v>26</v>
      </c>
      <c r="P850" t="s">
        <v>53</v>
      </c>
      <c r="Q850" t="s">
        <v>28</v>
      </c>
      <c r="R850" t="s">
        <v>29</v>
      </c>
    </row>
    <row r="851" spans="1:18">
      <c r="A851" t="s">
        <v>980</v>
      </c>
      <c r="B851" s="2">
        <v>46171</v>
      </c>
      <c r="C851" t="s">
        <v>46</v>
      </c>
      <c r="D851" t="s">
        <v>47</v>
      </c>
      <c r="E851" t="s">
        <v>48</v>
      </c>
      <c r="F851" t="s">
        <v>49</v>
      </c>
      <c r="G851" t="s">
        <v>113</v>
      </c>
      <c r="H851" t="s">
        <v>114</v>
      </c>
      <c r="I851">
        <v>1</v>
      </c>
      <c r="J851" s="3">
        <v>42031.360000000001</v>
      </c>
      <c r="K851" s="3">
        <v>42031.360000000001</v>
      </c>
      <c r="L851" t="s">
        <v>25</v>
      </c>
      <c r="M851" s="2">
        <v>46185</v>
      </c>
      <c r="N851" s="2">
        <v>46183</v>
      </c>
      <c r="O851" t="s">
        <v>60</v>
      </c>
      <c r="P851" t="s">
        <v>53</v>
      </c>
      <c r="Q851" t="s">
        <v>28</v>
      </c>
      <c r="R851" t="s">
        <v>29</v>
      </c>
    </row>
    <row r="852" spans="1:18">
      <c r="A852" t="s">
        <v>981</v>
      </c>
      <c r="B852" s="2">
        <v>45819</v>
      </c>
      <c r="C852" t="s">
        <v>80</v>
      </c>
      <c r="D852" t="s">
        <v>81</v>
      </c>
      <c r="E852" t="s">
        <v>39</v>
      </c>
      <c r="F852" t="s">
        <v>82</v>
      </c>
      <c r="G852" t="s">
        <v>98</v>
      </c>
      <c r="H852" t="s">
        <v>99</v>
      </c>
      <c r="I852">
        <v>54</v>
      </c>
      <c r="J852" s="3">
        <v>1126.3499999999999</v>
      </c>
      <c r="K852" s="3">
        <v>60822.9</v>
      </c>
      <c r="L852" t="s">
        <v>25</v>
      </c>
      <c r="M852" s="2">
        <v>45835</v>
      </c>
      <c r="N852" s="2">
        <v>45833</v>
      </c>
      <c r="O852" t="s">
        <v>76</v>
      </c>
      <c r="P852" t="s">
        <v>44</v>
      </c>
      <c r="Q852" t="s">
        <v>28</v>
      </c>
      <c r="R852" t="s">
        <v>29</v>
      </c>
    </row>
    <row r="853" spans="1:18">
      <c r="A853" t="s">
        <v>982</v>
      </c>
      <c r="B853" s="2">
        <v>45806</v>
      </c>
      <c r="C853" t="s">
        <v>104</v>
      </c>
      <c r="D853" t="s">
        <v>105</v>
      </c>
      <c r="E853" t="s">
        <v>48</v>
      </c>
      <c r="F853" t="s">
        <v>49</v>
      </c>
      <c r="G853" t="s">
        <v>68</v>
      </c>
      <c r="H853" t="s">
        <v>69</v>
      </c>
      <c r="I853">
        <v>2</v>
      </c>
      <c r="J853" s="3">
        <v>48513.4</v>
      </c>
      <c r="K853" s="3">
        <v>97026.8</v>
      </c>
      <c r="L853" t="s">
        <v>25</v>
      </c>
      <c r="M853" s="2">
        <v>45811</v>
      </c>
      <c r="N853" s="2">
        <v>45808</v>
      </c>
      <c r="O853" t="s">
        <v>60</v>
      </c>
      <c r="P853" t="s">
        <v>53</v>
      </c>
      <c r="Q853" t="s">
        <v>28</v>
      </c>
      <c r="R853" t="s">
        <v>29</v>
      </c>
    </row>
    <row r="854" spans="1:18">
      <c r="A854" t="s">
        <v>983</v>
      </c>
      <c r="B854" s="2">
        <v>45938</v>
      </c>
      <c r="C854" t="s">
        <v>71</v>
      </c>
      <c r="D854" t="s">
        <v>72</v>
      </c>
      <c r="E854" t="s">
        <v>48</v>
      </c>
      <c r="F854" t="s">
        <v>57</v>
      </c>
      <c r="G854" t="s">
        <v>120</v>
      </c>
      <c r="H854" t="s">
        <v>121</v>
      </c>
      <c r="I854">
        <v>6</v>
      </c>
      <c r="J854" s="3">
        <v>20199.240000000002</v>
      </c>
      <c r="K854" s="3">
        <v>121195.44</v>
      </c>
      <c r="L854" t="s">
        <v>25</v>
      </c>
      <c r="M854" s="2">
        <v>45943</v>
      </c>
      <c r="N854" s="2">
        <v>45940</v>
      </c>
      <c r="O854" t="s">
        <v>26</v>
      </c>
      <c r="P854" t="s">
        <v>53</v>
      </c>
      <c r="Q854" t="s">
        <v>28</v>
      </c>
      <c r="R854" t="s">
        <v>29</v>
      </c>
    </row>
    <row r="855" spans="1:18">
      <c r="A855" t="s">
        <v>984</v>
      </c>
      <c r="B855" s="2">
        <v>46173</v>
      </c>
      <c r="C855" t="s">
        <v>142</v>
      </c>
      <c r="D855" t="s">
        <v>143</v>
      </c>
      <c r="E855" t="s">
        <v>21</v>
      </c>
      <c r="F855" t="s">
        <v>22</v>
      </c>
      <c r="G855" t="s">
        <v>23</v>
      </c>
      <c r="H855" t="s">
        <v>24</v>
      </c>
      <c r="I855">
        <v>51</v>
      </c>
      <c r="J855" s="3">
        <v>251.14</v>
      </c>
      <c r="K855" s="3">
        <v>12808.14</v>
      </c>
      <c r="L855" t="s">
        <v>34</v>
      </c>
      <c r="M855" s="2">
        <v>46187</v>
      </c>
      <c r="N855" s="2">
        <v>46187</v>
      </c>
      <c r="O855" t="s">
        <v>60</v>
      </c>
      <c r="P855" t="s">
        <v>27</v>
      </c>
      <c r="Q855" t="s">
        <v>28</v>
      </c>
      <c r="R855" t="s">
        <v>29</v>
      </c>
    </row>
    <row r="856" spans="1:18">
      <c r="A856" t="s">
        <v>985</v>
      </c>
      <c r="B856" s="2">
        <v>45913</v>
      </c>
      <c r="C856" t="s">
        <v>117</v>
      </c>
      <c r="D856" t="s">
        <v>118</v>
      </c>
      <c r="E856" t="s">
        <v>31</v>
      </c>
      <c r="F856" t="s">
        <v>57</v>
      </c>
      <c r="G856" t="s">
        <v>101</v>
      </c>
      <c r="H856" t="s">
        <v>102</v>
      </c>
      <c r="I856">
        <v>22</v>
      </c>
      <c r="J856" s="3">
        <v>1844.85</v>
      </c>
      <c r="K856" s="3">
        <v>40586.699999999997</v>
      </c>
      <c r="L856" t="s">
        <v>25</v>
      </c>
      <c r="M856" s="2">
        <v>45926</v>
      </c>
      <c r="N856" s="2">
        <v>45924</v>
      </c>
      <c r="O856" t="s">
        <v>26</v>
      </c>
      <c r="P856" t="s">
        <v>94</v>
      </c>
      <c r="Q856" t="s">
        <v>28</v>
      </c>
      <c r="R856" t="s">
        <v>29</v>
      </c>
    </row>
    <row r="857" spans="1:18">
      <c r="A857" t="s">
        <v>986</v>
      </c>
      <c r="B857" s="2">
        <v>45812</v>
      </c>
      <c r="C857" t="s">
        <v>142</v>
      </c>
      <c r="D857" t="s">
        <v>143</v>
      </c>
      <c r="E857" t="s">
        <v>31</v>
      </c>
      <c r="F857" t="s">
        <v>22</v>
      </c>
      <c r="G857" t="s">
        <v>23</v>
      </c>
      <c r="H857" t="s">
        <v>24</v>
      </c>
      <c r="I857">
        <v>39</v>
      </c>
      <c r="J857" s="3">
        <v>242.43</v>
      </c>
      <c r="K857" s="3">
        <v>9454.77</v>
      </c>
      <c r="L857" t="s">
        <v>34</v>
      </c>
      <c r="M857" s="2">
        <v>45829</v>
      </c>
      <c r="N857" s="2">
        <v>45827</v>
      </c>
      <c r="O857" t="s">
        <v>26</v>
      </c>
      <c r="P857" t="s">
        <v>94</v>
      </c>
      <c r="Q857" t="s">
        <v>28</v>
      </c>
      <c r="R857" t="s">
        <v>29</v>
      </c>
    </row>
    <row r="858" spans="1:18">
      <c r="A858" t="s">
        <v>987</v>
      </c>
      <c r="B858" s="2">
        <v>45877</v>
      </c>
      <c r="C858" t="s">
        <v>104</v>
      </c>
      <c r="D858" t="s">
        <v>105</v>
      </c>
      <c r="E858" t="s">
        <v>73</v>
      </c>
      <c r="F858" t="s">
        <v>49</v>
      </c>
      <c r="G858" t="s">
        <v>165</v>
      </c>
      <c r="H858" t="s">
        <v>166</v>
      </c>
      <c r="I858">
        <v>1</v>
      </c>
      <c r="J858" s="3">
        <v>45944.56</v>
      </c>
      <c r="K858" s="3">
        <v>45944.56</v>
      </c>
      <c r="L858" t="s">
        <v>25</v>
      </c>
      <c r="M858" s="2">
        <v>45886</v>
      </c>
      <c r="N858" s="2">
        <v>45886</v>
      </c>
      <c r="O858" t="s">
        <v>60</v>
      </c>
      <c r="P858" t="s">
        <v>77</v>
      </c>
      <c r="Q858" t="s">
        <v>28</v>
      </c>
      <c r="R858" t="s">
        <v>29</v>
      </c>
    </row>
    <row r="859" spans="1:18">
      <c r="A859" t="s">
        <v>988</v>
      </c>
      <c r="B859" s="2">
        <v>46182</v>
      </c>
      <c r="C859" t="s">
        <v>107</v>
      </c>
      <c r="D859" t="s">
        <v>108</v>
      </c>
      <c r="E859" t="s">
        <v>31</v>
      </c>
      <c r="F859" t="s">
        <v>91</v>
      </c>
      <c r="G859" t="s">
        <v>109</v>
      </c>
      <c r="H859" t="s">
        <v>110</v>
      </c>
      <c r="I859">
        <v>3</v>
      </c>
      <c r="J859" s="3">
        <v>13808.86</v>
      </c>
      <c r="K859" s="3">
        <v>41426.58</v>
      </c>
      <c r="L859" t="s">
        <v>34</v>
      </c>
      <c r="M859" s="2">
        <v>46192</v>
      </c>
      <c r="N859" s="2">
        <v>46192</v>
      </c>
      <c r="O859" t="s">
        <v>43</v>
      </c>
      <c r="P859" t="s">
        <v>94</v>
      </c>
      <c r="Q859" t="s">
        <v>28</v>
      </c>
      <c r="R859" t="s">
        <v>29</v>
      </c>
    </row>
    <row r="860" spans="1:18">
      <c r="A860" t="s">
        <v>989</v>
      </c>
      <c r="B860" s="2">
        <v>45747</v>
      </c>
      <c r="C860" t="s">
        <v>71</v>
      </c>
      <c r="D860" t="s">
        <v>72</v>
      </c>
      <c r="E860" t="s">
        <v>73</v>
      </c>
      <c r="F860" t="s">
        <v>57</v>
      </c>
      <c r="G860" t="s">
        <v>86</v>
      </c>
      <c r="H860" t="s">
        <v>87</v>
      </c>
      <c r="I860">
        <v>7</v>
      </c>
      <c r="J860" s="3">
        <v>10487.98</v>
      </c>
      <c r="K860" s="3">
        <v>73415.86</v>
      </c>
      <c r="L860" t="s">
        <v>52</v>
      </c>
      <c r="M860" s="2">
        <v>45765</v>
      </c>
      <c r="N860" s="2">
        <v>45762</v>
      </c>
      <c r="O860" t="s">
        <v>26</v>
      </c>
      <c r="P860" t="s">
        <v>77</v>
      </c>
      <c r="Q860" t="s">
        <v>28</v>
      </c>
      <c r="R860" t="s">
        <v>29</v>
      </c>
    </row>
    <row r="861" spans="1:18">
      <c r="A861" t="s">
        <v>990</v>
      </c>
      <c r="B861" s="2">
        <v>45732</v>
      </c>
      <c r="C861" t="s">
        <v>71</v>
      </c>
      <c r="D861" t="s">
        <v>72</v>
      </c>
      <c r="E861" t="s">
        <v>31</v>
      </c>
      <c r="F861" t="s">
        <v>57</v>
      </c>
      <c r="G861" t="s">
        <v>127</v>
      </c>
      <c r="H861" t="s">
        <v>128</v>
      </c>
      <c r="I861">
        <v>7</v>
      </c>
      <c r="J861" s="3">
        <v>15693.92</v>
      </c>
      <c r="K861" s="3">
        <v>109857.44</v>
      </c>
      <c r="L861" t="s">
        <v>25</v>
      </c>
      <c r="M861" s="2">
        <v>45737</v>
      </c>
      <c r="N861" s="2">
        <v>45735</v>
      </c>
      <c r="O861" t="s">
        <v>60</v>
      </c>
      <c r="P861" t="s">
        <v>94</v>
      </c>
      <c r="Q861" t="s">
        <v>28</v>
      </c>
      <c r="R861" t="s">
        <v>29</v>
      </c>
    </row>
    <row r="862" spans="1:18">
      <c r="A862" t="s">
        <v>991</v>
      </c>
      <c r="B862" s="2">
        <v>45666</v>
      </c>
      <c r="C862" t="s">
        <v>46</v>
      </c>
      <c r="D862" t="s">
        <v>47</v>
      </c>
      <c r="E862" t="s">
        <v>73</v>
      </c>
      <c r="F862" t="s">
        <v>49</v>
      </c>
      <c r="G862" t="s">
        <v>50</v>
      </c>
      <c r="H862" t="s">
        <v>51</v>
      </c>
      <c r="I862">
        <v>3</v>
      </c>
      <c r="J862" s="3">
        <v>56724</v>
      </c>
      <c r="K862" s="3">
        <v>170172</v>
      </c>
      <c r="L862" t="s">
        <v>34</v>
      </c>
      <c r="M862" s="2">
        <v>45678</v>
      </c>
      <c r="N862" s="2">
        <v>45677</v>
      </c>
      <c r="O862" t="s">
        <v>76</v>
      </c>
      <c r="P862" t="s">
        <v>77</v>
      </c>
      <c r="Q862" t="s">
        <v>28</v>
      </c>
      <c r="R862" t="s">
        <v>29</v>
      </c>
    </row>
    <row r="863" spans="1:18">
      <c r="A863" t="s">
        <v>992</v>
      </c>
      <c r="B863" s="2">
        <v>45869</v>
      </c>
      <c r="C863" t="s">
        <v>80</v>
      </c>
      <c r="D863" t="s">
        <v>81</v>
      </c>
      <c r="E863" t="s">
        <v>39</v>
      </c>
      <c r="F863" t="s">
        <v>82</v>
      </c>
      <c r="G863" t="s">
        <v>197</v>
      </c>
      <c r="H863" t="s">
        <v>198</v>
      </c>
      <c r="I863">
        <v>13</v>
      </c>
      <c r="J863" s="3">
        <v>1922.28</v>
      </c>
      <c r="K863" s="3">
        <v>24989.64</v>
      </c>
      <c r="L863" t="s">
        <v>25</v>
      </c>
      <c r="M863" s="2">
        <v>45882</v>
      </c>
      <c r="N863" s="2">
        <v>45882</v>
      </c>
      <c r="O863" t="s">
        <v>76</v>
      </c>
      <c r="P863" t="s">
        <v>64</v>
      </c>
      <c r="Q863" t="s">
        <v>28</v>
      </c>
      <c r="R863" t="s">
        <v>29</v>
      </c>
    </row>
    <row r="864" spans="1:18">
      <c r="A864" t="s">
        <v>993</v>
      </c>
      <c r="B864" s="2">
        <v>45871</v>
      </c>
      <c r="C864" t="s">
        <v>147</v>
      </c>
      <c r="D864" t="s">
        <v>148</v>
      </c>
      <c r="E864" t="s">
        <v>39</v>
      </c>
      <c r="F864" t="s">
        <v>40</v>
      </c>
      <c r="G864" t="s">
        <v>149</v>
      </c>
      <c r="H864" t="s">
        <v>150</v>
      </c>
      <c r="I864">
        <v>27</v>
      </c>
      <c r="J864" s="3">
        <v>1269.5</v>
      </c>
      <c r="K864" s="3">
        <v>34276.5</v>
      </c>
      <c r="L864" t="s">
        <v>25</v>
      </c>
      <c r="M864" s="2">
        <v>45876</v>
      </c>
      <c r="N864" s="2">
        <v>45885</v>
      </c>
      <c r="O864" t="s">
        <v>60</v>
      </c>
      <c r="P864" t="s">
        <v>64</v>
      </c>
      <c r="Q864" t="s">
        <v>28</v>
      </c>
      <c r="R864" t="s">
        <v>129</v>
      </c>
    </row>
    <row r="865" spans="1:18">
      <c r="A865" t="s">
        <v>994</v>
      </c>
      <c r="B865" s="2">
        <v>45871</v>
      </c>
      <c r="C865" t="s">
        <v>104</v>
      </c>
      <c r="D865" t="s">
        <v>105</v>
      </c>
      <c r="E865" t="s">
        <v>73</v>
      </c>
      <c r="F865" t="s">
        <v>49</v>
      </c>
      <c r="G865" t="s">
        <v>50</v>
      </c>
      <c r="H865" t="s">
        <v>51</v>
      </c>
      <c r="I865">
        <v>1</v>
      </c>
      <c r="J865" s="3">
        <v>51700.76</v>
      </c>
      <c r="K865" s="3">
        <v>51700.76</v>
      </c>
      <c r="L865" t="s">
        <v>25</v>
      </c>
      <c r="M865" s="2">
        <v>45877</v>
      </c>
      <c r="N865" s="2">
        <v>45877</v>
      </c>
      <c r="O865" t="s">
        <v>26</v>
      </c>
      <c r="P865" t="s">
        <v>77</v>
      </c>
      <c r="Q865" t="s">
        <v>28</v>
      </c>
      <c r="R865" t="s">
        <v>29</v>
      </c>
    </row>
    <row r="866" spans="1:18">
      <c r="A866" t="s">
        <v>995</v>
      </c>
      <c r="B866" s="2">
        <v>45982</v>
      </c>
      <c r="C866" t="s">
        <v>142</v>
      </c>
      <c r="D866" t="s">
        <v>143</v>
      </c>
      <c r="E866" t="s">
        <v>39</v>
      </c>
      <c r="F866" t="s">
        <v>22</v>
      </c>
      <c r="G866" t="s">
        <v>32</v>
      </c>
      <c r="H866" t="s">
        <v>33</v>
      </c>
      <c r="I866">
        <v>2</v>
      </c>
      <c r="J866" s="3">
        <v>7667.21</v>
      </c>
      <c r="K866" s="3">
        <v>15334.42</v>
      </c>
      <c r="L866" t="s">
        <v>34</v>
      </c>
      <c r="M866" s="2">
        <v>45994</v>
      </c>
      <c r="N866" s="2">
        <v>46002</v>
      </c>
      <c r="O866" t="s">
        <v>60</v>
      </c>
      <c r="P866" t="s">
        <v>64</v>
      </c>
      <c r="Q866" t="s">
        <v>28</v>
      </c>
      <c r="R866" t="s">
        <v>129</v>
      </c>
    </row>
    <row r="867" spans="1:18">
      <c r="A867" t="s">
        <v>996</v>
      </c>
      <c r="B867" s="2">
        <v>46021</v>
      </c>
      <c r="C867" t="s">
        <v>37</v>
      </c>
      <c r="D867" t="s">
        <v>38</v>
      </c>
      <c r="E867" t="s">
        <v>21</v>
      </c>
      <c r="F867" t="s">
        <v>22</v>
      </c>
      <c r="G867" t="s">
        <v>160</v>
      </c>
      <c r="H867" t="s">
        <v>161</v>
      </c>
      <c r="I867">
        <v>4</v>
      </c>
      <c r="J867" s="3">
        <v>3433.46</v>
      </c>
      <c r="K867" s="3">
        <v>13733.84</v>
      </c>
      <c r="L867" t="s">
        <v>52</v>
      </c>
      <c r="M867" s="2">
        <v>46037</v>
      </c>
      <c r="N867" s="2">
        <v>46034</v>
      </c>
      <c r="O867" t="s">
        <v>43</v>
      </c>
      <c r="P867" t="s">
        <v>27</v>
      </c>
      <c r="Q867" t="s">
        <v>28</v>
      </c>
      <c r="R867" t="s">
        <v>29</v>
      </c>
    </row>
    <row r="868" spans="1:18">
      <c r="A868" t="s">
        <v>997</v>
      </c>
      <c r="B868" s="2">
        <v>45989</v>
      </c>
      <c r="C868" t="s">
        <v>117</v>
      </c>
      <c r="D868" t="s">
        <v>118</v>
      </c>
      <c r="E868" t="s">
        <v>48</v>
      </c>
      <c r="F868" t="s">
        <v>57</v>
      </c>
      <c r="G868" t="s">
        <v>127</v>
      </c>
      <c r="H868" t="s">
        <v>128</v>
      </c>
      <c r="I868">
        <v>3</v>
      </c>
      <c r="J868" s="3">
        <v>16573.91</v>
      </c>
      <c r="K868" s="3">
        <v>49721.73</v>
      </c>
      <c r="L868" t="s">
        <v>25</v>
      </c>
      <c r="M868" s="2">
        <v>46005</v>
      </c>
      <c r="N868" s="2">
        <v>46005</v>
      </c>
      <c r="O868" t="s">
        <v>26</v>
      </c>
      <c r="P868" t="s">
        <v>53</v>
      </c>
      <c r="Q868" t="s">
        <v>28</v>
      </c>
      <c r="R868" t="s">
        <v>29</v>
      </c>
    </row>
    <row r="869" spans="1:18">
      <c r="A869" t="s">
        <v>998</v>
      </c>
      <c r="B869" s="2">
        <v>46038</v>
      </c>
      <c r="C869" t="s">
        <v>104</v>
      </c>
      <c r="D869" t="s">
        <v>105</v>
      </c>
      <c r="E869" t="s">
        <v>48</v>
      </c>
      <c r="F869" t="s">
        <v>49</v>
      </c>
      <c r="G869" t="s">
        <v>50</v>
      </c>
      <c r="H869" t="s">
        <v>51</v>
      </c>
      <c r="I869">
        <v>1</v>
      </c>
      <c r="J869" s="3">
        <v>52347.05</v>
      </c>
      <c r="K869" s="3">
        <v>52347.05</v>
      </c>
      <c r="L869" t="s">
        <v>25</v>
      </c>
      <c r="M869" s="2">
        <v>46054</v>
      </c>
      <c r="N869" s="2">
        <v>46053</v>
      </c>
      <c r="O869" t="s">
        <v>43</v>
      </c>
      <c r="P869" t="s">
        <v>53</v>
      </c>
      <c r="Q869" t="s">
        <v>28</v>
      </c>
      <c r="R869" t="s">
        <v>29</v>
      </c>
    </row>
    <row r="870" spans="1:18">
      <c r="A870" t="s">
        <v>999</v>
      </c>
      <c r="B870" s="2">
        <v>45688</v>
      </c>
      <c r="C870" t="s">
        <v>131</v>
      </c>
      <c r="D870" t="s">
        <v>132</v>
      </c>
      <c r="E870" t="s">
        <v>21</v>
      </c>
      <c r="F870" t="s">
        <v>57</v>
      </c>
      <c r="G870" t="s">
        <v>58</v>
      </c>
      <c r="H870" t="s">
        <v>59</v>
      </c>
      <c r="I870">
        <v>6</v>
      </c>
      <c r="J870" s="3">
        <v>58707.3</v>
      </c>
      <c r="K870" s="3">
        <v>352243.8</v>
      </c>
      <c r="L870" t="s">
        <v>25</v>
      </c>
      <c r="M870" s="2">
        <v>45693</v>
      </c>
      <c r="N870" s="2">
        <v>45691</v>
      </c>
      <c r="O870" t="s">
        <v>60</v>
      </c>
      <c r="P870" t="s">
        <v>27</v>
      </c>
      <c r="Q870" t="s">
        <v>28</v>
      </c>
      <c r="R870" t="s">
        <v>29</v>
      </c>
    </row>
    <row r="871" spans="1:18">
      <c r="A871" t="s">
        <v>1000</v>
      </c>
      <c r="B871" s="2">
        <v>45705</v>
      </c>
      <c r="C871" t="s">
        <v>117</v>
      </c>
      <c r="D871" t="s">
        <v>118</v>
      </c>
      <c r="E871" t="s">
        <v>48</v>
      </c>
      <c r="F871" t="s">
        <v>57</v>
      </c>
      <c r="G871" t="s">
        <v>86</v>
      </c>
      <c r="H871" t="s">
        <v>87</v>
      </c>
      <c r="I871">
        <v>4</v>
      </c>
      <c r="J871" s="3">
        <v>10881.39</v>
      </c>
      <c r="K871" s="3">
        <v>43525.56</v>
      </c>
      <c r="L871" t="s">
        <v>25</v>
      </c>
      <c r="M871" s="2">
        <v>45711</v>
      </c>
      <c r="N871" s="2">
        <v>45711</v>
      </c>
      <c r="O871" t="s">
        <v>60</v>
      </c>
      <c r="P871" t="s">
        <v>53</v>
      </c>
      <c r="Q871" t="s">
        <v>28</v>
      </c>
      <c r="R871" t="s">
        <v>29</v>
      </c>
    </row>
    <row r="872" spans="1:18">
      <c r="A872" t="s">
        <v>1001</v>
      </c>
      <c r="B872" s="2">
        <v>46108</v>
      </c>
      <c r="C872" t="s">
        <v>142</v>
      </c>
      <c r="D872" t="s">
        <v>143</v>
      </c>
      <c r="E872" t="s">
        <v>31</v>
      </c>
      <c r="F872" t="s">
        <v>22</v>
      </c>
      <c r="G872" t="s">
        <v>23</v>
      </c>
      <c r="H872" t="s">
        <v>24</v>
      </c>
      <c r="I872">
        <v>21</v>
      </c>
      <c r="J872" s="3">
        <v>245.55</v>
      </c>
      <c r="K872" s="3">
        <v>5156.55</v>
      </c>
      <c r="L872" t="s">
        <v>52</v>
      </c>
      <c r="M872" s="2">
        <v>46115</v>
      </c>
      <c r="N872" s="2">
        <v>46113</v>
      </c>
      <c r="O872" t="s">
        <v>43</v>
      </c>
      <c r="P872" t="s">
        <v>35</v>
      </c>
      <c r="Q872" t="s">
        <v>28</v>
      </c>
      <c r="R872" t="s">
        <v>29</v>
      </c>
    </row>
    <row r="873" spans="1:18">
      <c r="A873" t="s">
        <v>1002</v>
      </c>
      <c r="B873" s="2">
        <v>45858</v>
      </c>
      <c r="C873" t="s">
        <v>107</v>
      </c>
      <c r="D873" t="s">
        <v>108</v>
      </c>
      <c r="E873" t="s">
        <v>31</v>
      </c>
      <c r="F873" t="s">
        <v>91</v>
      </c>
      <c r="G873" t="s">
        <v>92</v>
      </c>
      <c r="H873" t="s">
        <v>93</v>
      </c>
      <c r="I873">
        <v>2</v>
      </c>
      <c r="J873" s="3">
        <v>47442.16</v>
      </c>
      <c r="K873" s="3">
        <v>94884.32</v>
      </c>
      <c r="L873" t="s">
        <v>25</v>
      </c>
      <c r="M873" s="2">
        <v>45867</v>
      </c>
      <c r="N873" s="2">
        <v>45867</v>
      </c>
      <c r="O873" t="s">
        <v>76</v>
      </c>
      <c r="P873" t="s">
        <v>94</v>
      </c>
      <c r="Q873" t="s">
        <v>28</v>
      </c>
      <c r="R873" t="s">
        <v>29</v>
      </c>
    </row>
    <row r="874" spans="1:18">
      <c r="A874" t="s">
        <v>1003</v>
      </c>
      <c r="B874" s="2">
        <v>45966</v>
      </c>
      <c r="C874" t="s">
        <v>66</v>
      </c>
      <c r="D874" t="s">
        <v>67</v>
      </c>
      <c r="E874" t="s">
        <v>112</v>
      </c>
      <c r="F874" t="s">
        <v>49</v>
      </c>
      <c r="G874" t="s">
        <v>165</v>
      </c>
      <c r="H874" t="s">
        <v>166</v>
      </c>
      <c r="I874">
        <v>2</v>
      </c>
      <c r="J874" s="3">
        <v>42421.41</v>
      </c>
      <c r="K874" s="3">
        <v>84842.82</v>
      </c>
      <c r="L874" t="s">
        <v>34</v>
      </c>
      <c r="M874" s="2">
        <v>45976</v>
      </c>
      <c r="N874" s="2">
        <v>45976</v>
      </c>
      <c r="O874" t="s">
        <v>60</v>
      </c>
      <c r="P874" t="s">
        <v>115</v>
      </c>
      <c r="Q874" t="s">
        <v>28</v>
      </c>
      <c r="R874" t="s">
        <v>29</v>
      </c>
    </row>
    <row r="875" spans="1:18">
      <c r="A875" t="s">
        <v>1004</v>
      </c>
      <c r="B875" s="2">
        <v>45672</v>
      </c>
      <c r="C875" t="s">
        <v>142</v>
      </c>
      <c r="D875" t="s">
        <v>143</v>
      </c>
      <c r="E875" t="s">
        <v>39</v>
      </c>
      <c r="F875" t="s">
        <v>22</v>
      </c>
      <c r="G875" t="s">
        <v>23</v>
      </c>
      <c r="H875" t="s">
        <v>24</v>
      </c>
      <c r="I875">
        <v>35</v>
      </c>
      <c r="J875" s="3">
        <v>235.46</v>
      </c>
      <c r="K875" s="3">
        <v>8241.1</v>
      </c>
      <c r="L875" t="s">
        <v>34</v>
      </c>
      <c r="M875" s="2">
        <v>45684</v>
      </c>
      <c r="N875" s="2">
        <v>45683</v>
      </c>
      <c r="O875" t="s">
        <v>60</v>
      </c>
      <c r="P875" t="s">
        <v>44</v>
      </c>
      <c r="Q875" t="s">
        <v>28</v>
      </c>
      <c r="R875" t="s">
        <v>29</v>
      </c>
    </row>
    <row r="876" spans="1:18">
      <c r="A876" t="s">
        <v>1005</v>
      </c>
      <c r="B876" s="2">
        <v>45877</v>
      </c>
      <c r="C876" t="s">
        <v>46</v>
      </c>
      <c r="D876" t="s">
        <v>47</v>
      </c>
      <c r="E876" t="s">
        <v>21</v>
      </c>
      <c r="F876" t="s">
        <v>49</v>
      </c>
      <c r="G876" t="s">
        <v>113</v>
      </c>
      <c r="H876" t="s">
        <v>114</v>
      </c>
      <c r="I876">
        <v>3</v>
      </c>
      <c r="J876" s="3">
        <v>41044.980000000003</v>
      </c>
      <c r="K876" s="3">
        <v>123134.94</v>
      </c>
      <c r="L876" t="s">
        <v>25</v>
      </c>
      <c r="M876" s="2">
        <v>45887</v>
      </c>
      <c r="N876" s="2">
        <v>45886</v>
      </c>
      <c r="O876" t="s">
        <v>60</v>
      </c>
      <c r="P876" t="s">
        <v>27</v>
      </c>
      <c r="Q876" t="s">
        <v>28</v>
      </c>
      <c r="R876" t="s">
        <v>29</v>
      </c>
    </row>
    <row r="877" spans="1:18">
      <c r="A877" t="s">
        <v>1006</v>
      </c>
      <c r="B877" s="2">
        <v>45927</v>
      </c>
      <c r="C877" t="s">
        <v>131</v>
      </c>
      <c r="D877" t="s">
        <v>132</v>
      </c>
      <c r="E877" t="s">
        <v>73</v>
      </c>
      <c r="F877" t="s">
        <v>57</v>
      </c>
      <c r="G877" t="s">
        <v>101</v>
      </c>
      <c r="H877" t="s">
        <v>102</v>
      </c>
      <c r="I877">
        <v>19</v>
      </c>
      <c r="J877" s="3">
        <v>1832.96</v>
      </c>
      <c r="K877" s="3">
        <v>34826.239999999998</v>
      </c>
      <c r="L877" t="s">
        <v>34</v>
      </c>
      <c r="M877" s="2">
        <v>45939</v>
      </c>
      <c r="N877" s="2">
        <v>45939</v>
      </c>
      <c r="O877" t="s">
        <v>76</v>
      </c>
      <c r="P877" t="s">
        <v>77</v>
      </c>
      <c r="Q877" t="s">
        <v>28</v>
      </c>
      <c r="R877" t="s">
        <v>29</v>
      </c>
    </row>
    <row r="878" spans="1:18">
      <c r="A878" t="s">
        <v>1007</v>
      </c>
      <c r="B878" s="2">
        <v>46013</v>
      </c>
      <c r="C878" t="s">
        <v>142</v>
      </c>
      <c r="D878" t="s">
        <v>143</v>
      </c>
      <c r="E878" t="s">
        <v>73</v>
      </c>
      <c r="F878" t="s">
        <v>22</v>
      </c>
      <c r="G878" t="s">
        <v>32</v>
      </c>
      <c r="H878" t="s">
        <v>33</v>
      </c>
      <c r="I878">
        <v>15</v>
      </c>
      <c r="J878" s="3">
        <v>8063.66</v>
      </c>
      <c r="K878" s="3">
        <v>120954.9</v>
      </c>
      <c r="L878" t="s">
        <v>34</v>
      </c>
      <c r="M878" s="2">
        <v>46026</v>
      </c>
      <c r="N878" s="2">
        <v>46025</v>
      </c>
      <c r="O878" t="s">
        <v>26</v>
      </c>
      <c r="P878" t="s">
        <v>77</v>
      </c>
      <c r="Q878" t="s">
        <v>28</v>
      </c>
      <c r="R878" t="s">
        <v>29</v>
      </c>
    </row>
    <row r="879" spans="1:18">
      <c r="A879" t="s">
        <v>1008</v>
      </c>
      <c r="B879" s="2">
        <v>46196</v>
      </c>
      <c r="C879" t="s">
        <v>96</v>
      </c>
      <c r="D879" t="s">
        <v>97</v>
      </c>
      <c r="E879" t="s">
        <v>39</v>
      </c>
      <c r="F879" t="s">
        <v>82</v>
      </c>
      <c r="G879" t="s">
        <v>197</v>
      </c>
      <c r="H879" t="s">
        <v>198</v>
      </c>
      <c r="I879">
        <v>39</v>
      </c>
      <c r="J879" s="3">
        <v>2137.9299999999998</v>
      </c>
      <c r="K879" s="3">
        <v>83379.27</v>
      </c>
      <c r="L879" t="s">
        <v>25</v>
      </c>
      <c r="M879" s="2">
        <v>46204</v>
      </c>
      <c r="N879" s="2">
        <v>46203</v>
      </c>
      <c r="O879" t="s">
        <v>26</v>
      </c>
      <c r="P879" t="s">
        <v>64</v>
      </c>
      <c r="Q879" t="s">
        <v>28</v>
      </c>
      <c r="R879" t="s">
        <v>29</v>
      </c>
    </row>
    <row r="880" spans="1:18">
      <c r="A880" t="s">
        <v>1009</v>
      </c>
      <c r="B880" s="2">
        <v>45813</v>
      </c>
      <c r="C880" t="s">
        <v>37</v>
      </c>
      <c r="D880" t="s">
        <v>38</v>
      </c>
      <c r="E880" t="s">
        <v>112</v>
      </c>
      <c r="F880" t="s">
        <v>40</v>
      </c>
      <c r="G880" t="s">
        <v>149</v>
      </c>
      <c r="H880" t="s">
        <v>150</v>
      </c>
      <c r="I880">
        <v>30</v>
      </c>
      <c r="J880" s="3">
        <v>1511.4</v>
      </c>
      <c r="K880" s="3">
        <v>45342</v>
      </c>
      <c r="L880" t="s">
        <v>52</v>
      </c>
      <c r="M880" s="2">
        <v>45822</v>
      </c>
      <c r="N880" s="2">
        <v>45819</v>
      </c>
      <c r="O880" t="s">
        <v>60</v>
      </c>
      <c r="P880" t="s">
        <v>115</v>
      </c>
      <c r="Q880" t="s">
        <v>28</v>
      </c>
      <c r="R880" t="s">
        <v>29</v>
      </c>
    </row>
    <row r="881" spans="1:18">
      <c r="A881" t="s">
        <v>1010</v>
      </c>
      <c r="B881" s="2">
        <v>45965</v>
      </c>
      <c r="C881" t="s">
        <v>55</v>
      </c>
      <c r="D881" t="s">
        <v>56</v>
      </c>
      <c r="E881" t="s">
        <v>21</v>
      </c>
      <c r="F881" t="s">
        <v>57</v>
      </c>
      <c r="G881" t="s">
        <v>120</v>
      </c>
      <c r="H881" t="s">
        <v>121</v>
      </c>
      <c r="I881">
        <v>2</v>
      </c>
      <c r="J881" s="3">
        <v>25346.720000000001</v>
      </c>
      <c r="K881" s="3">
        <v>50693.440000000002</v>
      </c>
      <c r="L881" t="s">
        <v>25</v>
      </c>
      <c r="M881" s="2">
        <v>45970</v>
      </c>
      <c r="N881" s="2">
        <v>45969</v>
      </c>
      <c r="O881" t="s">
        <v>26</v>
      </c>
      <c r="P881" t="s">
        <v>27</v>
      </c>
      <c r="Q881" t="s">
        <v>28</v>
      </c>
      <c r="R881" t="s">
        <v>29</v>
      </c>
    </row>
    <row r="882" spans="1:18">
      <c r="A882" t="s">
        <v>1011</v>
      </c>
      <c r="B882" s="2">
        <v>46087</v>
      </c>
      <c r="C882" t="s">
        <v>37</v>
      </c>
      <c r="D882" t="s">
        <v>38</v>
      </c>
      <c r="E882" t="s">
        <v>39</v>
      </c>
      <c r="F882" t="s">
        <v>40</v>
      </c>
      <c r="G882" t="s">
        <v>41</v>
      </c>
      <c r="H882" t="s">
        <v>42</v>
      </c>
      <c r="I882">
        <v>3</v>
      </c>
      <c r="J882" s="3">
        <v>6040.41</v>
      </c>
      <c r="K882" s="3">
        <v>18121.23</v>
      </c>
      <c r="L882" t="s">
        <v>25</v>
      </c>
      <c r="M882" s="2">
        <v>46098</v>
      </c>
      <c r="N882" s="2">
        <v>46097</v>
      </c>
      <c r="O882" t="s">
        <v>26</v>
      </c>
      <c r="P882" t="s">
        <v>44</v>
      </c>
      <c r="Q882" t="s">
        <v>28</v>
      </c>
      <c r="R882" t="s">
        <v>29</v>
      </c>
    </row>
    <row r="883" spans="1:18">
      <c r="A883" t="s">
        <v>1012</v>
      </c>
      <c r="B883" s="2">
        <v>45993</v>
      </c>
      <c r="C883" t="s">
        <v>147</v>
      </c>
      <c r="D883" t="s">
        <v>148</v>
      </c>
      <c r="E883" t="s">
        <v>39</v>
      </c>
      <c r="F883" t="s">
        <v>40</v>
      </c>
      <c r="G883" t="s">
        <v>41</v>
      </c>
      <c r="H883" t="s">
        <v>42</v>
      </c>
      <c r="I883">
        <v>4</v>
      </c>
      <c r="J883" s="3">
        <v>5255.85</v>
      </c>
      <c r="K883" s="3">
        <v>21023.4</v>
      </c>
      <c r="L883" t="s">
        <v>25</v>
      </c>
      <c r="M883" s="2">
        <v>46008</v>
      </c>
      <c r="N883" s="2">
        <v>46008</v>
      </c>
      <c r="O883" t="s">
        <v>60</v>
      </c>
      <c r="P883" t="s">
        <v>64</v>
      </c>
      <c r="Q883" t="s">
        <v>28</v>
      </c>
      <c r="R883" t="s">
        <v>29</v>
      </c>
    </row>
    <row r="884" spans="1:18">
      <c r="A884" t="s">
        <v>1013</v>
      </c>
      <c r="B884" s="2">
        <v>45699</v>
      </c>
      <c r="C884" t="s">
        <v>142</v>
      </c>
      <c r="D884" t="s">
        <v>143</v>
      </c>
      <c r="E884" t="s">
        <v>112</v>
      </c>
      <c r="F884" t="s">
        <v>22</v>
      </c>
      <c r="G884" t="s">
        <v>32</v>
      </c>
      <c r="H884" t="s">
        <v>33</v>
      </c>
      <c r="I884">
        <v>15</v>
      </c>
      <c r="J884" s="3">
        <v>8372.57</v>
      </c>
      <c r="K884" s="3">
        <v>125588.55</v>
      </c>
      <c r="L884" t="s">
        <v>34</v>
      </c>
      <c r="M884" s="2">
        <v>45715</v>
      </c>
      <c r="N884" s="2">
        <v>45712</v>
      </c>
      <c r="O884" t="s">
        <v>26</v>
      </c>
      <c r="P884" t="s">
        <v>115</v>
      </c>
      <c r="Q884" t="s">
        <v>28</v>
      </c>
      <c r="R884" t="s">
        <v>29</v>
      </c>
    </row>
    <row r="885" spans="1:18">
      <c r="A885" t="s">
        <v>1014</v>
      </c>
      <c r="B885" s="2">
        <v>46029</v>
      </c>
      <c r="C885" t="s">
        <v>104</v>
      </c>
      <c r="D885" t="s">
        <v>105</v>
      </c>
      <c r="E885" t="s">
        <v>48</v>
      </c>
      <c r="F885" t="s">
        <v>49</v>
      </c>
      <c r="G885" t="s">
        <v>68</v>
      </c>
      <c r="H885" t="s">
        <v>69</v>
      </c>
      <c r="I885">
        <v>1</v>
      </c>
      <c r="J885" s="3">
        <v>48836.42</v>
      </c>
      <c r="K885" s="3">
        <v>48836.42</v>
      </c>
      <c r="L885" t="s">
        <v>52</v>
      </c>
      <c r="M885" s="2">
        <v>46047</v>
      </c>
      <c r="N885" s="2">
        <v>46045</v>
      </c>
      <c r="O885" t="s">
        <v>76</v>
      </c>
      <c r="P885" t="s">
        <v>53</v>
      </c>
      <c r="Q885" t="s">
        <v>28</v>
      </c>
      <c r="R885" t="s">
        <v>29</v>
      </c>
    </row>
    <row r="886" spans="1:18">
      <c r="A886" t="s">
        <v>1015</v>
      </c>
      <c r="B886" s="2">
        <v>45743</v>
      </c>
      <c r="C886" t="s">
        <v>46</v>
      </c>
      <c r="D886" t="s">
        <v>47</v>
      </c>
      <c r="E886" t="s">
        <v>48</v>
      </c>
      <c r="F886" t="s">
        <v>49</v>
      </c>
      <c r="G886" t="s">
        <v>50</v>
      </c>
      <c r="H886" t="s">
        <v>51</v>
      </c>
      <c r="I886">
        <v>2</v>
      </c>
      <c r="J886" s="3">
        <v>54013.46</v>
      </c>
      <c r="K886" s="3">
        <v>108026.92</v>
      </c>
      <c r="L886" t="s">
        <v>34</v>
      </c>
      <c r="M886" s="2">
        <v>45758</v>
      </c>
      <c r="N886" s="2">
        <v>45755</v>
      </c>
      <c r="O886" t="s">
        <v>60</v>
      </c>
      <c r="P886" t="s">
        <v>53</v>
      </c>
      <c r="Q886" t="s">
        <v>28</v>
      </c>
      <c r="R886" t="s">
        <v>29</v>
      </c>
    </row>
    <row r="887" spans="1:18">
      <c r="A887" t="s">
        <v>1016</v>
      </c>
      <c r="B887" s="2">
        <v>45701</v>
      </c>
      <c r="C887" t="s">
        <v>19</v>
      </c>
      <c r="D887" t="s">
        <v>20</v>
      </c>
      <c r="E887" t="s">
        <v>31</v>
      </c>
      <c r="F887" t="s">
        <v>22</v>
      </c>
      <c r="G887" t="s">
        <v>23</v>
      </c>
      <c r="H887" t="s">
        <v>24</v>
      </c>
      <c r="I887">
        <v>53</v>
      </c>
      <c r="J887" s="3">
        <v>221.14</v>
      </c>
      <c r="K887" s="3">
        <v>11720.42</v>
      </c>
      <c r="L887" t="s">
        <v>34</v>
      </c>
      <c r="M887" s="2">
        <v>45709</v>
      </c>
      <c r="N887" s="2">
        <v>45706</v>
      </c>
      <c r="O887" t="s">
        <v>43</v>
      </c>
      <c r="P887" t="s">
        <v>35</v>
      </c>
      <c r="Q887" t="s">
        <v>28</v>
      </c>
      <c r="R887" t="s">
        <v>29</v>
      </c>
    </row>
    <row r="888" spans="1:18">
      <c r="A888" t="s">
        <v>1017</v>
      </c>
      <c r="B888" s="2">
        <v>46193</v>
      </c>
      <c r="C888" t="s">
        <v>71</v>
      </c>
      <c r="D888" t="s">
        <v>72</v>
      </c>
      <c r="E888" t="s">
        <v>73</v>
      </c>
      <c r="F888" t="s">
        <v>57</v>
      </c>
      <c r="G888" t="s">
        <v>120</v>
      </c>
      <c r="H888" t="s">
        <v>121</v>
      </c>
      <c r="I888">
        <v>1</v>
      </c>
      <c r="J888" s="3">
        <v>20888.93</v>
      </c>
      <c r="K888" s="3">
        <v>20888.93</v>
      </c>
      <c r="L888" t="s">
        <v>25</v>
      </c>
      <c r="M888" s="2">
        <v>46201</v>
      </c>
      <c r="N888" s="2">
        <v>46201</v>
      </c>
      <c r="O888" t="s">
        <v>76</v>
      </c>
      <c r="P888" t="s">
        <v>77</v>
      </c>
      <c r="Q888" t="s">
        <v>28</v>
      </c>
      <c r="R888" t="s">
        <v>29</v>
      </c>
    </row>
    <row r="889" spans="1:18">
      <c r="A889" t="s">
        <v>1018</v>
      </c>
      <c r="B889" s="2">
        <v>45917</v>
      </c>
      <c r="C889" t="s">
        <v>104</v>
      </c>
      <c r="D889" t="s">
        <v>105</v>
      </c>
      <c r="E889" t="s">
        <v>48</v>
      </c>
      <c r="F889" t="s">
        <v>49</v>
      </c>
      <c r="G889" t="s">
        <v>50</v>
      </c>
      <c r="H889" t="s">
        <v>51</v>
      </c>
      <c r="I889">
        <v>1</v>
      </c>
      <c r="J889" s="3">
        <v>53587.76</v>
      </c>
      <c r="K889" s="3">
        <v>53587.76</v>
      </c>
      <c r="L889" t="s">
        <v>34</v>
      </c>
      <c r="M889" s="2">
        <v>45929</v>
      </c>
      <c r="N889" s="2">
        <v>45927</v>
      </c>
      <c r="O889" t="s">
        <v>26</v>
      </c>
      <c r="P889" t="s">
        <v>53</v>
      </c>
      <c r="Q889" t="s">
        <v>28</v>
      </c>
      <c r="R889" t="s">
        <v>29</v>
      </c>
    </row>
    <row r="890" spans="1:18">
      <c r="A890" t="s">
        <v>1019</v>
      </c>
      <c r="B890" s="2">
        <v>45987</v>
      </c>
      <c r="C890" t="s">
        <v>131</v>
      </c>
      <c r="D890" t="s">
        <v>132</v>
      </c>
      <c r="E890" t="s">
        <v>48</v>
      </c>
      <c r="F890" t="s">
        <v>57</v>
      </c>
      <c r="G890" t="s">
        <v>74</v>
      </c>
      <c r="H890" t="s">
        <v>75</v>
      </c>
      <c r="I890">
        <v>10</v>
      </c>
      <c r="J890" s="3">
        <v>8987.57</v>
      </c>
      <c r="K890" s="3">
        <v>89875.7</v>
      </c>
      <c r="L890" t="s">
        <v>25</v>
      </c>
      <c r="M890" s="2">
        <v>46000</v>
      </c>
      <c r="N890" s="2">
        <v>45999</v>
      </c>
      <c r="O890" t="s">
        <v>76</v>
      </c>
      <c r="P890" t="s">
        <v>53</v>
      </c>
      <c r="Q890" t="s">
        <v>28</v>
      </c>
      <c r="R890" t="s">
        <v>29</v>
      </c>
    </row>
    <row r="891" spans="1:18">
      <c r="A891" t="s">
        <v>1020</v>
      </c>
      <c r="B891" s="2">
        <v>45750</v>
      </c>
      <c r="C891" t="s">
        <v>66</v>
      </c>
      <c r="D891" t="s">
        <v>67</v>
      </c>
      <c r="E891" t="s">
        <v>21</v>
      </c>
      <c r="F891" t="s">
        <v>49</v>
      </c>
      <c r="G891" t="s">
        <v>50</v>
      </c>
      <c r="H891" t="s">
        <v>51</v>
      </c>
      <c r="I891">
        <v>2</v>
      </c>
      <c r="J891" s="3">
        <v>49340.08</v>
      </c>
      <c r="K891" s="3">
        <v>98680.16</v>
      </c>
      <c r="L891" t="s">
        <v>52</v>
      </c>
      <c r="M891" s="2">
        <v>45760</v>
      </c>
      <c r="N891" s="2">
        <v>45757</v>
      </c>
      <c r="O891" t="s">
        <v>26</v>
      </c>
      <c r="P891" t="s">
        <v>27</v>
      </c>
      <c r="Q891" t="s">
        <v>28</v>
      </c>
      <c r="R891" t="s">
        <v>29</v>
      </c>
    </row>
    <row r="892" spans="1:18">
      <c r="A892" t="s">
        <v>1021</v>
      </c>
      <c r="B892" s="2">
        <v>45988</v>
      </c>
      <c r="C892" t="s">
        <v>147</v>
      </c>
      <c r="D892" t="s">
        <v>148</v>
      </c>
      <c r="E892" t="s">
        <v>39</v>
      </c>
      <c r="F892" t="s">
        <v>40</v>
      </c>
      <c r="G892" t="s">
        <v>136</v>
      </c>
      <c r="H892" t="s">
        <v>137</v>
      </c>
      <c r="I892">
        <v>30</v>
      </c>
      <c r="J892" s="3">
        <v>1597.37</v>
      </c>
      <c r="K892" s="3">
        <v>47921.1</v>
      </c>
      <c r="L892" t="s">
        <v>25</v>
      </c>
      <c r="M892" s="2">
        <v>46002</v>
      </c>
      <c r="N892" s="2">
        <v>46001</v>
      </c>
      <c r="O892" t="s">
        <v>60</v>
      </c>
      <c r="P892" t="s">
        <v>44</v>
      </c>
      <c r="Q892" t="s">
        <v>28</v>
      </c>
      <c r="R892" t="s">
        <v>29</v>
      </c>
    </row>
    <row r="893" spans="1:18">
      <c r="A893" t="s">
        <v>1022</v>
      </c>
      <c r="B893" s="2">
        <v>46203</v>
      </c>
      <c r="C893" t="s">
        <v>147</v>
      </c>
      <c r="D893" t="s">
        <v>148</v>
      </c>
      <c r="E893" t="s">
        <v>39</v>
      </c>
      <c r="F893" t="s">
        <v>40</v>
      </c>
      <c r="G893" t="s">
        <v>41</v>
      </c>
      <c r="H893" t="s">
        <v>42</v>
      </c>
      <c r="I893">
        <v>15</v>
      </c>
      <c r="J893" s="3">
        <v>5320.16</v>
      </c>
      <c r="K893" s="3">
        <v>79802.399999999994</v>
      </c>
      <c r="L893" t="s">
        <v>25</v>
      </c>
      <c r="M893" s="2">
        <v>46220</v>
      </c>
      <c r="N893" s="2"/>
      <c r="O893" t="s">
        <v>43</v>
      </c>
      <c r="P893" t="s">
        <v>64</v>
      </c>
      <c r="Q893" t="s">
        <v>167</v>
      </c>
      <c r="R893" t="s">
        <v>167</v>
      </c>
    </row>
    <row r="894" spans="1:18">
      <c r="A894" t="s">
        <v>1023</v>
      </c>
      <c r="B894" s="2">
        <v>45938</v>
      </c>
      <c r="C894" t="s">
        <v>96</v>
      </c>
      <c r="D894" t="s">
        <v>97</v>
      </c>
      <c r="E894" t="s">
        <v>39</v>
      </c>
      <c r="F894" t="s">
        <v>82</v>
      </c>
      <c r="G894" t="s">
        <v>83</v>
      </c>
      <c r="H894" t="s">
        <v>84</v>
      </c>
      <c r="I894">
        <v>46</v>
      </c>
      <c r="J894" s="3">
        <v>712.89</v>
      </c>
      <c r="K894" s="3">
        <v>32792.94</v>
      </c>
      <c r="L894" t="s">
        <v>25</v>
      </c>
      <c r="M894" s="2">
        <v>45955</v>
      </c>
      <c r="N894" s="2">
        <v>45955</v>
      </c>
      <c r="O894" t="s">
        <v>43</v>
      </c>
      <c r="P894" t="s">
        <v>44</v>
      </c>
      <c r="Q894" t="s">
        <v>28</v>
      </c>
      <c r="R894" t="s">
        <v>29</v>
      </c>
    </row>
    <row r="895" spans="1:18">
      <c r="A895" t="s">
        <v>1024</v>
      </c>
      <c r="B895" s="2">
        <v>46107</v>
      </c>
      <c r="C895" t="s">
        <v>142</v>
      </c>
      <c r="D895" t="s">
        <v>143</v>
      </c>
      <c r="E895" t="s">
        <v>31</v>
      </c>
      <c r="F895" t="s">
        <v>22</v>
      </c>
      <c r="G895" t="s">
        <v>23</v>
      </c>
      <c r="H895" t="s">
        <v>24</v>
      </c>
      <c r="I895">
        <v>42</v>
      </c>
      <c r="J895" s="3">
        <v>253.9</v>
      </c>
      <c r="K895" s="3">
        <v>10663.8</v>
      </c>
      <c r="L895" t="s">
        <v>34</v>
      </c>
      <c r="M895" s="2">
        <v>46118</v>
      </c>
      <c r="N895" s="2">
        <v>46115</v>
      </c>
      <c r="O895" t="s">
        <v>76</v>
      </c>
      <c r="P895" t="s">
        <v>35</v>
      </c>
      <c r="Q895" t="s">
        <v>28</v>
      </c>
      <c r="R895" t="s">
        <v>29</v>
      </c>
    </row>
    <row r="896" spans="1:18">
      <c r="A896" t="s">
        <v>1025</v>
      </c>
      <c r="B896" s="2">
        <v>46099</v>
      </c>
      <c r="C896" t="s">
        <v>19</v>
      </c>
      <c r="D896" t="s">
        <v>20</v>
      </c>
      <c r="E896" t="s">
        <v>112</v>
      </c>
      <c r="F896" t="s">
        <v>22</v>
      </c>
      <c r="G896" t="s">
        <v>160</v>
      </c>
      <c r="H896" t="s">
        <v>161</v>
      </c>
      <c r="I896">
        <v>12</v>
      </c>
      <c r="J896" s="3">
        <v>3002.59</v>
      </c>
      <c r="K896" s="3">
        <v>36031.08</v>
      </c>
      <c r="L896" t="s">
        <v>34</v>
      </c>
      <c r="M896" s="2">
        <v>46106</v>
      </c>
      <c r="N896" s="2">
        <v>46105</v>
      </c>
      <c r="O896" t="s">
        <v>26</v>
      </c>
      <c r="P896" t="s">
        <v>115</v>
      </c>
      <c r="Q896" t="s">
        <v>28</v>
      </c>
      <c r="R896" t="s">
        <v>29</v>
      </c>
    </row>
    <row r="897" spans="1:18">
      <c r="A897" t="s">
        <v>1026</v>
      </c>
      <c r="B897" s="2">
        <v>45979</v>
      </c>
      <c r="C897" t="s">
        <v>55</v>
      </c>
      <c r="D897" t="s">
        <v>56</v>
      </c>
      <c r="E897" t="s">
        <v>48</v>
      </c>
      <c r="F897" t="s">
        <v>57</v>
      </c>
      <c r="G897" t="s">
        <v>120</v>
      </c>
      <c r="H897" t="s">
        <v>121</v>
      </c>
      <c r="I897">
        <v>4</v>
      </c>
      <c r="J897" s="3">
        <v>24863.59</v>
      </c>
      <c r="K897" s="3">
        <v>99454.36</v>
      </c>
      <c r="L897" t="s">
        <v>25</v>
      </c>
      <c r="M897" s="2">
        <v>45991</v>
      </c>
      <c r="N897" s="2">
        <v>45991</v>
      </c>
      <c r="O897" t="s">
        <v>60</v>
      </c>
      <c r="P897" t="s">
        <v>53</v>
      </c>
      <c r="Q897" t="s">
        <v>28</v>
      </c>
      <c r="R897" t="s">
        <v>29</v>
      </c>
    </row>
    <row r="898" spans="1:18">
      <c r="A898" t="s">
        <v>1027</v>
      </c>
      <c r="B898" s="2">
        <v>46104</v>
      </c>
      <c r="C898" t="s">
        <v>142</v>
      </c>
      <c r="D898" t="s">
        <v>143</v>
      </c>
      <c r="E898" t="s">
        <v>112</v>
      </c>
      <c r="F898" t="s">
        <v>22</v>
      </c>
      <c r="G898" t="s">
        <v>32</v>
      </c>
      <c r="H898" t="s">
        <v>33</v>
      </c>
      <c r="I898">
        <v>15</v>
      </c>
      <c r="J898" s="3">
        <v>8421.16</v>
      </c>
      <c r="K898" s="3">
        <v>126317.4</v>
      </c>
      <c r="L898" t="s">
        <v>25</v>
      </c>
      <c r="M898" s="2">
        <v>46114</v>
      </c>
      <c r="N898" s="2">
        <v>46113</v>
      </c>
      <c r="O898" t="s">
        <v>76</v>
      </c>
      <c r="P898" t="s">
        <v>115</v>
      </c>
      <c r="Q898" t="s">
        <v>28</v>
      </c>
      <c r="R898" t="s">
        <v>29</v>
      </c>
    </row>
    <row r="899" spans="1:18">
      <c r="A899" t="s">
        <v>1028</v>
      </c>
      <c r="B899" s="2">
        <v>45940</v>
      </c>
      <c r="C899" t="s">
        <v>46</v>
      </c>
      <c r="D899" t="s">
        <v>47</v>
      </c>
      <c r="E899" t="s">
        <v>112</v>
      </c>
      <c r="F899" t="s">
        <v>49</v>
      </c>
      <c r="G899" t="s">
        <v>113</v>
      </c>
      <c r="H899" t="s">
        <v>114</v>
      </c>
      <c r="I899">
        <v>1</v>
      </c>
      <c r="J899" s="3">
        <v>40448.080000000002</v>
      </c>
      <c r="K899" s="3">
        <v>40448.080000000002</v>
      </c>
      <c r="L899" t="s">
        <v>25</v>
      </c>
      <c r="M899" s="2">
        <v>45951</v>
      </c>
      <c r="N899" s="2">
        <v>45948</v>
      </c>
      <c r="O899" t="s">
        <v>76</v>
      </c>
      <c r="P899" t="s">
        <v>115</v>
      </c>
      <c r="Q899" t="s">
        <v>28</v>
      </c>
      <c r="R899" t="s">
        <v>29</v>
      </c>
    </row>
    <row r="900" spans="1:18">
      <c r="A900" t="s">
        <v>1029</v>
      </c>
      <c r="B900" s="2">
        <v>45896</v>
      </c>
      <c r="C900" t="s">
        <v>147</v>
      </c>
      <c r="D900" t="s">
        <v>148</v>
      </c>
      <c r="E900" t="s">
        <v>112</v>
      </c>
      <c r="F900" t="s">
        <v>40</v>
      </c>
      <c r="G900" t="s">
        <v>149</v>
      </c>
      <c r="H900" t="s">
        <v>150</v>
      </c>
      <c r="I900">
        <v>42</v>
      </c>
      <c r="J900" s="3">
        <v>1358.49</v>
      </c>
      <c r="K900" s="3">
        <v>57056.58</v>
      </c>
      <c r="L900" t="s">
        <v>34</v>
      </c>
      <c r="M900" s="2">
        <v>45906</v>
      </c>
      <c r="N900" s="2">
        <v>45906</v>
      </c>
      <c r="O900" t="s">
        <v>76</v>
      </c>
      <c r="P900" t="s">
        <v>115</v>
      </c>
      <c r="Q900" t="s">
        <v>28</v>
      </c>
      <c r="R900" t="s">
        <v>29</v>
      </c>
    </row>
    <row r="901" spans="1:18">
      <c r="A901" t="s">
        <v>1030</v>
      </c>
      <c r="B901" s="2">
        <v>45730</v>
      </c>
      <c r="C901" t="s">
        <v>19</v>
      </c>
      <c r="D901" t="s">
        <v>20</v>
      </c>
      <c r="E901" t="s">
        <v>31</v>
      </c>
      <c r="F901" t="s">
        <v>22</v>
      </c>
      <c r="G901" t="s">
        <v>23</v>
      </c>
      <c r="H901" t="s">
        <v>24</v>
      </c>
      <c r="I901">
        <v>43</v>
      </c>
      <c r="J901" s="3">
        <v>223.84</v>
      </c>
      <c r="K901" s="3">
        <v>9625.1200000000008</v>
      </c>
      <c r="L901" t="s">
        <v>34</v>
      </c>
      <c r="M901" s="2">
        <v>45747</v>
      </c>
      <c r="N901" s="2">
        <v>45746</v>
      </c>
      <c r="O901" t="s">
        <v>43</v>
      </c>
      <c r="P901" t="s">
        <v>35</v>
      </c>
      <c r="Q901" t="s">
        <v>28</v>
      </c>
      <c r="R901" t="s">
        <v>29</v>
      </c>
    </row>
    <row r="902" spans="1:18">
      <c r="A902" t="s">
        <v>1031</v>
      </c>
      <c r="B902" s="2">
        <v>45780</v>
      </c>
      <c r="C902" t="s">
        <v>147</v>
      </c>
      <c r="D902" t="s">
        <v>148</v>
      </c>
      <c r="E902" t="s">
        <v>39</v>
      </c>
      <c r="F902" t="s">
        <v>40</v>
      </c>
      <c r="G902" t="s">
        <v>62</v>
      </c>
      <c r="H902" t="s">
        <v>63</v>
      </c>
      <c r="I902">
        <v>8</v>
      </c>
      <c r="J902" s="3">
        <v>17659.060000000001</v>
      </c>
      <c r="K902" s="3">
        <v>141272.48000000001</v>
      </c>
      <c r="L902" t="s">
        <v>25</v>
      </c>
      <c r="M902" s="2">
        <v>45787</v>
      </c>
      <c r="N902" s="2">
        <v>45786</v>
      </c>
      <c r="O902" t="s">
        <v>76</v>
      </c>
      <c r="P902" t="s">
        <v>64</v>
      </c>
      <c r="Q902" t="s">
        <v>28</v>
      </c>
      <c r="R902" t="s">
        <v>29</v>
      </c>
    </row>
    <row r="903" spans="1:18">
      <c r="A903" t="s">
        <v>1032</v>
      </c>
      <c r="B903" s="2">
        <v>46169</v>
      </c>
      <c r="C903" t="s">
        <v>142</v>
      </c>
      <c r="D903" t="s">
        <v>143</v>
      </c>
      <c r="E903" t="s">
        <v>21</v>
      </c>
      <c r="F903" t="s">
        <v>22</v>
      </c>
      <c r="G903" t="s">
        <v>23</v>
      </c>
      <c r="H903" t="s">
        <v>24</v>
      </c>
      <c r="I903">
        <v>10</v>
      </c>
      <c r="J903" s="3">
        <v>249.47</v>
      </c>
      <c r="K903" s="3">
        <v>2494.6999999999998</v>
      </c>
      <c r="L903" t="s">
        <v>25</v>
      </c>
      <c r="M903" s="2">
        <v>46179</v>
      </c>
      <c r="N903" s="2">
        <v>46179</v>
      </c>
      <c r="O903" t="s">
        <v>43</v>
      </c>
      <c r="P903" t="s">
        <v>27</v>
      </c>
      <c r="Q903" t="s">
        <v>28</v>
      </c>
      <c r="R903" t="s">
        <v>29</v>
      </c>
    </row>
    <row r="904" spans="1:18">
      <c r="A904" t="s">
        <v>1033</v>
      </c>
      <c r="B904" s="2">
        <v>45718</v>
      </c>
      <c r="C904" t="s">
        <v>142</v>
      </c>
      <c r="D904" t="s">
        <v>143</v>
      </c>
      <c r="E904" t="s">
        <v>39</v>
      </c>
      <c r="F904" t="s">
        <v>22</v>
      </c>
      <c r="G904" t="s">
        <v>32</v>
      </c>
      <c r="H904" t="s">
        <v>33</v>
      </c>
      <c r="I904">
        <v>5</v>
      </c>
      <c r="J904" s="3">
        <v>7717.46</v>
      </c>
      <c r="K904" s="3">
        <v>38587.300000000003</v>
      </c>
      <c r="L904" t="s">
        <v>52</v>
      </c>
      <c r="M904" s="2">
        <v>45723</v>
      </c>
      <c r="N904" s="2">
        <v>45721</v>
      </c>
      <c r="O904" t="s">
        <v>26</v>
      </c>
      <c r="P904" t="s">
        <v>64</v>
      </c>
      <c r="Q904" t="s">
        <v>28</v>
      </c>
      <c r="R904" t="s">
        <v>29</v>
      </c>
    </row>
    <row r="905" spans="1:18">
      <c r="A905" t="s">
        <v>1034</v>
      </c>
      <c r="B905" s="2">
        <v>46168</v>
      </c>
      <c r="C905" t="s">
        <v>147</v>
      </c>
      <c r="D905" t="s">
        <v>148</v>
      </c>
      <c r="E905" t="s">
        <v>39</v>
      </c>
      <c r="F905" t="s">
        <v>40</v>
      </c>
      <c r="G905" t="s">
        <v>41</v>
      </c>
      <c r="H905" t="s">
        <v>42</v>
      </c>
      <c r="I905">
        <v>10</v>
      </c>
      <c r="J905" s="3">
        <v>5402.43</v>
      </c>
      <c r="K905" s="3">
        <v>54024.3</v>
      </c>
      <c r="L905" t="s">
        <v>34</v>
      </c>
      <c r="M905" s="2">
        <v>46178</v>
      </c>
      <c r="N905" s="2">
        <v>46175</v>
      </c>
      <c r="O905" t="s">
        <v>26</v>
      </c>
      <c r="P905" t="s">
        <v>64</v>
      </c>
      <c r="Q905" t="s">
        <v>28</v>
      </c>
      <c r="R905" t="s">
        <v>29</v>
      </c>
    </row>
    <row r="906" spans="1:18">
      <c r="A906" t="s">
        <v>1035</v>
      </c>
      <c r="B906" s="2">
        <v>46113</v>
      </c>
      <c r="C906" t="s">
        <v>80</v>
      </c>
      <c r="D906" t="s">
        <v>81</v>
      </c>
      <c r="E906" t="s">
        <v>39</v>
      </c>
      <c r="F906" t="s">
        <v>82</v>
      </c>
      <c r="G906" t="s">
        <v>83</v>
      </c>
      <c r="H906" t="s">
        <v>84</v>
      </c>
      <c r="I906">
        <v>23</v>
      </c>
      <c r="J906" s="3">
        <v>675.83</v>
      </c>
      <c r="K906" s="3">
        <v>15544.09</v>
      </c>
      <c r="L906" t="s">
        <v>34</v>
      </c>
      <c r="M906" s="2">
        <v>46119</v>
      </c>
      <c r="N906" s="2">
        <v>46118</v>
      </c>
      <c r="O906" t="s">
        <v>26</v>
      </c>
      <c r="P906" t="s">
        <v>64</v>
      </c>
      <c r="Q906" t="s">
        <v>28</v>
      </c>
      <c r="R906" t="s">
        <v>29</v>
      </c>
    </row>
    <row r="907" spans="1:18">
      <c r="A907" t="s">
        <v>1036</v>
      </c>
      <c r="B907" s="2">
        <v>46167</v>
      </c>
      <c r="C907" t="s">
        <v>80</v>
      </c>
      <c r="D907" t="s">
        <v>81</v>
      </c>
      <c r="E907" t="s">
        <v>39</v>
      </c>
      <c r="F907" t="s">
        <v>82</v>
      </c>
      <c r="G907" t="s">
        <v>98</v>
      </c>
      <c r="H907" t="s">
        <v>99</v>
      </c>
      <c r="I907">
        <v>40</v>
      </c>
      <c r="J907" s="3">
        <v>1140.1099999999999</v>
      </c>
      <c r="K907" s="3">
        <v>45604.4</v>
      </c>
      <c r="L907" t="s">
        <v>52</v>
      </c>
      <c r="M907" s="2">
        <v>46185</v>
      </c>
      <c r="N907" s="2">
        <v>46182</v>
      </c>
      <c r="O907" t="s">
        <v>43</v>
      </c>
      <c r="P907" t="s">
        <v>44</v>
      </c>
      <c r="Q907" t="s">
        <v>28</v>
      </c>
      <c r="R907" t="s">
        <v>29</v>
      </c>
    </row>
    <row r="908" spans="1:18">
      <c r="A908" t="s">
        <v>1037</v>
      </c>
      <c r="B908" s="2">
        <v>45910</v>
      </c>
      <c r="C908" t="s">
        <v>147</v>
      </c>
      <c r="D908" t="s">
        <v>148</v>
      </c>
      <c r="E908" t="s">
        <v>39</v>
      </c>
      <c r="F908" t="s">
        <v>40</v>
      </c>
      <c r="G908" t="s">
        <v>149</v>
      </c>
      <c r="H908" t="s">
        <v>150</v>
      </c>
      <c r="I908">
        <v>8</v>
      </c>
      <c r="J908" s="3">
        <v>1249.01</v>
      </c>
      <c r="K908" s="3">
        <v>9992.08</v>
      </c>
      <c r="L908" t="s">
        <v>34</v>
      </c>
      <c r="M908" s="2">
        <v>45922</v>
      </c>
      <c r="N908" s="2">
        <v>45922</v>
      </c>
      <c r="O908" t="s">
        <v>43</v>
      </c>
      <c r="P908" t="s">
        <v>44</v>
      </c>
      <c r="Q908" t="s">
        <v>28</v>
      </c>
      <c r="R908" t="s">
        <v>29</v>
      </c>
    </row>
    <row r="909" spans="1:18">
      <c r="A909" t="s">
        <v>1038</v>
      </c>
      <c r="B909" s="2">
        <v>46197</v>
      </c>
      <c r="C909" t="s">
        <v>104</v>
      </c>
      <c r="D909" t="s">
        <v>105</v>
      </c>
      <c r="E909" t="s">
        <v>48</v>
      </c>
      <c r="F909" t="s">
        <v>49</v>
      </c>
      <c r="G909" t="s">
        <v>50</v>
      </c>
      <c r="H909" t="s">
        <v>51</v>
      </c>
      <c r="I909">
        <v>1</v>
      </c>
      <c r="J909" s="3">
        <v>50554.03</v>
      </c>
      <c r="K909" s="3">
        <v>50554.03</v>
      </c>
      <c r="L909" t="s">
        <v>25</v>
      </c>
      <c r="M909" s="2">
        <v>46206</v>
      </c>
      <c r="N909" s="2">
        <v>46203</v>
      </c>
      <c r="O909" t="s">
        <v>60</v>
      </c>
      <c r="P909" t="s">
        <v>53</v>
      </c>
      <c r="Q909" t="s">
        <v>28</v>
      </c>
      <c r="R909" t="s">
        <v>29</v>
      </c>
    </row>
    <row r="910" spans="1:18">
      <c r="A910" t="s">
        <v>1039</v>
      </c>
      <c r="B910" s="2">
        <v>46161</v>
      </c>
      <c r="C910" t="s">
        <v>142</v>
      </c>
      <c r="D910" t="s">
        <v>143</v>
      </c>
      <c r="E910" t="s">
        <v>31</v>
      </c>
      <c r="F910" t="s">
        <v>22</v>
      </c>
      <c r="G910" t="s">
        <v>160</v>
      </c>
      <c r="H910" t="s">
        <v>161</v>
      </c>
      <c r="I910">
        <v>13</v>
      </c>
      <c r="J910" s="3">
        <v>3305.31</v>
      </c>
      <c r="K910" s="3">
        <v>42969.03</v>
      </c>
      <c r="L910" t="s">
        <v>25</v>
      </c>
      <c r="M910" s="2">
        <v>46170</v>
      </c>
      <c r="N910" s="2">
        <v>46170</v>
      </c>
      <c r="O910" t="s">
        <v>43</v>
      </c>
      <c r="P910" t="s">
        <v>94</v>
      </c>
      <c r="Q910" t="s">
        <v>28</v>
      </c>
      <c r="R910" t="s">
        <v>29</v>
      </c>
    </row>
    <row r="911" spans="1:18">
      <c r="A911" t="s">
        <v>1040</v>
      </c>
      <c r="B911" s="2">
        <v>45749</v>
      </c>
      <c r="C911" t="s">
        <v>142</v>
      </c>
      <c r="D911" t="s">
        <v>143</v>
      </c>
      <c r="E911" t="s">
        <v>31</v>
      </c>
      <c r="F911" t="s">
        <v>22</v>
      </c>
      <c r="G911" t="s">
        <v>32</v>
      </c>
      <c r="H911" t="s">
        <v>33</v>
      </c>
      <c r="I911">
        <v>1</v>
      </c>
      <c r="J911" s="3">
        <v>7708.18</v>
      </c>
      <c r="K911" s="3">
        <v>7708.18</v>
      </c>
      <c r="L911" t="s">
        <v>25</v>
      </c>
      <c r="M911" s="2">
        <v>45762</v>
      </c>
      <c r="N911" s="2">
        <v>45768</v>
      </c>
      <c r="O911" t="s">
        <v>76</v>
      </c>
      <c r="P911" t="s">
        <v>94</v>
      </c>
      <c r="Q911" t="s">
        <v>28</v>
      </c>
      <c r="R911" t="s">
        <v>129</v>
      </c>
    </row>
    <row r="912" spans="1:18">
      <c r="A912" t="s">
        <v>1041</v>
      </c>
      <c r="B912" s="2">
        <v>46102</v>
      </c>
      <c r="C912" t="s">
        <v>107</v>
      </c>
      <c r="D912" t="s">
        <v>108</v>
      </c>
      <c r="E912" t="s">
        <v>31</v>
      </c>
      <c r="F912" t="s">
        <v>91</v>
      </c>
      <c r="G912" t="s">
        <v>109</v>
      </c>
      <c r="H912" t="s">
        <v>110</v>
      </c>
      <c r="I912">
        <v>1</v>
      </c>
      <c r="J912" s="3">
        <v>13255.34</v>
      </c>
      <c r="K912" s="3">
        <v>13255.34</v>
      </c>
      <c r="L912" t="s">
        <v>52</v>
      </c>
      <c r="M912" s="2">
        <v>46108</v>
      </c>
      <c r="N912" s="2">
        <v>46107</v>
      </c>
      <c r="O912" t="s">
        <v>76</v>
      </c>
      <c r="P912" t="s">
        <v>94</v>
      </c>
      <c r="Q912" t="s">
        <v>28</v>
      </c>
      <c r="R912" t="s">
        <v>29</v>
      </c>
    </row>
    <row r="913" spans="1:18">
      <c r="A913" t="s">
        <v>1042</v>
      </c>
      <c r="B913" s="2">
        <v>45866</v>
      </c>
      <c r="C913" t="s">
        <v>142</v>
      </c>
      <c r="D913" t="s">
        <v>143</v>
      </c>
      <c r="E913" t="s">
        <v>31</v>
      </c>
      <c r="F913" t="s">
        <v>1043</v>
      </c>
      <c r="G913" t="s">
        <v>23</v>
      </c>
      <c r="H913" t="s">
        <v>24</v>
      </c>
      <c r="I913">
        <v>49</v>
      </c>
      <c r="J913" s="3">
        <v>243.61</v>
      </c>
      <c r="K913" s="3">
        <v>11936.89</v>
      </c>
      <c r="L913" t="s">
        <v>52</v>
      </c>
      <c r="M913" s="2">
        <v>45872</v>
      </c>
      <c r="N913" s="2">
        <v>45872</v>
      </c>
      <c r="O913" t="s">
        <v>76</v>
      </c>
      <c r="P913" t="s">
        <v>94</v>
      </c>
      <c r="Q913" t="s">
        <v>28</v>
      </c>
      <c r="R913" t="s">
        <v>29</v>
      </c>
    </row>
    <row r="914" spans="1:18">
      <c r="A914" t="s">
        <v>1044</v>
      </c>
      <c r="B914" s="2">
        <v>46069</v>
      </c>
      <c r="C914" t="s">
        <v>19</v>
      </c>
      <c r="D914" t="s">
        <v>20</v>
      </c>
      <c r="E914" t="s">
        <v>39</v>
      </c>
      <c r="F914" t="s">
        <v>22</v>
      </c>
      <c r="G914" t="s">
        <v>32</v>
      </c>
      <c r="H914" t="s">
        <v>33</v>
      </c>
      <c r="I914">
        <v>7</v>
      </c>
      <c r="J914" s="3">
        <v>7539.63</v>
      </c>
      <c r="K914" s="3">
        <v>52777.41</v>
      </c>
      <c r="L914" t="s">
        <v>25</v>
      </c>
      <c r="M914" s="2">
        <v>46084</v>
      </c>
      <c r="N914" s="2">
        <v>46082</v>
      </c>
      <c r="O914" t="s">
        <v>76</v>
      </c>
      <c r="P914" t="s">
        <v>44</v>
      </c>
      <c r="Q914" t="s">
        <v>28</v>
      </c>
      <c r="R914" t="s">
        <v>29</v>
      </c>
    </row>
    <row r="915" spans="1:18">
      <c r="A915" t="s">
        <v>1045</v>
      </c>
      <c r="B915" s="2">
        <v>45668</v>
      </c>
      <c r="C915" t="s">
        <v>66</v>
      </c>
      <c r="D915" t="s">
        <v>67</v>
      </c>
      <c r="E915" t="s">
        <v>73</v>
      </c>
      <c r="F915" t="s">
        <v>49</v>
      </c>
      <c r="G915" t="s">
        <v>50</v>
      </c>
      <c r="H915" t="s">
        <v>51</v>
      </c>
      <c r="I915">
        <v>3</v>
      </c>
      <c r="J915" s="3">
        <v>50638.71</v>
      </c>
      <c r="K915" s="3">
        <v>151916.13</v>
      </c>
      <c r="L915" t="s">
        <v>25</v>
      </c>
      <c r="M915" s="2">
        <v>45673</v>
      </c>
      <c r="N915" s="2">
        <v>45670</v>
      </c>
      <c r="O915" t="s">
        <v>60</v>
      </c>
      <c r="P915" t="s">
        <v>77</v>
      </c>
      <c r="Q915" t="s">
        <v>28</v>
      </c>
      <c r="R915" t="s">
        <v>29</v>
      </c>
    </row>
    <row r="916" spans="1:18">
      <c r="A916" t="s">
        <v>1046</v>
      </c>
      <c r="B916" s="2">
        <v>45886</v>
      </c>
      <c r="C916" t="s">
        <v>142</v>
      </c>
      <c r="D916" t="s">
        <v>143</v>
      </c>
      <c r="E916" t="s">
        <v>39</v>
      </c>
      <c r="F916" t="s">
        <v>22</v>
      </c>
      <c r="G916" t="s">
        <v>160</v>
      </c>
      <c r="H916" t="s">
        <v>161</v>
      </c>
      <c r="I916">
        <v>3</v>
      </c>
      <c r="J916" s="3">
        <v>3176.22</v>
      </c>
      <c r="K916" s="3">
        <v>9528.66</v>
      </c>
      <c r="L916" t="s">
        <v>25</v>
      </c>
      <c r="M916" s="2">
        <v>45902</v>
      </c>
      <c r="N916" s="2">
        <v>45899</v>
      </c>
      <c r="O916" t="s">
        <v>76</v>
      </c>
      <c r="P916" t="s">
        <v>44</v>
      </c>
      <c r="Q916" t="s">
        <v>28</v>
      </c>
      <c r="R916" t="s">
        <v>29</v>
      </c>
    </row>
    <row r="917" spans="1:18">
      <c r="A917" t="s">
        <v>1047</v>
      </c>
      <c r="B917" s="2">
        <v>45925</v>
      </c>
      <c r="C917" t="s">
        <v>19</v>
      </c>
      <c r="D917" t="s">
        <v>20</v>
      </c>
      <c r="E917" t="s">
        <v>39</v>
      </c>
      <c r="F917" t="s">
        <v>22</v>
      </c>
      <c r="G917" t="s">
        <v>23</v>
      </c>
      <c r="H917" t="s">
        <v>24</v>
      </c>
      <c r="I917">
        <v>13</v>
      </c>
      <c r="J917" s="3">
        <v>228.95</v>
      </c>
      <c r="K917" s="3">
        <v>2976.35</v>
      </c>
      <c r="L917" t="s">
        <v>25</v>
      </c>
      <c r="M917" s="2">
        <v>45938</v>
      </c>
      <c r="N917" s="2">
        <v>45935</v>
      </c>
      <c r="O917" t="s">
        <v>43</v>
      </c>
      <c r="P917" t="s">
        <v>64</v>
      </c>
      <c r="Q917" t="s">
        <v>28</v>
      </c>
      <c r="R917" t="s">
        <v>29</v>
      </c>
    </row>
    <row r="918" spans="1:18">
      <c r="A918" t="s">
        <v>1048</v>
      </c>
      <c r="B918" s="2">
        <v>45846</v>
      </c>
      <c r="C918" t="s">
        <v>71</v>
      </c>
      <c r="D918" t="s">
        <v>72</v>
      </c>
      <c r="E918" t="s">
        <v>48</v>
      </c>
      <c r="F918" t="s">
        <v>57</v>
      </c>
      <c r="G918" t="s">
        <v>86</v>
      </c>
      <c r="H918" t="s">
        <v>87</v>
      </c>
      <c r="I918">
        <v>3</v>
      </c>
      <c r="J918" s="3">
        <v>10124.540000000001</v>
      </c>
      <c r="K918" s="3">
        <v>30373.62</v>
      </c>
      <c r="L918" t="s">
        <v>34</v>
      </c>
      <c r="M918" s="2">
        <v>45858</v>
      </c>
      <c r="N918" s="2">
        <v>45858</v>
      </c>
      <c r="O918" t="s">
        <v>26</v>
      </c>
      <c r="P918" t="s">
        <v>53</v>
      </c>
      <c r="Q918" t="s">
        <v>28</v>
      </c>
      <c r="R918" t="s">
        <v>29</v>
      </c>
    </row>
    <row r="919" spans="1:18">
      <c r="A919" t="s">
        <v>1049</v>
      </c>
      <c r="B919" s="2">
        <v>45983</v>
      </c>
      <c r="C919" t="s">
        <v>37</v>
      </c>
      <c r="D919" t="s">
        <v>38</v>
      </c>
      <c r="E919" t="s">
        <v>39</v>
      </c>
      <c r="F919" t="s">
        <v>22</v>
      </c>
      <c r="G919" t="s">
        <v>160</v>
      </c>
      <c r="H919" t="s">
        <v>161</v>
      </c>
      <c r="I919">
        <v>3</v>
      </c>
      <c r="J919" s="3">
        <v>3311.76</v>
      </c>
      <c r="K919" s="3">
        <v>9935.2800000000007</v>
      </c>
      <c r="L919" t="s">
        <v>25</v>
      </c>
      <c r="M919" s="2">
        <v>45993</v>
      </c>
      <c r="N919" s="2">
        <v>45993</v>
      </c>
      <c r="O919" t="s">
        <v>26</v>
      </c>
      <c r="P919" t="s">
        <v>44</v>
      </c>
      <c r="Q919" t="s">
        <v>28</v>
      </c>
      <c r="R919" t="s">
        <v>29</v>
      </c>
    </row>
    <row r="920" spans="1:18">
      <c r="A920" t="s">
        <v>1050</v>
      </c>
      <c r="B920" s="2">
        <v>46175</v>
      </c>
      <c r="C920" t="s">
        <v>19</v>
      </c>
      <c r="D920" t="s">
        <v>20</v>
      </c>
      <c r="E920" t="s">
        <v>39</v>
      </c>
      <c r="F920" t="s">
        <v>22</v>
      </c>
      <c r="G920" t="s">
        <v>160</v>
      </c>
      <c r="H920" t="s">
        <v>161</v>
      </c>
      <c r="I920">
        <v>14</v>
      </c>
      <c r="J920" s="3">
        <v>2928.03</v>
      </c>
      <c r="K920" s="3">
        <v>40992.42</v>
      </c>
      <c r="L920" t="s">
        <v>34</v>
      </c>
      <c r="M920" s="2">
        <v>46187</v>
      </c>
      <c r="N920" s="2">
        <v>46192</v>
      </c>
      <c r="O920" t="s">
        <v>76</v>
      </c>
      <c r="P920" t="s">
        <v>64</v>
      </c>
      <c r="Q920" t="s">
        <v>28</v>
      </c>
      <c r="R920" t="s">
        <v>129</v>
      </c>
    </row>
    <row r="921" spans="1:18">
      <c r="A921" t="s">
        <v>1051</v>
      </c>
      <c r="B921" s="2">
        <v>45804</v>
      </c>
      <c r="C921" t="s">
        <v>142</v>
      </c>
      <c r="D921" t="s">
        <v>143</v>
      </c>
      <c r="E921" t="s">
        <v>21</v>
      </c>
      <c r="F921" t="s">
        <v>22</v>
      </c>
      <c r="G921" t="s">
        <v>32</v>
      </c>
      <c r="H921" t="s">
        <v>33</v>
      </c>
      <c r="I921">
        <v>1</v>
      </c>
      <c r="J921" s="3">
        <v>7851.67</v>
      </c>
      <c r="K921" s="3">
        <v>7851.67</v>
      </c>
      <c r="L921" t="s">
        <v>25</v>
      </c>
      <c r="M921" s="2">
        <v>45818</v>
      </c>
      <c r="N921" s="2">
        <v>45816</v>
      </c>
      <c r="O921" t="s">
        <v>26</v>
      </c>
      <c r="P921" t="s">
        <v>27</v>
      </c>
      <c r="Q921" t="s">
        <v>28</v>
      </c>
      <c r="R921" t="s">
        <v>29</v>
      </c>
    </row>
    <row r="922" spans="1:18">
      <c r="A922" t="s">
        <v>1052</v>
      </c>
      <c r="B922" s="2">
        <v>45897</v>
      </c>
      <c r="C922" t="s">
        <v>19</v>
      </c>
      <c r="D922" t="s">
        <v>20</v>
      </c>
      <c r="E922" t="s">
        <v>39</v>
      </c>
      <c r="F922" t="s">
        <v>22</v>
      </c>
      <c r="G922" t="s">
        <v>160</v>
      </c>
      <c r="H922" t="s">
        <v>161</v>
      </c>
      <c r="I922">
        <v>4</v>
      </c>
      <c r="J922" s="3">
        <v>2843.86</v>
      </c>
      <c r="K922" s="3">
        <v>11375.44</v>
      </c>
      <c r="L922" t="s">
        <v>25</v>
      </c>
      <c r="M922" s="2">
        <v>45914</v>
      </c>
      <c r="N922" s="2">
        <v>45914</v>
      </c>
      <c r="O922" t="s">
        <v>60</v>
      </c>
      <c r="P922" t="s">
        <v>44</v>
      </c>
      <c r="Q922" t="s">
        <v>28</v>
      </c>
      <c r="R922" t="s">
        <v>29</v>
      </c>
    </row>
    <row r="923" spans="1:18">
      <c r="A923" t="s">
        <v>1053</v>
      </c>
      <c r="B923" s="2">
        <v>45947</v>
      </c>
      <c r="C923" t="s">
        <v>71</v>
      </c>
      <c r="D923" t="s">
        <v>72</v>
      </c>
      <c r="E923" t="s">
        <v>73</v>
      </c>
      <c r="F923" t="s">
        <v>57</v>
      </c>
      <c r="G923" t="s">
        <v>86</v>
      </c>
      <c r="H923" t="s">
        <v>87</v>
      </c>
      <c r="I923">
        <v>6</v>
      </c>
      <c r="J923" s="3">
        <v>10346.25</v>
      </c>
      <c r="K923" s="3">
        <v>62077.5</v>
      </c>
      <c r="L923" t="s">
        <v>25</v>
      </c>
      <c r="M923" s="2">
        <v>45962</v>
      </c>
      <c r="N923" s="2">
        <v>45961</v>
      </c>
      <c r="O923" t="s">
        <v>76</v>
      </c>
      <c r="P923" t="s">
        <v>77</v>
      </c>
      <c r="Q923" t="s">
        <v>28</v>
      </c>
      <c r="R923" t="s">
        <v>29</v>
      </c>
    </row>
    <row r="924" spans="1:18">
      <c r="A924" t="s">
        <v>1054</v>
      </c>
      <c r="B924" s="2">
        <v>45805</v>
      </c>
      <c r="C924" t="s">
        <v>66</v>
      </c>
      <c r="D924" t="s">
        <v>67</v>
      </c>
      <c r="E924" t="s">
        <v>48</v>
      </c>
      <c r="F924" t="s">
        <v>49</v>
      </c>
      <c r="G924" t="s">
        <v>165</v>
      </c>
      <c r="H924" t="s">
        <v>166</v>
      </c>
      <c r="I924">
        <v>1</v>
      </c>
      <c r="J924" s="3">
        <v>43349.99</v>
      </c>
      <c r="K924" s="3">
        <v>43349.99</v>
      </c>
      <c r="L924" t="s">
        <v>25</v>
      </c>
      <c r="M924" s="2">
        <v>45816</v>
      </c>
      <c r="N924" s="2">
        <v>45815</v>
      </c>
      <c r="O924" t="s">
        <v>60</v>
      </c>
      <c r="P924" t="s">
        <v>53</v>
      </c>
      <c r="Q924" t="s">
        <v>28</v>
      </c>
      <c r="R924" t="s">
        <v>29</v>
      </c>
    </row>
    <row r="925" spans="1:18">
      <c r="A925" t="s">
        <v>1055</v>
      </c>
      <c r="B925" s="2">
        <v>46069</v>
      </c>
      <c r="C925" t="s">
        <v>89</v>
      </c>
      <c r="D925" t="s">
        <v>90</v>
      </c>
      <c r="E925" t="s">
        <v>31</v>
      </c>
      <c r="F925" t="s">
        <v>91</v>
      </c>
      <c r="G925" t="s">
        <v>109</v>
      </c>
      <c r="H925" t="s">
        <v>110</v>
      </c>
      <c r="I925">
        <v>2</v>
      </c>
      <c r="J925" s="3">
        <v>12469.94</v>
      </c>
      <c r="K925" s="3">
        <v>24939.88</v>
      </c>
      <c r="L925" t="s">
        <v>25</v>
      </c>
      <c r="M925" s="2">
        <v>46081</v>
      </c>
      <c r="N925" s="2">
        <v>46078</v>
      </c>
      <c r="O925" t="s">
        <v>76</v>
      </c>
      <c r="P925" t="s">
        <v>35</v>
      </c>
      <c r="Q925" t="s">
        <v>28</v>
      </c>
      <c r="R925" t="s">
        <v>29</v>
      </c>
    </row>
    <row r="926" spans="1:18">
      <c r="A926" t="s">
        <v>1056</v>
      </c>
      <c r="B926" s="2">
        <v>45868</v>
      </c>
      <c r="C926" t="s">
        <v>71</v>
      </c>
      <c r="D926" t="s">
        <v>72</v>
      </c>
      <c r="E926" t="s">
        <v>48</v>
      </c>
      <c r="F926" t="s">
        <v>57</v>
      </c>
      <c r="G926" t="s">
        <v>120</v>
      </c>
      <c r="H926" t="s">
        <v>121</v>
      </c>
      <c r="I926">
        <v>8</v>
      </c>
      <c r="J926" s="3">
        <v>20796.43</v>
      </c>
      <c r="K926" s="3">
        <v>166371.44</v>
      </c>
      <c r="L926" t="s">
        <v>25</v>
      </c>
      <c r="M926" s="2">
        <v>45881</v>
      </c>
      <c r="N926" s="2">
        <v>45878</v>
      </c>
      <c r="O926" t="s">
        <v>76</v>
      </c>
      <c r="P926" t="s">
        <v>53</v>
      </c>
      <c r="Q926" t="s">
        <v>28</v>
      </c>
      <c r="R926" t="s">
        <v>29</v>
      </c>
    </row>
    <row r="927" spans="1:18">
      <c r="A927" t="s">
        <v>1057</v>
      </c>
      <c r="B927" s="2">
        <v>46060</v>
      </c>
      <c r="C927" t="s">
        <v>96</v>
      </c>
      <c r="D927" t="s">
        <v>97</v>
      </c>
      <c r="E927" t="s">
        <v>39</v>
      </c>
      <c r="F927" t="s">
        <v>82</v>
      </c>
      <c r="G927" t="s">
        <v>98</v>
      </c>
      <c r="H927" t="s">
        <v>99</v>
      </c>
      <c r="I927">
        <v>54</v>
      </c>
      <c r="J927" s="3">
        <v>1202.1099999999999</v>
      </c>
      <c r="K927" s="3">
        <v>64913.94</v>
      </c>
      <c r="L927" t="s">
        <v>25</v>
      </c>
      <c r="M927" s="2">
        <v>46078</v>
      </c>
      <c r="N927" s="2">
        <v>46078</v>
      </c>
      <c r="O927" t="s">
        <v>76</v>
      </c>
      <c r="P927" t="s">
        <v>64</v>
      </c>
      <c r="Q927" t="s">
        <v>28</v>
      </c>
      <c r="R927" t="s">
        <v>29</v>
      </c>
    </row>
    <row r="928" spans="1:18">
      <c r="A928" t="s">
        <v>1058</v>
      </c>
      <c r="B928" s="2">
        <v>46100</v>
      </c>
      <c r="C928" t="s">
        <v>71</v>
      </c>
      <c r="D928" t="s">
        <v>72</v>
      </c>
      <c r="E928" t="s">
        <v>73</v>
      </c>
      <c r="F928" t="s">
        <v>57</v>
      </c>
      <c r="G928" t="s">
        <v>86</v>
      </c>
      <c r="H928" t="s">
        <v>87</v>
      </c>
      <c r="I928">
        <v>5</v>
      </c>
      <c r="J928" s="3">
        <v>10396.14</v>
      </c>
      <c r="K928" s="3">
        <v>51980.7</v>
      </c>
      <c r="L928" t="s">
        <v>34</v>
      </c>
      <c r="M928" s="2">
        <v>46116</v>
      </c>
      <c r="N928" s="2">
        <v>46115</v>
      </c>
      <c r="O928" t="s">
        <v>26</v>
      </c>
      <c r="P928" t="s">
        <v>77</v>
      </c>
      <c r="Q928" t="s">
        <v>28</v>
      </c>
      <c r="R928" t="s">
        <v>29</v>
      </c>
    </row>
    <row r="929" spans="1:18">
      <c r="A929" t="s">
        <v>1059</v>
      </c>
      <c r="B929" s="2">
        <v>46079</v>
      </c>
      <c r="C929" t="s">
        <v>71</v>
      </c>
      <c r="D929" t="s">
        <v>72</v>
      </c>
      <c r="E929" t="s">
        <v>21</v>
      </c>
      <c r="F929" t="s">
        <v>57</v>
      </c>
      <c r="G929" t="s">
        <v>86</v>
      </c>
      <c r="H929" t="s">
        <v>87</v>
      </c>
      <c r="I929">
        <v>1</v>
      </c>
      <c r="J929" s="3">
        <v>10230.75</v>
      </c>
      <c r="K929" s="3">
        <v>10230.75</v>
      </c>
      <c r="L929" t="s">
        <v>25</v>
      </c>
      <c r="M929" s="2">
        <v>46094</v>
      </c>
      <c r="N929" s="2">
        <v>46097</v>
      </c>
      <c r="O929" t="s">
        <v>43</v>
      </c>
      <c r="P929" t="s">
        <v>27</v>
      </c>
      <c r="Q929" t="s">
        <v>28</v>
      </c>
      <c r="R929" t="s">
        <v>129</v>
      </c>
    </row>
    <row r="930" spans="1:18">
      <c r="A930" t="s">
        <v>1060</v>
      </c>
      <c r="B930" s="2">
        <v>46023</v>
      </c>
      <c r="C930" t="s">
        <v>37</v>
      </c>
      <c r="D930" t="s">
        <v>38</v>
      </c>
      <c r="E930" t="s">
        <v>39</v>
      </c>
      <c r="F930" t="s">
        <v>22</v>
      </c>
      <c r="G930" t="s">
        <v>160</v>
      </c>
      <c r="H930" t="s">
        <v>161</v>
      </c>
      <c r="I930">
        <v>15</v>
      </c>
      <c r="J930" s="3">
        <v>3345.78</v>
      </c>
      <c r="K930" s="3">
        <v>50186.7</v>
      </c>
      <c r="L930" t="s">
        <v>25</v>
      </c>
      <c r="M930" s="2">
        <v>46033</v>
      </c>
      <c r="N930" s="2">
        <v>46030</v>
      </c>
      <c r="O930" t="s">
        <v>26</v>
      </c>
      <c r="P930" t="s">
        <v>44</v>
      </c>
      <c r="Q930" t="s">
        <v>28</v>
      </c>
      <c r="R930" t="s">
        <v>29</v>
      </c>
    </row>
    <row r="931" spans="1:18">
      <c r="A931" t="s">
        <v>1061</v>
      </c>
      <c r="B931" s="2">
        <v>45968</v>
      </c>
      <c r="C931" t="s">
        <v>89</v>
      </c>
      <c r="D931" t="s">
        <v>90</v>
      </c>
      <c r="E931" t="s">
        <v>31</v>
      </c>
      <c r="F931" t="s">
        <v>91</v>
      </c>
      <c r="G931" t="s">
        <v>92</v>
      </c>
      <c r="H931" t="s">
        <v>93</v>
      </c>
      <c r="I931">
        <v>3</v>
      </c>
      <c r="J931" s="3">
        <v>42332.11</v>
      </c>
      <c r="K931" s="3">
        <v>126996.33</v>
      </c>
      <c r="L931" t="s">
        <v>34</v>
      </c>
      <c r="M931" s="2">
        <v>45979</v>
      </c>
      <c r="N931" s="2">
        <v>45976</v>
      </c>
      <c r="O931" t="s">
        <v>76</v>
      </c>
      <c r="P931" t="s">
        <v>94</v>
      </c>
      <c r="Q931" t="s">
        <v>28</v>
      </c>
      <c r="R931" t="s">
        <v>29</v>
      </c>
    </row>
    <row r="932" spans="1:18">
      <c r="A932" t="s">
        <v>1062</v>
      </c>
      <c r="B932" s="2">
        <v>46142</v>
      </c>
      <c r="C932" t="s">
        <v>19</v>
      </c>
      <c r="D932" t="s">
        <v>20</v>
      </c>
      <c r="E932" t="s">
        <v>39</v>
      </c>
      <c r="F932" t="s">
        <v>22</v>
      </c>
      <c r="G932" t="s">
        <v>32</v>
      </c>
      <c r="H932" t="s">
        <v>33</v>
      </c>
      <c r="I932">
        <v>15</v>
      </c>
      <c r="J932" s="3">
        <v>7497.85</v>
      </c>
      <c r="K932" s="3">
        <v>112467.75</v>
      </c>
      <c r="L932" t="s">
        <v>25</v>
      </c>
      <c r="M932" s="2">
        <v>46154</v>
      </c>
      <c r="N932" s="2">
        <v>46153</v>
      </c>
      <c r="O932" t="s">
        <v>43</v>
      </c>
      <c r="P932" t="s">
        <v>44</v>
      </c>
      <c r="Q932" t="s">
        <v>28</v>
      </c>
      <c r="R932" t="s">
        <v>29</v>
      </c>
    </row>
    <row r="933" spans="1:18">
      <c r="A933" t="s">
        <v>1063</v>
      </c>
      <c r="B933" s="2">
        <v>45728</v>
      </c>
      <c r="C933" t="s">
        <v>37</v>
      </c>
      <c r="D933" t="s">
        <v>38</v>
      </c>
      <c r="E933" t="s">
        <v>31</v>
      </c>
      <c r="F933" t="s">
        <v>22</v>
      </c>
      <c r="G933" t="s">
        <v>160</v>
      </c>
      <c r="H933" t="s">
        <v>161</v>
      </c>
      <c r="I933">
        <v>15</v>
      </c>
      <c r="J933" s="3">
        <v>3269.34</v>
      </c>
      <c r="K933" s="3">
        <v>49040.1</v>
      </c>
      <c r="L933" t="s">
        <v>52</v>
      </c>
      <c r="M933" s="2">
        <v>45745</v>
      </c>
      <c r="N933" s="2">
        <v>45744</v>
      </c>
      <c r="O933" t="s">
        <v>76</v>
      </c>
      <c r="P933" t="s">
        <v>35</v>
      </c>
      <c r="Q933" t="s">
        <v>28</v>
      </c>
      <c r="R933" t="s">
        <v>29</v>
      </c>
    </row>
    <row r="934" spans="1:18">
      <c r="A934" t="s">
        <v>1064</v>
      </c>
      <c r="B934" s="2">
        <v>45743</v>
      </c>
      <c r="C934" t="s">
        <v>134</v>
      </c>
      <c r="D934" t="s">
        <v>135</v>
      </c>
      <c r="E934" t="s">
        <v>112</v>
      </c>
      <c r="F934" t="s">
        <v>40</v>
      </c>
      <c r="G934" t="s">
        <v>41</v>
      </c>
      <c r="H934" t="s">
        <v>42</v>
      </c>
      <c r="I934">
        <v>3</v>
      </c>
      <c r="J934" s="3">
        <v>5470.9</v>
      </c>
      <c r="K934" s="3">
        <v>16412.7</v>
      </c>
      <c r="L934" t="s">
        <v>25</v>
      </c>
      <c r="M934" s="2">
        <v>45753</v>
      </c>
      <c r="N934" s="2">
        <v>45752</v>
      </c>
      <c r="O934" t="s">
        <v>43</v>
      </c>
      <c r="P934" t="s">
        <v>115</v>
      </c>
      <c r="Q934" t="s">
        <v>28</v>
      </c>
      <c r="R934" t="s">
        <v>29</v>
      </c>
    </row>
    <row r="935" spans="1:18">
      <c r="A935" t="s">
        <v>1065</v>
      </c>
      <c r="B935" s="2">
        <v>45971</v>
      </c>
      <c r="C935" t="s">
        <v>37</v>
      </c>
      <c r="D935" t="s">
        <v>38</v>
      </c>
      <c r="E935" t="s">
        <v>112</v>
      </c>
      <c r="F935" t="s">
        <v>40</v>
      </c>
      <c r="G935" t="s">
        <v>41</v>
      </c>
      <c r="H935" t="s">
        <v>42</v>
      </c>
      <c r="I935">
        <v>11</v>
      </c>
      <c r="J935" s="3">
        <v>6064.35</v>
      </c>
      <c r="K935" s="3">
        <v>66707.850000000006</v>
      </c>
      <c r="L935" t="s">
        <v>34</v>
      </c>
      <c r="M935" s="2">
        <v>45983</v>
      </c>
      <c r="N935" s="2">
        <v>45981</v>
      </c>
      <c r="O935" t="s">
        <v>26</v>
      </c>
      <c r="P935" t="s">
        <v>115</v>
      </c>
      <c r="Q935" t="s">
        <v>28</v>
      </c>
      <c r="R935" t="s">
        <v>29</v>
      </c>
    </row>
    <row r="936" spans="1:18">
      <c r="A936" t="s">
        <v>1066</v>
      </c>
      <c r="B936" s="2">
        <v>45677</v>
      </c>
      <c r="C936" t="s">
        <v>134</v>
      </c>
      <c r="D936" t="s">
        <v>135</v>
      </c>
      <c r="E936" t="s">
        <v>39</v>
      </c>
      <c r="F936" t="s">
        <v>40</v>
      </c>
      <c r="G936" t="s">
        <v>62</v>
      </c>
      <c r="H936" t="s">
        <v>63</v>
      </c>
      <c r="I936">
        <v>5</v>
      </c>
      <c r="J936" s="3">
        <v>18917.650000000001</v>
      </c>
      <c r="K936" s="3">
        <v>94588.25</v>
      </c>
      <c r="L936" t="s">
        <v>34</v>
      </c>
      <c r="M936" s="2">
        <v>45693</v>
      </c>
      <c r="N936" s="2">
        <v>45691</v>
      </c>
      <c r="O936" t="s">
        <v>60</v>
      </c>
      <c r="P936" t="s">
        <v>44</v>
      </c>
      <c r="Q936" t="s">
        <v>28</v>
      </c>
      <c r="R936" t="s">
        <v>29</v>
      </c>
    </row>
    <row r="937" spans="1:18">
      <c r="A937" t="s">
        <v>1067</v>
      </c>
      <c r="B937" s="2">
        <v>46008</v>
      </c>
      <c r="C937" t="s">
        <v>104</v>
      </c>
      <c r="D937" t="s">
        <v>105</v>
      </c>
      <c r="E937" t="s">
        <v>21</v>
      </c>
      <c r="F937" t="s">
        <v>49</v>
      </c>
      <c r="G937" t="s">
        <v>50</v>
      </c>
      <c r="H937" t="s">
        <v>51</v>
      </c>
      <c r="I937">
        <v>2</v>
      </c>
      <c r="J937" s="3">
        <v>51168.03</v>
      </c>
      <c r="K937" s="3">
        <v>102336.06</v>
      </c>
      <c r="L937" t="s">
        <v>52</v>
      </c>
      <c r="M937" s="2">
        <v>46023</v>
      </c>
      <c r="N937" s="2">
        <v>46021</v>
      </c>
      <c r="O937" t="s">
        <v>43</v>
      </c>
      <c r="P937" t="s">
        <v>27</v>
      </c>
      <c r="Q937" t="s">
        <v>28</v>
      </c>
      <c r="R937" t="s">
        <v>29</v>
      </c>
    </row>
    <row r="938" spans="1:18">
      <c r="A938" t="s">
        <v>1068</v>
      </c>
      <c r="B938" s="2">
        <v>45767</v>
      </c>
      <c r="C938" t="s">
        <v>19</v>
      </c>
      <c r="D938" t="s">
        <v>20</v>
      </c>
      <c r="E938" t="s">
        <v>39</v>
      </c>
      <c r="F938" t="s">
        <v>1043</v>
      </c>
      <c r="G938" t="s">
        <v>23</v>
      </c>
      <c r="H938" t="s">
        <v>24</v>
      </c>
      <c r="I938">
        <v>10</v>
      </c>
      <c r="J938" s="3">
        <v>223.59</v>
      </c>
      <c r="K938" s="3">
        <v>2235.9</v>
      </c>
      <c r="L938" t="s">
        <v>25</v>
      </c>
      <c r="M938" s="2">
        <v>45785</v>
      </c>
      <c r="N938" s="2">
        <v>45798</v>
      </c>
      <c r="O938" t="s">
        <v>76</v>
      </c>
      <c r="P938" t="s">
        <v>64</v>
      </c>
      <c r="Q938" t="s">
        <v>28</v>
      </c>
      <c r="R938" t="s">
        <v>129</v>
      </c>
    </row>
    <row r="939" spans="1:18">
      <c r="A939" t="s">
        <v>1069</v>
      </c>
      <c r="B939" s="2">
        <v>45817</v>
      </c>
      <c r="C939" t="s">
        <v>147</v>
      </c>
      <c r="D939" t="s">
        <v>148</v>
      </c>
      <c r="E939" t="s">
        <v>112</v>
      </c>
      <c r="F939" t="s">
        <v>40</v>
      </c>
      <c r="G939" t="s">
        <v>136</v>
      </c>
      <c r="H939" t="s">
        <v>137</v>
      </c>
      <c r="I939">
        <v>12</v>
      </c>
      <c r="J939" s="3">
        <v>1535.73</v>
      </c>
      <c r="K939" s="3">
        <v>18428.759999999998</v>
      </c>
      <c r="L939" t="s">
        <v>52</v>
      </c>
      <c r="M939" s="2">
        <v>45822</v>
      </c>
      <c r="N939" s="2">
        <v>45821</v>
      </c>
      <c r="O939" t="s">
        <v>43</v>
      </c>
      <c r="P939" t="s">
        <v>115</v>
      </c>
      <c r="Q939" t="s">
        <v>28</v>
      </c>
      <c r="R939" t="s">
        <v>29</v>
      </c>
    </row>
    <row r="940" spans="1:18">
      <c r="A940" t="s">
        <v>1070</v>
      </c>
      <c r="B940" s="2">
        <v>45751</v>
      </c>
      <c r="C940" t="s">
        <v>117</v>
      </c>
      <c r="D940" t="s">
        <v>118</v>
      </c>
      <c r="E940" t="s">
        <v>48</v>
      </c>
      <c r="F940" t="s">
        <v>57</v>
      </c>
      <c r="G940" t="s">
        <v>86</v>
      </c>
      <c r="H940" t="s">
        <v>87</v>
      </c>
      <c r="I940">
        <v>6</v>
      </c>
      <c r="J940" s="3">
        <v>10615.41</v>
      </c>
      <c r="K940" s="3">
        <v>63692.46</v>
      </c>
      <c r="L940" t="s">
        <v>34</v>
      </c>
      <c r="M940" s="2">
        <v>45766</v>
      </c>
      <c r="N940" s="2">
        <v>45763</v>
      </c>
      <c r="O940" t="s">
        <v>60</v>
      </c>
      <c r="P940" t="s">
        <v>53</v>
      </c>
      <c r="Q940" t="s">
        <v>28</v>
      </c>
      <c r="R940" t="s">
        <v>29</v>
      </c>
    </row>
    <row r="941" spans="1:18">
      <c r="A941" t="s">
        <v>1071</v>
      </c>
      <c r="B941" s="2">
        <v>46138</v>
      </c>
      <c r="C941" t="s">
        <v>117</v>
      </c>
      <c r="D941" t="s">
        <v>118</v>
      </c>
      <c r="E941" t="s">
        <v>48</v>
      </c>
      <c r="F941" t="s">
        <v>57</v>
      </c>
      <c r="G941" t="s">
        <v>74</v>
      </c>
      <c r="H941" t="s">
        <v>75</v>
      </c>
      <c r="I941">
        <v>3</v>
      </c>
      <c r="J941" s="3">
        <v>8378.08</v>
      </c>
      <c r="K941" s="3">
        <v>25134.240000000002</v>
      </c>
      <c r="L941" t="s">
        <v>34</v>
      </c>
      <c r="M941" s="2">
        <v>46146</v>
      </c>
      <c r="N941" s="2">
        <v>46145</v>
      </c>
      <c r="O941" t="s">
        <v>43</v>
      </c>
      <c r="P941" t="s">
        <v>53</v>
      </c>
      <c r="Q941" t="s">
        <v>28</v>
      </c>
      <c r="R941" t="s">
        <v>29</v>
      </c>
    </row>
    <row r="942" spans="1:18">
      <c r="A942" t="s">
        <v>1072</v>
      </c>
      <c r="B942" s="2">
        <v>45891</v>
      </c>
      <c r="C942" t="s">
        <v>19</v>
      </c>
      <c r="D942" t="s">
        <v>20</v>
      </c>
      <c r="E942" t="s">
        <v>31</v>
      </c>
      <c r="F942" t="s">
        <v>22</v>
      </c>
      <c r="G942" t="s">
        <v>160</v>
      </c>
      <c r="H942" t="s">
        <v>161</v>
      </c>
      <c r="I942">
        <v>5</v>
      </c>
      <c r="J942" s="3">
        <v>2945.9</v>
      </c>
      <c r="K942" s="3">
        <v>14729.5</v>
      </c>
      <c r="L942" t="s">
        <v>34</v>
      </c>
      <c r="M942" s="2">
        <v>45899</v>
      </c>
      <c r="N942" s="2">
        <v>45897</v>
      </c>
      <c r="O942" t="s">
        <v>43</v>
      </c>
      <c r="P942" t="s">
        <v>35</v>
      </c>
      <c r="Q942" t="s">
        <v>28</v>
      </c>
      <c r="R942" t="s">
        <v>29</v>
      </c>
    </row>
    <row r="943" spans="1:18">
      <c r="A943" t="s">
        <v>1073</v>
      </c>
      <c r="B943" s="2">
        <v>45946</v>
      </c>
      <c r="C943" t="s">
        <v>142</v>
      </c>
      <c r="D943" t="s">
        <v>143</v>
      </c>
      <c r="E943" t="s">
        <v>39</v>
      </c>
      <c r="F943" t="s">
        <v>22</v>
      </c>
      <c r="G943" t="s">
        <v>160</v>
      </c>
      <c r="H943" t="s">
        <v>161</v>
      </c>
      <c r="I943">
        <v>10</v>
      </c>
      <c r="J943" s="3">
        <v>3231.78</v>
      </c>
      <c r="K943" s="3">
        <v>32317.8</v>
      </c>
      <c r="L943" t="s">
        <v>34</v>
      </c>
      <c r="M943" s="2">
        <v>45963</v>
      </c>
      <c r="N943" s="2">
        <v>45963</v>
      </c>
      <c r="O943" t="s">
        <v>60</v>
      </c>
      <c r="P943" t="s">
        <v>64</v>
      </c>
      <c r="Q943" t="s">
        <v>28</v>
      </c>
      <c r="R943" t="s">
        <v>29</v>
      </c>
    </row>
    <row r="944" spans="1:18">
      <c r="A944" t="s">
        <v>1074</v>
      </c>
      <c r="B944" s="2">
        <v>45748</v>
      </c>
      <c r="C944" t="s">
        <v>46</v>
      </c>
      <c r="D944" t="s">
        <v>47</v>
      </c>
      <c r="E944" t="s">
        <v>48</v>
      </c>
      <c r="F944" t="s">
        <v>49</v>
      </c>
      <c r="G944" t="s">
        <v>113</v>
      </c>
      <c r="H944" t="s">
        <v>114</v>
      </c>
      <c r="I944">
        <v>1</v>
      </c>
      <c r="J944" s="3">
        <v>41304.86</v>
      </c>
      <c r="K944" s="3">
        <v>41304.86</v>
      </c>
      <c r="L944" t="s">
        <v>25</v>
      </c>
      <c r="M944" s="2">
        <v>45760</v>
      </c>
      <c r="N944" s="2">
        <v>45757</v>
      </c>
      <c r="O944" t="s">
        <v>76</v>
      </c>
      <c r="P944" t="s">
        <v>53</v>
      </c>
      <c r="Q944" t="s">
        <v>28</v>
      </c>
      <c r="R944" t="s">
        <v>29</v>
      </c>
    </row>
    <row r="945" spans="1:18">
      <c r="A945" t="s">
        <v>1075</v>
      </c>
      <c r="B945" s="2">
        <v>45978</v>
      </c>
      <c r="C945" t="s">
        <v>117</v>
      </c>
      <c r="D945" t="s">
        <v>118</v>
      </c>
      <c r="E945" t="s">
        <v>48</v>
      </c>
      <c r="F945" t="s">
        <v>57</v>
      </c>
      <c r="G945" t="s">
        <v>127</v>
      </c>
      <c r="H945" t="s">
        <v>128</v>
      </c>
      <c r="I945">
        <v>7</v>
      </c>
      <c r="J945" s="3">
        <v>16829.14</v>
      </c>
      <c r="K945" s="3">
        <v>117803.98</v>
      </c>
      <c r="L945" t="s">
        <v>52</v>
      </c>
      <c r="M945" s="2">
        <v>45990</v>
      </c>
      <c r="N945" s="2">
        <v>45988</v>
      </c>
      <c r="O945" t="s">
        <v>60</v>
      </c>
      <c r="P945" t="s">
        <v>53</v>
      </c>
      <c r="Q945" t="s">
        <v>28</v>
      </c>
      <c r="R945" t="s">
        <v>29</v>
      </c>
    </row>
    <row r="946" spans="1:18">
      <c r="A946" t="s">
        <v>1076</v>
      </c>
      <c r="B946" s="2">
        <v>46133</v>
      </c>
      <c r="C946" t="s">
        <v>147</v>
      </c>
      <c r="D946" t="s">
        <v>148</v>
      </c>
      <c r="E946" t="s">
        <v>39</v>
      </c>
      <c r="F946" t="s">
        <v>40</v>
      </c>
      <c r="G946" t="s">
        <v>62</v>
      </c>
      <c r="H946" t="s">
        <v>63</v>
      </c>
      <c r="I946">
        <v>6</v>
      </c>
      <c r="J946" s="3">
        <v>18445.580000000002</v>
      </c>
      <c r="K946" s="3">
        <v>110673.48</v>
      </c>
      <c r="L946" t="s">
        <v>25</v>
      </c>
      <c r="M946" s="2">
        <v>46144</v>
      </c>
      <c r="N946" s="2">
        <v>46143</v>
      </c>
      <c r="O946" t="s">
        <v>43</v>
      </c>
      <c r="P946" t="s">
        <v>44</v>
      </c>
      <c r="Q946" t="s">
        <v>28</v>
      </c>
      <c r="R946" t="s">
        <v>29</v>
      </c>
    </row>
    <row r="947" spans="1:18">
      <c r="A947" t="s">
        <v>1077</v>
      </c>
      <c r="B947" s="2">
        <v>45834</v>
      </c>
      <c r="C947" t="s">
        <v>142</v>
      </c>
      <c r="D947" t="s">
        <v>143</v>
      </c>
      <c r="E947" t="s">
        <v>112</v>
      </c>
      <c r="F947" t="s">
        <v>22</v>
      </c>
      <c r="G947" t="s">
        <v>23</v>
      </c>
      <c r="H947" t="s">
        <v>24</v>
      </c>
      <c r="I947">
        <v>22</v>
      </c>
      <c r="J947" s="3">
        <v>260.35000000000002</v>
      </c>
      <c r="K947" s="3">
        <v>5727.7</v>
      </c>
      <c r="L947" t="s">
        <v>25</v>
      </c>
      <c r="M947" s="2">
        <v>45844</v>
      </c>
      <c r="N947" s="2">
        <v>45841</v>
      </c>
      <c r="O947" t="s">
        <v>76</v>
      </c>
      <c r="P947" t="s">
        <v>115</v>
      </c>
      <c r="Q947" t="s">
        <v>28</v>
      </c>
      <c r="R947" t="s">
        <v>29</v>
      </c>
    </row>
    <row r="948" spans="1:18">
      <c r="A948" t="s">
        <v>1078</v>
      </c>
      <c r="B948" s="2">
        <v>45891</v>
      </c>
      <c r="C948" t="s">
        <v>71</v>
      </c>
      <c r="D948" t="s">
        <v>72</v>
      </c>
      <c r="E948" t="s">
        <v>31</v>
      </c>
      <c r="F948" t="s">
        <v>57</v>
      </c>
      <c r="G948" t="s">
        <v>74</v>
      </c>
      <c r="H948" t="s">
        <v>75</v>
      </c>
      <c r="I948">
        <v>8</v>
      </c>
      <c r="J948" s="3">
        <v>8395.7800000000007</v>
      </c>
      <c r="K948" s="3">
        <v>67166.240000000005</v>
      </c>
      <c r="L948" t="s">
        <v>25</v>
      </c>
      <c r="M948" s="2">
        <v>45906</v>
      </c>
      <c r="N948" s="2">
        <v>45909</v>
      </c>
      <c r="O948" t="s">
        <v>76</v>
      </c>
      <c r="P948" t="s">
        <v>35</v>
      </c>
      <c r="Q948" t="s">
        <v>28</v>
      </c>
      <c r="R948" t="s">
        <v>129</v>
      </c>
    </row>
    <row r="949" spans="1:18">
      <c r="A949" t="s">
        <v>1079</v>
      </c>
      <c r="B949" s="2">
        <v>45954</v>
      </c>
      <c r="C949" t="s">
        <v>71</v>
      </c>
      <c r="D949" t="s">
        <v>72</v>
      </c>
      <c r="E949" t="s">
        <v>31</v>
      </c>
      <c r="F949" t="s">
        <v>57</v>
      </c>
      <c r="G949" t="s">
        <v>86</v>
      </c>
      <c r="H949" t="s">
        <v>87</v>
      </c>
      <c r="I949">
        <v>5</v>
      </c>
      <c r="J949" s="3">
        <v>9796.2099999999991</v>
      </c>
      <c r="K949" s="3">
        <v>48981.05</v>
      </c>
      <c r="L949" t="s">
        <v>25</v>
      </c>
      <c r="M949" s="2">
        <v>45969</v>
      </c>
      <c r="N949" s="2">
        <v>45981</v>
      </c>
      <c r="O949" t="s">
        <v>60</v>
      </c>
      <c r="P949" t="s">
        <v>94</v>
      </c>
      <c r="Q949" t="s">
        <v>28</v>
      </c>
      <c r="R949" t="s">
        <v>129</v>
      </c>
    </row>
    <row r="950" spans="1:18">
      <c r="A950" t="s">
        <v>1080</v>
      </c>
      <c r="B950" s="2">
        <v>45790</v>
      </c>
      <c r="C950" t="s">
        <v>104</v>
      </c>
      <c r="D950" t="s">
        <v>105</v>
      </c>
      <c r="E950" t="s">
        <v>21</v>
      </c>
      <c r="F950" t="s">
        <v>49</v>
      </c>
      <c r="G950" t="s">
        <v>50</v>
      </c>
      <c r="H950" t="s">
        <v>51</v>
      </c>
      <c r="I950">
        <v>1</v>
      </c>
      <c r="J950" s="3">
        <v>54461.62</v>
      </c>
      <c r="K950" s="3">
        <v>54461.62</v>
      </c>
      <c r="L950" t="s">
        <v>25</v>
      </c>
      <c r="M950" s="2">
        <v>45795</v>
      </c>
      <c r="N950" s="2">
        <v>45792</v>
      </c>
      <c r="O950" t="s">
        <v>76</v>
      </c>
      <c r="P950" t="s">
        <v>27</v>
      </c>
      <c r="Q950" t="s">
        <v>28</v>
      </c>
      <c r="R950" t="s">
        <v>29</v>
      </c>
    </row>
    <row r="951" spans="1:18">
      <c r="A951" t="s">
        <v>1081</v>
      </c>
      <c r="B951" s="2">
        <v>45978</v>
      </c>
      <c r="C951" t="s">
        <v>134</v>
      </c>
      <c r="D951" t="s">
        <v>135</v>
      </c>
      <c r="E951" t="s">
        <v>112</v>
      </c>
      <c r="F951" t="s">
        <v>40</v>
      </c>
      <c r="G951" t="s">
        <v>136</v>
      </c>
      <c r="H951" t="s">
        <v>137</v>
      </c>
      <c r="I951">
        <v>26</v>
      </c>
      <c r="J951" s="3">
        <v>1669.72</v>
      </c>
      <c r="K951" s="3">
        <v>43412.72</v>
      </c>
      <c r="L951" t="s">
        <v>52</v>
      </c>
      <c r="M951" s="2">
        <v>45994</v>
      </c>
      <c r="N951" s="2">
        <v>45993</v>
      </c>
      <c r="O951" t="s">
        <v>26</v>
      </c>
      <c r="P951" t="s">
        <v>115</v>
      </c>
      <c r="Q951" t="s">
        <v>28</v>
      </c>
      <c r="R951" t="s">
        <v>29</v>
      </c>
    </row>
    <row r="952" spans="1:18">
      <c r="A952" t="s">
        <v>1082</v>
      </c>
      <c r="B952" s="2">
        <v>45913</v>
      </c>
      <c r="C952" t="s">
        <v>19</v>
      </c>
      <c r="D952" t="s">
        <v>20</v>
      </c>
      <c r="E952" t="s">
        <v>73</v>
      </c>
      <c r="F952" t="s">
        <v>22</v>
      </c>
      <c r="G952" t="s">
        <v>160</v>
      </c>
      <c r="H952" t="s">
        <v>161</v>
      </c>
      <c r="I952">
        <v>13</v>
      </c>
      <c r="J952" s="3">
        <v>2837.52</v>
      </c>
      <c r="K952" s="3">
        <v>36887.760000000002</v>
      </c>
      <c r="L952" t="s">
        <v>25</v>
      </c>
      <c r="M952" s="2">
        <v>45920</v>
      </c>
      <c r="N952" s="2">
        <v>45920</v>
      </c>
      <c r="O952" t="s">
        <v>60</v>
      </c>
      <c r="P952" t="s">
        <v>77</v>
      </c>
      <c r="Q952" t="s">
        <v>28</v>
      </c>
      <c r="R952" t="s">
        <v>29</v>
      </c>
    </row>
    <row r="953" spans="1:18">
      <c r="A953" t="s">
        <v>1083</v>
      </c>
      <c r="B953" s="2">
        <v>45726</v>
      </c>
      <c r="C953" t="s">
        <v>104</v>
      </c>
      <c r="D953" t="s">
        <v>105</v>
      </c>
      <c r="E953" t="s">
        <v>48</v>
      </c>
      <c r="F953" t="s">
        <v>49</v>
      </c>
      <c r="G953" t="s">
        <v>50</v>
      </c>
      <c r="H953" t="s">
        <v>51</v>
      </c>
      <c r="I953">
        <v>2</v>
      </c>
      <c r="J953" s="3">
        <v>53559.91</v>
      </c>
      <c r="K953" s="3">
        <v>107119.82</v>
      </c>
      <c r="L953" t="s">
        <v>25</v>
      </c>
      <c r="M953" s="2">
        <v>45734</v>
      </c>
      <c r="N953" s="2">
        <v>45734</v>
      </c>
      <c r="O953" t="s">
        <v>60</v>
      </c>
      <c r="P953" t="s">
        <v>53</v>
      </c>
      <c r="Q953" t="s">
        <v>28</v>
      </c>
      <c r="R953" t="s">
        <v>29</v>
      </c>
    </row>
    <row r="954" spans="1:18">
      <c r="A954" t="s">
        <v>1084</v>
      </c>
      <c r="B954" s="2">
        <v>45781</v>
      </c>
      <c r="C954" t="s">
        <v>37</v>
      </c>
      <c r="D954" t="s">
        <v>38</v>
      </c>
      <c r="E954" t="s">
        <v>39</v>
      </c>
      <c r="F954" t="s">
        <v>22</v>
      </c>
      <c r="G954" t="s">
        <v>32</v>
      </c>
      <c r="H954" t="s">
        <v>33</v>
      </c>
      <c r="I954">
        <v>13</v>
      </c>
      <c r="J954" s="3">
        <v>8224.32</v>
      </c>
      <c r="K954" s="3">
        <v>106916.16</v>
      </c>
      <c r="L954" t="s">
        <v>25</v>
      </c>
      <c r="M954" s="2">
        <v>45792</v>
      </c>
      <c r="N954" s="2">
        <v>45792</v>
      </c>
      <c r="O954" t="s">
        <v>26</v>
      </c>
      <c r="P954" t="s">
        <v>64</v>
      </c>
      <c r="Q954" t="s">
        <v>28</v>
      </c>
      <c r="R954" t="s">
        <v>29</v>
      </c>
    </row>
    <row r="955" spans="1:18">
      <c r="A955" t="s">
        <v>1085</v>
      </c>
      <c r="B955" s="2">
        <v>45961</v>
      </c>
      <c r="C955" t="s">
        <v>104</v>
      </c>
      <c r="D955" t="s">
        <v>105</v>
      </c>
      <c r="E955" t="s">
        <v>48</v>
      </c>
      <c r="F955" t="s">
        <v>49</v>
      </c>
      <c r="G955" t="s">
        <v>113</v>
      </c>
      <c r="H955" t="s">
        <v>114</v>
      </c>
      <c r="I955">
        <v>1</v>
      </c>
      <c r="J955" s="3">
        <v>39133.230000000003</v>
      </c>
      <c r="K955" s="3">
        <v>39133.230000000003</v>
      </c>
      <c r="L955" t="s">
        <v>34</v>
      </c>
      <c r="M955" s="2">
        <v>45973</v>
      </c>
      <c r="N955" s="2">
        <v>45972</v>
      </c>
      <c r="O955" t="s">
        <v>76</v>
      </c>
      <c r="P955" t="s">
        <v>53</v>
      </c>
      <c r="Q955" t="s">
        <v>28</v>
      </c>
      <c r="R955" t="s">
        <v>29</v>
      </c>
    </row>
    <row r="956" spans="1:18">
      <c r="A956" t="s">
        <v>1086</v>
      </c>
      <c r="B956" s="2">
        <v>45938</v>
      </c>
      <c r="C956" t="s">
        <v>96</v>
      </c>
      <c r="D956" t="s">
        <v>97</v>
      </c>
      <c r="E956" t="s">
        <v>39</v>
      </c>
      <c r="F956" t="s">
        <v>82</v>
      </c>
      <c r="G956" t="s">
        <v>98</v>
      </c>
      <c r="H956" t="s">
        <v>99</v>
      </c>
      <c r="I956">
        <v>25</v>
      </c>
      <c r="J956" s="3">
        <v>1176.3499999999999</v>
      </c>
      <c r="K956" s="3">
        <v>29408.75</v>
      </c>
      <c r="L956" t="s">
        <v>34</v>
      </c>
      <c r="M956" s="2">
        <v>45943</v>
      </c>
      <c r="N956" s="2">
        <v>45941</v>
      </c>
      <c r="O956" t="s">
        <v>76</v>
      </c>
      <c r="P956" t="s">
        <v>64</v>
      </c>
      <c r="Q956" t="s">
        <v>28</v>
      </c>
      <c r="R956" t="s">
        <v>29</v>
      </c>
    </row>
    <row r="957" spans="1:18">
      <c r="A957" t="s">
        <v>1087</v>
      </c>
      <c r="B957" s="2">
        <v>46042</v>
      </c>
      <c r="C957" t="s">
        <v>142</v>
      </c>
      <c r="D957" t="s">
        <v>143</v>
      </c>
      <c r="E957" t="s">
        <v>31</v>
      </c>
      <c r="F957" t="s">
        <v>22</v>
      </c>
      <c r="G957" t="s">
        <v>160</v>
      </c>
      <c r="H957" t="s">
        <v>161</v>
      </c>
      <c r="I957">
        <v>14</v>
      </c>
      <c r="J957" s="3">
        <v>3116.59</v>
      </c>
      <c r="K957" s="3">
        <v>43632.26</v>
      </c>
      <c r="L957" t="s">
        <v>25</v>
      </c>
      <c r="M957" s="2">
        <v>46059</v>
      </c>
      <c r="N957" s="2">
        <v>46065</v>
      </c>
      <c r="O957" t="s">
        <v>43</v>
      </c>
      <c r="P957" t="s">
        <v>94</v>
      </c>
      <c r="Q957" t="s">
        <v>28</v>
      </c>
      <c r="R957" t="s">
        <v>129</v>
      </c>
    </row>
    <row r="958" spans="1:18">
      <c r="A958" t="s">
        <v>1088</v>
      </c>
      <c r="B958" s="2">
        <v>45793</v>
      </c>
      <c r="C958" t="s">
        <v>142</v>
      </c>
      <c r="D958" t="s">
        <v>143</v>
      </c>
      <c r="E958" t="s">
        <v>112</v>
      </c>
      <c r="F958" t="s">
        <v>22</v>
      </c>
      <c r="G958" t="s">
        <v>23</v>
      </c>
      <c r="H958" t="s">
        <v>24</v>
      </c>
      <c r="I958">
        <v>50</v>
      </c>
      <c r="J958" s="3">
        <v>253.13</v>
      </c>
      <c r="K958" s="3">
        <v>12656.5</v>
      </c>
      <c r="L958" t="s">
        <v>52</v>
      </c>
      <c r="M958" s="2">
        <v>45801</v>
      </c>
      <c r="N958" s="2">
        <v>45799</v>
      </c>
      <c r="O958" t="s">
        <v>76</v>
      </c>
      <c r="P958" t="s">
        <v>115</v>
      </c>
      <c r="Q958" t="s">
        <v>28</v>
      </c>
      <c r="R958" t="s">
        <v>29</v>
      </c>
    </row>
    <row r="959" spans="1:18">
      <c r="A959" t="s">
        <v>1089</v>
      </c>
      <c r="B959" s="2">
        <v>46080</v>
      </c>
      <c r="C959" t="s">
        <v>134</v>
      </c>
      <c r="D959" t="s">
        <v>135</v>
      </c>
      <c r="E959" t="s">
        <v>39</v>
      </c>
      <c r="F959" t="s">
        <v>40</v>
      </c>
      <c r="G959" t="s">
        <v>41</v>
      </c>
      <c r="H959" t="s">
        <v>42</v>
      </c>
      <c r="I959">
        <v>7</v>
      </c>
      <c r="J959" s="3">
        <v>5495.92</v>
      </c>
      <c r="K959" s="3">
        <v>38471.440000000002</v>
      </c>
      <c r="L959" t="s">
        <v>34</v>
      </c>
      <c r="M959" s="2">
        <v>46096</v>
      </c>
      <c r="N959" s="2">
        <v>46096</v>
      </c>
      <c r="O959" t="s">
        <v>60</v>
      </c>
      <c r="P959" t="s">
        <v>64</v>
      </c>
      <c r="Q959" t="s">
        <v>28</v>
      </c>
      <c r="R959" t="s">
        <v>29</v>
      </c>
    </row>
    <row r="960" spans="1:18">
      <c r="A960" t="s">
        <v>1090</v>
      </c>
      <c r="B960" s="2">
        <v>45925</v>
      </c>
      <c r="C960" t="s">
        <v>96</v>
      </c>
      <c r="D960" t="s">
        <v>97</v>
      </c>
      <c r="E960" t="s">
        <v>39</v>
      </c>
      <c r="F960" t="s">
        <v>82</v>
      </c>
      <c r="G960" t="s">
        <v>197</v>
      </c>
      <c r="H960" t="s">
        <v>198</v>
      </c>
      <c r="I960">
        <v>49</v>
      </c>
      <c r="J960" s="3">
        <v>2158.88</v>
      </c>
      <c r="K960" s="3">
        <v>105785.12</v>
      </c>
      <c r="L960" t="s">
        <v>25</v>
      </c>
      <c r="M960" s="2">
        <v>45933</v>
      </c>
      <c r="N960" s="2">
        <v>45933</v>
      </c>
      <c r="O960" t="s">
        <v>26</v>
      </c>
      <c r="P960" t="s">
        <v>64</v>
      </c>
      <c r="Q960" t="s">
        <v>28</v>
      </c>
      <c r="R960" t="s">
        <v>29</v>
      </c>
    </row>
    <row r="961" spans="1:18">
      <c r="A961" t="s">
        <v>1091</v>
      </c>
      <c r="B961" s="2">
        <v>45798</v>
      </c>
      <c r="C961" t="s">
        <v>71</v>
      </c>
      <c r="D961" t="s">
        <v>72</v>
      </c>
      <c r="E961" t="s">
        <v>21</v>
      </c>
      <c r="F961" t="s">
        <v>57</v>
      </c>
      <c r="G961" t="s">
        <v>120</v>
      </c>
      <c r="H961" t="s">
        <v>121</v>
      </c>
      <c r="I961">
        <v>5</v>
      </c>
      <c r="J961" s="3">
        <v>20596.259999999998</v>
      </c>
      <c r="K961" s="3">
        <v>102981.3</v>
      </c>
      <c r="L961" t="s">
        <v>34</v>
      </c>
      <c r="M961" s="2">
        <v>45810</v>
      </c>
      <c r="N961" s="2">
        <v>45823</v>
      </c>
      <c r="O961" t="s">
        <v>43</v>
      </c>
      <c r="P961" t="s">
        <v>27</v>
      </c>
      <c r="Q961" t="s">
        <v>28</v>
      </c>
      <c r="R961" t="s">
        <v>129</v>
      </c>
    </row>
    <row r="962" spans="1:18">
      <c r="A962" t="s">
        <v>1092</v>
      </c>
      <c r="B962" s="2">
        <v>45862</v>
      </c>
      <c r="C962" t="s">
        <v>96</v>
      </c>
      <c r="D962" t="s">
        <v>97</v>
      </c>
      <c r="E962" t="s">
        <v>39</v>
      </c>
      <c r="F962" t="s">
        <v>82</v>
      </c>
      <c r="G962" t="s">
        <v>98</v>
      </c>
      <c r="H962" t="s">
        <v>99</v>
      </c>
      <c r="I962">
        <v>42</v>
      </c>
      <c r="J962" s="3">
        <v>1188.4100000000001</v>
      </c>
      <c r="K962" s="3">
        <v>49913.22</v>
      </c>
      <c r="L962" t="s">
        <v>25</v>
      </c>
      <c r="M962" s="2">
        <v>45872</v>
      </c>
      <c r="N962" s="2">
        <v>45871</v>
      </c>
      <c r="O962" t="s">
        <v>26</v>
      </c>
      <c r="P962" t="s">
        <v>64</v>
      </c>
      <c r="Q962" t="s">
        <v>28</v>
      </c>
      <c r="R962" t="s">
        <v>29</v>
      </c>
    </row>
    <row r="963" spans="1:18">
      <c r="A963" t="s">
        <v>1093</v>
      </c>
      <c r="B963" s="2">
        <v>45946</v>
      </c>
      <c r="C963" t="s">
        <v>66</v>
      </c>
      <c r="D963" t="s">
        <v>67</v>
      </c>
      <c r="E963" t="s">
        <v>73</v>
      </c>
      <c r="F963" t="s">
        <v>49</v>
      </c>
      <c r="G963" t="s">
        <v>50</v>
      </c>
      <c r="H963" t="s">
        <v>51</v>
      </c>
      <c r="I963">
        <v>1</v>
      </c>
      <c r="J963" s="3">
        <v>51846.04</v>
      </c>
      <c r="K963" s="3">
        <v>51846.04</v>
      </c>
      <c r="L963" t="s">
        <v>25</v>
      </c>
      <c r="M963" s="2">
        <v>45956</v>
      </c>
      <c r="N963" s="2">
        <v>45954</v>
      </c>
      <c r="O963" t="s">
        <v>76</v>
      </c>
      <c r="P963" t="s">
        <v>77</v>
      </c>
      <c r="Q963" t="s">
        <v>28</v>
      </c>
      <c r="R963" t="s">
        <v>29</v>
      </c>
    </row>
    <row r="964" spans="1:18">
      <c r="A964" t="s">
        <v>1094</v>
      </c>
      <c r="B964" s="2">
        <v>45687</v>
      </c>
      <c r="C964" t="s">
        <v>104</v>
      </c>
      <c r="D964" t="s">
        <v>105</v>
      </c>
      <c r="E964" t="s">
        <v>112</v>
      </c>
      <c r="F964" t="s">
        <v>49</v>
      </c>
      <c r="G964" t="s">
        <v>68</v>
      </c>
      <c r="H964" t="s">
        <v>69</v>
      </c>
      <c r="I964">
        <v>2</v>
      </c>
      <c r="J964" s="3">
        <v>46566.84</v>
      </c>
      <c r="K964" s="3">
        <v>93133.68</v>
      </c>
      <c r="L964" t="s">
        <v>531</v>
      </c>
      <c r="M964" s="2">
        <v>45704</v>
      </c>
      <c r="N964" s="2">
        <v>45703</v>
      </c>
      <c r="O964" t="s">
        <v>76</v>
      </c>
      <c r="P964" t="s">
        <v>115</v>
      </c>
      <c r="Q964" t="s">
        <v>28</v>
      </c>
      <c r="R964" t="s">
        <v>29</v>
      </c>
    </row>
    <row r="965" spans="1:18">
      <c r="A965" t="s">
        <v>1095</v>
      </c>
      <c r="B965" s="2">
        <v>45968</v>
      </c>
      <c r="C965" t="s">
        <v>80</v>
      </c>
      <c r="D965" t="s">
        <v>81</v>
      </c>
      <c r="E965" t="s">
        <v>39</v>
      </c>
      <c r="F965" t="s">
        <v>82</v>
      </c>
      <c r="G965" t="s">
        <v>83</v>
      </c>
      <c r="H965" t="s">
        <v>84</v>
      </c>
      <c r="I965">
        <v>21</v>
      </c>
      <c r="J965" s="3">
        <v>711.08</v>
      </c>
      <c r="K965" s="3">
        <v>14932.68</v>
      </c>
      <c r="L965" t="s">
        <v>25</v>
      </c>
      <c r="M965" s="2">
        <v>45976</v>
      </c>
      <c r="N965" s="2">
        <v>45974</v>
      </c>
      <c r="O965" t="s">
        <v>26</v>
      </c>
      <c r="P965" t="s">
        <v>44</v>
      </c>
      <c r="Q965" t="s">
        <v>28</v>
      </c>
      <c r="R965" t="s">
        <v>29</v>
      </c>
    </row>
    <row r="966" spans="1:18">
      <c r="A966" t="s">
        <v>1096</v>
      </c>
      <c r="B966" s="2">
        <v>45869</v>
      </c>
      <c r="C966" t="s">
        <v>66</v>
      </c>
      <c r="D966" t="s">
        <v>67</v>
      </c>
      <c r="E966" t="s">
        <v>48</v>
      </c>
      <c r="F966" t="s">
        <v>49</v>
      </c>
      <c r="G966" t="s">
        <v>68</v>
      </c>
      <c r="H966" t="s">
        <v>69</v>
      </c>
      <c r="I966">
        <v>1</v>
      </c>
      <c r="J966" s="3">
        <v>47219.44</v>
      </c>
      <c r="K966" s="3">
        <v>47219.44</v>
      </c>
      <c r="L966" t="s">
        <v>34</v>
      </c>
      <c r="M966" s="2">
        <v>45881</v>
      </c>
      <c r="N966" s="2">
        <v>45879</v>
      </c>
      <c r="O966" t="s">
        <v>26</v>
      </c>
      <c r="P966" t="s">
        <v>53</v>
      </c>
      <c r="Q966" t="s">
        <v>28</v>
      </c>
      <c r="R966" t="s">
        <v>29</v>
      </c>
    </row>
    <row r="967" spans="1:18">
      <c r="A967" t="s">
        <v>1097</v>
      </c>
      <c r="B967" s="2">
        <v>45689</v>
      </c>
      <c r="C967" t="s">
        <v>37</v>
      </c>
      <c r="D967" t="s">
        <v>38</v>
      </c>
      <c r="E967" t="s">
        <v>112</v>
      </c>
      <c r="F967" t="s">
        <v>40</v>
      </c>
      <c r="G967" t="s">
        <v>41</v>
      </c>
      <c r="H967" t="s">
        <v>42</v>
      </c>
      <c r="I967">
        <v>10</v>
      </c>
      <c r="J967" s="3">
        <v>5745.23</v>
      </c>
      <c r="K967" s="3">
        <v>57452.3</v>
      </c>
      <c r="L967" t="s">
        <v>25</v>
      </c>
      <c r="M967" s="2">
        <v>45696</v>
      </c>
      <c r="N967" s="2">
        <v>45694</v>
      </c>
      <c r="O967" t="s">
        <v>26</v>
      </c>
      <c r="P967" t="s">
        <v>115</v>
      </c>
      <c r="Q967" t="s">
        <v>28</v>
      </c>
      <c r="R967" t="s">
        <v>29</v>
      </c>
    </row>
    <row r="968" spans="1:18">
      <c r="A968" t="s">
        <v>1098</v>
      </c>
      <c r="B968" s="2">
        <v>46039</v>
      </c>
      <c r="C968" t="s">
        <v>19</v>
      </c>
      <c r="D968" t="s">
        <v>20</v>
      </c>
      <c r="E968" t="s">
        <v>73</v>
      </c>
      <c r="F968" t="s">
        <v>22</v>
      </c>
      <c r="G968" t="s">
        <v>160</v>
      </c>
      <c r="H968" t="s">
        <v>161</v>
      </c>
      <c r="I968">
        <v>5</v>
      </c>
      <c r="J968" s="3">
        <v>3049.22</v>
      </c>
      <c r="K968" s="3">
        <v>15246.1</v>
      </c>
      <c r="L968" t="s">
        <v>25</v>
      </c>
      <c r="M968" s="2">
        <v>46046</v>
      </c>
      <c r="N968" s="2">
        <v>46045</v>
      </c>
      <c r="O968" t="s">
        <v>43</v>
      </c>
      <c r="P968" t="s">
        <v>77</v>
      </c>
      <c r="Q968" t="s">
        <v>28</v>
      </c>
      <c r="R968" t="s">
        <v>29</v>
      </c>
    </row>
    <row r="969" spans="1:18">
      <c r="A969" t="s">
        <v>1099</v>
      </c>
      <c r="B969" s="2">
        <v>45836</v>
      </c>
      <c r="C969" t="s">
        <v>37</v>
      </c>
      <c r="D969" t="s">
        <v>38</v>
      </c>
      <c r="E969" t="s">
        <v>39</v>
      </c>
      <c r="F969" t="s">
        <v>22</v>
      </c>
      <c r="G969" t="s">
        <v>160</v>
      </c>
      <c r="H969" t="s">
        <v>161</v>
      </c>
      <c r="I969">
        <v>9</v>
      </c>
      <c r="J969" s="3">
        <v>3411.55</v>
      </c>
      <c r="K969" s="3">
        <v>30703.95</v>
      </c>
      <c r="L969" t="s">
        <v>25</v>
      </c>
      <c r="M969" s="2">
        <v>45845</v>
      </c>
      <c r="N969" s="2">
        <v>45842</v>
      </c>
      <c r="O969" t="s">
        <v>26</v>
      </c>
      <c r="P969" t="s">
        <v>64</v>
      </c>
      <c r="Q969" t="s">
        <v>28</v>
      </c>
      <c r="R969" t="s">
        <v>29</v>
      </c>
    </row>
    <row r="970" spans="1:18">
      <c r="A970" t="s">
        <v>1100</v>
      </c>
      <c r="B970" s="2">
        <v>45724</v>
      </c>
      <c r="C970" t="s">
        <v>142</v>
      </c>
      <c r="D970" t="s">
        <v>143</v>
      </c>
      <c r="E970" t="s">
        <v>73</v>
      </c>
      <c r="F970" t="s">
        <v>22</v>
      </c>
      <c r="G970" t="s">
        <v>160</v>
      </c>
      <c r="H970" t="s">
        <v>161</v>
      </c>
      <c r="I970">
        <v>3</v>
      </c>
      <c r="J970" s="3">
        <v>3156.03</v>
      </c>
      <c r="K970" s="3">
        <v>9468.09</v>
      </c>
      <c r="L970" t="s">
        <v>34</v>
      </c>
      <c r="M970" s="2">
        <v>45729</v>
      </c>
      <c r="N970" s="2">
        <v>45729</v>
      </c>
      <c r="O970" t="s">
        <v>76</v>
      </c>
      <c r="P970" t="s">
        <v>77</v>
      </c>
      <c r="Q970" t="s">
        <v>28</v>
      </c>
      <c r="R970" t="s">
        <v>29</v>
      </c>
    </row>
    <row r="971" spans="1:18">
      <c r="A971" t="s">
        <v>1101</v>
      </c>
      <c r="B971" s="2">
        <v>46148</v>
      </c>
      <c r="C971" t="s">
        <v>131</v>
      </c>
      <c r="D971" t="s">
        <v>132</v>
      </c>
      <c r="E971" t="s">
        <v>21</v>
      </c>
      <c r="F971" t="s">
        <v>57</v>
      </c>
      <c r="G971" t="s">
        <v>58</v>
      </c>
      <c r="H971" t="s">
        <v>59</v>
      </c>
      <c r="I971">
        <v>8</v>
      </c>
      <c r="J971" s="3">
        <v>58293.19</v>
      </c>
      <c r="K971" s="3">
        <v>466345.52</v>
      </c>
      <c r="L971" t="s">
        <v>25</v>
      </c>
      <c r="M971" s="2">
        <v>46165</v>
      </c>
      <c r="N971" s="2">
        <v>46177</v>
      </c>
      <c r="O971" t="s">
        <v>60</v>
      </c>
      <c r="P971" t="s">
        <v>27</v>
      </c>
      <c r="Q971" t="s">
        <v>28</v>
      </c>
      <c r="R971" t="s">
        <v>129</v>
      </c>
    </row>
    <row r="972" spans="1:18">
      <c r="A972" t="s">
        <v>1102</v>
      </c>
      <c r="B972" s="2">
        <v>45706</v>
      </c>
      <c r="C972" t="s">
        <v>147</v>
      </c>
      <c r="D972" t="s">
        <v>148</v>
      </c>
      <c r="E972" t="s">
        <v>39</v>
      </c>
      <c r="F972" t="s">
        <v>40</v>
      </c>
      <c r="G972" t="s">
        <v>62</v>
      </c>
      <c r="H972" t="s">
        <v>63</v>
      </c>
      <c r="I972">
        <v>6</v>
      </c>
      <c r="J972" s="3">
        <v>17920.07</v>
      </c>
      <c r="K972" s="3">
        <v>107520.42</v>
      </c>
      <c r="L972" t="s">
        <v>25</v>
      </c>
      <c r="M972" s="2">
        <v>45721</v>
      </c>
      <c r="N972" s="2">
        <v>45720</v>
      </c>
      <c r="O972" t="s">
        <v>76</v>
      </c>
      <c r="P972" t="s">
        <v>44</v>
      </c>
      <c r="Q972" t="s">
        <v>28</v>
      </c>
      <c r="R972" t="s">
        <v>29</v>
      </c>
    </row>
    <row r="973" spans="1:18">
      <c r="A973" t="s">
        <v>1103</v>
      </c>
      <c r="B973" s="2">
        <v>45836</v>
      </c>
      <c r="C973" t="s">
        <v>104</v>
      </c>
      <c r="D973" t="s">
        <v>105</v>
      </c>
      <c r="E973" t="s">
        <v>73</v>
      </c>
      <c r="F973" t="s">
        <v>49</v>
      </c>
      <c r="G973" t="s">
        <v>165</v>
      </c>
      <c r="H973" t="s">
        <v>166</v>
      </c>
      <c r="I973">
        <v>2</v>
      </c>
      <c r="J973" s="3">
        <v>45924.26</v>
      </c>
      <c r="K973" s="3">
        <v>91848.52</v>
      </c>
      <c r="L973" t="s">
        <v>52</v>
      </c>
      <c r="M973" s="2">
        <v>45851</v>
      </c>
      <c r="N973" s="2">
        <v>45849</v>
      </c>
      <c r="O973" t="s">
        <v>43</v>
      </c>
      <c r="P973" t="s">
        <v>77</v>
      </c>
      <c r="Q973" t="s">
        <v>28</v>
      </c>
      <c r="R973" t="s">
        <v>29</v>
      </c>
    </row>
    <row r="974" spans="1:18">
      <c r="A974" t="s">
        <v>1104</v>
      </c>
      <c r="B974" s="2">
        <v>45798</v>
      </c>
      <c r="C974" t="s">
        <v>66</v>
      </c>
      <c r="D974" t="s">
        <v>67</v>
      </c>
      <c r="E974" t="s">
        <v>21</v>
      </c>
      <c r="F974" t="s">
        <v>49</v>
      </c>
      <c r="G974" t="s">
        <v>68</v>
      </c>
      <c r="H974" t="s">
        <v>69</v>
      </c>
      <c r="I974">
        <v>1</v>
      </c>
      <c r="J974" s="3">
        <v>48308.89</v>
      </c>
      <c r="K974" s="3">
        <v>48308.89</v>
      </c>
      <c r="L974" t="s">
        <v>34</v>
      </c>
      <c r="M974" s="2">
        <v>45803</v>
      </c>
      <c r="N974" s="2">
        <v>45802</v>
      </c>
      <c r="O974" t="s">
        <v>26</v>
      </c>
      <c r="P974" t="s">
        <v>27</v>
      </c>
      <c r="Q974" t="s">
        <v>28</v>
      </c>
      <c r="R974" t="s">
        <v>29</v>
      </c>
    </row>
    <row r="975" spans="1:18">
      <c r="A975" t="s">
        <v>1105</v>
      </c>
      <c r="B975" s="2">
        <v>46063</v>
      </c>
      <c r="C975" t="s">
        <v>19</v>
      </c>
      <c r="D975" t="s">
        <v>20</v>
      </c>
      <c r="E975" t="s">
        <v>73</v>
      </c>
      <c r="F975" t="s">
        <v>22</v>
      </c>
      <c r="G975" t="s">
        <v>32</v>
      </c>
      <c r="H975" t="s">
        <v>33</v>
      </c>
      <c r="I975">
        <v>10</v>
      </c>
      <c r="J975" s="3">
        <v>7303.05</v>
      </c>
      <c r="K975" s="3">
        <v>73030.5</v>
      </c>
      <c r="L975" t="s">
        <v>34</v>
      </c>
      <c r="M975" s="2">
        <v>46068</v>
      </c>
      <c r="N975" s="2">
        <v>46067</v>
      </c>
      <c r="O975" t="s">
        <v>76</v>
      </c>
      <c r="P975" t="s">
        <v>77</v>
      </c>
      <c r="Q975" t="s">
        <v>28</v>
      </c>
      <c r="R975" t="s">
        <v>29</v>
      </c>
    </row>
    <row r="976" spans="1:18">
      <c r="A976" t="s">
        <v>1106</v>
      </c>
      <c r="B976" s="2">
        <v>45777</v>
      </c>
      <c r="C976" t="s">
        <v>46</v>
      </c>
      <c r="D976" t="s">
        <v>47</v>
      </c>
      <c r="E976" t="s">
        <v>48</v>
      </c>
      <c r="F976" t="s">
        <v>49</v>
      </c>
      <c r="G976" t="s">
        <v>68</v>
      </c>
      <c r="H976" t="s">
        <v>69</v>
      </c>
      <c r="I976">
        <v>1</v>
      </c>
      <c r="J976" s="3">
        <v>52596.82</v>
      </c>
      <c r="K976" s="3">
        <v>52596.82</v>
      </c>
      <c r="L976" t="s">
        <v>34</v>
      </c>
      <c r="M976" s="2">
        <v>45791</v>
      </c>
      <c r="N976" s="2">
        <v>45788</v>
      </c>
      <c r="O976" t="s">
        <v>43</v>
      </c>
      <c r="P976" t="s">
        <v>53</v>
      </c>
      <c r="Q976" t="s">
        <v>28</v>
      </c>
      <c r="R976" t="s">
        <v>29</v>
      </c>
    </row>
    <row r="977" spans="1:18">
      <c r="A977" t="s">
        <v>1107</v>
      </c>
      <c r="B977" s="2">
        <v>46122</v>
      </c>
      <c r="C977" t="s">
        <v>117</v>
      </c>
      <c r="D977" t="s">
        <v>118</v>
      </c>
      <c r="E977" t="s">
        <v>48</v>
      </c>
      <c r="F977" t="s">
        <v>57</v>
      </c>
      <c r="G977" t="s">
        <v>120</v>
      </c>
      <c r="H977" t="s">
        <v>121</v>
      </c>
      <c r="I977">
        <v>2</v>
      </c>
      <c r="J977" s="3">
        <v>22742.89</v>
      </c>
      <c r="K977" s="3">
        <v>45485.78</v>
      </c>
      <c r="L977" t="s">
        <v>34</v>
      </c>
      <c r="M977" s="2">
        <v>46134</v>
      </c>
      <c r="N977" s="2">
        <v>46134</v>
      </c>
      <c r="O977" t="s">
        <v>76</v>
      </c>
      <c r="P977" t="s">
        <v>53</v>
      </c>
      <c r="Q977" t="s">
        <v>28</v>
      </c>
      <c r="R977" t="s">
        <v>29</v>
      </c>
    </row>
    <row r="978" spans="1:18">
      <c r="A978" t="s">
        <v>1108</v>
      </c>
      <c r="B978" s="2">
        <v>46073</v>
      </c>
      <c r="C978" t="s">
        <v>80</v>
      </c>
      <c r="D978" t="s">
        <v>81</v>
      </c>
      <c r="E978" t="s">
        <v>39</v>
      </c>
      <c r="F978" t="s">
        <v>82</v>
      </c>
      <c r="G978" t="s">
        <v>83</v>
      </c>
      <c r="H978" t="s">
        <v>84</v>
      </c>
      <c r="I978">
        <v>6</v>
      </c>
      <c r="J978" s="3">
        <v>668.4</v>
      </c>
      <c r="K978" s="3">
        <v>4010.4</v>
      </c>
      <c r="L978" t="s">
        <v>25</v>
      </c>
      <c r="M978" s="2">
        <v>46078</v>
      </c>
      <c r="N978" s="2">
        <v>46077</v>
      </c>
      <c r="O978" t="s">
        <v>43</v>
      </c>
      <c r="P978" t="s">
        <v>64</v>
      </c>
      <c r="Q978" t="s">
        <v>28</v>
      </c>
      <c r="R978" t="s">
        <v>29</v>
      </c>
    </row>
    <row r="979" spans="1:18">
      <c r="A979" t="s">
        <v>1109</v>
      </c>
      <c r="B979" s="2">
        <v>45917</v>
      </c>
      <c r="C979" t="s">
        <v>37</v>
      </c>
      <c r="D979" t="s">
        <v>38</v>
      </c>
      <c r="E979" t="s">
        <v>39</v>
      </c>
      <c r="F979" t="s">
        <v>40</v>
      </c>
      <c r="G979" t="s">
        <v>62</v>
      </c>
      <c r="H979" t="s">
        <v>63</v>
      </c>
      <c r="I979">
        <v>6</v>
      </c>
      <c r="J979" s="3">
        <v>20067.78</v>
      </c>
      <c r="K979" s="3">
        <v>120406.68</v>
      </c>
      <c r="L979" t="s">
        <v>25</v>
      </c>
      <c r="M979" s="2">
        <v>45928</v>
      </c>
      <c r="N979" s="2">
        <v>45926</v>
      </c>
      <c r="O979" t="s">
        <v>60</v>
      </c>
      <c r="P979" t="s">
        <v>64</v>
      </c>
      <c r="Q979" t="s">
        <v>28</v>
      </c>
      <c r="R979" t="s">
        <v>29</v>
      </c>
    </row>
    <row r="980" spans="1:18">
      <c r="A980" t="s">
        <v>1110</v>
      </c>
      <c r="B980" s="2">
        <v>46169</v>
      </c>
      <c r="C980" t="s">
        <v>80</v>
      </c>
      <c r="D980" t="s">
        <v>81</v>
      </c>
      <c r="E980" t="s">
        <v>39</v>
      </c>
      <c r="F980" t="s">
        <v>82</v>
      </c>
      <c r="G980" t="s">
        <v>98</v>
      </c>
      <c r="H980" t="s">
        <v>99</v>
      </c>
      <c r="I980">
        <v>39</v>
      </c>
      <c r="J980" s="3">
        <v>1086.53</v>
      </c>
      <c r="K980" s="3">
        <v>42374.67</v>
      </c>
      <c r="L980" t="s">
        <v>34</v>
      </c>
      <c r="M980" s="2">
        <v>46186</v>
      </c>
      <c r="N980" s="2">
        <v>46199</v>
      </c>
      <c r="O980" t="s">
        <v>76</v>
      </c>
      <c r="P980" t="s">
        <v>44</v>
      </c>
      <c r="Q980" t="s">
        <v>28</v>
      </c>
      <c r="R980" t="s">
        <v>129</v>
      </c>
    </row>
    <row r="981" spans="1:18">
      <c r="A981" t="s">
        <v>1111</v>
      </c>
      <c r="B981" s="2">
        <v>45685</v>
      </c>
      <c r="C981" t="s">
        <v>142</v>
      </c>
      <c r="D981" t="s">
        <v>143</v>
      </c>
      <c r="E981" t="s">
        <v>112</v>
      </c>
      <c r="F981" t="s">
        <v>22</v>
      </c>
      <c r="G981" t="s">
        <v>160</v>
      </c>
      <c r="H981" t="s">
        <v>161</v>
      </c>
      <c r="I981">
        <v>4</v>
      </c>
      <c r="J981" s="3">
        <v>3233.1</v>
      </c>
      <c r="K981" s="3">
        <v>12932.4</v>
      </c>
      <c r="L981" t="s">
        <v>25</v>
      </c>
      <c r="M981" s="2">
        <v>45701</v>
      </c>
      <c r="N981" s="2">
        <v>45701</v>
      </c>
      <c r="O981" t="s">
        <v>76</v>
      </c>
      <c r="P981" t="s">
        <v>115</v>
      </c>
      <c r="Q981" t="s">
        <v>28</v>
      </c>
      <c r="R981" t="s">
        <v>29</v>
      </c>
    </row>
    <row r="982" spans="1:18">
      <c r="A982" t="s">
        <v>1112</v>
      </c>
      <c r="B982" s="2">
        <v>46138</v>
      </c>
      <c r="C982" t="s">
        <v>117</v>
      </c>
      <c r="D982" t="s">
        <v>118</v>
      </c>
      <c r="E982" t="s">
        <v>21</v>
      </c>
      <c r="F982" t="s">
        <v>57</v>
      </c>
      <c r="G982" t="s">
        <v>74</v>
      </c>
      <c r="H982" t="s">
        <v>75</v>
      </c>
      <c r="I982">
        <v>1</v>
      </c>
      <c r="J982" s="3">
        <v>8695.44</v>
      </c>
      <c r="K982" s="3">
        <v>8695.44</v>
      </c>
      <c r="L982" t="s">
        <v>52</v>
      </c>
      <c r="M982" s="2">
        <v>46153</v>
      </c>
      <c r="N982" s="2">
        <v>46153</v>
      </c>
      <c r="O982" t="s">
        <v>60</v>
      </c>
      <c r="P982" t="s">
        <v>27</v>
      </c>
      <c r="Q982" t="s">
        <v>28</v>
      </c>
      <c r="R982" t="s">
        <v>29</v>
      </c>
    </row>
    <row r="983" spans="1:18">
      <c r="A983" t="s">
        <v>1113</v>
      </c>
      <c r="B983" s="2">
        <v>46172</v>
      </c>
      <c r="C983" t="s">
        <v>71</v>
      </c>
      <c r="D983" t="s">
        <v>72</v>
      </c>
      <c r="E983" t="s">
        <v>21</v>
      </c>
      <c r="F983" t="s">
        <v>1114</v>
      </c>
      <c r="G983" t="s">
        <v>74</v>
      </c>
      <c r="H983" t="s">
        <v>75</v>
      </c>
      <c r="I983">
        <v>12</v>
      </c>
      <c r="J983" s="3">
        <v>8165.49</v>
      </c>
      <c r="K983" s="3">
        <v>97985.88</v>
      </c>
      <c r="L983" t="s">
        <v>34</v>
      </c>
      <c r="M983" s="2">
        <v>46177</v>
      </c>
      <c r="N983" s="2">
        <v>46177</v>
      </c>
      <c r="O983" t="s">
        <v>60</v>
      </c>
      <c r="P983" t="s">
        <v>27</v>
      </c>
      <c r="Q983" t="s">
        <v>28</v>
      </c>
      <c r="R983" t="s">
        <v>29</v>
      </c>
    </row>
    <row r="984" spans="1:18">
      <c r="A984" t="s">
        <v>1115</v>
      </c>
      <c r="B984" s="2">
        <v>46120</v>
      </c>
      <c r="C984" t="s">
        <v>134</v>
      </c>
      <c r="D984" t="s">
        <v>135</v>
      </c>
      <c r="E984" t="s">
        <v>39</v>
      </c>
      <c r="F984" t="s">
        <v>40</v>
      </c>
      <c r="G984" t="s">
        <v>136</v>
      </c>
      <c r="H984" t="s">
        <v>137</v>
      </c>
      <c r="I984">
        <v>58</v>
      </c>
      <c r="J984" s="3">
        <v>1685.99</v>
      </c>
      <c r="K984" s="3">
        <v>97787.42</v>
      </c>
      <c r="L984" t="s">
        <v>25</v>
      </c>
      <c r="M984" s="2">
        <v>46126</v>
      </c>
      <c r="N984" s="2">
        <v>46123</v>
      </c>
      <c r="O984" t="s">
        <v>60</v>
      </c>
      <c r="P984" t="s">
        <v>64</v>
      </c>
      <c r="Q984" t="s">
        <v>28</v>
      </c>
      <c r="R984" t="s">
        <v>29</v>
      </c>
    </row>
    <row r="985" spans="1:18">
      <c r="A985" t="s">
        <v>1116</v>
      </c>
      <c r="B985" s="2">
        <v>46043</v>
      </c>
      <c r="C985" t="s">
        <v>37</v>
      </c>
      <c r="D985" t="s">
        <v>38</v>
      </c>
      <c r="E985" t="s">
        <v>39</v>
      </c>
      <c r="F985" t="s">
        <v>40</v>
      </c>
      <c r="G985" t="s">
        <v>62</v>
      </c>
      <c r="H985" t="s">
        <v>63</v>
      </c>
      <c r="I985">
        <v>2</v>
      </c>
      <c r="J985" s="3">
        <v>19795.400000000001</v>
      </c>
      <c r="K985" s="3">
        <v>39590.800000000003</v>
      </c>
      <c r="L985" t="s">
        <v>34</v>
      </c>
      <c r="M985" s="2">
        <v>46049</v>
      </c>
      <c r="N985" s="2">
        <v>46048</v>
      </c>
      <c r="O985" t="s">
        <v>43</v>
      </c>
      <c r="P985" t="s">
        <v>44</v>
      </c>
      <c r="Q985" t="s">
        <v>28</v>
      </c>
      <c r="R985" t="s">
        <v>29</v>
      </c>
    </row>
    <row r="986" spans="1:18">
      <c r="A986" t="s">
        <v>1117</v>
      </c>
      <c r="B986" s="2">
        <v>46166</v>
      </c>
      <c r="C986" t="s">
        <v>71</v>
      </c>
      <c r="D986" t="s">
        <v>72</v>
      </c>
      <c r="E986" t="s">
        <v>48</v>
      </c>
      <c r="F986" t="s">
        <v>57</v>
      </c>
      <c r="G986" t="s">
        <v>120</v>
      </c>
      <c r="H986" t="s">
        <v>121</v>
      </c>
      <c r="I986">
        <v>2</v>
      </c>
      <c r="J986" s="3">
        <v>20934.52</v>
      </c>
      <c r="K986" s="3">
        <v>41869.040000000001</v>
      </c>
      <c r="L986" t="s">
        <v>25</v>
      </c>
      <c r="M986" s="2">
        <v>46177</v>
      </c>
      <c r="N986" s="2">
        <v>46175</v>
      </c>
      <c r="O986" t="s">
        <v>60</v>
      </c>
      <c r="P986" t="s">
        <v>53</v>
      </c>
      <c r="Q986" t="s">
        <v>28</v>
      </c>
      <c r="R986" t="s">
        <v>29</v>
      </c>
    </row>
    <row r="987" spans="1:18">
      <c r="A987" t="s">
        <v>1118</v>
      </c>
      <c r="B987" s="2">
        <v>45724</v>
      </c>
      <c r="C987" t="s">
        <v>104</v>
      </c>
      <c r="D987" t="s">
        <v>105</v>
      </c>
      <c r="E987" t="s">
        <v>112</v>
      </c>
      <c r="F987" t="s">
        <v>49</v>
      </c>
      <c r="G987" t="s">
        <v>165</v>
      </c>
      <c r="H987" t="s">
        <v>166</v>
      </c>
      <c r="I987">
        <v>1</v>
      </c>
      <c r="J987" s="3">
        <v>45253.81</v>
      </c>
      <c r="K987" s="3">
        <v>45253.81</v>
      </c>
      <c r="L987" t="s">
        <v>25</v>
      </c>
      <c r="M987" s="2">
        <v>45731</v>
      </c>
      <c r="N987" s="2">
        <v>45730</v>
      </c>
      <c r="O987" t="s">
        <v>26</v>
      </c>
      <c r="P987" t="s">
        <v>115</v>
      </c>
      <c r="Q987" t="s">
        <v>28</v>
      </c>
      <c r="R987" t="s">
        <v>29</v>
      </c>
    </row>
    <row r="988" spans="1:18">
      <c r="A988" t="s">
        <v>1119</v>
      </c>
      <c r="B988" s="2">
        <v>46040</v>
      </c>
      <c r="C988" t="s">
        <v>19</v>
      </c>
      <c r="D988" t="s">
        <v>20</v>
      </c>
      <c r="E988" t="s">
        <v>31</v>
      </c>
      <c r="F988" t="s">
        <v>22</v>
      </c>
      <c r="G988" t="s">
        <v>23</v>
      </c>
      <c r="H988" t="s">
        <v>24</v>
      </c>
      <c r="I988">
        <v>7</v>
      </c>
      <c r="J988" s="3">
        <v>221.11</v>
      </c>
      <c r="K988" s="3">
        <v>1547.77</v>
      </c>
      <c r="L988" t="s">
        <v>25</v>
      </c>
      <c r="M988" s="2">
        <v>46048</v>
      </c>
      <c r="N988" s="2">
        <v>46054</v>
      </c>
      <c r="O988" t="s">
        <v>60</v>
      </c>
      <c r="P988" t="s">
        <v>94</v>
      </c>
      <c r="Q988" t="s">
        <v>28</v>
      </c>
      <c r="R988" t="s">
        <v>129</v>
      </c>
    </row>
    <row r="989" spans="1:18">
      <c r="A989" t="s">
        <v>1120</v>
      </c>
      <c r="B989" s="2">
        <v>46038</v>
      </c>
      <c r="C989" t="s">
        <v>71</v>
      </c>
      <c r="D989" t="s">
        <v>72</v>
      </c>
      <c r="E989" t="s">
        <v>48</v>
      </c>
      <c r="F989" t="s">
        <v>57</v>
      </c>
      <c r="G989" t="s">
        <v>127</v>
      </c>
      <c r="H989" t="s">
        <v>128</v>
      </c>
      <c r="I989">
        <v>1</v>
      </c>
      <c r="J989" s="3">
        <v>15482.18</v>
      </c>
      <c r="K989" s="3">
        <v>15482.18</v>
      </c>
      <c r="L989" t="s">
        <v>25</v>
      </c>
      <c r="M989" s="2">
        <v>46047</v>
      </c>
      <c r="N989" s="2">
        <v>46046</v>
      </c>
      <c r="O989" t="s">
        <v>26</v>
      </c>
      <c r="P989" t="s">
        <v>53</v>
      </c>
      <c r="Q989" t="s">
        <v>28</v>
      </c>
      <c r="R989" t="s">
        <v>29</v>
      </c>
    </row>
    <row r="990" spans="1:18">
      <c r="A990" t="s">
        <v>1121</v>
      </c>
      <c r="B990" s="2">
        <v>45876</v>
      </c>
      <c r="C990" t="s">
        <v>117</v>
      </c>
      <c r="D990" t="s">
        <v>118</v>
      </c>
      <c r="E990" t="s">
        <v>31</v>
      </c>
      <c r="F990" t="s">
        <v>57</v>
      </c>
      <c r="G990" t="s">
        <v>86</v>
      </c>
      <c r="H990" t="s">
        <v>87</v>
      </c>
      <c r="I990">
        <v>2</v>
      </c>
      <c r="J990" s="3">
        <v>10920.1</v>
      </c>
      <c r="K990" s="3">
        <v>21840.2</v>
      </c>
      <c r="L990" t="s">
        <v>52</v>
      </c>
      <c r="M990" s="2">
        <v>45883</v>
      </c>
      <c r="N990" s="2">
        <v>45882</v>
      </c>
      <c r="O990" t="s">
        <v>43</v>
      </c>
      <c r="P990" t="s">
        <v>35</v>
      </c>
      <c r="Q990" t="s">
        <v>28</v>
      </c>
      <c r="R990" t="s">
        <v>29</v>
      </c>
    </row>
    <row r="991" spans="1:18">
      <c r="A991" t="s">
        <v>1122</v>
      </c>
      <c r="B991" s="2">
        <v>45732</v>
      </c>
      <c r="C991" t="s">
        <v>66</v>
      </c>
      <c r="D991" t="s">
        <v>67</v>
      </c>
      <c r="E991" t="s">
        <v>21</v>
      </c>
      <c r="F991" t="s">
        <v>49</v>
      </c>
      <c r="G991" t="s">
        <v>165</v>
      </c>
      <c r="H991" t="s">
        <v>166</v>
      </c>
      <c r="I991">
        <v>2</v>
      </c>
      <c r="J991" s="3">
        <v>45156.7</v>
      </c>
      <c r="K991" s="3">
        <v>90313.4</v>
      </c>
      <c r="L991" t="s">
        <v>52</v>
      </c>
      <c r="M991" s="2">
        <v>45737</v>
      </c>
      <c r="N991" s="2">
        <v>45737</v>
      </c>
      <c r="O991" t="s">
        <v>60</v>
      </c>
      <c r="P991" t="s">
        <v>27</v>
      </c>
      <c r="Q991" t="s">
        <v>28</v>
      </c>
      <c r="R991" t="s">
        <v>29</v>
      </c>
    </row>
    <row r="992" spans="1:18">
      <c r="A992" t="s">
        <v>1123</v>
      </c>
      <c r="B992" s="2">
        <v>46040</v>
      </c>
      <c r="C992" t="s">
        <v>89</v>
      </c>
      <c r="D992" t="s">
        <v>90</v>
      </c>
      <c r="E992" t="s">
        <v>31</v>
      </c>
      <c r="F992" t="s">
        <v>91</v>
      </c>
      <c r="G992" t="s">
        <v>92</v>
      </c>
      <c r="H992" t="s">
        <v>93</v>
      </c>
      <c r="I992">
        <v>3</v>
      </c>
      <c r="J992" s="3">
        <v>43908.69</v>
      </c>
      <c r="K992" s="3">
        <v>131726.07</v>
      </c>
      <c r="L992" t="s">
        <v>25</v>
      </c>
      <c r="M992" s="2">
        <v>46051</v>
      </c>
      <c r="N992" s="2">
        <v>46050</v>
      </c>
      <c r="O992" t="s">
        <v>76</v>
      </c>
      <c r="P992" t="s">
        <v>35</v>
      </c>
      <c r="Q992" t="s">
        <v>28</v>
      </c>
      <c r="R992" t="s">
        <v>29</v>
      </c>
    </row>
    <row r="993" spans="1:18">
      <c r="A993" t="s">
        <v>1124</v>
      </c>
      <c r="B993" s="2">
        <v>45734</v>
      </c>
      <c r="C993" t="s">
        <v>142</v>
      </c>
      <c r="D993" t="s">
        <v>143</v>
      </c>
      <c r="E993" t="s">
        <v>39</v>
      </c>
      <c r="F993" t="s">
        <v>22</v>
      </c>
      <c r="G993" t="s">
        <v>32</v>
      </c>
      <c r="H993" t="s">
        <v>33</v>
      </c>
      <c r="I993">
        <v>3</v>
      </c>
      <c r="J993" s="3">
        <v>8113.94</v>
      </c>
      <c r="K993" s="3">
        <v>24341.82</v>
      </c>
      <c r="L993" t="s">
        <v>25</v>
      </c>
      <c r="M993" s="2">
        <v>45751</v>
      </c>
      <c r="N993" s="2">
        <v>45749</v>
      </c>
      <c r="O993" t="s">
        <v>76</v>
      </c>
      <c r="P993" t="s">
        <v>44</v>
      </c>
      <c r="Q993" t="s">
        <v>28</v>
      </c>
      <c r="R993" t="s">
        <v>29</v>
      </c>
    </row>
    <row r="994" spans="1:18">
      <c r="A994" t="s">
        <v>1125</v>
      </c>
      <c r="B994" s="2">
        <v>46007</v>
      </c>
      <c r="C994" t="s">
        <v>131</v>
      </c>
      <c r="D994" t="s">
        <v>132</v>
      </c>
      <c r="E994" t="s">
        <v>31</v>
      </c>
      <c r="F994" t="s">
        <v>57</v>
      </c>
      <c r="G994" t="s">
        <v>58</v>
      </c>
      <c r="H994" t="s">
        <v>59</v>
      </c>
      <c r="I994">
        <v>8</v>
      </c>
      <c r="J994" s="3">
        <v>59806.77</v>
      </c>
      <c r="K994" s="3">
        <v>478454.16</v>
      </c>
      <c r="L994" t="s">
        <v>25</v>
      </c>
      <c r="M994" s="2">
        <v>46018</v>
      </c>
      <c r="N994" s="2">
        <v>46017</v>
      </c>
      <c r="O994" t="s">
        <v>43</v>
      </c>
      <c r="P994" t="s">
        <v>35</v>
      </c>
      <c r="Q994" t="s">
        <v>28</v>
      </c>
      <c r="R994" t="s">
        <v>29</v>
      </c>
    </row>
    <row r="995" spans="1:18">
      <c r="A995" t="s">
        <v>1126</v>
      </c>
      <c r="B995" s="2">
        <v>46008</v>
      </c>
      <c r="C995" t="s">
        <v>107</v>
      </c>
      <c r="D995" t="s">
        <v>108</v>
      </c>
      <c r="E995" t="s">
        <v>31</v>
      </c>
      <c r="F995" t="s">
        <v>91</v>
      </c>
      <c r="G995" t="s">
        <v>109</v>
      </c>
      <c r="H995" t="s">
        <v>110</v>
      </c>
      <c r="I995">
        <v>1</v>
      </c>
      <c r="J995" s="3">
        <v>14356.02</v>
      </c>
      <c r="K995" s="3">
        <v>14356.02</v>
      </c>
      <c r="L995" t="s">
        <v>52</v>
      </c>
      <c r="M995" s="2">
        <v>46022</v>
      </c>
      <c r="N995" s="2">
        <v>46020</v>
      </c>
      <c r="O995" t="s">
        <v>76</v>
      </c>
      <c r="P995" t="s">
        <v>94</v>
      </c>
      <c r="Q995" t="s">
        <v>28</v>
      </c>
      <c r="R995" t="s">
        <v>29</v>
      </c>
    </row>
    <row r="996" spans="1:18">
      <c r="A996" t="s">
        <v>1127</v>
      </c>
      <c r="B996" s="2">
        <v>45853</v>
      </c>
      <c r="C996" t="s">
        <v>104</v>
      </c>
      <c r="D996" t="s">
        <v>105</v>
      </c>
      <c r="E996" t="s">
        <v>21</v>
      </c>
      <c r="F996" t="s">
        <v>49</v>
      </c>
      <c r="G996" t="s">
        <v>68</v>
      </c>
      <c r="H996" t="s">
        <v>69</v>
      </c>
      <c r="I996">
        <v>1</v>
      </c>
      <c r="J996" s="3">
        <v>48662.33</v>
      </c>
      <c r="K996" s="3">
        <v>48662.33</v>
      </c>
      <c r="L996" t="s">
        <v>34</v>
      </c>
      <c r="M996" s="2">
        <v>45870</v>
      </c>
      <c r="N996" s="2">
        <v>45869</v>
      </c>
      <c r="O996" t="s">
        <v>76</v>
      </c>
      <c r="P996" t="s">
        <v>27</v>
      </c>
      <c r="Q996" t="s">
        <v>28</v>
      </c>
      <c r="R996" t="s">
        <v>29</v>
      </c>
    </row>
    <row r="997" spans="1:18">
      <c r="A997" t="s">
        <v>1128</v>
      </c>
      <c r="B997" s="2">
        <v>45986</v>
      </c>
      <c r="C997" t="s">
        <v>117</v>
      </c>
      <c r="D997" t="s">
        <v>118</v>
      </c>
      <c r="E997" t="s">
        <v>73</v>
      </c>
      <c r="F997" t="s">
        <v>57</v>
      </c>
      <c r="G997" t="s">
        <v>86</v>
      </c>
      <c r="H997" t="s">
        <v>87</v>
      </c>
      <c r="I997">
        <v>5</v>
      </c>
      <c r="J997" s="3">
        <v>11250.91</v>
      </c>
      <c r="K997" s="3">
        <v>56254.55</v>
      </c>
      <c r="L997" t="s">
        <v>25</v>
      </c>
      <c r="M997" s="2">
        <v>46001</v>
      </c>
      <c r="N997" s="2">
        <v>45999</v>
      </c>
      <c r="O997" t="s">
        <v>60</v>
      </c>
      <c r="P997" t="s">
        <v>77</v>
      </c>
      <c r="Q997" t="s">
        <v>28</v>
      </c>
      <c r="R997" t="s">
        <v>29</v>
      </c>
    </row>
    <row r="998" spans="1:18">
      <c r="A998" t="s">
        <v>1129</v>
      </c>
      <c r="B998" s="2">
        <v>45909</v>
      </c>
      <c r="C998" t="s">
        <v>104</v>
      </c>
      <c r="D998" t="s">
        <v>105</v>
      </c>
      <c r="E998" t="s">
        <v>48</v>
      </c>
      <c r="F998" t="s">
        <v>49</v>
      </c>
      <c r="G998" t="s">
        <v>165</v>
      </c>
      <c r="H998" t="s">
        <v>166</v>
      </c>
      <c r="I998">
        <v>1</v>
      </c>
      <c r="J998" s="3">
        <v>45654.23</v>
      </c>
      <c r="K998" s="3">
        <v>45654.23</v>
      </c>
      <c r="L998" t="s">
        <v>25</v>
      </c>
      <c r="M998" s="2">
        <v>45915</v>
      </c>
      <c r="N998" s="2">
        <v>45912</v>
      </c>
      <c r="O998" t="s">
        <v>26</v>
      </c>
      <c r="P998" t="s">
        <v>53</v>
      </c>
      <c r="Q998" t="s">
        <v>28</v>
      </c>
      <c r="R998" t="s">
        <v>29</v>
      </c>
    </row>
    <row r="999" spans="1:18">
      <c r="A999" t="s">
        <v>1130</v>
      </c>
      <c r="B999" s="2">
        <v>46164</v>
      </c>
      <c r="C999" t="s">
        <v>46</v>
      </c>
      <c r="D999" t="s">
        <v>47</v>
      </c>
      <c r="E999" t="s">
        <v>112</v>
      </c>
      <c r="F999" t="s">
        <v>49</v>
      </c>
      <c r="G999" t="s">
        <v>165</v>
      </c>
      <c r="H999" t="s">
        <v>166</v>
      </c>
      <c r="I999">
        <v>1</v>
      </c>
      <c r="J999" s="3">
        <v>47597.18</v>
      </c>
      <c r="K999" s="3">
        <v>47597.18</v>
      </c>
      <c r="L999" t="s">
        <v>34</v>
      </c>
      <c r="M999" s="2">
        <v>46169</v>
      </c>
      <c r="N999" s="2">
        <v>46166</v>
      </c>
      <c r="O999" t="s">
        <v>60</v>
      </c>
      <c r="P999" t="s">
        <v>115</v>
      </c>
      <c r="Q999" t="s">
        <v>28</v>
      </c>
      <c r="R999" t="s">
        <v>29</v>
      </c>
    </row>
    <row r="1000" spans="1:18">
      <c r="A1000" t="s">
        <v>1131</v>
      </c>
      <c r="B1000" s="2">
        <v>46054</v>
      </c>
      <c r="C1000" t="s">
        <v>19</v>
      </c>
      <c r="D1000" t="s">
        <v>20</v>
      </c>
      <c r="E1000" t="s">
        <v>39</v>
      </c>
      <c r="F1000" t="s">
        <v>22</v>
      </c>
      <c r="G1000" t="s">
        <v>160</v>
      </c>
      <c r="H1000" t="s">
        <v>161</v>
      </c>
      <c r="I1000">
        <v>1</v>
      </c>
      <c r="J1000" s="3">
        <v>3074.44</v>
      </c>
      <c r="K1000" s="3">
        <v>3074.44</v>
      </c>
      <c r="L1000" t="s">
        <v>25</v>
      </c>
      <c r="M1000" s="2">
        <v>46072</v>
      </c>
      <c r="N1000" s="2">
        <v>46075</v>
      </c>
      <c r="O1000" t="s">
        <v>76</v>
      </c>
      <c r="P1000" t="s">
        <v>64</v>
      </c>
      <c r="Q1000" t="s">
        <v>28</v>
      </c>
      <c r="R1000" t="s">
        <v>129</v>
      </c>
    </row>
    <row r="1001" spans="1:18">
      <c r="A1001" t="s">
        <v>1132</v>
      </c>
      <c r="B1001" s="2">
        <v>46091</v>
      </c>
      <c r="C1001" t="s">
        <v>104</v>
      </c>
      <c r="D1001" t="s">
        <v>105</v>
      </c>
      <c r="E1001" t="s">
        <v>112</v>
      </c>
      <c r="F1001" t="s">
        <v>49</v>
      </c>
      <c r="G1001" t="s">
        <v>113</v>
      </c>
      <c r="H1001" t="s">
        <v>114</v>
      </c>
      <c r="I1001">
        <v>3</v>
      </c>
      <c r="J1001" s="3">
        <v>37634.61</v>
      </c>
      <c r="K1001" s="3">
        <v>112903.83</v>
      </c>
      <c r="L1001" t="s">
        <v>25</v>
      </c>
      <c r="M1001" s="2">
        <v>46107</v>
      </c>
      <c r="N1001" s="2">
        <v>46104</v>
      </c>
      <c r="O1001" t="s">
        <v>26</v>
      </c>
      <c r="P1001" t="s">
        <v>115</v>
      </c>
      <c r="Q1001" t="s">
        <v>28</v>
      </c>
      <c r="R1001" t="s">
        <v>29</v>
      </c>
    </row>
    <row r="1002" spans="1:18">
      <c r="A1002" t="s">
        <v>1133</v>
      </c>
      <c r="B1002" s="2">
        <v>45813</v>
      </c>
      <c r="C1002" t="s">
        <v>107</v>
      </c>
      <c r="D1002" t="s">
        <v>108</v>
      </c>
      <c r="E1002" t="s">
        <v>31</v>
      </c>
      <c r="F1002" t="s">
        <v>91</v>
      </c>
      <c r="G1002" t="s">
        <v>92</v>
      </c>
      <c r="H1002" t="s">
        <v>93</v>
      </c>
      <c r="I1002">
        <v>1</v>
      </c>
      <c r="J1002" s="3">
        <v>47782.85</v>
      </c>
      <c r="K1002" s="3">
        <v>47782.85</v>
      </c>
      <c r="L1002" t="s">
        <v>25</v>
      </c>
      <c r="M1002" s="2">
        <v>45826</v>
      </c>
      <c r="N1002" s="2">
        <v>45825</v>
      </c>
      <c r="O1002" t="s">
        <v>76</v>
      </c>
      <c r="P1002" t="s">
        <v>35</v>
      </c>
      <c r="Q1002" t="s">
        <v>28</v>
      </c>
      <c r="R1002" t="s">
        <v>29</v>
      </c>
    </row>
    <row r="1003" spans="1:18">
      <c r="A1003" t="s">
        <v>1134</v>
      </c>
      <c r="B1003" s="2">
        <v>45785</v>
      </c>
      <c r="C1003" t="s">
        <v>71</v>
      </c>
      <c r="D1003" t="s">
        <v>72</v>
      </c>
      <c r="E1003" t="s">
        <v>48</v>
      </c>
      <c r="F1003" t="s">
        <v>57</v>
      </c>
      <c r="G1003" t="s">
        <v>86</v>
      </c>
      <c r="H1003" t="s">
        <v>87</v>
      </c>
      <c r="I1003">
        <v>3</v>
      </c>
      <c r="J1003" s="3">
        <v>9936.26</v>
      </c>
      <c r="K1003" s="3">
        <v>29808.78</v>
      </c>
      <c r="L1003" t="s">
        <v>25</v>
      </c>
      <c r="M1003" s="2">
        <v>45793</v>
      </c>
      <c r="N1003" s="2">
        <v>45793</v>
      </c>
      <c r="O1003" t="s">
        <v>76</v>
      </c>
      <c r="P1003" t="s">
        <v>53</v>
      </c>
      <c r="Q1003" t="s">
        <v>28</v>
      </c>
      <c r="R1003" t="s">
        <v>29</v>
      </c>
    </row>
    <row r="1004" spans="1:18">
      <c r="A1004" t="s">
        <v>1135</v>
      </c>
      <c r="B1004" s="2">
        <v>46053</v>
      </c>
      <c r="C1004" t="s">
        <v>19</v>
      </c>
      <c r="D1004" t="s">
        <v>20</v>
      </c>
      <c r="E1004" t="s">
        <v>39</v>
      </c>
      <c r="F1004" t="s">
        <v>22</v>
      </c>
      <c r="G1004" t="s">
        <v>160</v>
      </c>
      <c r="H1004" t="s">
        <v>161</v>
      </c>
      <c r="I1004">
        <v>12</v>
      </c>
      <c r="J1004" s="3">
        <v>2928.99</v>
      </c>
      <c r="K1004" s="3">
        <v>35147.879999999997</v>
      </c>
      <c r="L1004" t="s">
        <v>25</v>
      </c>
      <c r="M1004" s="2">
        <v>46064</v>
      </c>
      <c r="N1004" s="2">
        <v>46061</v>
      </c>
      <c r="O1004" t="s">
        <v>76</v>
      </c>
      <c r="P1004" t="s">
        <v>64</v>
      </c>
      <c r="Q1004" t="s">
        <v>28</v>
      </c>
      <c r="R1004" t="s">
        <v>29</v>
      </c>
    </row>
    <row r="1005" spans="1:18">
      <c r="A1005" t="s">
        <v>1136</v>
      </c>
      <c r="B1005" s="2">
        <v>46161</v>
      </c>
      <c r="C1005" t="s">
        <v>37</v>
      </c>
      <c r="D1005" t="s">
        <v>38</v>
      </c>
      <c r="E1005" t="s">
        <v>112</v>
      </c>
      <c r="F1005" t="s">
        <v>40</v>
      </c>
      <c r="G1005" t="s">
        <v>136</v>
      </c>
      <c r="H1005" t="s">
        <v>137</v>
      </c>
      <c r="I1005">
        <v>29</v>
      </c>
      <c r="J1005" s="3">
        <v>1775.53</v>
      </c>
      <c r="K1005" s="3">
        <v>51490.37</v>
      </c>
      <c r="L1005" t="s">
        <v>25</v>
      </c>
      <c r="M1005" s="2">
        <v>46179</v>
      </c>
      <c r="N1005" s="2">
        <v>46178</v>
      </c>
      <c r="O1005" t="s">
        <v>43</v>
      </c>
      <c r="P1005" t="s">
        <v>115</v>
      </c>
      <c r="Q1005" t="s">
        <v>28</v>
      </c>
      <c r="R1005" t="s">
        <v>29</v>
      </c>
    </row>
    <row r="1006" spans="1:18">
      <c r="A1006" t="s">
        <v>1137</v>
      </c>
      <c r="B1006" s="2">
        <v>45870</v>
      </c>
      <c r="C1006" t="s">
        <v>46</v>
      </c>
      <c r="D1006" t="s">
        <v>47</v>
      </c>
      <c r="E1006" t="s">
        <v>21</v>
      </c>
      <c r="F1006" t="s">
        <v>49</v>
      </c>
      <c r="G1006" t="s">
        <v>50</v>
      </c>
      <c r="H1006" t="s">
        <v>51</v>
      </c>
      <c r="I1006">
        <v>2</v>
      </c>
      <c r="J1006" s="3">
        <v>57372.24</v>
      </c>
      <c r="K1006" s="3">
        <v>114744.48</v>
      </c>
      <c r="L1006" t="s">
        <v>34</v>
      </c>
      <c r="M1006" s="2">
        <v>45884</v>
      </c>
      <c r="N1006" s="2">
        <v>45884</v>
      </c>
      <c r="O1006" t="s">
        <v>26</v>
      </c>
      <c r="P1006" t="s">
        <v>27</v>
      </c>
      <c r="Q1006" t="s">
        <v>28</v>
      </c>
      <c r="R1006" t="s">
        <v>29</v>
      </c>
    </row>
    <row r="1007" spans="1:18">
      <c r="A1007" t="s">
        <v>1138</v>
      </c>
      <c r="B1007" s="2">
        <v>45680</v>
      </c>
      <c r="C1007" t="s">
        <v>104</v>
      </c>
      <c r="D1007" t="s">
        <v>105</v>
      </c>
      <c r="E1007" t="s">
        <v>21</v>
      </c>
      <c r="F1007" t="s">
        <v>49</v>
      </c>
      <c r="G1007" t="s">
        <v>113</v>
      </c>
      <c r="H1007" t="s">
        <v>114</v>
      </c>
      <c r="I1007">
        <v>2</v>
      </c>
      <c r="J1007" s="3">
        <v>38956.69</v>
      </c>
      <c r="K1007" s="3">
        <v>77913.38</v>
      </c>
      <c r="L1007" t="s">
        <v>25</v>
      </c>
      <c r="M1007" s="2">
        <v>45686</v>
      </c>
      <c r="N1007" s="2">
        <v>45684</v>
      </c>
      <c r="O1007" t="s">
        <v>76</v>
      </c>
      <c r="P1007" t="s">
        <v>27</v>
      </c>
      <c r="Q1007" t="s">
        <v>28</v>
      </c>
      <c r="R1007" t="s">
        <v>29</v>
      </c>
    </row>
    <row r="1008" spans="1:18">
      <c r="A1008" t="s">
        <v>1139</v>
      </c>
      <c r="B1008" s="2">
        <v>46148</v>
      </c>
      <c r="C1008" t="s">
        <v>80</v>
      </c>
      <c r="D1008" t="s">
        <v>81</v>
      </c>
      <c r="E1008" t="s">
        <v>39</v>
      </c>
      <c r="F1008" t="s">
        <v>82</v>
      </c>
      <c r="G1008" t="s">
        <v>197</v>
      </c>
      <c r="H1008" t="s">
        <v>198</v>
      </c>
      <c r="I1008">
        <v>17</v>
      </c>
      <c r="J1008" s="3">
        <v>2010.53</v>
      </c>
      <c r="K1008" s="3">
        <v>34179.01</v>
      </c>
      <c r="L1008" t="s">
        <v>25</v>
      </c>
      <c r="M1008" s="2">
        <v>46166</v>
      </c>
      <c r="N1008" s="2">
        <v>46174</v>
      </c>
      <c r="O1008" t="s">
        <v>26</v>
      </c>
      <c r="P1008" t="s">
        <v>64</v>
      </c>
      <c r="Q1008" t="s">
        <v>28</v>
      </c>
      <c r="R1008" t="s">
        <v>129</v>
      </c>
    </row>
    <row r="1009" spans="1:18">
      <c r="A1009" t="s">
        <v>1140</v>
      </c>
      <c r="B1009" s="2">
        <v>45820</v>
      </c>
      <c r="C1009" t="s">
        <v>117</v>
      </c>
      <c r="D1009" t="s">
        <v>118</v>
      </c>
      <c r="E1009" t="s">
        <v>48</v>
      </c>
      <c r="F1009" t="s">
        <v>57</v>
      </c>
      <c r="G1009" t="s">
        <v>58</v>
      </c>
      <c r="H1009" t="s">
        <v>59</v>
      </c>
      <c r="I1009">
        <v>8</v>
      </c>
      <c r="J1009" s="3">
        <v>59845.69</v>
      </c>
      <c r="K1009" s="3">
        <v>478765.52</v>
      </c>
      <c r="L1009" t="s">
        <v>25</v>
      </c>
      <c r="M1009" s="2">
        <v>45827</v>
      </c>
      <c r="N1009" s="2">
        <v>45824</v>
      </c>
      <c r="O1009" t="s">
        <v>26</v>
      </c>
      <c r="P1009" t="s">
        <v>53</v>
      </c>
      <c r="Q1009" t="s">
        <v>28</v>
      </c>
      <c r="R1009" t="s">
        <v>29</v>
      </c>
    </row>
    <row r="1010" spans="1:18">
      <c r="A1010" t="s">
        <v>1141</v>
      </c>
      <c r="B1010" s="2">
        <v>46077</v>
      </c>
      <c r="C1010" t="s">
        <v>107</v>
      </c>
      <c r="D1010" t="s">
        <v>108</v>
      </c>
      <c r="E1010" t="s">
        <v>31</v>
      </c>
      <c r="F1010" t="s">
        <v>91</v>
      </c>
      <c r="G1010" t="s">
        <v>92</v>
      </c>
      <c r="H1010" t="s">
        <v>93</v>
      </c>
      <c r="I1010">
        <v>1</v>
      </c>
      <c r="J1010" s="3">
        <v>46732.91</v>
      </c>
      <c r="K1010" s="3">
        <v>46732.91</v>
      </c>
      <c r="L1010" t="s">
        <v>52</v>
      </c>
      <c r="M1010" s="2">
        <v>46086</v>
      </c>
      <c r="N1010" s="2">
        <v>46083</v>
      </c>
      <c r="O1010" t="s">
        <v>26</v>
      </c>
      <c r="P1010" t="s">
        <v>94</v>
      </c>
      <c r="Q1010" t="s">
        <v>28</v>
      </c>
      <c r="R1010" t="s">
        <v>29</v>
      </c>
    </row>
    <row r="1011" spans="1:18">
      <c r="A1011" t="s">
        <v>1142</v>
      </c>
      <c r="B1011" s="2">
        <v>45858</v>
      </c>
      <c r="C1011" t="s">
        <v>37</v>
      </c>
      <c r="D1011" t="s">
        <v>38</v>
      </c>
      <c r="E1011" t="s">
        <v>39</v>
      </c>
      <c r="F1011" t="s">
        <v>22</v>
      </c>
      <c r="G1011" t="s">
        <v>160</v>
      </c>
      <c r="H1011" t="s">
        <v>161</v>
      </c>
      <c r="I1011">
        <v>2</v>
      </c>
      <c r="J1011" s="3">
        <v>3289.9</v>
      </c>
      <c r="K1011" s="3">
        <v>6579.8</v>
      </c>
      <c r="L1011" t="s">
        <v>34</v>
      </c>
      <c r="M1011" s="2">
        <v>45875</v>
      </c>
      <c r="N1011" s="2">
        <v>45873</v>
      </c>
      <c r="O1011" t="s">
        <v>26</v>
      </c>
      <c r="P1011" t="s">
        <v>64</v>
      </c>
      <c r="Q1011" t="s">
        <v>28</v>
      </c>
      <c r="R1011" t="s">
        <v>29</v>
      </c>
    </row>
    <row r="1012" spans="1:18">
      <c r="A1012" t="s">
        <v>1143</v>
      </c>
      <c r="B1012" s="2">
        <v>45936</v>
      </c>
      <c r="C1012" t="s">
        <v>96</v>
      </c>
      <c r="D1012" t="s">
        <v>97</v>
      </c>
      <c r="E1012" t="s">
        <v>39</v>
      </c>
      <c r="F1012" t="s">
        <v>82</v>
      </c>
      <c r="G1012" t="s">
        <v>83</v>
      </c>
      <c r="H1012" t="s">
        <v>84</v>
      </c>
      <c r="I1012">
        <v>35</v>
      </c>
      <c r="J1012" s="3">
        <v>709.04</v>
      </c>
      <c r="K1012" s="3">
        <v>24816.400000000001</v>
      </c>
      <c r="L1012" t="s">
        <v>52</v>
      </c>
      <c r="M1012" s="2">
        <v>45943</v>
      </c>
      <c r="N1012" s="2">
        <v>45942</v>
      </c>
      <c r="O1012" t="s">
        <v>76</v>
      </c>
      <c r="P1012" t="s">
        <v>44</v>
      </c>
      <c r="Q1012" t="s">
        <v>28</v>
      </c>
      <c r="R1012" t="s">
        <v>29</v>
      </c>
    </row>
    <row r="1013" spans="1:18">
      <c r="A1013" t="s">
        <v>1144</v>
      </c>
      <c r="B1013" s="2">
        <v>46131</v>
      </c>
      <c r="C1013" t="s">
        <v>142</v>
      </c>
      <c r="D1013" t="s">
        <v>143</v>
      </c>
      <c r="E1013" t="s">
        <v>39</v>
      </c>
      <c r="F1013" t="s">
        <v>22</v>
      </c>
      <c r="G1013" t="s">
        <v>32</v>
      </c>
      <c r="H1013" t="s">
        <v>33</v>
      </c>
      <c r="I1013">
        <v>13</v>
      </c>
      <c r="J1013" s="3">
        <v>7937.38</v>
      </c>
      <c r="K1013" s="3">
        <v>103185.94</v>
      </c>
      <c r="L1013" t="s">
        <v>25</v>
      </c>
      <c r="M1013" s="2">
        <v>46136</v>
      </c>
      <c r="N1013" s="2">
        <v>46144</v>
      </c>
      <c r="O1013" t="s">
        <v>76</v>
      </c>
      <c r="P1013" t="s">
        <v>44</v>
      </c>
      <c r="Q1013" t="s">
        <v>28</v>
      </c>
      <c r="R1013" t="s">
        <v>129</v>
      </c>
    </row>
    <row r="1014" spans="1:18">
      <c r="A1014" t="s">
        <v>1145</v>
      </c>
      <c r="B1014" s="2">
        <v>46062</v>
      </c>
      <c r="C1014" t="s">
        <v>66</v>
      </c>
      <c r="D1014" t="s">
        <v>67</v>
      </c>
      <c r="E1014" t="s">
        <v>48</v>
      </c>
      <c r="F1014" t="s">
        <v>49</v>
      </c>
      <c r="G1014" t="s">
        <v>165</v>
      </c>
      <c r="H1014" t="s">
        <v>166</v>
      </c>
      <c r="I1014">
        <v>2</v>
      </c>
      <c r="J1014" s="3">
        <v>44172.6</v>
      </c>
      <c r="K1014" s="3">
        <v>88345.2</v>
      </c>
      <c r="L1014" t="s">
        <v>25</v>
      </c>
      <c r="M1014" s="2">
        <v>46079</v>
      </c>
      <c r="N1014" s="2">
        <v>46076</v>
      </c>
      <c r="O1014" t="s">
        <v>60</v>
      </c>
      <c r="P1014" t="s">
        <v>53</v>
      </c>
      <c r="Q1014" t="s">
        <v>28</v>
      </c>
      <c r="R1014" t="s">
        <v>29</v>
      </c>
    </row>
    <row r="1015" spans="1:18">
      <c r="A1015" t="s">
        <v>1146</v>
      </c>
      <c r="B1015" s="2">
        <v>45695</v>
      </c>
      <c r="C1015" t="s">
        <v>117</v>
      </c>
      <c r="D1015" t="s">
        <v>118</v>
      </c>
      <c r="E1015" t="s">
        <v>31</v>
      </c>
      <c r="F1015" t="s">
        <v>57</v>
      </c>
      <c r="G1015" t="s">
        <v>58</v>
      </c>
      <c r="H1015" t="s">
        <v>59</v>
      </c>
      <c r="I1015">
        <v>7</v>
      </c>
      <c r="J1015" s="3">
        <v>59702.02</v>
      </c>
      <c r="K1015" s="3">
        <v>417914.14</v>
      </c>
      <c r="L1015" t="s">
        <v>25</v>
      </c>
      <c r="M1015" s="2">
        <v>45706</v>
      </c>
      <c r="N1015" s="2">
        <v>45706</v>
      </c>
      <c r="O1015" t="s">
        <v>26</v>
      </c>
      <c r="P1015" t="s">
        <v>94</v>
      </c>
      <c r="Q1015" t="s">
        <v>28</v>
      </c>
      <c r="R1015" t="s">
        <v>29</v>
      </c>
    </row>
    <row r="1016" spans="1:18">
      <c r="A1016" t="s">
        <v>1147</v>
      </c>
      <c r="B1016" s="2">
        <v>45878</v>
      </c>
      <c r="C1016" t="s">
        <v>107</v>
      </c>
      <c r="D1016" t="s">
        <v>108</v>
      </c>
      <c r="E1016" t="s">
        <v>31</v>
      </c>
      <c r="F1016" t="s">
        <v>91</v>
      </c>
      <c r="G1016" t="s">
        <v>109</v>
      </c>
      <c r="H1016" t="s">
        <v>110</v>
      </c>
      <c r="I1016">
        <v>1</v>
      </c>
      <c r="J1016" s="3">
        <v>14178.27</v>
      </c>
      <c r="K1016" s="3">
        <v>14178.27</v>
      </c>
      <c r="L1016" t="s">
        <v>25</v>
      </c>
      <c r="M1016" s="2">
        <v>45893</v>
      </c>
      <c r="N1016" s="2">
        <v>45890</v>
      </c>
      <c r="O1016" t="s">
        <v>43</v>
      </c>
      <c r="P1016" t="s">
        <v>94</v>
      </c>
      <c r="Q1016" t="s">
        <v>28</v>
      </c>
      <c r="R1016" t="s">
        <v>29</v>
      </c>
    </row>
    <row r="1017" spans="1:18">
      <c r="A1017" t="s">
        <v>1148</v>
      </c>
      <c r="B1017" s="2">
        <v>46107</v>
      </c>
      <c r="C1017" t="s">
        <v>71</v>
      </c>
      <c r="D1017" t="s">
        <v>72</v>
      </c>
      <c r="E1017" t="s">
        <v>73</v>
      </c>
      <c r="F1017" t="s">
        <v>57</v>
      </c>
      <c r="G1017" t="s">
        <v>74</v>
      </c>
      <c r="H1017" t="s">
        <v>75</v>
      </c>
      <c r="I1017">
        <v>3</v>
      </c>
      <c r="J1017" s="3">
        <v>7924.24</v>
      </c>
      <c r="K1017" s="3">
        <v>23772.720000000001</v>
      </c>
      <c r="L1017" t="s">
        <v>52</v>
      </c>
      <c r="M1017" s="2">
        <v>46118</v>
      </c>
      <c r="N1017" s="2">
        <v>46117</v>
      </c>
      <c r="O1017" t="s">
        <v>43</v>
      </c>
      <c r="P1017" t="s">
        <v>77</v>
      </c>
      <c r="Q1017" t="s">
        <v>28</v>
      </c>
      <c r="R1017" t="s">
        <v>29</v>
      </c>
    </row>
    <row r="1018" spans="1:18">
      <c r="A1018" t="s">
        <v>1149</v>
      </c>
      <c r="B1018" s="2">
        <v>46041</v>
      </c>
      <c r="C1018" t="s">
        <v>104</v>
      </c>
      <c r="D1018" t="s">
        <v>105</v>
      </c>
      <c r="E1018" t="s">
        <v>73</v>
      </c>
      <c r="F1018" t="s">
        <v>49</v>
      </c>
      <c r="G1018" t="s">
        <v>68</v>
      </c>
      <c r="H1018" t="s">
        <v>69</v>
      </c>
      <c r="I1018">
        <v>3</v>
      </c>
      <c r="J1018" s="3">
        <v>47349.87</v>
      </c>
      <c r="K1018" s="3">
        <v>142049.60999999999</v>
      </c>
      <c r="L1018" t="s">
        <v>25</v>
      </c>
      <c r="M1018" s="2">
        <v>46054</v>
      </c>
      <c r="N1018" s="2">
        <v>46051</v>
      </c>
      <c r="O1018" t="s">
        <v>76</v>
      </c>
      <c r="P1018" t="s">
        <v>77</v>
      </c>
      <c r="Q1018" t="s">
        <v>28</v>
      </c>
      <c r="R1018" t="s">
        <v>29</v>
      </c>
    </row>
    <row r="1019" spans="1:18">
      <c r="A1019" t="s">
        <v>1150</v>
      </c>
      <c r="B1019" s="2">
        <v>45827</v>
      </c>
      <c r="C1019" t="s">
        <v>80</v>
      </c>
      <c r="D1019" t="s">
        <v>81</v>
      </c>
      <c r="E1019" t="s">
        <v>39</v>
      </c>
      <c r="F1019" t="s">
        <v>82</v>
      </c>
      <c r="G1019" t="s">
        <v>197</v>
      </c>
      <c r="H1019" t="s">
        <v>198</v>
      </c>
      <c r="I1019">
        <v>37</v>
      </c>
      <c r="J1019" s="3">
        <v>1925.95</v>
      </c>
      <c r="K1019" s="3">
        <v>71260.149999999994</v>
      </c>
      <c r="L1019" t="s">
        <v>25</v>
      </c>
      <c r="M1019" s="2">
        <v>45835</v>
      </c>
      <c r="N1019" s="2">
        <v>45833</v>
      </c>
      <c r="O1019" t="s">
        <v>60</v>
      </c>
      <c r="P1019" t="s">
        <v>44</v>
      </c>
      <c r="Q1019" t="s">
        <v>28</v>
      </c>
      <c r="R1019" t="s">
        <v>29</v>
      </c>
    </row>
    <row r="1020" spans="1:18">
      <c r="A1020" t="s">
        <v>1151</v>
      </c>
      <c r="B1020" s="2">
        <v>46129</v>
      </c>
      <c r="C1020" t="s">
        <v>66</v>
      </c>
      <c r="D1020" t="s">
        <v>67</v>
      </c>
      <c r="E1020" t="s">
        <v>21</v>
      </c>
      <c r="F1020" t="s">
        <v>49</v>
      </c>
      <c r="G1020" t="s">
        <v>113</v>
      </c>
      <c r="H1020" t="s">
        <v>114</v>
      </c>
      <c r="I1020">
        <v>2</v>
      </c>
      <c r="J1020" s="3">
        <v>37328.339999999997</v>
      </c>
      <c r="K1020" s="3">
        <v>74656.679999999993</v>
      </c>
      <c r="L1020" t="s">
        <v>34</v>
      </c>
      <c r="M1020" s="2">
        <v>46146</v>
      </c>
      <c r="N1020" s="2">
        <v>46146</v>
      </c>
      <c r="O1020" t="s">
        <v>43</v>
      </c>
      <c r="P1020" t="s">
        <v>27</v>
      </c>
      <c r="Q1020" t="s">
        <v>28</v>
      </c>
      <c r="R1020" t="s">
        <v>29</v>
      </c>
    </row>
    <row r="1021" spans="1:18">
      <c r="A1021" t="s">
        <v>1152</v>
      </c>
      <c r="B1021" s="2">
        <v>46044</v>
      </c>
      <c r="C1021" t="s">
        <v>104</v>
      </c>
      <c r="D1021" t="s">
        <v>105</v>
      </c>
      <c r="E1021" t="s">
        <v>48</v>
      </c>
      <c r="F1021" t="s">
        <v>49</v>
      </c>
      <c r="G1021" t="s">
        <v>50</v>
      </c>
      <c r="H1021" t="s">
        <v>51</v>
      </c>
      <c r="I1021">
        <v>1</v>
      </c>
      <c r="J1021" s="3">
        <v>54202.18</v>
      </c>
      <c r="K1021" s="3">
        <v>54202.18</v>
      </c>
      <c r="L1021" t="s">
        <v>25</v>
      </c>
      <c r="M1021" s="2">
        <v>46058</v>
      </c>
      <c r="N1021" s="2">
        <v>46055</v>
      </c>
      <c r="O1021" t="s">
        <v>43</v>
      </c>
      <c r="P1021" t="s">
        <v>53</v>
      </c>
      <c r="Q1021" t="s">
        <v>28</v>
      </c>
      <c r="R1021" t="s">
        <v>29</v>
      </c>
    </row>
    <row r="1022" spans="1:18">
      <c r="A1022" t="s">
        <v>1153</v>
      </c>
      <c r="B1022" s="2">
        <v>45857</v>
      </c>
      <c r="C1022" t="s">
        <v>19</v>
      </c>
      <c r="D1022" t="s">
        <v>20</v>
      </c>
      <c r="E1022" t="s">
        <v>39</v>
      </c>
      <c r="F1022" t="s">
        <v>22</v>
      </c>
      <c r="G1022" t="s">
        <v>160</v>
      </c>
      <c r="H1022" t="s">
        <v>161</v>
      </c>
      <c r="I1022">
        <v>15</v>
      </c>
      <c r="J1022" s="3">
        <v>2879.59</v>
      </c>
      <c r="K1022" s="3">
        <v>43193.85</v>
      </c>
      <c r="L1022" t="s">
        <v>25</v>
      </c>
      <c r="M1022" s="2">
        <v>45865</v>
      </c>
      <c r="N1022" s="2">
        <v>45868</v>
      </c>
      <c r="O1022" t="s">
        <v>43</v>
      </c>
      <c r="P1022" t="s">
        <v>44</v>
      </c>
      <c r="Q1022" t="s">
        <v>28</v>
      </c>
      <c r="R1022" t="s">
        <v>129</v>
      </c>
    </row>
    <row r="1023" spans="1:18">
      <c r="A1023" t="s">
        <v>1154</v>
      </c>
      <c r="B1023" s="2">
        <v>45882</v>
      </c>
      <c r="C1023" t="s">
        <v>104</v>
      </c>
      <c r="D1023" t="s">
        <v>105</v>
      </c>
      <c r="E1023" t="s">
        <v>112</v>
      </c>
      <c r="F1023" t="s">
        <v>49</v>
      </c>
      <c r="G1023" t="s">
        <v>68</v>
      </c>
      <c r="H1023" t="s">
        <v>69</v>
      </c>
      <c r="I1023">
        <v>1</v>
      </c>
      <c r="J1023" s="3">
        <v>48971.88</v>
      </c>
      <c r="K1023" s="3">
        <v>48971.88</v>
      </c>
      <c r="L1023" t="s">
        <v>52</v>
      </c>
      <c r="M1023" s="2">
        <v>45896</v>
      </c>
      <c r="N1023" s="2">
        <v>45894</v>
      </c>
      <c r="O1023" t="s">
        <v>76</v>
      </c>
      <c r="P1023" t="s">
        <v>115</v>
      </c>
      <c r="Q1023" t="s">
        <v>28</v>
      </c>
      <c r="R1023" t="s">
        <v>29</v>
      </c>
    </row>
    <row r="1024" spans="1:18">
      <c r="A1024" t="s">
        <v>1155</v>
      </c>
      <c r="B1024" s="2">
        <v>45992</v>
      </c>
      <c r="C1024" t="s">
        <v>104</v>
      </c>
      <c r="D1024" t="s">
        <v>105</v>
      </c>
      <c r="E1024" t="s">
        <v>48</v>
      </c>
      <c r="F1024" t="s">
        <v>49</v>
      </c>
      <c r="G1024" t="s">
        <v>50</v>
      </c>
      <c r="H1024" t="s">
        <v>51</v>
      </c>
      <c r="I1024">
        <v>2</v>
      </c>
      <c r="J1024" s="3">
        <v>50024.01</v>
      </c>
      <c r="K1024" s="3">
        <v>100048.02</v>
      </c>
      <c r="L1024" t="s">
        <v>25</v>
      </c>
      <c r="M1024" s="2">
        <v>46001</v>
      </c>
      <c r="N1024" s="2">
        <v>45999</v>
      </c>
      <c r="O1024" t="s">
        <v>60</v>
      </c>
      <c r="P1024" t="s">
        <v>53</v>
      </c>
      <c r="Q1024" t="s">
        <v>28</v>
      </c>
      <c r="R1024" t="s">
        <v>29</v>
      </c>
    </row>
    <row r="1025" spans="1:18">
      <c r="A1025" t="s">
        <v>1156</v>
      </c>
      <c r="B1025" s="2">
        <v>45965</v>
      </c>
      <c r="C1025" t="s">
        <v>142</v>
      </c>
      <c r="D1025" t="s">
        <v>143</v>
      </c>
      <c r="E1025" t="s">
        <v>21</v>
      </c>
      <c r="F1025" t="s">
        <v>22</v>
      </c>
      <c r="G1025" t="s">
        <v>32</v>
      </c>
      <c r="H1025" t="s">
        <v>33</v>
      </c>
      <c r="I1025">
        <v>15</v>
      </c>
      <c r="J1025" s="3">
        <v>8038</v>
      </c>
      <c r="K1025" s="3">
        <v>120570</v>
      </c>
      <c r="L1025" t="s">
        <v>52</v>
      </c>
      <c r="M1025" s="2">
        <v>45973</v>
      </c>
      <c r="N1025" s="2">
        <v>45972</v>
      </c>
      <c r="O1025" t="s">
        <v>76</v>
      </c>
      <c r="P1025" t="s">
        <v>27</v>
      </c>
      <c r="Q1025" t="s">
        <v>28</v>
      </c>
      <c r="R1025" t="s">
        <v>29</v>
      </c>
    </row>
    <row r="1026" spans="1:18">
      <c r="A1026" t="s">
        <v>1157</v>
      </c>
      <c r="B1026" s="2">
        <v>46067</v>
      </c>
      <c r="C1026" t="s">
        <v>142</v>
      </c>
      <c r="D1026" t="s">
        <v>143</v>
      </c>
      <c r="E1026" t="s">
        <v>21</v>
      </c>
      <c r="F1026" t="s">
        <v>22</v>
      </c>
      <c r="G1026" t="s">
        <v>23</v>
      </c>
      <c r="H1026" t="s">
        <v>24</v>
      </c>
      <c r="I1026">
        <v>47</v>
      </c>
      <c r="J1026" s="3">
        <v>245.81</v>
      </c>
      <c r="K1026" s="3">
        <v>11553.07</v>
      </c>
      <c r="L1026" t="s">
        <v>25</v>
      </c>
      <c r="M1026" s="2">
        <v>46073</v>
      </c>
      <c r="N1026" s="2">
        <v>46073</v>
      </c>
      <c r="O1026" t="s">
        <v>60</v>
      </c>
      <c r="P1026" t="s">
        <v>27</v>
      </c>
      <c r="Q1026" t="s">
        <v>28</v>
      </c>
      <c r="R1026" t="s">
        <v>29</v>
      </c>
    </row>
    <row r="1027" spans="1:18">
      <c r="A1027" t="s">
        <v>1158</v>
      </c>
      <c r="B1027" s="2">
        <v>46082</v>
      </c>
      <c r="C1027" t="s">
        <v>37</v>
      </c>
      <c r="D1027" t="s">
        <v>38</v>
      </c>
      <c r="E1027" t="s">
        <v>39</v>
      </c>
      <c r="F1027" t="s">
        <v>40</v>
      </c>
      <c r="G1027" t="s">
        <v>41</v>
      </c>
      <c r="H1027" t="s">
        <v>42</v>
      </c>
      <c r="I1027">
        <v>8</v>
      </c>
      <c r="J1027" s="3">
        <v>5799.88</v>
      </c>
      <c r="K1027" s="3">
        <v>46399.040000000001</v>
      </c>
      <c r="L1027" t="s">
        <v>25</v>
      </c>
      <c r="M1027" s="2">
        <v>46093</v>
      </c>
      <c r="N1027" s="2">
        <v>46090</v>
      </c>
      <c r="O1027" t="s">
        <v>26</v>
      </c>
      <c r="P1027" t="s">
        <v>44</v>
      </c>
      <c r="Q1027" t="s">
        <v>28</v>
      </c>
      <c r="R1027" t="s">
        <v>29</v>
      </c>
    </row>
    <row r="1028" spans="1:18">
      <c r="A1028" t="s">
        <v>1159</v>
      </c>
      <c r="B1028" s="2">
        <v>45907</v>
      </c>
      <c r="C1028" t="s">
        <v>142</v>
      </c>
      <c r="D1028" t="s">
        <v>143</v>
      </c>
      <c r="E1028" t="s">
        <v>39</v>
      </c>
      <c r="F1028" t="s">
        <v>22</v>
      </c>
      <c r="G1028" t="s">
        <v>32</v>
      </c>
      <c r="H1028" t="s">
        <v>33</v>
      </c>
      <c r="I1028">
        <v>2</v>
      </c>
      <c r="J1028" s="3">
        <v>7752.55</v>
      </c>
      <c r="K1028" s="3">
        <v>15505.1</v>
      </c>
      <c r="L1028" t="s">
        <v>25</v>
      </c>
      <c r="M1028" s="2">
        <v>45913</v>
      </c>
      <c r="N1028" s="2">
        <v>45913</v>
      </c>
      <c r="O1028" t="s">
        <v>60</v>
      </c>
      <c r="P1028" t="s">
        <v>44</v>
      </c>
      <c r="Q1028" t="s">
        <v>28</v>
      </c>
      <c r="R1028" t="s">
        <v>29</v>
      </c>
    </row>
    <row r="1029" spans="1:18">
      <c r="A1029" t="s">
        <v>1160</v>
      </c>
      <c r="B1029" s="2">
        <v>45660</v>
      </c>
      <c r="C1029" t="s">
        <v>147</v>
      </c>
      <c r="D1029" t="s">
        <v>148</v>
      </c>
      <c r="E1029" t="s">
        <v>39</v>
      </c>
      <c r="F1029" t="s">
        <v>40</v>
      </c>
      <c r="G1029" t="s">
        <v>136</v>
      </c>
      <c r="H1029" t="s">
        <v>137</v>
      </c>
      <c r="I1029">
        <v>49</v>
      </c>
      <c r="J1029" s="3">
        <v>1651.52</v>
      </c>
      <c r="K1029" s="3">
        <v>80924.479999999996</v>
      </c>
      <c r="L1029" t="s">
        <v>25</v>
      </c>
      <c r="M1029" s="2">
        <v>45670</v>
      </c>
      <c r="N1029" s="2">
        <v>45670</v>
      </c>
      <c r="O1029" t="s">
        <v>76</v>
      </c>
      <c r="P1029" t="s">
        <v>44</v>
      </c>
      <c r="Q1029" t="s">
        <v>28</v>
      </c>
      <c r="R1029" t="s">
        <v>29</v>
      </c>
    </row>
    <row r="1030" spans="1:18">
      <c r="A1030" t="s">
        <v>1161</v>
      </c>
      <c r="B1030" s="2">
        <v>45760</v>
      </c>
      <c r="C1030" t="s">
        <v>107</v>
      </c>
      <c r="D1030" t="s">
        <v>108</v>
      </c>
      <c r="E1030" t="s">
        <v>31</v>
      </c>
      <c r="F1030" t="s">
        <v>91</v>
      </c>
      <c r="G1030" t="s">
        <v>92</v>
      </c>
      <c r="H1030" t="s">
        <v>93</v>
      </c>
      <c r="I1030">
        <v>1</v>
      </c>
      <c r="J1030" s="3">
        <v>45151.37</v>
      </c>
      <c r="K1030" s="3">
        <v>45151.37</v>
      </c>
      <c r="L1030" t="s">
        <v>25</v>
      </c>
      <c r="M1030" s="2">
        <v>45771</v>
      </c>
      <c r="N1030" s="2">
        <v>45768</v>
      </c>
      <c r="O1030" t="s">
        <v>76</v>
      </c>
      <c r="P1030" t="s">
        <v>94</v>
      </c>
      <c r="Q1030" t="s">
        <v>28</v>
      </c>
      <c r="R1030" t="s">
        <v>29</v>
      </c>
    </row>
    <row r="1031" spans="1:18">
      <c r="A1031" t="s">
        <v>1162</v>
      </c>
      <c r="B1031" s="2">
        <v>45949</v>
      </c>
      <c r="C1031" t="s">
        <v>46</v>
      </c>
      <c r="D1031" t="s">
        <v>47</v>
      </c>
      <c r="E1031" t="s">
        <v>73</v>
      </c>
      <c r="F1031" t="s">
        <v>49</v>
      </c>
      <c r="G1031" t="s">
        <v>50</v>
      </c>
      <c r="H1031" t="s">
        <v>51</v>
      </c>
      <c r="I1031">
        <v>1</v>
      </c>
      <c r="J1031" s="3">
        <v>56387.48</v>
      </c>
      <c r="K1031" s="3">
        <v>56387.48</v>
      </c>
      <c r="L1031" t="s">
        <v>25</v>
      </c>
      <c r="M1031" s="2">
        <v>45961</v>
      </c>
      <c r="N1031" s="2">
        <v>45959</v>
      </c>
      <c r="O1031" t="s">
        <v>76</v>
      </c>
      <c r="P1031" t="s">
        <v>77</v>
      </c>
      <c r="Q1031" t="s">
        <v>28</v>
      </c>
      <c r="R1031" t="s">
        <v>29</v>
      </c>
    </row>
    <row r="1032" spans="1:18">
      <c r="A1032" t="s">
        <v>1163</v>
      </c>
      <c r="B1032" s="2">
        <v>45971</v>
      </c>
      <c r="C1032" t="s">
        <v>66</v>
      </c>
      <c r="D1032" t="s">
        <v>67</v>
      </c>
      <c r="E1032" t="s">
        <v>48</v>
      </c>
      <c r="F1032" t="s">
        <v>49</v>
      </c>
      <c r="G1032" t="s">
        <v>68</v>
      </c>
      <c r="H1032" t="s">
        <v>69</v>
      </c>
      <c r="I1032">
        <v>1</v>
      </c>
      <c r="J1032" s="3">
        <v>45682.87</v>
      </c>
      <c r="K1032" s="3">
        <v>45682.87</v>
      </c>
      <c r="L1032" t="s">
        <v>25</v>
      </c>
      <c r="M1032" s="2">
        <v>45986</v>
      </c>
      <c r="N1032" s="2">
        <v>45985</v>
      </c>
      <c r="O1032" t="s">
        <v>26</v>
      </c>
      <c r="P1032" t="s">
        <v>53</v>
      </c>
      <c r="Q1032" t="s">
        <v>28</v>
      </c>
      <c r="R1032" t="s">
        <v>29</v>
      </c>
    </row>
    <row r="1033" spans="1:18">
      <c r="A1033" t="s">
        <v>1164</v>
      </c>
      <c r="B1033" s="2">
        <v>45739</v>
      </c>
      <c r="C1033" t="s">
        <v>37</v>
      </c>
      <c r="D1033" t="s">
        <v>38</v>
      </c>
      <c r="E1033" t="s">
        <v>112</v>
      </c>
      <c r="F1033" t="s">
        <v>22</v>
      </c>
      <c r="G1033" t="s">
        <v>23</v>
      </c>
      <c r="H1033" t="s">
        <v>24</v>
      </c>
      <c r="I1033">
        <v>51</v>
      </c>
      <c r="J1033" s="3">
        <v>269.92</v>
      </c>
      <c r="K1033" s="3">
        <v>13765.92</v>
      </c>
      <c r="L1033" t="s">
        <v>34</v>
      </c>
      <c r="M1033" s="2">
        <v>45745</v>
      </c>
      <c r="N1033" s="2">
        <v>45743</v>
      </c>
      <c r="O1033" t="s">
        <v>26</v>
      </c>
      <c r="P1033" t="s">
        <v>115</v>
      </c>
      <c r="Q1033" t="s">
        <v>28</v>
      </c>
      <c r="R1033" t="s">
        <v>29</v>
      </c>
    </row>
    <row r="1034" spans="1:18">
      <c r="A1034" t="s">
        <v>1165</v>
      </c>
      <c r="B1034" s="2">
        <v>46103</v>
      </c>
      <c r="C1034" t="s">
        <v>66</v>
      </c>
      <c r="D1034" t="s">
        <v>67</v>
      </c>
      <c r="E1034" t="s">
        <v>112</v>
      </c>
      <c r="F1034" t="s">
        <v>49</v>
      </c>
      <c r="G1034" t="s">
        <v>165</v>
      </c>
      <c r="H1034" t="s">
        <v>166</v>
      </c>
      <c r="I1034">
        <v>2</v>
      </c>
      <c r="J1034" s="3">
        <v>42728.09</v>
      </c>
      <c r="K1034" s="3">
        <v>85456.18</v>
      </c>
      <c r="L1034" t="s">
        <v>25</v>
      </c>
      <c r="M1034" s="2">
        <v>46118</v>
      </c>
      <c r="N1034" s="2">
        <v>46122</v>
      </c>
      <c r="O1034" t="s">
        <v>76</v>
      </c>
      <c r="P1034" t="s">
        <v>115</v>
      </c>
      <c r="Q1034" t="s">
        <v>28</v>
      </c>
      <c r="R1034" t="s">
        <v>129</v>
      </c>
    </row>
    <row r="1035" spans="1:18">
      <c r="A1035" t="s">
        <v>1166</v>
      </c>
      <c r="B1035" s="2">
        <v>45708</v>
      </c>
      <c r="C1035" t="s">
        <v>37</v>
      </c>
      <c r="D1035" t="s">
        <v>38</v>
      </c>
      <c r="E1035" t="s">
        <v>112</v>
      </c>
      <c r="F1035" t="s">
        <v>40</v>
      </c>
      <c r="G1035" t="s">
        <v>62</v>
      </c>
      <c r="H1035" t="s">
        <v>63</v>
      </c>
      <c r="I1035">
        <v>7</v>
      </c>
      <c r="J1035" s="3">
        <v>19889.73</v>
      </c>
      <c r="K1035" s="3">
        <v>139228.10999999999</v>
      </c>
      <c r="L1035" t="s">
        <v>25</v>
      </c>
      <c r="M1035" s="2">
        <v>45725</v>
      </c>
      <c r="N1035" s="2">
        <v>45723</v>
      </c>
      <c r="O1035" t="s">
        <v>76</v>
      </c>
      <c r="P1035" t="s">
        <v>115</v>
      </c>
      <c r="Q1035" t="s">
        <v>28</v>
      </c>
      <c r="R1035" t="s">
        <v>29</v>
      </c>
    </row>
    <row r="1036" spans="1:18">
      <c r="A1036" t="s">
        <v>1167</v>
      </c>
      <c r="B1036" s="2">
        <v>45846</v>
      </c>
      <c r="C1036" t="s">
        <v>104</v>
      </c>
      <c r="D1036" t="s">
        <v>105</v>
      </c>
      <c r="E1036" t="s">
        <v>48</v>
      </c>
      <c r="F1036" t="s">
        <v>49</v>
      </c>
      <c r="G1036" t="s">
        <v>68</v>
      </c>
      <c r="H1036" t="s">
        <v>69</v>
      </c>
      <c r="I1036">
        <v>1</v>
      </c>
      <c r="J1036" s="3">
        <v>49862.25</v>
      </c>
      <c r="K1036" s="3">
        <v>49862.25</v>
      </c>
      <c r="L1036" t="s">
        <v>25</v>
      </c>
      <c r="M1036" s="2">
        <v>45853</v>
      </c>
      <c r="N1036" s="2">
        <v>45857</v>
      </c>
      <c r="O1036" t="s">
        <v>60</v>
      </c>
      <c r="P1036" t="s">
        <v>53</v>
      </c>
      <c r="Q1036" t="s">
        <v>28</v>
      </c>
      <c r="R1036" t="s">
        <v>129</v>
      </c>
    </row>
    <row r="1037" spans="1:18">
      <c r="A1037" t="s">
        <v>1168</v>
      </c>
      <c r="B1037" s="2">
        <v>46085</v>
      </c>
      <c r="C1037" t="s">
        <v>147</v>
      </c>
      <c r="D1037" t="s">
        <v>148</v>
      </c>
      <c r="E1037" t="s">
        <v>39</v>
      </c>
      <c r="F1037" t="s">
        <v>40</v>
      </c>
      <c r="G1037" t="s">
        <v>136</v>
      </c>
      <c r="H1037" t="s">
        <v>137</v>
      </c>
      <c r="I1037">
        <v>5</v>
      </c>
      <c r="J1037" s="3">
        <v>1573.82</v>
      </c>
      <c r="K1037" s="3">
        <v>7869.1</v>
      </c>
      <c r="L1037" t="s">
        <v>25</v>
      </c>
      <c r="M1037" s="2">
        <v>46091</v>
      </c>
      <c r="N1037" s="2">
        <v>46090</v>
      </c>
      <c r="O1037" t="s">
        <v>76</v>
      </c>
      <c r="P1037" t="s">
        <v>44</v>
      </c>
      <c r="Q1037" t="s">
        <v>28</v>
      </c>
      <c r="R1037" t="s">
        <v>29</v>
      </c>
    </row>
    <row r="1038" spans="1:18">
      <c r="A1038" t="s">
        <v>1169</v>
      </c>
      <c r="B1038" s="2">
        <v>46201</v>
      </c>
      <c r="C1038" t="s">
        <v>37</v>
      </c>
      <c r="D1038" t="s">
        <v>38</v>
      </c>
      <c r="E1038" t="s">
        <v>31</v>
      </c>
      <c r="F1038" t="s">
        <v>22</v>
      </c>
      <c r="G1038" t="s">
        <v>32</v>
      </c>
      <c r="H1038" t="s">
        <v>33</v>
      </c>
      <c r="I1038">
        <v>13</v>
      </c>
      <c r="J1038" s="3">
        <v>8159.88</v>
      </c>
      <c r="K1038" s="3">
        <v>106078.44</v>
      </c>
      <c r="L1038" t="s">
        <v>34</v>
      </c>
      <c r="M1038" s="2">
        <v>46217</v>
      </c>
      <c r="N1038" s="2">
        <v>46214</v>
      </c>
      <c r="O1038" t="s">
        <v>76</v>
      </c>
      <c r="P1038" t="s">
        <v>35</v>
      </c>
      <c r="Q1038" t="s">
        <v>28</v>
      </c>
      <c r="R1038" t="s">
        <v>29</v>
      </c>
    </row>
    <row r="1039" spans="1:18">
      <c r="A1039" t="s">
        <v>1170</v>
      </c>
      <c r="B1039" s="2">
        <v>45703</v>
      </c>
      <c r="C1039" t="s">
        <v>80</v>
      </c>
      <c r="D1039" t="s">
        <v>81</v>
      </c>
      <c r="E1039" t="s">
        <v>39</v>
      </c>
      <c r="F1039" t="s">
        <v>82</v>
      </c>
      <c r="G1039" t="s">
        <v>197</v>
      </c>
      <c r="H1039" t="s">
        <v>198</v>
      </c>
      <c r="I1039">
        <v>58</v>
      </c>
      <c r="J1039" s="3">
        <v>1926.48</v>
      </c>
      <c r="K1039" s="3">
        <v>111735.84</v>
      </c>
      <c r="L1039" t="s">
        <v>52</v>
      </c>
      <c r="M1039" s="2">
        <v>45714</v>
      </c>
      <c r="N1039" s="2">
        <v>45713</v>
      </c>
      <c r="O1039" t="s">
        <v>26</v>
      </c>
      <c r="P1039" t="s">
        <v>44</v>
      </c>
      <c r="Q1039" t="s">
        <v>28</v>
      </c>
      <c r="R1039" t="s">
        <v>29</v>
      </c>
    </row>
    <row r="1040" spans="1:18">
      <c r="A1040" t="s">
        <v>1171</v>
      </c>
      <c r="B1040" s="2">
        <v>45929</v>
      </c>
      <c r="C1040" t="s">
        <v>71</v>
      </c>
      <c r="D1040" t="s">
        <v>72</v>
      </c>
      <c r="E1040" t="s">
        <v>48</v>
      </c>
      <c r="F1040" t="s">
        <v>57</v>
      </c>
      <c r="G1040" t="s">
        <v>86</v>
      </c>
      <c r="H1040" t="s">
        <v>87</v>
      </c>
      <c r="I1040">
        <v>7</v>
      </c>
      <c r="J1040" s="3">
        <v>10315.94</v>
      </c>
      <c r="K1040" s="3">
        <v>72211.58</v>
      </c>
      <c r="L1040" t="s">
        <v>25</v>
      </c>
      <c r="M1040" s="2">
        <v>45938</v>
      </c>
      <c r="N1040" s="2">
        <v>45943</v>
      </c>
      <c r="O1040" t="s">
        <v>60</v>
      </c>
      <c r="P1040" t="s">
        <v>53</v>
      </c>
      <c r="Q1040" t="s">
        <v>28</v>
      </c>
      <c r="R1040" t="s">
        <v>129</v>
      </c>
    </row>
    <row r="1041" spans="1:18">
      <c r="A1041" t="s">
        <v>1172</v>
      </c>
      <c r="B1041" s="2">
        <v>46064</v>
      </c>
      <c r="C1041" t="s">
        <v>19</v>
      </c>
      <c r="D1041" t="s">
        <v>20</v>
      </c>
      <c r="E1041" t="s">
        <v>39</v>
      </c>
      <c r="F1041" t="s">
        <v>22</v>
      </c>
      <c r="G1041" t="s">
        <v>160</v>
      </c>
      <c r="H1041" t="s">
        <v>161</v>
      </c>
      <c r="I1041">
        <v>7</v>
      </c>
      <c r="J1041" s="3">
        <v>3049.48</v>
      </c>
      <c r="K1041" s="3">
        <v>21346.36</v>
      </c>
      <c r="L1041" t="s">
        <v>34</v>
      </c>
      <c r="M1041" s="2">
        <v>46069</v>
      </c>
      <c r="N1041" s="2">
        <v>46067</v>
      </c>
      <c r="O1041" t="s">
        <v>43</v>
      </c>
      <c r="P1041" t="s">
        <v>44</v>
      </c>
      <c r="Q1041" t="s">
        <v>28</v>
      </c>
      <c r="R1041" t="s">
        <v>29</v>
      </c>
    </row>
    <row r="1042" spans="1:18">
      <c r="A1042" t="s">
        <v>1173</v>
      </c>
      <c r="B1042" s="2">
        <v>45876</v>
      </c>
      <c r="C1042" t="s">
        <v>107</v>
      </c>
      <c r="D1042" t="s">
        <v>108</v>
      </c>
      <c r="E1042" t="s">
        <v>31</v>
      </c>
      <c r="F1042" t="s">
        <v>498</v>
      </c>
      <c r="G1042" t="s">
        <v>92</v>
      </c>
      <c r="H1042" t="s">
        <v>93</v>
      </c>
      <c r="I1042">
        <v>1</v>
      </c>
      <c r="J1042" s="3">
        <v>45969.57</v>
      </c>
      <c r="K1042" s="3">
        <v>45969.57</v>
      </c>
      <c r="L1042" t="s">
        <v>25</v>
      </c>
      <c r="M1042" s="2">
        <v>45883</v>
      </c>
      <c r="N1042" s="2">
        <v>45882</v>
      </c>
      <c r="O1042" t="s">
        <v>60</v>
      </c>
      <c r="P1042" t="s">
        <v>94</v>
      </c>
      <c r="Q1042" t="s">
        <v>28</v>
      </c>
      <c r="R1042" t="s">
        <v>29</v>
      </c>
    </row>
    <row r="1043" spans="1:18">
      <c r="A1043" t="s">
        <v>1174</v>
      </c>
      <c r="B1043" s="2">
        <v>46149</v>
      </c>
      <c r="C1043" t="s">
        <v>96</v>
      </c>
      <c r="D1043" t="s">
        <v>97</v>
      </c>
      <c r="E1043" t="s">
        <v>39</v>
      </c>
      <c r="F1043" t="s">
        <v>82</v>
      </c>
      <c r="G1043" t="s">
        <v>197</v>
      </c>
      <c r="H1043" t="s">
        <v>198</v>
      </c>
      <c r="I1043">
        <v>47</v>
      </c>
      <c r="J1043" s="3">
        <v>2161.66</v>
      </c>
      <c r="K1043" s="3">
        <v>101598.02</v>
      </c>
      <c r="L1043" t="s">
        <v>25</v>
      </c>
      <c r="M1043" s="2">
        <v>46158</v>
      </c>
      <c r="N1043" s="2">
        <v>46155</v>
      </c>
      <c r="O1043" t="s">
        <v>26</v>
      </c>
      <c r="P1043" t="s">
        <v>44</v>
      </c>
      <c r="Q1043" t="s">
        <v>28</v>
      </c>
      <c r="R1043" t="s">
        <v>29</v>
      </c>
    </row>
    <row r="1044" spans="1:18">
      <c r="A1044" t="s">
        <v>1175</v>
      </c>
      <c r="B1044" s="2">
        <v>45953</v>
      </c>
      <c r="C1044" t="s">
        <v>142</v>
      </c>
      <c r="D1044" t="s">
        <v>143</v>
      </c>
      <c r="E1044" t="s">
        <v>31</v>
      </c>
      <c r="F1044" t="s">
        <v>22</v>
      </c>
      <c r="G1044" t="s">
        <v>32</v>
      </c>
      <c r="H1044" t="s">
        <v>33</v>
      </c>
      <c r="I1044">
        <v>14</v>
      </c>
      <c r="J1044" s="3">
        <v>8177.94</v>
      </c>
      <c r="K1044" s="3">
        <v>114491.16</v>
      </c>
      <c r="L1044" t="s">
        <v>52</v>
      </c>
      <c r="M1044" s="2">
        <v>45959</v>
      </c>
      <c r="N1044" s="2">
        <v>45959</v>
      </c>
      <c r="O1044" t="s">
        <v>43</v>
      </c>
      <c r="P1044" t="s">
        <v>35</v>
      </c>
      <c r="Q1044" t="s">
        <v>28</v>
      </c>
      <c r="R1044" t="s">
        <v>29</v>
      </c>
    </row>
    <row r="1045" spans="1:18">
      <c r="A1045" t="s">
        <v>1176</v>
      </c>
      <c r="B1045" s="2">
        <v>45841</v>
      </c>
      <c r="C1045" t="s">
        <v>19</v>
      </c>
      <c r="D1045" t="s">
        <v>20</v>
      </c>
      <c r="E1045" t="s">
        <v>73</v>
      </c>
      <c r="F1045" t="s">
        <v>22</v>
      </c>
      <c r="G1045" t="s">
        <v>32</v>
      </c>
      <c r="H1045" t="s">
        <v>33</v>
      </c>
      <c r="I1045">
        <v>8</v>
      </c>
      <c r="J1045" s="3">
        <v>7472.77</v>
      </c>
      <c r="K1045" s="3">
        <v>59782.16</v>
      </c>
      <c r="L1045" t="s">
        <v>34</v>
      </c>
      <c r="M1045" s="2">
        <v>45854</v>
      </c>
      <c r="N1045" s="2">
        <v>45866</v>
      </c>
      <c r="O1045" t="s">
        <v>43</v>
      </c>
      <c r="P1045" t="s">
        <v>77</v>
      </c>
      <c r="Q1045" t="s">
        <v>28</v>
      </c>
      <c r="R1045" t="s">
        <v>129</v>
      </c>
    </row>
    <row r="1046" spans="1:18">
      <c r="A1046" t="s">
        <v>1177</v>
      </c>
      <c r="B1046" s="2">
        <v>45752</v>
      </c>
      <c r="C1046" t="s">
        <v>37</v>
      </c>
      <c r="D1046" t="s">
        <v>38</v>
      </c>
      <c r="E1046" t="s">
        <v>73</v>
      </c>
      <c r="F1046" t="s">
        <v>22</v>
      </c>
      <c r="G1046" t="s">
        <v>32</v>
      </c>
      <c r="H1046" t="s">
        <v>33</v>
      </c>
      <c r="I1046">
        <v>15</v>
      </c>
      <c r="J1046" s="3">
        <v>8556.9699999999993</v>
      </c>
      <c r="K1046" s="3">
        <v>128354.55</v>
      </c>
      <c r="L1046" t="s">
        <v>52</v>
      </c>
      <c r="M1046" s="2">
        <v>45766</v>
      </c>
      <c r="N1046" s="2">
        <v>45766</v>
      </c>
      <c r="O1046" t="s">
        <v>26</v>
      </c>
      <c r="P1046" t="s">
        <v>77</v>
      </c>
      <c r="Q1046" t="s">
        <v>28</v>
      </c>
      <c r="R1046" t="s">
        <v>29</v>
      </c>
    </row>
    <row r="1047" spans="1:18">
      <c r="A1047" t="s">
        <v>1178</v>
      </c>
      <c r="B1047" s="2">
        <v>46008</v>
      </c>
      <c r="C1047" t="s">
        <v>131</v>
      </c>
      <c r="D1047" t="s">
        <v>132</v>
      </c>
      <c r="E1047" t="s">
        <v>48</v>
      </c>
      <c r="F1047" t="s">
        <v>57</v>
      </c>
      <c r="G1047" t="s">
        <v>74</v>
      </c>
      <c r="H1047" t="s">
        <v>75</v>
      </c>
      <c r="I1047">
        <v>6</v>
      </c>
      <c r="J1047" s="3">
        <v>9333.6200000000008</v>
      </c>
      <c r="K1047" s="3">
        <v>56001.72</v>
      </c>
      <c r="L1047" t="s">
        <v>34</v>
      </c>
      <c r="M1047" s="2">
        <v>46013</v>
      </c>
      <c r="N1047" s="2">
        <v>46010</v>
      </c>
      <c r="O1047" t="s">
        <v>60</v>
      </c>
      <c r="P1047" t="s">
        <v>53</v>
      </c>
      <c r="Q1047" t="s">
        <v>28</v>
      </c>
      <c r="R1047" t="s">
        <v>29</v>
      </c>
    </row>
    <row r="1048" spans="1:18">
      <c r="A1048" t="s">
        <v>1179</v>
      </c>
      <c r="B1048" s="2">
        <v>46070</v>
      </c>
      <c r="C1048" t="s">
        <v>80</v>
      </c>
      <c r="D1048" t="s">
        <v>81</v>
      </c>
      <c r="E1048" t="s">
        <v>39</v>
      </c>
      <c r="F1048" t="s">
        <v>82</v>
      </c>
      <c r="G1048" t="s">
        <v>98</v>
      </c>
      <c r="H1048" t="s">
        <v>99</v>
      </c>
      <c r="I1048">
        <v>9</v>
      </c>
      <c r="J1048" s="3">
        <v>1122.32</v>
      </c>
      <c r="K1048" s="3">
        <v>10100.879999999999</v>
      </c>
      <c r="L1048" t="s">
        <v>34</v>
      </c>
      <c r="M1048" s="2">
        <v>46086</v>
      </c>
      <c r="N1048" s="2">
        <v>46083</v>
      </c>
      <c r="O1048" t="s">
        <v>60</v>
      </c>
      <c r="P1048" t="s">
        <v>44</v>
      </c>
      <c r="Q1048" t="s">
        <v>28</v>
      </c>
      <c r="R1048" t="s">
        <v>29</v>
      </c>
    </row>
    <row r="1049" spans="1:18">
      <c r="A1049" t="s">
        <v>1180</v>
      </c>
      <c r="B1049" s="2">
        <v>45987</v>
      </c>
      <c r="C1049" t="s">
        <v>142</v>
      </c>
      <c r="D1049" t="s">
        <v>143</v>
      </c>
      <c r="E1049" t="s">
        <v>39</v>
      </c>
      <c r="F1049" t="s">
        <v>22</v>
      </c>
      <c r="G1049" t="s">
        <v>23</v>
      </c>
      <c r="H1049" t="s">
        <v>24</v>
      </c>
      <c r="I1049">
        <v>27</v>
      </c>
      <c r="J1049" s="3">
        <v>235.28</v>
      </c>
      <c r="K1049" s="3">
        <v>6352.56</v>
      </c>
      <c r="L1049" t="s">
        <v>34</v>
      </c>
      <c r="M1049" s="2">
        <v>45992</v>
      </c>
      <c r="N1049" s="2">
        <v>45990</v>
      </c>
      <c r="O1049" t="s">
        <v>60</v>
      </c>
      <c r="P1049" t="s">
        <v>64</v>
      </c>
      <c r="Q1049" t="s">
        <v>28</v>
      </c>
      <c r="R1049" t="s">
        <v>29</v>
      </c>
    </row>
    <row r="1050" spans="1:18">
      <c r="A1050" t="s">
        <v>1181</v>
      </c>
      <c r="B1050" s="2">
        <v>45745</v>
      </c>
      <c r="C1050" t="s">
        <v>80</v>
      </c>
      <c r="D1050" t="s">
        <v>81</v>
      </c>
      <c r="E1050" t="s">
        <v>39</v>
      </c>
      <c r="F1050" t="s">
        <v>82</v>
      </c>
      <c r="G1050" t="s">
        <v>197</v>
      </c>
      <c r="H1050" t="s">
        <v>198</v>
      </c>
      <c r="I1050">
        <v>35</v>
      </c>
      <c r="J1050" s="3">
        <v>2021.65</v>
      </c>
      <c r="K1050" s="3">
        <v>70757.75</v>
      </c>
      <c r="L1050" t="s">
        <v>25</v>
      </c>
      <c r="M1050" s="2">
        <v>45757</v>
      </c>
      <c r="N1050" s="2">
        <v>45755</v>
      </c>
      <c r="O1050" t="s">
        <v>43</v>
      </c>
      <c r="P1050" t="s">
        <v>44</v>
      </c>
      <c r="Q1050" t="s">
        <v>28</v>
      </c>
      <c r="R1050" t="s">
        <v>29</v>
      </c>
    </row>
    <row r="1051" spans="1:18">
      <c r="A1051" t="s">
        <v>1182</v>
      </c>
      <c r="B1051" s="2">
        <v>45909</v>
      </c>
      <c r="C1051" t="s">
        <v>66</v>
      </c>
      <c r="D1051" t="s">
        <v>67</v>
      </c>
      <c r="E1051" t="s">
        <v>48</v>
      </c>
      <c r="F1051" t="s">
        <v>49</v>
      </c>
      <c r="G1051" t="s">
        <v>113</v>
      </c>
      <c r="H1051" t="s">
        <v>114</v>
      </c>
      <c r="I1051">
        <v>1</v>
      </c>
      <c r="J1051" s="3">
        <v>35567.769999999997</v>
      </c>
      <c r="K1051" s="3">
        <v>35567.769999999997</v>
      </c>
      <c r="L1051" t="s">
        <v>34</v>
      </c>
      <c r="M1051" s="2">
        <v>45924</v>
      </c>
      <c r="N1051" s="2">
        <v>45923</v>
      </c>
      <c r="O1051" t="s">
        <v>60</v>
      </c>
      <c r="P1051" t="s">
        <v>53</v>
      </c>
      <c r="Q1051" t="s">
        <v>28</v>
      </c>
      <c r="R1051" t="s">
        <v>29</v>
      </c>
    </row>
    <row r="1052" spans="1:18">
      <c r="A1052" t="s">
        <v>1183</v>
      </c>
      <c r="B1052" s="2">
        <v>45945</v>
      </c>
      <c r="C1052" t="s">
        <v>142</v>
      </c>
      <c r="D1052" t="s">
        <v>143</v>
      </c>
      <c r="E1052" t="s">
        <v>73</v>
      </c>
      <c r="F1052" t="s">
        <v>22</v>
      </c>
      <c r="G1052" t="s">
        <v>32</v>
      </c>
      <c r="H1052" t="s">
        <v>33</v>
      </c>
      <c r="I1052">
        <v>12</v>
      </c>
      <c r="J1052" s="3">
        <v>7837.8</v>
      </c>
      <c r="K1052" s="3">
        <v>94053.6</v>
      </c>
      <c r="L1052" t="s">
        <v>52</v>
      </c>
      <c r="M1052" s="2">
        <v>45954</v>
      </c>
      <c r="N1052" s="2">
        <v>45954</v>
      </c>
      <c r="O1052" t="s">
        <v>76</v>
      </c>
      <c r="P1052" t="s">
        <v>77</v>
      </c>
      <c r="Q1052" t="s">
        <v>28</v>
      </c>
      <c r="R1052" t="s">
        <v>29</v>
      </c>
    </row>
    <row r="1053" spans="1:18">
      <c r="A1053" t="s">
        <v>1184</v>
      </c>
      <c r="B1053" s="2">
        <v>46195</v>
      </c>
      <c r="C1053" t="s">
        <v>37</v>
      </c>
      <c r="D1053" t="s">
        <v>38</v>
      </c>
      <c r="E1053" t="s">
        <v>112</v>
      </c>
      <c r="F1053" t="s">
        <v>40</v>
      </c>
      <c r="G1053" t="s">
        <v>41</v>
      </c>
      <c r="H1053" t="s">
        <v>42</v>
      </c>
      <c r="I1053">
        <v>6</v>
      </c>
      <c r="J1053" s="3">
        <v>5684.27</v>
      </c>
      <c r="K1053" s="3">
        <v>34105.620000000003</v>
      </c>
      <c r="L1053" t="s">
        <v>34</v>
      </c>
      <c r="M1053" s="2">
        <v>46205</v>
      </c>
      <c r="N1053" s="2">
        <v>46204</v>
      </c>
      <c r="O1053" t="s">
        <v>43</v>
      </c>
      <c r="P1053" t="s">
        <v>115</v>
      </c>
      <c r="Q1053" t="s">
        <v>28</v>
      </c>
      <c r="R1053" t="s">
        <v>29</v>
      </c>
    </row>
    <row r="1054" spans="1:18">
      <c r="A1054" t="s">
        <v>1185</v>
      </c>
      <c r="B1054" s="2">
        <v>45708</v>
      </c>
      <c r="C1054" t="s">
        <v>71</v>
      </c>
      <c r="D1054" t="s">
        <v>72</v>
      </c>
      <c r="E1054" t="s">
        <v>48</v>
      </c>
      <c r="F1054" t="s">
        <v>57</v>
      </c>
      <c r="G1054" t="s">
        <v>120</v>
      </c>
      <c r="H1054" t="s">
        <v>121</v>
      </c>
      <c r="I1054">
        <v>5</v>
      </c>
      <c r="J1054" s="3">
        <v>20719.93</v>
      </c>
      <c r="K1054" s="3">
        <v>103599.65</v>
      </c>
      <c r="L1054" t="s">
        <v>52</v>
      </c>
      <c r="M1054" s="2">
        <v>45721</v>
      </c>
      <c r="N1054" s="2">
        <v>45721</v>
      </c>
      <c r="O1054" t="s">
        <v>43</v>
      </c>
      <c r="P1054" t="s">
        <v>53</v>
      </c>
      <c r="Q1054" t="s">
        <v>28</v>
      </c>
      <c r="R1054" t="s">
        <v>29</v>
      </c>
    </row>
    <row r="1055" spans="1:18">
      <c r="A1055" t="s">
        <v>1186</v>
      </c>
      <c r="B1055" s="2">
        <v>46088</v>
      </c>
      <c r="C1055" t="s">
        <v>117</v>
      </c>
      <c r="D1055" t="s">
        <v>118</v>
      </c>
      <c r="E1055" t="s">
        <v>21</v>
      </c>
      <c r="F1055" t="s">
        <v>57</v>
      </c>
      <c r="G1055" t="s">
        <v>101</v>
      </c>
      <c r="H1055" t="s">
        <v>102</v>
      </c>
      <c r="I1055">
        <v>42</v>
      </c>
      <c r="J1055" s="3">
        <v>1755.87</v>
      </c>
      <c r="K1055" s="3">
        <v>73746.539999999994</v>
      </c>
      <c r="L1055" t="s">
        <v>25</v>
      </c>
      <c r="M1055" s="2">
        <v>46093</v>
      </c>
      <c r="N1055" s="2">
        <v>46090</v>
      </c>
      <c r="O1055" t="s">
        <v>76</v>
      </c>
      <c r="P1055" t="s">
        <v>27</v>
      </c>
      <c r="Q1055" t="s">
        <v>28</v>
      </c>
      <c r="R1055" t="s">
        <v>29</v>
      </c>
    </row>
    <row r="1056" spans="1:18">
      <c r="A1056" t="s">
        <v>1187</v>
      </c>
      <c r="B1056" s="2">
        <v>45767</v>
      </c>
      <c r="C1056" t="s">
        <v>142</v>
      </c>
      <c r="D1056" t="s">
        <v>143</v>
      </c>
      <c r="E1056" t="s">
        <v>31</v>
      </c>
      <c r="F1056" t="s">
        <v>22</v>
      </c>
      <c r="G1056" t="s">
        <v>23</v>
      </c>
      <c r="H1056" t="s">
        <v>24</v>
      </c>
      <c r="I1056">
        <v>46</v>
      </c>
      <c r="J1056" s="3">
        <v>238.91</v>
      </c>
      <c r="K1056" s="3">
        <v>10989.86</v>
      </c>
      <c r="L1056" t="s">
        <v>34</v>
      </c>
      <c r="M1056" s="2">
        <v>45781</v>
      </c>
      <c r="N1056" s="2">
        <v>45781</v>
      </c>
      <c r="O1056" t="s">
        <v>43</v>
      </c>
      <c r="P1056" t="s">
        <v>35</v>
      </c>
      <c r="Q1056" t="s">
        <v>28</v>
      </c>
      <c r="R1056" t="s">
        <v>29</v>
      </c>
    </row>
    <row r="1057" spans="1:18">
      <c r="A1057" t="s">
        <v>1188</v>
      </c>
      <c r="B1057" s="2">
        <v>45787</v>
      </c>
      <c r="C1057" t="s">
        <v>66</v>
      </c>
      <c r="D1057" t="s">
        <v>67</v>
      </c>
      <c r="E1057" t="s">
        <v>112</v>
      </c>
      <c r="F1057" t="s">
        <v>49</v>
      </c>
      <c r="G1057" t="s">
        <v>50</v>
      </c>
      <c r="H1057" t="s">
        <v>51</v>
      </c>
      <c r="I1057">
        <v>3</v>
      </c>
      <c r="J1057" s="3">
        <v>48446.400000000001</v>
      </c>
      <c r="K1057" s="3">
        <v>145339.20000000001</v>
      </c>
      <c r="L1057" t="s">
        <v>25</v>
      </c>
      <c r="M1057" s="2">
        <v>45796</v>
      </c>
      <c r="N1057" s="2">
        <v>45795</v>
      </c>
      <c r="O1057" t="s">
        <v>26</v>
      </c>
      <c r="P1057" t="s">
        <v>115</v>
      </c>
      <c r="Q1057" t="s">
        <v>28</v>
      </c>
      <c r="R1057" t="s">
        <v>29</v>
      </c>
    </row>
    <row r="1058" spans="1:18">
      <c r="A1058" t="s">
        <v>1189</v>
      </c>
      <c r="B1058" s="2">
        <v>46098</v>
      </c>
      <c r="C1058" t="s">
        <v>55</v>
      </c>
      <c r="D1058" t="s">
        <v>56</v>
      </c>
      <c r="E1058" t="s">
        <v>48</v>
      </c>
      <c r="F1058" t="s">
        <v>57</v>
      </c>
      <c r="G1058" t="s">
        <v>127</v>
      </c>
      <c r="H1058" t="s">
        <v>128</v>
      </c>
      <c r="I1058">
        <v>7</v>
      </c>
      <c r="J1058" s="3">
        <v>17640.669999999998</v>
      </c>
      <c r="K1058" s="3">
        <v>123484.69</v>
      </c>
      <c r="L1058" t="s">
        <v>34</v>
      </c>
      <c r="M1058" s="2">
        <v>46112</v>
      </c>
      <c r="N1058" s="2">
        <v>46111</v>
      </c>
      <c r="O1058" t="s">
        <v>43</v>
      </c>
      <c r="P1058" t="s">
        <v>53</v>
      </c>
      <c r="Q1058" t="s">
        <v>28</v>
      </c>
      <c r="R1058" t="s">
        <v>29</v>
      </c>
    </row>
    <row r="1059" spans="1:18">
      <c r="A1059" t="s">
        <v>1190</v>
      </c>
      <c r="B1059" s="2">
        <v>46167</v>
      </c>
      <c r="C1059" t="s">
        <v>80</v>
      </c>
      <c r="D1059" t="s">
        <v>81</v>
      </c>
      <c r="E1059" t="s">
        <v>39</v>
      </c>
      <c r="F1059" t="s">
        <v>82</v>
      </c>
      <c r="G1059" t="s">
        <v>83</v>
      </c>
      <c r="H1059" t="s">
        <v>84</v>
      </c>
      <c r="I1059">
        <v>41</v>
      </c>
      <c r="J1059" s="3">
        <v>699.2</v>
      </c>
      <c r="K1059" s="3">
        <v>28667.200000000001</v>
      </c>
      <c r="L1059" t="s">
        <v>52</v>
      </c>
      <c r="M1059" s="2">
        <v>46174</v>
      </c>
      <c r="N1059" s="2">
        <v>46174</v>
      </c>
      <c r="O1059" t="s">
        <v>26</v>
      </c>
      <c r="P1059" t="s">
        <v>64</v>
      </c>
      <c r="Q1059" t="s">
        <v>28</v>
      </c>
      <c r="R1059" t="s">
        <v>29</v>
      </c>
    </row>
    <row r="1060" spans="1:18">
      <c r="A1060" t="s">
        <v>1191</v>
      </c>
      <c r="B1060" s="2">
        <v>45699</v>
      </c>
      <c r="C1060" t="s">
        <v>142</v>
      </c>
      <c r="D1060" t="s">
        <v>143</v>
      </c>
      <c r="E1060" t="s">
        <v>21</v>
      </c>
      <c r="F1060" t="s">
        <v>22</v>
      </c>
      <c r="G1060" t="s">
        <v>32</v>
      </c>
      <c r="H1060" t="s">
        <v>33</v>
      </c>
      <c r="I1060">
        <v>4</v>
      </c>
      <c r="J1060" s="3">
        <v>7765.09</v>
      </c>
      <c r="K1060" s="3">
        <v>31060.36</v>
      </c>
      <c r="L1060" t="s">
        <v>34</v>
      </c>
      <c r="M1060" s="2">
        <v>45708</v>
      </c>
      <c r="N1060" s="2">
        <v>45708</v>
      </c>
      <c r="O1060" t="s">
        <v>43</v>
      </c>
      <c r="P1060" t="s">
        <v>27</v>
      </c>
      <c r="Q1060" t="s">
        <v>28</v>
      </c>
      <c r="R1060" t="s">
        <v>29</v>
      </c>
    </row>
    <row r="1061" spans="1:18">
      <c r="A1061" t="s">
        <v>1192</v>
      </c>
      <c r="B1061" s="2">
        <v>46081</v>
      </c>
      <c r="C1061" t="s">
        <v>19</v>
      </c>
      <c r="D1061" t="s">
        <v>20</v>
      </c>
      <c r="E1061" t="s">
        <v>39</v>
      </c>
      <c r="F1061" t="s">
        <v>22</v>
      </c>
      <c r="G1061" t="s">
        <v>23</v>
      </c>
      <c r="H1061" t="s">
        <v>24</v>
      </c>
      <c r="I1061">
        <v>60</v>
      </c>
      <c r="J1061" s="3">
        <v>234.85</v>
      </c>
      <c r="K1061" s="3">
        <v>14091</v>
      </c>
      <c r="L1061" t="s">
        <v>25</v>
      </c>
      <c r="M1061" s="2">
        <v>46091</v>
      </c>
      <c r="N1061" s="2">
        <v>46088</v>
      </c>
      <c r="O1061" t="s">
        <v>76</v>
      </c>
      <c r="P1061" t="s">
        <v>44</v>
      </c>
      <c r="Q1061" t="s">
        <v>28</v>
      </c>
      <c r="R1061" t="s">
        <v>29</v>
      </c>
    </row>
    <row r="1062" spans="1:18">
      <c r="A1062" t="s">
        <v>1193</v>
      </c>
      <c r="B1062" s="2">
        <v>45807</v>
      </c>
      <c r="C1062" t="s">
        <v>55</v>
      </c>
      <c r="D1062" t="s">
        <v>56</v>
      </c>
      <c r="E1062" t="s">
        <v>21</v>
      </c>
      <c r="F1062" t="s">
        <v>57</v>
      </c>
      <c r="G1062" t="s">
        <v>120</v>
      </c>
      <c r="H1062" t="s">
        <v>121</v>
      </c>
      <c r="I1062">
        <v>5</v>
      </c>
      <c r="J1062" s="3">
        <v>24397.25</v>
      </c>
      <c r="K1062" s="3">
        <v>121986.25</v>
      </c>
      <c r="L1062" t="s">
        <v>25</v>
      </c>
      <c r="M1062" s="2">
        <v>45818</v>
      </c>
      <c r="N1062" s="2">
        <v>45818</v>
      </c>
      <c r="O1062" t="s">
        <v>26</v>
      </c>
      <c r="P1062" t="s">
        <v>27</v>
      </c>
      <c r="Q1062" t="s">
        <v>28</v>
      </c>
      <c r="R1062" t="s">
        <v>29</v>
      </c>
    </row>
    <row r="1063" spans="1:18">
      <c r="A1063" t="s">
        <v>1194</v>
      </c>
      <c r="B1063" s="2">
        <v>45719</v>
      </c>
      <c r="C1063" t="s">
        <v>89</v>
      </c>
      <c r="D1063" t="s">
        <v>90</v>
      </c>
      <c r="E1063" t="s">
        <v>31</v>
      </c>
      <c r="F1063" t="s">
        <v>91</v>
      </c>
      <c r="G1063" t="s">
        <v>109</v>
      </c>
      <c r="H1063" t="s">
        <v>110</v>
      </c>
      <c r="I1063">
        <v>1</v>
      </c>
      <c r="J1063" s="3">
        <v>12323.11</v>
      </c>
      <c r="K1063" s="3">
        <v>12323.11</v>
      </c>
      <c r="L1063" t="s">
        <v>25</v>
      </c>
      <c r="M1063" s="2">
        <v>45728</v>
      </c>
      <c r="N1063" s="2">
        <v>45728</v>
      </c>
      <c r="O1063" t="s">
        <v>43</v>
      </c>
      <c r="P1063" t="s">
        <v>35</v>
      </c>
      <c r="Q1063" t="s">
        <v>28</v>
      </c>
      <c r="R1063" t="s">
        <v>29</v>
      </c>
    </row>
    <row r="1064" spans="1:18">
      <c r="A1064" t="s">
        <v>1195</v>
      </c>
      <c r="B1064" s="2">
        <v>46014</v>
      </c>
      <c r="C1064" t="s">
        <v>37</v>
      </c>
      <c r="D1064" t="s">
        <v>38</v>
      </c>
      <c r="E1064" t="s">
        <v>39</v>
      </c>
      <c r="F1064" t="s">
        <v>22</v>
      </c>
      <c r="G1064" t="s">
        <v>32</v>
      </c>
      <c r="H1064" t="s">
        <v>33</v>
      </c>
      <c r="I1064">
        <v>7</v>
      </c>
      <c r="J1064" s="3">
        <v>8642.7199999999993</v>
      </c>
      <c r="K1064" s="3">
        <v>60499.040000000001</v>
      </c>
      <c r="L1064" t="s">
        <v>25</v>
      </c>
      <c r="M1064" s="2">
        <v>46023</v>
      </c>
      <c r="N1064" s="2">
        <v>46022</v>
      </c>
      <c r="O1064" t="s">
        <v>26</v>
      </c>
      <c r="P1064" t="s">
        <v>64</v>
      </c>
      <c r="Q1064" t="s">
        <v>28</v>
      </c>
      <c r="R1064" t="s">
        <v>29</v>
      </c>
    </row>
    <row r="1065" spans="1:18">
      <c r="A1065" t="s">
        <v>1196</v>
      </c>
      <c r="B1065" s="2">
        <v>46051</v>
      </c>
      <c r="C1065" t="s">
        <v>104</v>
      </c>
      <c r="D1065" t="s">
        <v>105</v>
      </c>
      <c r="E1065" t="s">
        <v>112</v>
      </c>
      <c r="F1065" t="s">
        <v>49</v>
      </c>
      <c r="G1065" t="s">
        <v>50</v>
      </c>
      <c r="H1065" t="s">
        <v>51</v>
      </c>
      <c r="I1065">
        <v>3</v>
      </c>
      <c r="J1065" s="3">
        <v>53295.42</v>
      </c>
      <c r="K1065" s="3">
        <v>159886.26</v>
      </c>
      <c r="L1065" t="s">
        <v>52</v>
      </c>
      <c r="M1065" s="2">
        <v>46060</v>
      </c>
      <c r="N1065" s="2">
        <v>46058</v>
      </c>
      <c r="O1065" t="s">
        <v>76</v>
      </c>
      <c r="P1065" t="s">
        <v>115</v>
      </c>
      <c r="Q1065" t="s">
        <v>28</v>
      </c>
      <c r="R1065" t="s">
        <v>29</v>
      </c>
    </row>
    <row r="1066" spans="1:18">
      <c r="A1066" t="s">
        <v>1197</v>
      </c>
      <c r="B1066" s="2">
        <v>45678</v>
      </c>
      <c r="C1066" t="s">
        <v>37</v>
      </c>
      <c r="D1066" t="s">
        <v>38</v>
      </c>
      <c r="E1066" t="s">
        <v>112</v>
      </c>
      <c r="F1066" t="s">
        <v>22</v>
      </c>
      <c r="G1066" t="s">
        <v>23</v>
      </c>
      <c r="H1066" t="s">
        <v>24</v>
      </c>
      <c r="I1066">
        <v>20</v>
      </c>
      <c r="J1066" s="3">
        <v>273.07</v>
      </c>
      <c r="K1066" s="3">
        <v>5461.4</v>
      </c>
      <c r="L1066" t="s">
        <v>34</v>
      </c>
      <c r="M1066" s="2">
        <v>45695</v>
      </c>
      <c r="N1066" s="2">
        <v>45694</v>
      </c>
      <c r="O1066" t="s">
        <v>43</v>
      </c>
      <c r="P1066" t="s">
        <v>115</v>
      </c>
      <c r="Q1066" t="s">
        <v>28</v>
      </c>
      <c r="R1066" t="s">
        <v>29</v>
      </c>
    </row>
    <row r="1067" spans="1:18">
      <c r="A1067" t="s">
        <v>1198</v>
      </c>
      <c r="B1067" s="2">
        <v>45678</v>
      </c>
      <c r="C1067" t="s">
        <v>104</v>
      </c>
      <c r="D1067" t="s">
        <v>105</v>
      </c>
      <c r="E1067" t="s">
        <v>48</v>
      </c>
      <c r="F1067" t="s">
        <v>49</v>
      </c>
      <c r="G1067" t="s">
        <v>165</v>
      </c>
      <c r="H1067" t="s">
        <v>166</v>
      </c>
      <c r="I1067">
        <v>1</v>
      </c>
      <c r="J1067" s="3">
        <v>43983.35</v>
      </c>
      <c r="K1067" s="3">
        <v>43983.35</v>
      </c>
      <c r="L1067" t="s">
        <v>25</v>
      </c>
      <c r="M1067" s="2">
        <v>45694</v>
      </c>
      <c r="N1067" s="2">
        <v>45691</v>
      </c>
      <c r="O1067" t="s">
        <v>76</v>
      </c>
      <c r="P1067" t="s">
        <v>53</v>
      </c>
      <c r="Q1067" t="s">
        <v>28</v>
      </c>
      <c r="R1067" t="s">
        <v>29</v>
      </c>
    </row>
    <row r="1068" spans="1:18">
      <c r="A1068" t="s">
        <v>1199</v>
      </c>
      <c r="B1068" s="2">
        <v>46023</v>
      </c>
      <c r="C1068" t="s">
        <v>89</v>
      </c>
      <c r="D1068" t="s">
        <v>90</v>
      </c>
      <c r="E1068" t="s">
        <v>31</v>
      </c>
      <c r="F1068" t="s">
        <v>91</v>
      </c>
      <c r="G1068" t="s">
        <v>92</v>
      </c>
      <c r="H1068" t="s">
        <v>93</v>
      </c>
      <c r="I1068">
        <v>1</v>
      </c>
      <c r="J1068" s="3">
        <v>43562.47</v>
      </c>
      <c r="K1068" s="3">
        <v>43562.47</v>
      </c>
      <c r="L1068" t="s">
        <v>25</v>
      </c>
      <c r="M1068" s="2">
        <v>46035</v>
      </c>
      <c r="N1068" s="2">
        <v>46033</v>
      </c>
      <c r="O1068" t="s">
        <v>60</v>
      </c>
      <c r="P1068" t="s">
        <v>94</v>
      </c>
      <c r="Q1068" t="s">
        <v>28</v>
      </c>
      <c r="R1068" t="s">
        <v>29</v>
      </c>
    </row>
    <row r="1069" spans="1:18">
      <c r="A1069" t="s">
        <v>1200</v>
      </c>
      <c r="B1069" s="2">
        <v>45736</v>
      </c>
      <c r="C1069" t="s">
        <v>37</v>
      </c>
      <c r="D1069" t="s">
        <v>38</v>
      </c>
      <c r="E1069" t="s">
        <v>112</v>
      </c>
      <c r="F1069" t="s">
        <v>22</v>
      </c>
      <c r="G1069" t="s">
        <v>160</v>
      </c>
      <c r="H1069" t="s">
        <v>161</v>
      </c>
      <c r="I1069">
        <v>7</v>
      </c>
      <c r="J1069" s="3">
        <v>3495.72</v>
      </c>
      <c r="K1069" s="3">
        <v>24470.04</v>
      </c>
      <c r="L1069" t="s">
        <v>25</v>
      </c>
      <c r="M1069" s="2">
        <v>45749</v>
      </c>
      <c r="N1069" s="2">
        <v>45749</v>
      </c>
      <c r="O1069" t="s">
        <v>60</v>
      </c>
      <c r="P1069" t="s">
        <v>115</v>
      </c>
      <c r="Q1069" t="s">
        <v>28</v>
      </c>
      <c r="R1069" t="s">
        <v>29</v>
      </c>
    </row>
    <row r="1070" spans="1:18">
      <c r="A1070" t="s">
        <v>1201</v>
      </c>
      <c r="B1070" s="2">
        <v>45881</v>
      </c>
      <c r="C1070" t="s">
        <v>142</v>
      </c>
      <c r="D1070" t="s">
        <v>143</v>
      </c>
      <c r="E1070" t="s">
        <v>39</v>
      </c>
      <c r="F1070" t="s">
        <v>22</v>
      </c>
      <c r="G1070" t="s">
        <v>32</v>
      </c>
      <c r="H1070" t="s">
        <v>33</v>
      </c>
      <c r="I1070">
        <v>11</v>
      </c>
      <c r="J1070" s="3">
        <v>8183.9</v>
      </c>
      <c r="K1070" s="3">
        <v>90022.9</v>
      </c>
      <c r="L1070" t="s">
        <v>25</v>
      </c>
      <c r="M1070" s="2">
        <v>45895</v>
      </c>
      <c r="N1070" s="2">
        <v>45894</v>
      </c>
      <c r="O1070" t="s">
        <v>26</v>
      </c>
      <c r="P1070" t="s">
        <v>64</v>
      </c>
      <c r="Q1070" t="s">
        <v>28</v>
      </c>
      <c r="R1070" t="s">
        <v>29</v>
      </c>
    </row>
    <row r="1071" spans="1:18">
      <c r="A1071" t="s">
        <v>1202</v>
      </c>
      <c r="B1071" s="2">
        <v>45904</v>
      </c>
      <c r="C1071" t="s">
        <v>71</v>
      </c>
      <c r="D1071" t="s">
        <v>72</v>
      </c>
      <c r="E1071" t="s">
        <v>48</v>
      </c>
      <c r="F1071" t="s">
        <v>57</v>
      </c>
      <c r="G1071" t="s">
        <v>120</v>
      </c>
      <c r="H1071" t="s">
        <v>121</v>
      </c>
      <c r="I1071">
        <v>8</v>
      </c>
      <c r="J1071" s="3">
        <v>20998.75</v>
      </c>
      <c r="K1071" s="3">
        <v>167990</v>
      </c>
      <c r="L1071" t="s">
        <v>52</v>
      </c>
      <c r="M1071" s="2">
        <v>45922</v>
      </c>
      <c r="N1071" s="2">
        <v>45919</v>
      </c>
      <c r="O1071" t="s">
        <v>43</v>
      </c>
      <c r="P1071" t="s">
        <v>53</v>
      </c>
      <c r="Q1071" t="s">
        <v>28</v>
      </c>
      <c r="R1071" t="s">
        <v>29</v>
      </c>
    </row>
    <row r="1072" spans="1:18">
      <c r="A1072" t="s">
        <v>1203</v>
      </c>
      <c r="B1072" s="2">
        <v>46173</v>
      </c>
      <c r="C1072" t="s">
        <v>134</v>
      </c>
      <c r="D1072" t="s">
        <v>135</v>
      </c>
      <c r="E1072" t="s">
        <v>112</v>
      </c>
      <c r="F1072" t="s">
        <v>40</v>
      </c>
      <c r="G1072" t="s">
        <v>41</v>
      </c>
      <c r="H1072" t="s">
        <v>42</v>
      </c>
      <c r="I1072">
        <v>6</v>
      </c>
      <c r="J1072" s="3">
        <v>5353.59</v>
      </c>
      <c r="K1072" s="3">
        <v>32121.54</v>
      </c>
      <c r="L1072" t="s">
        <v>25</v>
      </c>
      <c r="M1072" s="2">
        <v>46190</v>
      </c>
      <c r="N1072" s="2">
        <v>46189</v>
      </c>
      <c r="O1072" t="s">
        <v>43</v>
      </c>
      <c r="P1072" t="s">
        <v>115</v>
      </c>
      <c r="Q1072" t="s">
        <v>28</v>
      </c>
      <c r="R1072" t="s">
        <v>29</v>
      </c>
    </row>
    <row r="1073" spans="1:18">
      <c r="A1073" t="s">
        <v>1204</v>
      </c>
      <c r="B1073" s="2">
        <v>45939</v>
      </c>
      <c r="C1073" t="s">
        <v>117</v>
      </c>
      <c r="D1073" t="s">
        <v>118</v>
      </c>
      <c r="E1073" t="s">
        <v>48</v>
      </c>
      <c r="F1073" t="s">
        <v>57</v>
      </c>
      <c r="G1073" t="s">
        <v>120</v>
      </c>
      <c r="H1073" t="s">
        <v>121</v>
      </c>
      <c r="I1073">
        <v>4</v>
      </c>
      <c r="J1073" s="3">
        <v>21524</v>
      </c>
      <c r="K1073" s="3">
        <v>86096</v>
      </c>
      <c r="L1073" t="s">
        <v>25</v>
      </c>
      <c r="M1073" s="2">
        <v>45947</v>
      </c>
      <c r="N1073" s="2">
        <v>45944</v>
      </c>
      <c r="O1073" t="s">
        <v>60</v>
      </c>
      <c r="P1073" t="s">
        <v>53</v>
      </c>
      <c r="Q1073" t="s">
        <v>28</v>
      </c>
      <c r="R1073" t="s">
        <v>29</v>
      </c>
    </row>
    <row r="1074" spans="1:18">
      <c r="A1074" t="s">
        <v>1205</v>
      </c>
      <c r="B1074" s="2">
        <v>45795</v>
      </c>
      <c r="C1074" t="s">
        <v>71</v>
      </c>
      <c r="D1074" t="s">
        <v>72</v>
      </c>
      <c r="E1074" t="s">
        <v>48</v>
      </c>
      <c r="F1074" t="s">
        <v>57</v>
      </c>
      <c r="G1074" t="s">
        <v>58</v>
      </c>
      <c r="H1074" t="s">
        <v>59</v>
      </c>
      <c r="I1074">
        <v>5</v>
      </c>
      <c r="J1074" s="3">
        <v>55322.61</v>
      </c>
      <c r="K1074" s="3">
        <v>276613.05</v>
      </c>
      <c r="L1074" t="s">
        <v>34</v>
      </c>
      <c r="M1074" s="2">
        <v>45813</v>
      </c>
      <c r="N1074" s="2">
        <v>45812</v>
      </c>
      <c r="O1074" t="s">
        <v>26</v>
      </c>
      <c r="P1074" t="s">
        <v>53</v>
      </c>
      <c r="Q1074" t="s">
        <v>28</v>
      </c>
      <c r="R1074" t="s">
        <v>29</v>
      </c>
    </row>
    <row r="1075" spans="1:18">
      <c r="A1075" t="s">
        <v>1206</v>
      </c>
      <c r="B1075" s="2">
        <v>46045</v>
      </c>
      <c r="C1075" t="s">
        <v>71</v>
      </c>
      <c r="D1075" t="s">
        <v>72</v>
      </c>
      <c r="E1075" t="s">
        <v>73</v>
      </c>
      <c r="F1075" t="s">
        <v>57</v>
      </c>
      <c r="G1075" t="s">
        <v>86</v>
      </c>
      <c r="H1075" t="s">
        <v>87</v>
      </c>
      <c r="I1075">
        <v>2</v>
      </c>
      <c r="J1075" s="3">
        <v>10603.36</v>
      </c>
      <c r="K1075" s="3">
        <v>21206.720000000001</v>
      </c>
      <c r="L1075" t="s">
        <v>25</v>
      </c>
      <c r="M1075" s="2">
        <v>46051</v>
      </c>
      <c r="N1075" s="2">
        <v>46050</v>
      </c>
      <c r="O1075" t="s">
        <v>60</v>
      </c>
      <c r="P1075" t="s">
        <v>77</v>
      </c>
      <c r="Q1075" t="s">
        <v>28</v>
      </c>
      <c r="R1075" t="s">
        <v>29</v>
      </c>
    </row>
    <row r="1076" spans="1:18">
      <c r="A1076" t="s">
        <v>1207</v>
      </c>
      <c r="B1076" s="2">
        <v>46103</v>
      </c>
      <c r="C1076" t="s">
        <v>66</v>
      </c>
      <c r="D1076" t="s">
        <v>67</v>
      </c>
      <c r="E1076" t="s">
        <v>48</v>
      </c>
      <c r="F1076" t="s">
        <v>49</v>
      </c>
      <c r="G1076" t="s">
        <v>165</v>
      </c>
      <c r="H1076" t="s">
        <v>166</v>
      </c>
      <c r="I1076">
        <v>3</v>
      </c>
      <c r="J1076" s="3">
        <v>42522.33</v>
      </c>
      <c r="K1076" s="3">
        <v>127566.99</v>
      </c>
      <c r="L1076" t="s">
        <v>52</v>
      </c>
      <c r="M1076" s="2">
        <v>46116</v>
      </c>
      <c r="N1076" s="2">
        <v>46115</v>
      </c>
      <c r="O1076" t="s">
        <v>60</v>
      </c>
      <c r="P1076" t="s">
        <v>53</v>
      </c>
      <c r="Q1076" t="s">
        <v>28</v>
      </c>
      <c r="R1076" t="s">
        <v>29</v>
      </c>
    </row>
    <row r="1077" spans="1:18">
      <c r="A1077" t="s">
        <v>1208</v>
      </c>
      <c r="B1077" s="2">
        <v>46113</v>
      </c>
      <c r="C1077" t="s">
        <v>37</v>
      </c>
      <c r="D1077" t="s">
        <v>38</v>
      </c>
      <c r="E1077" t="s">
        <v>21</v>
      </c>
      <c r="F1077" t="s">
        <v>22</v>
      </c>
      <c r="G1077" t="s">
        <v>32</v>
      </c>
      <c r="H1077" t="s">
        <v>33</v>
      </c>
      <c r="I1077">
        <v>4</v>
      </c>
      <c r="J1077" s="3">
        <v>8639.83</v>
      </c>
      <c r="K1077" s="3">
        <v>34559.32</v>
      </c>
      <c r="L1077" t="s">
        <v>52</v>
      </c>
      <c r="M1077" s="2">
        <v>46124</v>
      </c>
      <c r="N1077" s="2">
        <v>46121</v>
      </c>
      <c r="O1077" t="s">
        <v>43</v>
      </c>
      <c r="P1077" t="s">
        <v>27</v>
      </c>
      <c r="Q1077" t="s">
        <v>28</v>
      </c>
      <c r="R1077" t="s">
        <v>29</v>
      </c>
    </row>
    <row r="1078" spans="1:18">
      <c r="A1078" t="s">
        <v>1209</v>
      </c>
      <c r="B1078" s="2">
        <v>45713</v>
      </c>
      <c r="C1078" t="s">
        <v>71</v>
      </c>
      <c r="D1078" t="s">
        <v>72</v>
      </c>
      <c r="E1078" t="s">
        <v>48</v>
      </c>
      <c r="F1078" t="s">
        <v>57</v>
      </c>
      <c r="G1078" t="s">
        <v>127</v>
      </c>
      <c r="H1078" t="s">
        <v>128</v>
      </c>
      <c r="I1078">
        <v>3</v>
      </c>
      <c r="J1078" s="3">
        <v>15927.65</v>
      </c>
      <c r="K1078" s="3">
        <v>47782.95</v>
      </c>
      <c r="L1078" t="s">
        <v>34</v>
      </c>
      <c r="M1078" s="2">
        <v>45718</v>
      </c>
      <c r="N1078" s="2">
        <v>45717</v>
      </c>
      <c r="O1078" t="s">
        <v>26</v>
      </c>
      <c r="P1078" t="s">
        <v>53</v>
      </c>
      <c r="Q1078" t="s">
        <v>28</v>
      </c>
      <c r="R1078" t="s">
        <v>29</v>
      </c>
    </row>
    <row r="1079" spans="1:18">
      <c r="A1079" t="s">
        <v>1210</v>
      </c>
      <c r="B1079" s="2">
        <v>45733</v>
      </c>
      <c r="C1079" t="s">
        <v>71</v>
      </c>
      <c r="D1079" t="s">
        <v>72</v>
      </c>
      <c r="E1079" t="s">
        <v>31</v>
      </c>
      <c r="F1079" t="s">
        <v>57</v>
      </c>
      <c r="G1079" t="s">
        <v>127</v>
      </c>
      <c r="H1079" t="s">
        <v>128</v>
      </c>
      <c r="I1079">
        <v>6</v>
      </c>
      <c r="J1079" s="3">
        <v>15033.75</v>
      </c>
      <c r="K1079" s="3">
        <v>90202.5</v>
      </c>
      <c r="L1079" t="s">
        <v>25</v>
      </c>
      <c r="M1079" s="2">
        <v>45746</v>
      </c>
      <c r="N1079" s="2">
        <v>45750</v>
      </c>
      <c r="O1079" t="s">
        <v>60</v>
      </c>
      <c r="P1079" t="s">
        <v>94</v>
      </c>
      <c r="Q1079" t="s">
        <v>28</v>
      </c>
      <c r="R1079" t="s">
        <v>129</v>
      </c>
    </row>
    <row r="1080" spans="1:18">
      <c r="A1080" t="s">
        <v>1211</v>
      </c>
      <c r="B1080" s="2">
        <v>45749</v>
      </c>
      <c r="C1080" t="s">
        <v>107</v>
      </c>
      <c r="D1080" t="s">
        <v>108</v>
      </c>
      <c r="E1080" t="s">
        <v>31</v>
      </c>
      <c r="F1080" t="s">
        <v>91</v>
      </c>
      <c r="G1080" t="s">
        <v>109</v>
      </c>
      <c r="H1080" t="s">
        <v>110</v>
      </c>
      <c r="I1080">
        <v>1</v>
      </c>
      <c r="J1080" s="3">
        <v>13876.57</v>
      </c>
      <c r="K1080" s="3">
        <v>13876.57</v>
      </c>
      <c r="L1080" t="s">
        <v>52</v>
      </c>
      <c r="M1080" s="2">
        <v>45761</v>
      </c>
      <c r="N1080" s="2">
        <v>45759</v>
      </c>
      <c r="O1080" t="s">
        <v>76</v>
      </c>
      <c r="P1080" t="s">
        <v>94</v>
      </c>
      <c r="Q1080" t="s">
        <v>28</v>
      </c>
      <c r="R1080" t="s">
        <v>29</v>
      </c>
    </row>
    <row r="1081" spans="1:18">
      <c r="A1081" t="s">
        <v>1212</v>
      </c>
      <c r="B1081" s="2">
        <v>45689</v>
      </c>
      <c r="C1081" t="s">
        <v>80</v>
      </c>
      <c r="D1081" t="s">
        <v>81</v>
      </c>
      <c r="E1081" t="s">
        <v>39</v>
      </c>
      <c r="F1081" t="s">
        <v>82</v>
      </c>
      <c r="G1081" t="s">
        <v>197</v>
      </c>
      <c r="H1081" t="s">
        <v>198</v>
      </c>
      <c r="I1081">
        <v>17</v>
      </c>
      <c r="J1081" s="3">
        <v>1930.04</v>
      </c>
      <c r="K1081" s="3">
        <v>32810.68</v>
      </c>
      <c r="L1081" t="s">
        <v>25</v>
      </c>
      <c r="M1081" s="2">
        <v>45701</v>
      </c>
      <c r="N1081" s="2">
        <v>45701</v>
      </c>
      <c r="O1081" t="s">
        <v>76</v>
      </c>
      <c r="P1081" t="s">
        <v>64</v>
      </c>
      <c r="Q1081" t="s">
        <v>28</v>
      </c>
      <c r="R1081" t="s">
        <v>29</v>
      </c>
    </row>
    <row r="1082" spans="1:18">
      <c r="A1082" t="s">
        <v>1213</v>
      </c>
      <c r="B1082" s="2">
        <v>46019</v>
      </c>
      <c r="C1082" t="s">
        <v>104</v>
      </c>
      <c r="D1082" t="s">
        <v>105</v>
      </c>
      <c r="E1082" t="s">
        <v>48</v>
      </c>
      <c r="F1082" t="s">
        <v>49</v>
      </c>
      <c r="G1082" t="s">
        <v>165</v>
      </c>
      <c r="H1082" t="s">
        <v>166</v>
      </c>
      <c r="I1082">
        <v>1</v>
      </c>
      <c r="J1082" s="3">
        <v>43544.41</v>
      </c>
      <c r="K1082" s="3">
        <v>43544.41</v>
      </c>
      <c r="L1082" t="s">
        <v>25</v>
      </c>
      <c r="M1082" s="2">
        <v>46033</v>
      </c>
      <c r="N1082" s="2">
        <v>46030</v>
      </c>
      <c r="O1082" t="s">
        <v>43</v>
      </c>
      <c r="P1082" t="s">
        <v>53</v>
      </c>
      <c r="Q1082" t="s">
        <v>28</v>
      </c>
      <c r="R1082" t="s">
        <v>29</v>
      </c>
    </row>
    <row r="1083" spans="1:18">
      <c r="A1083" t="s">
        <v>1214</v>
      </c>
      <c r="B1083" s="2">
        <v>45953</v>
      </c>
      <c r="C1083" t="s">
        <v>104</v>
      </c>
      <c r="D1083" t="s">
        <v>105</v>
      </c>
      <c r="E1083" t="s">
        <v>48</v>
      </c>
      <c r="F1083" t="s">
        <v>49</v>
      </c>
      <c r="G1083" t="s">
        <v>68</v>
      </c>
      <c r="H1083" t="s">
        <v>69</v>
      </c>
      <c r="I1083">
        <v>2</v>
      </c>
      <c r="J1083" s="3">
        <v>48270.86</v>
      </c>
      <c r="K1083" s="3">
        <v>96541.72</v>
      </c>
      <c r="L1083" t="s">
        <v>25</v>
      </c>
      <c r="M1083" s="2">
        <v>45958</v>
      </c>
      <c r="N1083" s="2">
        <v>45960</v>
      </c>
      <c r="O1083" t="s">
        <v>76</v>
      </c>
      <c r="P1083" t="s">
        <v>53</v>
      </c>
      <c r="Q1083" t="s">
        <v>28</v>
      </c>
      <c r="R1083" t="s">
        <v>129</v>
      </c>
    </row>
    <row r="1084" spans="1:18">
      <c r="A1084" t="s">
        <v>1215</v>
      </c>
      <c r="B1084" s="2">
        <v>46044</v>
      </c>
      <c r="C1084" t="s">
        <v>46</v>
      </c>
      <c r="D1084" t="s">
        <v>47</v>
      </c>
      <c r="E1084" t="s">
        <v>21</v>
      </c>
      <c r="F1084" t="s">
        <v>49</v>
      </c>
      <c r="G1084" t="s">
        <v>165</v>
      </c>
      <c r="H1084" t="s">
        <v>166</v>
      </c>
      <c r="I1084">
        <v>3</v>
      </c>
      <c r="J1084" s="3">
        <v>47531.45</v>
      </c>
      <c r="K1084" s="3">
        <v>142594.35</v>
      </c>
      <c r="L1084" t="s">
        <v>34</v>
      </c>
      <c r="M1084" s="2">
        <v>46050</v>
      </c>
      <c r="N1084" s="2">
        <v>46049</v>
      </c>
      <c r="O1084" t="s">
        <v>26</v>
      </c>
      <c r="P1084" t="s">
        <v>27</v>
      </c>
      <c r="Q1084" t="s">
        <v>28</v>
      </c>
      <c r="R1084" t="s">
        <v>29</v>
      </c>
    </row>
    <row r="1085" spans="1:18">
      <c r="A1085" t="s">
        <v>1216</v>
      </c>
      <c r="B1085" s="2">
        <v>46032</v>
      </c>
      <c r="C1085" t="s">
        <v>80</v>
      </c>
      <c r="D1085" t="s">
        <v>81</v>
      </c>
      <c r="E1085" t="s">
        <v>39</v>
      </c>
      <c r="F1085" t="s">
        <v>82</v>
      </c>
      <c r="G1085" t="s">
        <v>98</v>
      </c>
      <c r="H1085" t="s">
        <v>99</v>
      </c>
      <c r="I1085">
        <v>7</v>
      </c>
      <c r="J1085" s="3">
        <v>1103.1300000000001</v>
      </c>
      <c r="K1085" s="3">
        <v>7721.91</v>
      </c>
      <c r="L1085" t="s">
        <v>25</v>
      </c>
      <c r="M1085" s="2">
        <v>46047</v>
      </c>
      <c r="N1085" s="2">
        <v>46044</v>
      </c>
      <c r="O1085" t="s">
        <v>60</v>
      </c>
      <c r="P1085" t="s">
        <v>44</v>
      </c>
      <c r="Q1085" t="s">
        <v>28</v>
      </c>
      <c r="R1085" t="s">
        <v>29</v>
      </c>
    </row>
    <row r="1086" spans="1:18">
      <c r="A1086" t="s">
        <v>1217</v>
      </c>
      <c r="B1086" s="2">
        <v>46196</v>
      </c>
      <c r="C1086" t="s">
        <v>147</v>
      </c>
      <c r="D1086" t="s">
        <v>148</v>
      </c>
      <c r="E1086" t="s">
        <v>39</v>
      </c>
      <c r="F1086" t="s">
        <v>40</v>
      </c>
      <c r="G1086" t="s">
        <v>41</v>
      </c>
      <c r="H1086" t="s">
        <v>42</v>
      </c>
      <c r="I1086">
        <v>5</v>
      </c>
      <c r="J1086" s="3">
        <v>5380.33</v>
      </c>
      <c r="K1086" s="3">
        <v>26901.65</v>
      </c>
      <c r="L1086" t="s">
        <v>34</v>
      </c>
      <c r="M1086" s="2">
        <v>46214</v>
      </c>
      <c r="N1086" s="2"/>
      <c r="O1086" t="s">
        <v>26</v>
      </c>
      <c r="P1086" t="s">
        <v>44</v>
      </c>
      <c r="Q1086" t="s">
        <v>167</v>
      </c>
      <c r="R1086" t="s">
        <v>167</v>
      </c>
    </row>
    <row r="1087" spans="1:18">
      <c r="A1087" t="s">
        <v>1218</v>
      </c>
      <c r="B1087" s="2">
        <v>45912</v>
      </c>
      <c r="C1087" t="s">
        <v>19</v>
      </c>
      <c r="D1087" t="s">
        <v>20</v>
      </c>
      <c r="E1087" t="s">
        <v>73</v>
      </c>
      <c r="F1087" t="s">
        <v>22</v>
      </c>
      <c r="G1087" t="s">
        <v>32</v>
      </c>
      <c r="H1087" t="s">
        <v>33</v>
      </c>
      <c r="I1087">
        <v>4</v>
      </c>
      <c r="J1087" s="3">
        <v>7224.79</v>
      </c>
      <c r="K1087" s="3">
        <v>28899.16</v>
      </c>
      <c r="L1087" t="s">
        <v>34</v>
      </c>
      <c r="M1087" s="2">
        <v>45919</v>
      </c>
      <c r="N1087" s="2">
        <v>45918</v>
      </c>
      <c r="O1087" t="s">
        <v>76</v>
      </c>
      <c r="P1087" t="s">
        <v>77</v>
      </c>
      <c r="Q1087" t="s">
        <v>28</v>
      </c>
      <c r="R1087" t="s">
        <v>29</v>
      </c>
    </row>
    <row r="1088" spans="1:18">
      <c r="A1088" t="s">
        <v>1219</v>
      </c>
      <c r="B1088" s="2">
        <v>46192</v>
      </c>
      <c r="C1088" t="s">
        <v>104</v>
      </c>
      <c r="D1088" t="s">
        <v>105</v>
      </c>
      <c r="E1088" t="s">
        <v>48</v>
      </c>
      <c r="F1088" t="s">
        <v>49</v>
      </c>
      <c r="G1088" t="s">
        <v>68</v>
      </c>
      <c r="H1088" t="s">
        <v>69</v>
      </c>
      <c r="I1088">
        <v>2</v>
      </c>
      <c r="J1088" s="3">
        <v>46169.46</v>
      </c>
      <c r="K1088" s="3">
        <v>92338.92</v>
      </c>
      <c r="L1088" t="s">
        <v>34</v>
      </c>
      <c r="M1088" s="2">
        <v>46209</v>
      </c>
      <c r="N1088" s="2">
        <v>46207</v>
      </c>
      <c r="O1088" t="s">
        <v>60</v>
      </c>
      <c r="P1088" t="s">
        <v>53</v>
      </c>
      <c r="Q1088" t="s">
        <v>28</v>
      </c>
      <c r="R1088" t="s">
        <v>29</v>
      </c>
    </row>
    <row r="1089" spans="1:18">
      <c r="A1089" t="s">
        <v>1220</v>
      </c>
      <c r="B1089" s="2">
        <v>45764</v>
      </c>
      <c r="C1089" t="s">
        <v>131</v>
      </c>
      <c r="D1089" t="s">
        <v>132</v>
      </c>
      <c r="E1089" t="s">
        <v>48</v>
      </c>
      <c r="F1089" t="s">
        <v>57</v>
      </c>
      <c r="G1089" t="s">
        <v>74</v>
      </c>
      <c r="H1089" t="s">
        <v>75</v>
      </c>
      <c r="I1089">
        <v>5</v>
      </c>
      <c r="J1089" s="3">
        <v>9386.5</v>
      </c>
      <c r="K1089" s="3">
        <v>46932.5</v>
      </c>
      <c r="L1089" t="s">
        <v>52</v>
      </c>
      <c r="M1089" s="2">
        <v>45779</v>
      </c>
      <c r="N1089" s="2">
        <v>45777</v>
      </c>
      <c r="O1089" t="s">
        <v>76</v>
      </c>
      <c r="P1089" t="s">
        <v>53</v>
      </c>
      <c r="Q1089" t="s">
        <v>28</v>
      </c>
      <c r="R1089" t="s">
        <v>29</v>
      </c>
    </row>
    <row r="1090" spans="1:18">
      <c r="A1090" t="s">
        <v>1221</v>
      </c>
      <c r="B1090" s="2">
        <v>45701</v>
      </c>
      <c r="C1090" t="s">
        <v>46</v>
      </c>
      <c r="D1090" t="s">
        <v>47</v>
      </c>
      <c r="E1090" t="s">
        <v>48</v>
      </c>
      <c r="F1090" t="s">
        <v>49</v>
      </c>
      <c r="G1090" t="s">
        <v>165</v>
      </c>
      <c r="H1090" t="s">
        <v>166</v>
      </c>
      <c r="I1090">
        <v>1</v>
      </c>
      <c r="J1090" s="3">
        <v>46594.6</v>
      </c>
      <c r="K1090" s="3">
        <v>46594.6</v>
      </c>
      <c r="L1090" t="s">
        <v>34</v>
      </c>
      <c r="M1090" s="2">
        <v>45719</v>
      </c>
      <c r="N1090" s="2">
        <v>45719</v>
      </c>
      <c r="O1090" t="s">
        <v>60</v>
      </c>
      <c r="P1090" t="s">
        <v>53</v>
      </c>
      <c r="Q1090" t="s">
        <v>28</v>
      </c>
      <c r="R1090" t="s">
        <v>29</v>
      </c>
    </row>
    <row r="1091" spans="1:18">
      <c r="A1091" t="s">
        <v>1222</v>
      </c>
      <c r="B1091" s="2">
        <v>45973</v>
      </c>
      <c r="C1091" t="s">
        <v>66</v>
      </c>
      <c r="D1091" t="s">
        <v>67</v>
      </c>
      <c r="E1091" t="s">
        <v>21</v>
      </c>
      <c r="F1091" t="s">
        <v>49</v>
      </c>
      <c r="G1091" t="s">
        <v>113</v>
      </c>
      <c r="H1091" t="s">
        <v>114</v>
      </c>
      <c r="I1091">
        <v>1</v>
      </c>
      <c r="J1091" s="3">
        <v>37809.89</v>
      </c>
      <c r="K1091" s="3">
        <v>37809.89</v>
      </c>
      <c r="L1091" t="s">
        <v>34</v>
      </c>
      <c r="M1091" s="2">
        <v>45981</v>
      </c>
      <c r="N1091" s="2">
        <v>45980</v>
      </c>
      <c r="O1091" t="s">
        <v>76</v>
      </c>
      <c r="P1091" t="s">
        <v>27</v>
      </c>
      <c r="Q1091" t="s">
        <v>28</v>
      </c>
      <c r="R1091" t="s">
        <v>29</v>
      </c>
    </row>
    <row r="1092" spans="1:18">
      <c r="A1092" t="s">
        <v>1223</v>
      </c>
      <c r="B1092" s="2">
        <v>45795</v>
      </c>
      <c r="C1092" t="s">
        <v>71</v>
      </c>
      <c r="D1092" t="s">
        <v>72</v>
      </c>
      <c r="E1092" t="s">
        <v>48</v>
      </c>
      <c r="F1092" t="s">
        <v>57</v>
      </c>
      <c r="G1092" t="s">
        <v>120</v>
      </c>
      <c r="H1092" t="s">
        <v>121</v>
      </c>
      <c r="I1092">
        <v>1</v>
      </c>
      <c r="J1092" s="3">
        <v>19725.18</v>
      </c>
      <c r="K1092" s="3">
        <v>19725.18</v>
      </c>
      <c r="L1092" t="s">
        <v>52</v>
      </c>
      <c r="M1092" s="2">
        <v>45813</v>
      </c>
      <c r="N1092" s="2">
        <v>45812</v>
      </c>
      <c r="O1092" t="s">
        <v>26</v>
      </c>
      <c r="P1092" t="s">
        <v>53</v>
      </c>
      <c r="Q1092" t="s">
        <v>28</v>
      </c>
      <c r="R1092" t="s">
        <v>29</v>
      </c>
    </row>
    <row r="1093" spans="1:18">
      <c r="A1093" t="s">
        <v>1224</v>
      </c>
      <c r="B1093" s="2">
        <v>45921</v>
      </c>
      <c r="C1093" t="s">
        <v>19</v>
      </c>
      <c r="D1093" t="s">
        <v>20</v>
      </c>
      <c r="E1093" t="s">
        <v>112</v>
      </c>
      <c r="F1093" t="s">
        <v>22</v>
      </c>
      <c r="G1093" t="s">
        <v>160</v>
      </c>
      <c r="H1093" t="s">
        <v>161</v>
      </c>
      <c r="I1093">
        <v>13</v>
      </c>
      <c r="J1093" s="3">
        <v>3206.51</v>
      </c>
      <c r="K1093" s="3">
        <v>41684.629999999997</v>
      </c>
      <c r="L1093" t="s">
        <v>34</v>
      </c>
      <c r="M1093" s="2">
        <v>45927</v>
      </c>
      <c r="N1093" s="2">
        <v>45940</v>
      </c>
      <c r="O1093" t="s">
        <v>60</v>
      </c>
      <c r="P1093" t="s">
        <v>115</v>
      </c>
      <c r="Q1093" t="s">
        <v>28</v>
      </c>
      <c r="R1093" t="s">
        <v>129</v>
      </c>
    </row>
    <row r="1094" spans="1:18">
      <c r="A1094" t="s">
        <v>1225</v>
      </c>
      <c r="B1094" s="2">
        <v>45707</v>
      </c>
      <c r="C1094" t="s">
        <v>80</v>
      </c>
      <c r="D1094" t="s">
        <v>81</v>
      </c>
      <c r="E1094" t="s">
        <v>39</v>
      </c>
      <c r="F1094" t="s">
        <v>82</v>
      </c>
      <c r="G1094" t="s">
        <v>83</v>
      </c>
      <c r="H1094" t="s">
        <v>84</v>
      </c>
      <c r="I1094">
        <v>18</v>
      </c>
      <c r="J1094" s="3">
        <v>668.83</v>
      </c>
      <c r="K1094" s="3">
        <v>12038.94</v>
      </c>
      <c r="L1094" t="s">
        <v>52</v>
      </c>
      <c r="M1094" s="2">
        <v>45714</v>
      </c>
      <c r="N1094" s="2">
        <v>45712</v>
      </c>
      <c r="O1094" t="s">
        <v>43</v>
      </c>
      <c r="P1094" t="s">
        <v>44</v>
      </c>
      <c r="Q1094" t="s">
        <v>28</v>
      </c>
      <c r="R1094" t="s">
        <v>29</v>
      </c>
    </row>
    <row r="1095" spans="1:18">
      <c r="A1095" t="s">
        <v>1226</v>
      </c>
      <c r="B1095" s="2">
        <v>46175</v>
      </c>
      <c r="C1095" t="s">
        <v>134</v>
      </c>
      <c r="D1095" t="s">
        <v>135</v>
      </c>
      <c r="E1095" t="s">
        <v>112</v>
      </c>
      <c r="F1095" t="s">
        <v>40</v>
      </c>
      <c r="G1095" t="s">
        <v>41</v>
      </c>
      <c r="H1095" t="s">
        <v>42</v>
      </c>
      <c r="I1095">
        <v>7</v>
      </c>
      <c r="J1095" s="3">
        <v>5427.33</v>
      </c>
      <c r="K1095" s="3">
        <v>37991.31</v>
      </c>
      <c r="L1095" t="s">
        <v>25</v>
      </c>
      <c r="M1095" s="2">
        <v>46192</v>
      </c>
      <c r="N1095" s="2">
        <v>46192</v>
      </c>
      <c r="O1095" t="s">
        <v>26</v>
      </c>
      <c r="P1095" t="s">
        <v>115</v>
      </c>
      <c r="Q1095" t="s">
        <v>28</v>
      </c>
      <c r="R1095" t="s">
        <v>29</v>
      </c>
    </row>
    <row r="1096" spans="1:18">
      <c r="A1096" t="s">
        <v>1227</v>
      </c>
      <c r="B1096" s="2">
        <v>45688</v>
      </c>
      <c r="C1096" t="s">
        <v>46</v>
      </c>
      <c r="D1096" t="s">
        <v>47</v>
      </c>
      <c r="E1096" t="s">
        <v>21</v>
      </c>
      <c r="F1096" t="s">
        <v>49</v>
      </c>
      <c r="G1096" t="s">
        <v>113</v>
      </c>
      <c r="H1096" t="s">
        <v>114</v>
      </c>
      <c r="I1096">
        <v>3</v>
      </c>
      <c r="J1096" s="3">
        <v>41705.26</v>
      </c>
      <c r="K1096" s="3">
        <v>125115.78</v>
      </c>
      <c r="L1096" t="s">
        <v>25</v>
      </c>
      <c r="M1096" s="2">
        <v>45693</v>
      </c>
      <c r="N1096" s="2">
        <v>45690</v>
      </c>
      <c r="O1096" t="s">
        <v>60</v>
      </c>
      <c r="P1096" t="s">
        <v>27</v>
      </c>
      <c r="Q1096" t="s">
        <v>28</v>
      </c>
      <c r="R1096" t="s">
        <v>29</v>
      </c>
    </row>
    <row r="1097" spans="1:18">
      <c r="A1097" t="s">
        <v>1228</v>
      </c>
      <c r="B1097" s="2">
        <v>45876</v>
      </c>
      <c r="C1097" t="s">
        <v>131</v>
      </c>
      <c r="D1097" t="s">
        <v>132</v>
      </c>
      <c r="E1097" t="s">
        <v>31</v>
      </c>
      <c r="F1097" t="s">
        <v>57</v>
      </c>
      <c r="G1097" t="s">
        <v>86</v>
      </c>
      <c r="H1097" t="s">
        <v>87</v>
      </c>
      <c r="I1097">
        <v>2</v>
      </c>
      <c r="J1097" s="3">
        <v>11045.44</v>
      </c>
      <c r="K1097" s="3">
        <v>22090.880000000001</v>
      </c>
      <c r="L1097" t="s">
        <v>25</v>
      </c>
      <c r="M1097" s="2">
        <v>45893</v>
      </c>
      <c r="N1097" s="2">
        <v>45891</v>
      </c>
      <c r="O1097" t="s">
        <v>76</v>
      </c>
      <c r="P1097" t="s">
        <v>94</v>
      </c>
      <c r="Q1097" t="s">
        <v>28</v>
      </c>
      <c r="R1097" t="s">
        <v>29</v>
      </c>
    </row>
    <row r="1098" spans="1:18">
      <c r="A1098" t="s">
        <v>1229</v>
      </c>
      <c r="B1098" s="2">
        <v>45894</v>
      </c>
      <c r="C1098" t="s">
        <v>107</v>
      </c>
      <c r="D1098" t="s">
        <v>108</v>
      </c>
      <c r="E1098" t="s">
        <v>31</v>
      </c>
      <c r="F1098" t="s">
        <v>91</v>
      </c>
      <c r="G1098" t="s">
        <v>92</v>
      </c>
      <c r="H1098" t="s">
        <v>93</v>
      </c>
      <c r="I1098">
        <v>1</v>
      </c>
      <c r="J1098" s="3">
        <v>46045.47</v>
      </c>
      <c r="K1098" s="3">
        <v>46045.47</v>
      </c>
      <c r="L1098" t="s">
        <v>34</v>
      </c>
      <c r="M1098" s="2">
        <v>45912</v>
      </c>
      <c r="N1098" s="2">
        <v>45911</v>
      </c>
      <c r="O1098" t="s">
        <v>26</v>
      </c>
      <c r="P1098" t="s">
        <v>94</v>
      </c>
      <c r="Q1098" t="s">
        <v>28</v>
      </c>
      <c r="R1098" t="s">
        <v>29</v>
      </c>
    </row>
    <row r="1099" spans="1:18">
      <c r="A1099" t="s">
        <v>1230</v>
      </c>
      <c r="B1099" s="2">
        <v>45903</v>
      </c>
      <c r="C1099" t="s">
        <v>104</v>
      </c>
      <c r="D1099" t="s">
        <v>105</v>
      </c>
      <c r="E1099" t="s">
        <v>21</v>
      </c>
      <c r="F1099" t="s">
        <v>49</v>
      </c>
      <c r="G1099" t="s">
        <v>113</v>
      </c>
      <c r="H1099" t="s">
        <v>114</v>
      </c>
      <c r="I1099">
        <v>1</v>
      </c>
      <c r="J1099" s="3">
        <v>39673.519999999997</v>
      </c>
      <c r="K1099" s="3">
        <v>39673.519999999997</v>
      </c>
      <c r="L1099" t="s">
        <v>52</v>
      </c>
      <c r="M1099" s="2">
        <v>45910</v>
      </c>
      <c r="N1099" s="2">
        <v>45907</v>
      </c>
      <c r="O1099" t="s">
        <v>43</v>
      </c>
      <c r="P1099" t="s">
        <v>27</v>
      </c>
      <c r="Q1099" t="s">
        <v>28</v>
      </c>
      <c r="R1099" t="s">
        <v>29</v>
      </c>
    </row>
    <row r="1100" spans="1:18">
      <c r="A1100" t="s">
        <v>1231</v>
      </c>
      <c r="B1100" s="2">
        <v>46003</v>
      </c>
      <c r="C1100" t="s">
        <v>147</v>
      </c>
      <c r="D1100" t="s">
        <v>148</v>
      </c>
      <c r="E1100" t="s">
        <v>112</v>
      </c>
      <c r="F1100" t="s">
        <v>40</v>
      </c>
      <c r="G1100" t="s">
        <v>62</v>
      </c>
      <c r="H1100" t="s">
        <v>63</v>
      </c>
      <c r="I1100">
        <v>2</v>
      </c>
      <c r="J1100" s="3">
        <v>18238.419999999998</v>
      </c>
      <c r="K1100" s="3">
        <v>36476.839999999997</v>
      </c>
      <c r="L1100" t="s">
        <v>34</v>
      </c>
      <c r="M1100" s="2">
        <v>46009</v>
      </c>
      <c r="N1100" s="2">
        <v>46006</v>
      </c>
      <c r="O1100" t="s">
        <v>43</v>
      </c>
      <c r="P1100" t="s">
        <v>115</v>
      </c>
      <c r="Q1100" t="s">
        <v>28</v>
      </c>
      <c r="R1100" t="s">
        <v>29</v>
      </c>
    </row>
    <row r="1101" spans="1:18">
      <c r="A1101" t="s">
        <v>1232</v>
      </c>
      <c r="B1101" s="2">
        <v>45714</v>
      </c>
      <c r="C1101" t="s">
        <v>147</v>
      </c>
      <c r="D1101" t="s">
        <v>148</v>
      </c>
      <c r="E1101" t="s">
        <v>39</v>
      </c>
      <c r="F1101" t="s">
        <v>40</v>
      </c>
      <c r="G1101" t="s">
        <v>62</v>
      </c>
      <c r="H1101" t="s">
        <v>63</v>
      </c>
      <c r="I1101">
        <v>1</v>
      </c>
      <c r="J1101" s="3">
        <v>17190.87</v>
      </c>
      <c r="K1101" s="3">
        <v>17190.87</v>
      </c>
      <c r="L1101" t="s">
        <v>25</v>
      </c>
      <c r="M1101" s="2">
        <v>45725</v>
      </c>
      <c r="N1101" s="2">
        <v>45734</v>
      </c>
      <c r="O1101" t="s">
        <v>26</v>
      </c>
      <c r="P1101" t="s">
        <v>64</v>
      </c>
      <c r="Q1101" t="s">
        <v>28</v>
      </c>
      <c r="R1101" t="s">
        <v>129</v>
      </c>
    </row>
    <row r="1102" spans="1:18">
      <c r="A1102" t="s">
        <v>1233</v>
      </c>
      <c r="B1102" s="2">
        <v>46022</v>
      </c>
      <c r="C1102" t="s">
        <v>71</v>
      </c>
      <c r="D1102" t="s">
        <v>72</v>
      </c>
      <c r="E1102" t="s">
        <v>73</v>
      </c>
      <c r="F1102" t="s">
        <v>57</v>
      </c>
      <c r="G1102" t="s">
        <v>86</v>
      </c>
      <c r="H1102" t="s">
        <v>87</v>
      </c>
      <c r="I1102">
        <v>8</v>
      </c>
      <c r="J1102" s="3">
        <v>9884.1</v>
      </c>
      <c r="K1102" s="3">
        <v>79072.800000000003</v>
      </c>
      <c r="L1102" t="s">
        <v>34</v>
      </c>
      <c r="M1102" s="2">
        <v>46033</v>
      </c>
      <c r="N1102" s="2">
        <v>46032</v>
      </c>
      <c r="O1102" t="s">
        <v>76</v>
      </c>
      <c r="P1102" t="s">
        <v>77</v>
      </c>
      <c r="Q1102" t="s">
        <v>28</v>
      </c>
      <c r="R1102" t="s">
        <v>29</v>
      </c>
    </row>
    <row r="1103" spans="1:18">
      <c r="A1103" t="s">
        <v>1234</v>
      </c>
      <c r="B1103" s="2">
        <v>45699</v>
      </c>
      <c r="C1103" t="s">
        <v>71</v>
      </c>
      <c r="D1103" t="s">
        <v>72</v>
      </c>
      <c r="E1103" t="s">
        <v>21</v>
      </c>
      <c r="F1103" t="s">
        <v>57</v>
      </c>
      <c r="G1103" t="s">
        <v>101</v>
      </c>
      <c r="H1103" t="s">
        <v>102</v>
      </c>
      <c r="I1103">
        <v>54</v>
      </c>
      <c r="J1103" s="3">
        <v>1765.42</v>
      </c>
      <c r="K1103" s="3">
        <v>95332.68</v>
      </c>
      <c r="L1103" t="s">
        <v>25</v>
      </c>
      <c r="M1103" s="2">
        <v>45707</v>
      </c>
      <c r="N1103" s="2">
        <v>45706</v>
      </c>
      <c r="O1103" t="s">
        <v>26</v>
      </c>
      <c r="P1103" t="s">
        <v>27</v>
      </c>
      <c r="Q1103" t="s">
        <v>28</v>
      </c>
      <c r="R1103" t="s">
        <v>29</v>
      </c>
    </row>
    <row r="1104" spans="1:18">
      <c r="A1104" t="s">
        <v>1235</v>
      </c>
      <c r="B1104" s="2">
        <v>45705</v>
      </c>
      <c r="C1104" t="s">
        <v>142</v>
      </c>
      <c r="D1104" t="s">
        <v>143</v>
      </c>
      <c r="E1104" t="s">
        <v>31</v>
      </c>
      <c r="F1104" t="s">
        <v>22</v>
      </c>
      <c r="G1104" t="s">
        <v>32</v>
      </c>
      <c r="H1104" t="s">
        <v>33</v>
      </c>
      <c r="I1104">
        <v>6</v>
      </c>
      <c r="J1104" s="3">
        <v>7559.94</v>
      </c>
      <c r="K1104" s="3">
        <v>45359.64</v>
      </c>
      <c r="L1104" t="s">
        <v>34</v>
      </c>
      <c r="M1104" s="2">
        <v>45717</v>
      </c>
      <c r="N1104" s="2">
        <v>45717</v>
      </c>
      <c r="O1104" t="s">
        <v>43</v>
      </c>
      <c r="P1104" t="s">
        <v>35</v>
      </c>
      <c r="Q1104" t="s">
        <v>28</v>
      </c>
      <c r="R1104" t="s">
        <v>29</v>
      </c>
    </row>
    <row r="1105" spans="1:18">
      <c r="A1105" t="s">
        <v>1236</v>
      </c>
      <c r="B1105" s="2">
        <v>45724</v>
      </c>
      <c r="C1105" t="s">
        <v>19</v>
      </c>
      <c r="D1105" t="s">
        <v>20</v>
      </c>
      <c r="E1105" t="s">
        <v>21</v>
      </c>
      <c r="F1105" t="s">
        <v>22</v>
      </c>
      <c r="G1105" t="s">
        <v>23</v>
      </c>
      <c r="H1105" t="s">
        <v>24</v>
      </c>
      <c r="I1105">
        <v>21</v>
      </c>
      <c r="J1105" s="3">
        <v>228.03</v>
      </c>
      <c r="K1105" s="3">
        <v>4788.63</v>
      </c>
      <c r="L1105" t="s">
        <v>34</v>
      </c>
      <c r="M1105" s="2">
        <v>45738</v>
      </c>
      <c r="N1105" s="2">
        <v>45735</v>
      </c>
      <c r="O1105" t="s">
        <v>60</v>
      </c>
      <c r="P1105" t="s">
        <v>27</v>
      </c>
      <c r="Q1105" t="s">
        <v>28</v>
      </c>
      <c r="R1105" t="s">
        <v>29</v>
      </c>
    </row>
    <row r="1106" spans="1:18">
      <c r="A1106" t="s">
        <v>1237</v>
      </c>
      <c r="B1106" s="2">
        <v>46125</v>
      </c>
      <c r="C1106" t="s">
        <v>107</v>
      </c>
      <c r="D1106" t="s">
        <v>108</v>
      </c>
      <c r="E1106" t="s">
        <v>31</v>
      </c>
      <c r="F1106" t="s">
        <v>91</v>
      </c>
      <c r="G1106" t="s">
        <v>109</v>
      </c>
      <c r="H1106" t="s">
        <v>110</v>
      </c>
      <c r="I1106">
        <v>3</v>
      </c>
      <c r="J1106" s="3">
        <v>13988.01</v>
      </c>
      <c r="K1106" s="3">
        <v>41964.03</v>
      </c>
      <c r="L1106" t="s">
        <v>25</v>
      </c>
      <c r="M1106" s="2">
        <v>46133</v>
      </c>
      <c r="N1106" s="2">
        <v>46133</v>
      </c>
      <c r="O1106" t="s">
        <v>76</v>
      </c>
      <c r="P1106" t="s">
        <v>94</v>
      </c>
      <c r="Q1106" t="s">
        <v>28</v>
      </c>
      <c r="R1106" t="s">
        <v>29</v>
      </c>
    </row>
    <row r="1107" spans="1:18">
      <c r="A1107" t="s">
        <v>1238</v>
      </c>
      <c r="B1107" s="2">
        <v>45768</v>
      </c>
      <c r="C1107" t="s">
        <v>71</v>
      </c>
      <c r="D1107" t="s">
        <v>72</v>
      </c>
      <c r="E1107" t="s">
        <v>48</v>
      </c>
      <c r="F1107" t="s">
        <v>57</v>
      </c>
      <c r="G1107" t="s">
        <v>58</v>
      </c>
      <c r="H1107" t="s">
        <v>59</v>
      </c>
      <c r="I1107">
        <v>7</v>
      </c>
      <c r="J1107" s="3">
        <v>54824.82</v>
      </c>
      <c r="K1107" s="3">
        <v>383773.74</v>
      </c>
      <c r="L1107" t="s">
        <v>25</v>
      </c>
      <c r="M1107" s="2">
        <v>45779</v>
      </c>
      <c r="N1107" s="2">
        <v>45779</v>
      </c>
      <c r="O1107" t="s">
        <v>43</v>
      </c>
      <c r="P1107" t="s">
        <v>53</v>
      </c>
      <c r="Q1107" t="s">
        <v>28</v>
      </c>
      <c r="R1107" t="s">
        <v>29</v>
      </c>
    </row>
    <row r="1108" spans="1:18">
      <c r="A1108" t="s">
        <v>1239</v>
      </c>
      <c r="B1108" s="2">
        <v>45816</v>
      </c>
      <c r="C1108" t="s">
        <v>134</v>
      </c>
      <c r="D1108" t="s">
        <v>135</v>
      </c>
      <c r="E1108" t="s">
        <v>39</v>
      </c>
      <c r="F1108" t="s">
        <v>40</v>
      </c>
      <c r="G1108" t="s">
        <v>41</v>
      </c>
      <c r="H1108" t="s">
        <v>42</v>
      </c>
      <c r="I1108">
        <v>4</v>
      </c>
      <c r="J1108" s="3">
        <v>5268.52</v>
      </c>
      <c r="K1108" s="3">
        <v>21074.080000000002</v>
      </c>
      <c r="L1108" t="s">
        <v>25</v>
      </c>
      <c r="M1108" s="2">
        <v>45825</v>
      </c>
      <c r="N1108" s="2">
        <v>45824</v>
      </c>
      <c r="O1108" t="s">
        <v>26</v>
      </c>
      <c r="P1108" t="s">
        <v>44</v>
      </c>
      <c r="Q1108" t="s">
        <v>28</v>
      </c>
      <c r="R1108" t="s">
        <v>29</v>
      </c>
    </row>
    <row r="1109" spans="1:18">
      <c r="A1109" t="s">
        <v>1240</v>
      </c>
      <c r="B1109" s="2">
        <v>46190</v>
      </c>
      <c r="C1109" t="s">
        <v>37</v>
      </c>
      <c r="D1109" t="s">
        <v>38</v>
      </c>
      <c r="E1109" t="s">
        <v>112</v>
      </c>
      <c r="F1109" t="s">
        <v>22</v>
      </c>
      <c r="G1109" t="s">
        <v>160</v>
      </c>
      <c r="H1109" t="s">
        <v>161</v>
      </c>
      <c r="I1109">
        <v>7</v>
      </c>
      <c r="J1109" s="3">
        <v>3718.33</v>
      </c>
      <c r="K1109" s="3">
        <v>26028.31</v>
      </c>
      <c r="L1109" t="s">
        <v>34</v>
      </c>
      <c r="M1109" s="2">
        <v>46205</v>
      </c>
      <c r="N1109" s="2">
        <v>46204</v>
      </c>
      <c r="O1109" t="s">
        <v>60</v>
      </c>
      <c r="P1109" t="s">
        <v>115</v>
      </c>
      <c r="Q1109" t="s">
        <v>28</v>
      </c>
      <c r="R1109" t="s">
        <v>29</v>
      </c>
    </row>
    <row r="1110" spans="1:18">
      <c r="A1110" t="s">
        <v>1241</v>
      </c>
      <c r="B1110" s="2">
        <v>45688</v>
      </c>
      <c r="C1110" t="s">
        <v>71</v>
      </c>
      <c r="D1110" t="s">
        <v>72</v>
      </c>
      <c r="E1110" t="s">
        <v>48</v>
      </c>
      <c r="F1110" t="s">
        <v>57</v>
      </c>
      <c r="G1110" t="s">
        <v>74</v>
      </c>
      <c r="H1110" t="s">
        <v>75</v>
      </c>
      <c r="I1110">
        <v>11</v>
      </c>
      <c r="J1110" s="3">
        <v>8036.52</v>
      </c>
      <c r="K1110" s="3">
        <v>88401.72</v>
      </c>
      <c r="L1110" t="s">
        <v>25</v>
      </c>
      <c r="M1110" s="2">
        <v>45695</v>
      </c>
      <c r="N1110" s="2">
        <v>45693</v>
      </c>
      <c r="O1110" t="s">
        <v>60</v>
      </c>
      <c r="P1110" t="s">
        <v>53</v>
      </c>
      <c r="Q1110" t="s">
        <v>28</v>
      </c>
      <c r="R1110" t="s">
        <v>29</v>
      </c>
    </row>
    <row r="1111" spans="1:18">
      <c r="A1111" t="s">
        <v>1242</v>
      </c>
      <c r="B1111" s="2">
        <v>46010</v>
      </c>
      <c r="C1111" t="s">
        <v>19</v>
      </c>
      <c r="D1111" t="s">
        <v>20</v>
      </c>
      <c r="E1111" t="s">
        <v>39</v>
      </c>
      <c r="F1111" t="s">
        <v>22</v>
      </c>
      <c r="G1111" t="s">
        <v>23</v>
      </c>
      <c r="H1111" t="s">
        <v>24</v>
      </c>
      <c r="I1111">
        <v>11</v>
      </c>
      <c r="J1111" s="3">
        <v>235.32</v>
      </c>
      <c r="K1111" s="3">
        <v>2588.52</v>
      </c>
      <c r="L1111" t="s">
        <v>34</v>
      </c>
      <c r="M1111" s="2">
        <v>46025</v>
      </c>
      <c r="N1111" s="2">
        <v>46024</v>
      </c>
      <c r="O1111" t="s">
        <v>76</v>
      </c>
      <c r="P1111" t="s">
        <v>44</v>
      </c>
      <c r="Q1111" t="s">
        <v>28</v>
      </c>
      <c r="R1111" t="s">
        <v>29</v>
      </c>
    </row>
    <row r="1112" spans="1:18">
      <c r="A1112" t="s">
        <v>1243</v>
      </c>
      <c r="B1112" s="2">
        <v>45781</v>
      </c>
      <c r="C1112" t="s">
        <v>134</v>
      </c>
      <c r="D1112" t="s">
        <v>135</v>
      </c>
      <c r="E1112" t="s">
        <v>39</v>
      </c>
      <c r="F1112" t="s">
        <v>40</v>
      </c>
      <c r="G1112" t="s">
        <v>62</v>
      </c>
      <c r="H1112" t="s">
        <v>63</v>
      </c>
      <c r="I1112">
        <v>5</v>
      </c>
      <c r="J1112" s="3">
        <v>18160.599999999999</v>
      </c>
      <c r="K1112" s="3">
        <v>90803</v>
      </c>
      <c r="L1112" t="s">
        <v>52</v>
      </c>
      <c r="M1112" s="2">
        <v>45799</v>
      </c>
      <c r="N1112" s="2">
        <v>45799</v>
      </c>
      <c r="O1112" t="s">
        <v>26</v>
      </c>
      <c r="P1112" t="s">
        <v>44</v>
      </c>
      <c r="Q1112" t="s">
        <v>28</v>
      </c>
      <c r="R1112" t="s">
        <v>29</v>
      </c>
    </row>
    <row r="1113" spans="1:18">
      <c r="A1113" t="s">
        <v>1244</v>
      </c>
      <c r="B1113" s="2">
        <v>45887</v>
      </c>
      <c r="C1113" t="s">
        <v>66</v>
      </c>
      <c r="D1113" t="s">
        <v>67</v>
      </c>
      <c r="E1113" t="s">
        <v>48</v>
      </c>
      <c r="F1113" t="s">
        <v>49</v>
      </c>
      <c r="G1113" t="s">
        <v>68</v>
      </c>
      <c r="H1113" t="s">
        <v>69</v>
      </c>
      <c r="I1113">
        <v>1</v>
      </c>
      <c r="J1113" s="3">
        <v>46328.87</v>
      </c>
      <c r="K1113" s="3">
        <v>46328.87</v>
      </c>
      <c r="L1113" t="s">
        <v>25</v>
      </c>
      <c r="M1113" s="2">
        <v>45893</v>
      </c>
      <c r="N1113" s="2">
        <v>45890</v>
      </c>
      <c r="O1113" t="s">
        <v>43</v>
      </c>
      <c r="P1113" t="s">
        <v>53</v>
      </c>
      <c r="Q1113" t="s">
        <v>28</v>
      </c>
      <c r="R1113" t="s">
        <v>29</v>
      </c>
    </row>
    <row r="1114" spans="1:18">
      <c r="A1114" t="s">
        <v>1245</v>
      </c>
      <c r="B1114" s="2">
        <v>45684</v>
      </c>
      <c r="C1114" t="s">
        <v>80</v>
      </c>
      <c r="D1114" t="s">
        <v>81</v>
      </c>
      <c r="E1114" t="s">
        <v>39</v>
      </c>
      <c r="F1114" t="s">
        <v>82</v>
      </c>
      <c r="G1114" t="s">
        <v>83</v>
      </c>
      <c r="H1114" t="s">
        <v>84</v>
      </c>
      <c r="I1114">
        <v>23</v>
      </c>
      <c r="J1114" s="3">
        <v>673.83</v>
      </c>
      <c r="K1114" s="3">
        <v>15498.09</v>
      </c>
      <c r="L1114" t="s">
        <v>25</v>
      </c>
      <c r="M1114" s="2">
        <v>45699</v>
      </c>
      <c r="N1114" s="2">
        <v>45697</v>
      </c>
      <c r="O1114" t="s">
        <v>60</v>
      </c>
      <c r="P1114" t="s">
        <v>64</v>
      </c>
      <c r="Q1114" t="s">
        <v>28</v>
      </c>
      <c r="R1114" t="s">
        <v>29</v>
      </c>
    </row>
    <row r="1115" spans="1:18">
      <c r="A1115" t="s">
        <v>1246</v>
      </c>
      <c r="B1115" s="2">
        <v>46192</v>
      </c>
      <c r="C1115" t="s">
        <v>71</v>
      </c>
      <c r="D1115" t="s">
        <v>72</v>
      </c>
      <c r="E1115" t="s">
        <v>31</v>
      </c>
      <c r="F1115" t="s">
        <v>57</v>
      </c>
      <c r="G1115" t="s">
        <v>120</v>
      </c>
      <c r="H1115" t="s">
        <v>121</v>
      </c>
      <c r="I1115">
        <v>6</v>
      </c>
      <c r="J1115" s="3">
        <v>19920.71</v>
      </c>
      <c r="K1115" s="3">
        <v>119524.26</v>
      </c>
      <c r="L1115" t="s">
        <v>25</v>
      </c>
      <c r="M1115" s="2">
        <v>46200</v>
      </c>
      <c r="N1115" s="2"/>
      <c r="O1115" t="s">
        <v>60</v>
      </c>
      <c r="P1115" t="s">
        <v>35</v>
      </c>
      <c r="Q1115" t="s">
        <v>167</v>
      </c>
      <c r="R1115" t="s">
        <v>167</v>
      </c>
    </row>
    <row r="1116" spans="1:18">
      <c r="A1116" t="s">
        <v>1247</v>
      </c>
      <c r="B1116" s="2">
        <v>46058</v>
      </c>
      <c r="C1116" t="s">
        <v>46</v>
      </c>
      <c r="D1116" t="s">
        <v>47</v>
      </c>
      <c r="E1116" t="s">
        <v>48</v>
      </c>
      <c r="F1116" t="s">
        <v>49</v>
      </c>
      <c r="G1116" t="s">
        <v>50</v>
      </c>
      <c r="H1116" t="s">
        <v>51</v>
      </c>
      <c r="I1116">
        <v>2</v>
      </c>
      <c r="J1116" s="3">
        <v>56700.12</v>
      </c>
      <c r="K1116" s="3">
        <v>113400.24</v>
      </c>
      <c r="L1116" t="s">
        <v>25</v>
      </c>
      <c r="M1116" s="2">
        <v>46073</v>
      </c>
      <c r="N1116" s="2">
        <v>46072</v>
      </c>
      <c r="O1116" t="s">
        <v>43</v>
      </c>
      <c r="P1116" t="s">
        <v>53</v>
      </c>
      <c r="Q1116" t="s">
        <v>28</v>
      </c>
      <c r="R1116" t="s">
        <v>29</v>
      </c>
    </row>
    <row r="1117" spans="1:18">
      <c r="A1117" t="s">
        <v>1248</v>
      </c>
      <c r="B1117" s="2">
        <v>45726</v>
      </c>
      <c r="C1117" t="s">
        <v>104</v>
      </c>
      <c r="D1117" t="s">
        <v>105</v>
      </c>
      <c r="E1117" t="s">
        <v>21</v>
      </c>
      <c r="F1117" t="s">
        <v>49</v>
      </c>
      <c r="G1117" t="s">
        <v>165</v>
      </c>
      <c r="H1117" t="s">
        <v>166</v>
      </c>
      <c r="I1117">
        <v>1</v>
      </c>
      <c r="J1117" s="3">
        <v>43990.84</v>
      </c>
      <c r="K1117" s="3">
        <v>43990.84</v>
      </c>
      <c r="L1117" t="s">
        <v>52</v>
      </c>
      <c r="M1117" s="2">
        <v>45738</v>
      </c>
      <c r="N1117" s="2">
        <v>45737</v>
      </c>
      <c r="O1117" t="s">
        <v>76</v>
      </c>
      <c r="P1117" t="s">
        <v>27</v>
      </c>
      <c r="Q1117" t="s">
        <v>28</v>
      </c>
      <c r="R1117" t="s">
        <v>29</v>
      </c>
    </row>
    <row r="1118" spans="1:18">
      <c r="A1118" t="s">
        <v>1249</v>
      </c>
      <c r="B1118" s="2">
        <v>45833</v>
      </c>
      <c r="C1118" t="s">
        <v>134</v>
      </c>
      <c r="D1118" t="s">
        <v>135</v>
      </c>
      <c r="E1118" t="s">
        <v>112</v>
      </c>
      <c r="F1118" t="s">
        <v>40</v>
      </c>
      <c r="G1118" t="s">
        <v>41</v>
      </c>
      <c r="H1118" t="s">
        <v>42</v>
      </c>
      <c r="I1118">
        <v>8</v>
      </c>
      <c r="J1118" s="3">
        <v>5634.6</v>
      </c>
      <c r="K1118" s="3">
        <v>45076.800000000003</v>
      </c>
      <c r="L1118" t="s">
        <v>34</v>
      </c>
      <c r="M1118" s="2">
        <v>45838</v>
      </c>
      <c r="N1118" s="2">
        <v>45837</v>
      </c>
      <c r="O1118" t="s">
        <v>43</v>
      </c>
      <c r="P1118" t="s">
        <v>115</v>
      </c>
      <c r="Q1118" t="s">
        <v>28</v>
      </c>
      <c r="R1118" t="s">
        <v>29</v>
      </c>
    </row>
    <row r="1119" spans="1:18">
      <c r="A1119" t="s">
        <v>1250</v>
      </c>
      <c r="B1119" s="2">
        <v>45658</v>
      </c>
      <c r="C1119" t="s">
        <v>147</v>
      </c>
      <c r="D1119" t="s">
        <v>148</v>
      </c>
      <c r="E1119" t="s">
        <v>39</v>
      </c>
      <c r="F1119" t="s">
        <v>40</v>
      </c>
      <c r="G1119" t="s">
        <v>149</v>
      </c>
      <c r="H1119" t="s">
        <v>150</v>
      </c>
      <c r="I1119">
        <v>25</v>
      </c>
      <c r="J1119" s="3">
        <v>1358.41</v>
      </c>
      <c r="K1119" s="3">
        <v>33960.25</v>
      </c>
      <c r="L1119" t="s">
        <v>25</v>
      </c>
      <c r="M1119" s="2">
        <v>45665</v>
      </c>
      <c r="N1119" s="2">
        <v>45663</v>
      </c>
      <c r="O1119" t="s">
        <v>26</v>
      </c>
      <c r="P1119" t="s">
        <v>64</v>
      </c>
      <c r="Q1119" t="s">
        <v>28</v>
      </c>
      <c r="R1119" t="s">
        <v>29</v>
      </c>
    </row>
    <row r="1120" spans="1:18">
      <c r="A1120" t="s">
        <v>1251</v>
      </c>
      <c r="B1120" s="2">
        <v>46116</v>
      </c>
      <c r="C1120" t="s">
        <v>104</v>
      </c>
      <c r="D1120" t="s">
        <v>105</v>
      </c>
      <c r="E1120" t="s">
        <v>48</v>
      </c>
      <c r="F1120" t="s">
        <v>49</v>
      </c>
      <c r="G1120" t="s">
        <v>165</v>
      </c>
      <c r="H1120" t="s">
        <v>166</v>
      </c>
      <c r="I1120">
        <v>1</v>
      </c>
      <c r="J1120" s="3">
        <v>43399.199999999997</v>
      </c>
      <c r="K1120" s="3">
        <v>43399.199999999997</v>
      </c>
      <c r="L1120" t="s">
        <v>25</v>
      </c>
      <c r="M1120" s="2">
        <v>46134</v>
      </c>
      <c r="N1120" s="2">
        <v>46134</v>
      </c>
      <c r="O1120" t="s">
        <v>60</v>
      </c>
      <c r="P1120" t="s">
        <v>53</v>
      </c>
      <c r="Q1120" t="s">
        <v>28</v>
      </c>
      <c r="R1120" t="s">
        <v>29</v>
      </c>
    </row>
    <row r="1121" spans="1:18">
      <c r="A1121" t="s">
        <v>1252</v>
      </c>
      <c r="B1121" s="2">
        <v>46180</v>
      </c>
      <c r="C1121" t="s">
        <v>104</v>
      </c>
      <c r="D1121" t="s">
        <v>105</v>
      </c>
      <c r="E1121" t="s">
        <v>48</v>
      </c>
      <c r="F1121" t="s">
        <v>49</v>
      </c>
      <c r="G1121" t="s">
        <v>165</v>
      </c>
      <c r="H1121" t="s">
        <v>166</v>
      </c>
      <c r="I1121">
        <v>2</v>
      </c>
      <c r="J1121" s="3">
        <v>43414.25</v>
      </c>
      <c r="K1121" s="3">
        <v>86828.5</v>
      </c>
      <c r="L1121" t="s">
        <v>25</v>
      </c>
      <c r="M1121" s="2">
        <v>46188</v>
      </c>
      <c r="N1121" s="2">
        <v>46188</v>
      </c>
      <c r="O1121" t="s">
        <v>43</v>
      </c>
      <c r="P1121" t="s">
        <v>53</v>
      </c>
      <c r="Q1121" t="s">
        <v>28</v>
      </c>
      <c r="R1121" t="s">
        <v>29</v>
      </c>
    </row>
    <row r="1122" spans="1:18">
      <c r="A1122" t="s">
        <v>1253</v>
      </c>
      <c r="B1122" s="2">
        <v>45734</v>
      </c>
      <c r="C1122" t="s">
        <v>37</v>
      </c>
      <c r="D1122" t="s">
        <v>38</v>
      </c>
      <c r="E1122" t="s">
        <v>39</v>
      </c>
      <c r="F1122" t="s">
        <v>22</v>
      </c>
      <c r="G1122" t="s">
        <v>160</v>
      </c>
      <c r="H1122" t="s">
        <v>161</v>
      </c>
      <c r="I1122">
        <v>14</v>
      </c>
      <c r="J1122" s="3">
        <v>3414.35</v>
      </c>
      <c r="K1122" s="3">
        <v>47800.9</v>
      </c>
      <c r="L1122" t="s">
        <v>25</v>
      </c>
      <c r="M1122" s="2">
        <v>45741</v>
      </c>
      <c r="N1122" s="2">
        <v>45740</v>
      </c>
      <c r="O1122" t="s">
        <v>60</v>
      </c>
      <c r="P1122" t="s">
        <v>64</v>
      </c>
      <c r="Q1122" t="s">
        <v>28</v>
      </c>
      <c r="R1122" t="s">
        <v>29</v>
      </c>
    </row>
    <row r="1123" spans="1:18">
      <c r="A1123" t="s">
        <v>1254</v>
      </c>
      <c r="B1123" s="2">
        <v>46106</v>
      </c>
      <c r="C1123" t="s">
        <v>142</v>
      </c>
      <c r="D1123" t="s">
        <v>143</v>
      </c>
      <c r="E1123" t="s">
        <v>73</v>
      </c>
      <c r="F1123" t="s">
        <v>22</v>
      </c>
      <c r="G1123" t="s">
        <v>32</v>
      </c>
      <c r="H1123" t="s">
        <v>33</v>
      </c>
      <c r="I1123">
        <v>9</v>
      </c>
      <c r="J1123" s="3">
        <v>7568.72</v>
      </c>
      <c r="K1123" s="3">
        <v>68118.48</v>
      </c>
      <c r="L1123" t="s">
        <v>25</v>
      </c>
      <c r="M1123" s="2">
        <v>46113</v>
      </c>
      <c r="N1123" s="2">
        <v>46111</v>
      </c>
      <c r="O1123" t="s">
        <v>76</v>
      </c>
      <c r="P1123" t="s">
        <v>77</v>
      </c>
      <c r="Q1123" t="s">
        <v>28</v>
      </c>
      <c r="R1123" t="s">
        <v>29</v>
      </c>
    </row>
    <row r="1124" spans="1:18">
      <c r="A1124" t="s">
        <v>1255</v>
      </c>
      <c r="B1124" s="2">
        <v>45681</v>
      </c>
      <c r="C1124" t="s">
        <v>46</v>
      </c>
      <c r="D1124" t="s">
        <v>47</v>
      </c>
      <c r="E1124" t="s">
        <v>48</v>
      </c>
      <c r="F1124" t="s">
        <v>49</v>
      </c>
      <c r="G1124" t="s">
        <v>68</v>
      </c>
      <c r="H1124" t="s">
        <v>69</v>
      </c>
      <c r="I1124">
        <v>2</v>
      </c>
      <c r="J1124" s="3">
        <v>53398.67</v>
      </c>
      <c r="K1124" s="3">
        <v>106797.34</v>
      </c>
      <c r="L1124" t="s">
        <v>52</v>
      </c>
      <c r="M1124" s="2">
        <v>45693</v>
      </c>
      <c r="N1124" s="2">
        <v>45690</v>
      </c>
      <c r="O1124" t="s">
        <v>60</v>
      </c>
      <c r="P1124" t="s">
        <v>424</v>
      </c>
      <c r="Q1124" t="s">
        <v>28</v>
      </c>
      <c r="R1124" t="s">
        <v>29</v>
      </c>
    </row>
    <row r="1125" spans="1:18">
      <c r="A1125" t="s">
        <v>1256</v>
      </c>
      <c r="B1125" s="2">
        <v>46072</v>
      </c>
      <c r="C1125" t="s">
        <v>71</v>
      </c>
      <c r="D1125" t="s">
        <v>72</v>
      </c>
      <c r="E1125" t="s">
        <v>48</v>
      </c>
      <c r="F1125" t="s">
        <v>57</v>
      </c>
      <c r="G1125" t="s">
        <v>58</v>
      </c>
      <c r="H1125" t="s">
        <v>59</v>
      </c>
      <c r="I1125">
        <v>3</v>
      </c>
      <c r="J1125" s="3">
        <v>52907.63</v>
      </c>
      <c r="K1125" s="3">
        <v>158722.89000000001</v>
      </c>
      <c r="L1125" t="s">
        <v>25</v>
      </c>
      <c r="M1125" s="2">
        <v>46078</v>
      </c>
      <c r="N1125" s="2">
        <v>46077</v>
      </c>
      <c r="O1125" t="s">
        <v>76</v>
      </c>
      <c r="P1125" t="s">
        <v>53</v>
      </c>
      <c r="Q1125" t="s">
        <v>28</v>
      </c>
      <c r="R1125" t="s">
        <v>29</v>
      </c>
    </row>
    <row r="1126" spans="1:18">
      <c r="A1126" t="s">
        <v>1257</v>
      </c>
      <c r="B1126" s="2">
        <v>45821</v>
      </c>
      <c r="C1126" t="s">
        <v>117</v>
      </c>
      <c r="D1126" t="s">
        <v>118</v>
      </c>
      <c r="E1126" t="s">
        <v>73</v>
      </c>
      <c r="F1126" t="s">
        <v>57</v>
      </c>
      <c r="G1126" t="s">
        <v>58</v>
      </c>
      <c r="H1126" t="s">
        <v>59</v>
      </c>
      <c r="I1126">
        <v>8</v>
      </c>
      <c r="J1126" s="3">
        <v>56765.56</v>
      </c>
      <c r="K1126" s="3">
        <v>454124.48</v>
      </c>
      <c r="L1126" t="s">
        <v>34</v>
      </c>
      <c r="M1126" s="2">
        <v>45827</v>
      </c>
      <c r="N1126" s="2">
        <v>45824</v>
      </c>
      <c r="O1126" t="s">
        <v>43</v>
      </c>
      <c r="P1126" t="s">
        <v>77</v>
      </c>
      <c r="Q1126" t="s">
        <v>28</v>
      </c>
      <c r="R1126" t="s">
        <v>29</v>
      </c>
    </row>
    <row r="1127" spans="1:18">
      <c r="A1127" t="s">
        <v>1258</v>
      </c>
      <c r="B1127" s="2">
        <v>45800</v>
      </c>
      <c r="C1127" t="s">
        <v>46</v>
      </c>
      <c r="D1127" t="s">
        <v>47</v>
      </c>
      <c r="E1127" t="s">
        <v>73</v>
      </c>
      <c r="F1127" t="s">
        <v>49</v>
      </c>
      <c r="G1127" t="s">
        <v>113</v>
      </c>
      <c r="H1127" t="s">
        <v>114</v>
      </c>
      <c r="I1127">
        <v>1</v>
      </c>
      <c r="J1127" s="3">
        <v>40605.599999999999</v>
      </c>
      <c r="K1127" s="3">
        <v>40605.599999999999</v>
      </c>
      <c r="L1127" t="s">
        <v>34</v>
      </c>
      <c r="M1127" s="2">
        <v>45808</v>
      </c>
      <c r="N1127" s="2">
        <v>45806</v>
      </c>
      <c r="O1127" t="s">
        <v>43</v>
      </c>
      <c r="P1127" t="s">
        <v>77</v>
      </c>
      <c r="Q1127" t="s">
        <v>28</v>
      </c>
      <c r="R1127" t="s">
        <v>29</v>
      </c>
    </row>
    <row r="1128" spans="1:18">
      <c r="A1128" t="s">
        <v>1259</v>
      </c>
      <c r="B1128" s="2">
        <v>45914</v>
      </c>
      <c r="C1128" t="s">
        <v>37</v>
      </c>
      <c r="D1128" t="s">
        <v>38</v>
      </c>
      <c r="E1128" t="s">
        <v>21</v>
      </c>
      <c r="F1128" t="s">
        <v>22</v>
      </c>
      <c r="G1128" t="s">
        <v>160</v>
      </c>
      <c r="H1128" t="s">
        <v>161</v>
      </c>
      <c r="I1128">
        <v>12</v>
      </c>
      <c r="J1128" s="3">
        <v>3338.13</v>
      </c>
      <c r="K1128" s="3">
        <v>40057.56</v>
      </c>
      <c r="L1128" t="s">
        <v>34</v>
      </c>
      <c r="M1128" s="2">
        <v>45928</v>
      </c>
      <c r="N1128" s="2">
        <v>45928</v>
      </c>
      <c r="O1128" t="s">
        <v>76</v>
      </c>
      <c r="P1128" t="s">
        <v>27</v>
      </c>
      <c r="Q1128" t="s">
        <v>28</v>
      </c>
      <c r="R1128" t="s">
        <v>29</v>
      </c>
    </row>
    <row r="1129" spans="1:18">
      <c r="A1129" t="s">
        <v>1260</v>
      </c>
      <c r="B1129" s="2">
        <v>46120</v>
      </c>
      <c r="C1129" t="s">
        <v>89</v>
      </c>
      <c r="D1129" t="s">
        <v>90</v>
      </c>
      <c r="E1129" t="s">
        <v>31</v>
      </c>
      <c r="F1129" t="s">
        <v>91</v>
      </c>
      <c r="G1129" t="s">
        <v>109</v>
      </c>
      <c r="H1129" t="s">
        <v>110</v>
      </c>
      <c r="I1129">
        <v>1</v>
      </c>
      <c r="J1129" s="3">
        <v>13039.11</v>
      </c>
      <c r="K1129" s="3">
        <v>13039.11</v>
      </c>
      <c r="L1129" t="s">
        <v>25</v>
      </c>
      <c r="M1129" s="2">
        <v>46133</v>
      </c>
      <c r="N1129" s="2">
        <v>46130</v>
      </c>
      <c r="O1129" t="s">
        <v>26</v>
      </c>
      <c r="P1129" t="s">
        <v>94</v>
      </c>
      <c r="Q1129" t="s">
        <v>28</v>
      </c>
      <c r="R1129" t="s">
        <v>29</v>
      </c>
    </row>
    <row r="1130" spans="1:18">
      <c r="A1130" t="s">
        <v>1261</v>
      </c>
      <c r="B1130" s="2">
        <v>46120</v>
      </c>
      <c r="C1130" t="s">
        <v>71</v>
      </c>
      <c r="D1130" t="s">
        <v>72</v>
      </c>
      <c r="E1130" t="s">
        <v>48</v>
      </c>
      <c r="F1130" t="s">
        <v>57</v>
      </c>
      <c r="G1130" t="s">
        <v>120</v>
      </c>
      <c r="H1130" t="s">
        <v>121</v>
      </c>
      <c r="I1130">
        <v>8</v>
      </c>
      <c r="J1130" s="3">
        <v>21449.65</v>
      </c>
      <c r="K1130" s="3">
        <v>171597.2</v>
      </c>
      <c r="L1130" t="s">
        <v>25</v>
      </c>
      <c r="M1130" s="2">
        <v>46134</v>
      </c>
      <c r="N1130" s="2">
        <v>46131</v>
      </c>
      <c r="O1130" t="s">
        <v>60</v>
      </c>
      <c r="P1130" t="s">
        <v>53</v>
      </c>
      <c r="Q1130" t="s">
        <v>28</v>
      </c>
      <c r="R1130" t="s">
        <v>29</v>
      </c>
    </row>
    <row r="1131" spans="1:18">
      <c r="A1131" t="s">
        <v>1262</v>
      </c>
      <c r="B1131" s="2">
        <v>45790</v>
      </c>
      <c r="C1131" t="s">
        <v>117</v>
      </c>
      <c r="D1131" t="s">
        <v>118</v>
      </c>
      <c r="E1131" t="s">
        <v>31</v>
      </c>
      <c r="F1131" t="s">
        <v>57</v>
      </c>
      <c r="G1131" t="s">
        <v>120</v>
      </c>
      <c r="H1131" t="s">
        <v>121</v>
      </c>
      <c r="I1131">
        <v>6</v>
      </c>
      <c r="J1131" s="3">
        <v>22444.639999999999</v>
      </c>
      <c r="K1131" s="3">
        <v>134667.84</v>
      </c>
      <c r="L1131" t="s">
        <v>34</v>
      </c>
      <c r="M1131" s="2">
        <v>45805</v>
      </c>
      <c r="N1131" s="2">
        <v>45802</v>
      </c>
      <c r="O1131" t="s">
        <v>26</v>
      </c>
      <c r="P1131" t="s">
        <v>35</v>
      </c>
      <c r="Q1131" t="s">
        <v>28</v>
      </c>
      <c r="R1131" t="s">
        <v>29</v>
      </c>
    </row>
    <row r="1132" spans="1:18">
      <c r="A1132" t="s">
        <v>1263</v>
      </c>
      <c r="B1132" s="2">
        <v>46057</v>
      </c>
      <c r="C1132" t="s">
        <v>19</v>
      </c>
      <c r="D1132" t="s">
        <v>20</v>
      </c>
      <c r="E1132" t="s">
        <v>31</v>
      </c>
      <c r="F1132" t="s">
        <v>22</v>
      </c>
      <c r="G1132" t="s">
        <v>160</v>
      </c>
      <c r="H1132" t="s">
        <v>161</v>
      </c>
      <c r="I1132">
        <v>2</v>
      </c>
      <c r="J1132" s="3">
        <v>2820.4</v>
      </c>
      <c r="K1132" s="3">
        <v>5640.8</v>
      </c>
      <c r="L1132" t="s">
        <v>34</v>
      </c>
      <c r="M1132" s="2">
        <v>46064</v>
      </c>
      <c r="N1132" s="2">
        <v>46063</v>
      </c>
      <c r="O1132" t="s">
        <v>76</v>
      </c>
      <c r="P1132" t="s">
        <v>35</v>
      </c>
      <c r="Q1132" t="s">
        <v>28</v>
      </c>
      <c r="R1132" t="s">
        <v>29</v>
      </c>
    </row>
    <row r="1133" spans="1:18">
      <c r="A1133" t="s">
        <v>1264</v>
      </c>
      <c r="B1133" s="2">
        <v>45932</v>
      </c>
      <c r="C1133" t="s">
        <v>134</v>
      </c>
      <c r="D1133" t="s">
        <v>135</v>
      </c>
      <c r="E1133" t="s">
        <v>112</v>
      </c>
      <c r="F1133" t="s">
        <v>40</v>
      </c>
      <c r="G1133" t="s">
        <v>62</v>
      </c>
      <c r="H1133" t="s">
        <v>63</v>
      </c>
      <c r="I1133">
        <v>6</v>
      </c>
      <c r="J1133" s="3">
        <v>18086.52</v>
      </c>
      <c r="K1133" s="3">
        <v>108519.12</v>
      </c>
      <c r="L1133" t="s">
        <v>25</v>
      </c>
      <c r="M1133" s="2">
        <v>45950</v>
      </c>
      <c r="N1133" s="2">
        <v>45948</v>
      </c>
      <c r="O1133" t="s">
        <v>26</v>
      </c>
      <c r="P1133" t="s">
        <v>115</v>
      </c>
      <c r="Q1133" t="s">
        <v>28</v>
      </c>
      <c r="R1133" t="s">
        <v>29</v>
      </c>
    </row>
    <row r="1134" spans="1:18">
      <c r="A1134" t="s">
        <v>1265</v>
      </c>
      <c r="B1134" s="2">
        <v>45933</v>
      </c>
      <c r="C1134" t="s">
        <v>71</v>
      </c>
      <c r="D1134" t="s">
        <v>72</v>
      </c>
      <c r="E1134" t="s">
        <v>48</v>
      </c>
      <c r="F1134" t="s">
        <v>57</v>
      </c>
      <c r="G1134" t="s">
        <v>86</v>
      </c>
      <c r="H1134" t="s">
        <v>87</v>
      </c>
      <c r="I1134">
        <v>2</v>
      </c>
      <c r="J1134" s="3">
        <v>10611.26</v>
      </c>
      <c r="K1134" s="3">
        <v>21222.52</v>
      </c>
      <c r="L1134" t="s">
        <v>25</v>
      </c>
      <c r="M1134" s="2">
        <v>45943</v>
      </c>
      <c r="N1134" s="2">
        <v>45941</v>
      </c>
      <c r="O1134" t="s">
        <v>76</v>
      </c>
      <c r="P1134" t="s">
        <v>53</v>
      </c>
      <c r="Q1134" t="s">
        <v>28</v>
      </c>
      <c r="R1134" t="s">
        <v>29</v>
      </c>
    </row>
    <row r="1135" spans="1:18">
      <c r="A1135" t="s">
        <v>1266</v>
      </c>
      <c r="B1135" s="2">
        <v>46152</v>
      </c>
      <c r="C1135" t="s">
        <v>147</v>
      </c>
      <c r="D1135" t="s">
        <v>148</v>
      </c>
      <c r="E1135" t="s">
        <v>112</v>
      </c>
      <c r="F1135" t="s">
        <v>40</v>
      </c>
      <c r="G1135" t="s">
        <v>149</v>
      </c>
      <c r="H1135" t="s">
        <v>150</v>
      </c>
      <c r="I1135">
        <v>42</v>
      </c>
      <c r="J1135" s="3">
        <v>1264.21</v>
      </c>
      <c r="K1135" s="3">
        <v>53096.82</v>
      </c>
      <c r="L1135" t="s">
        <v>25</v>
      </c>
      <c r="M1135" s="2">
        <v>46160</v>
      </c>
      <c r="N1135" s="2">
        <v>46159</v>
      </c>
      <c r="O1135" t="s">
        <v>76</v>
      </c>
      <c r="P1135" t="s">
        <v>115</v>
      </c>
      <c r="Q1135" t="s">
        <v>28</v>
      </c>
      <c r="R1135" t="s">
        <v>29</v>
      </c>
    </row>
    <row r="1136" spans="1:18">
      <c r="A1136" t="s">
        <v>1267</v>
      </c>
      <c r="B1136" s="2">
        <v>46174</v>
      </c>
      <c r="C1136" t="s">
        <v>104</v>
      </c>
      <c r="D1136" t="s">
        <v>105</v>
      </c>
      <c r="E1136" t="s">
        <v>48</v>
      </c>
      <c r="F1136" t="s">
        <v>49</v>
      </c>
      <c r="G1136" t="s">
        <v>165</v>
      </c>
      <c r="H1136" t="s">
        <v>166</v>
      </c>
      <c r="I1136">
        <v>3</v>
      </c>
      <c r="J1136" s="3">
        <v>45815.57</v>
      </c>
      <c r="K1136" s="3">
        <v>137446.71</v>
      </c>
      <c r="L1136" t="s">
        <v>25</v>
      </c>
      <c r="M1136" s="2">
        <v>46183</v>
      </c>
      <c r="N1136" s="2">
        <v>46181</v>
      </c>
      <c r="O1136" t="s">
        <v>76</v>
      </c>
      <c r="P1136" t="s">
        <v>53</v>
      </c>
      <c r="Q1136" t="s">
        <v>28</v>
      </c>
      <c r="R1136" t="s">
        <v>29</v>
      </c>
    </row>
    <row r="1137" spans="1:18">
      <c r="A1137" t="s">
        <v>1268</v>
      </c>
      <c r="B1137" s="2">
        <v>45887</v>
      </c>
      <c r="C1137" t="s">
        <v>131</v>
      </c>
      <c r="D1137" t="s">
        <v>132</v>
      </c>
      <c r="E1137" t="s">
        <v>21</v>
      </c>
      <c r="F1137" t="s">
        <v>57</v>
      </c>
      <c r="G1137" t="s">
        <v>101</v>
      </c>
      <c r="H1137" t="s">
        <v>102</v>
      </c>
      <c r="I1137">
        <v>57</v>
      </c>
      <c r="J1137" s="3">
        <v>1963.33</v>
      </c>
      <c r="K1137" s="3">
        <v>111909.81</v>
      </c>
      <c r="L1137" t="s">
        <v>25</v>
      </c>
      <c r="M1137" s="2">
        <v>45901</v>
      </c>
      <c r="N1137" s="2">
        <v>45916</v>
      </c>
      <c r="O1137" t="s">
        <v>60</v>
      </c>
      <c r="P1137" t="s">
        <v>27</v>
      </c>
      <c r="Q1137" t="s">
        <v>28</v>
      </c>
      <c r="R1137" t="s">
        <v>129</v>
      </c>
    </row>
    <row r="1138" spans="1:18">
      <c r="A1138" t="s">
        <v>1269</v>
      </c>
      <c r="B1138" s="2">
        <v>45826</v>
      </c>
      <c r="C1138" t="s">
        <v>19</v>
      </c>
      <c r="D1138" t="s">
        <v>20</v>
      </c>
      <c r="E1138" t="s">
        <v>31</v>
      </c>
      <c r="F1138" t="s">
        <v>22</v>
      </c>
      <c r="G1138" t="s">
        <v>160</v>
      </c>
      <c r="H1138" t="s">
        <v>161</v>
      </c>
      <c r="I1138">
        <v>1</v>
      </c>
      <c r="J1138" s="3">
        <v>2883.28</v>
      </c>
      <c r="K1138" s="3">
        <v>2883.28</v>
      </c>
      <c r="L1138" t="s">
        <v>25</v>
      </c>
      <c r="M1138" s="2">
        <v>45832</v>
      </c>
      <c r="N1138" s="2">
        <v>45831</v>
      </c>
      <c r="O1138" t="s">
        <v>43</v>
      </c>
      <c r="P1138" t="s">
        <v>35</v>
      </c>
      <c r="Q1138" t="s">
        <v>28</v>
      </c>
      <c r="R1138" t="s">
        <v>29</v>
      </c>
    </row>
    <row r="1139" spans="1:18">
      <c r="A1139" t="s">
        <v>1270</v>
      </c>
      <c r="B1139" s="2">
        <v>45958</v>
      </c>
      <c r="C1139" t="s">
        <v>104</v>
      </c>
      <c r="D1139" t="s">
        <v>105</v>
      </c>
      <c r="E1139" t="s">
        <v>21</v>
      </c>
      <c r="F1139" t="s">
        <v>49</v>
      </c>
      <c r="G1139" t="s">
        <v>50</v>
      </c>
      <c r="H1139" t="s">
        <v>51</v>
      </c>
      <c r="I1139">
        <v>1</v>
      </c>
      <c r="J1139" s="3">
        <v>53331.4</v>
      </c>
      <c r="K1139" s="3">
        <v>53331.4</v>
      </c>
      <c r="L1139" t="s">
        <v>25</v>
      </c>
      <c r="M1139" s="2">
        <v>45972</v>
      </c>
      <c r="N1139" s="2">
        <v>45969</v>
      </c>
      <c r="O1139" t="s">
        <v>43</v>
      </c>
      <c r="P1139" t="s">
        <v>27</v>
      </c>
      <c r="Q1139" t="s">
        <v>28</v>
      </c>
      <c r="R1139" t="s">
        <v>29</v>
      </c>
    </row>
    <row r="1140" spans="1:18">
      <c r="A1140" t="s">
        <v>1271</v>
      </c>
      <c r="B1140" s="2">
        <v>46094</v>
      </c>
      <c r="C1140" t="s">
        <v>142</v>
      </c>
      <c r="D1140" t="s">
        <v>143</v>
      </c>
      <c r="E1140" t="s">
        <v>21</v>
      </c>
      <c r="F1140" t="s">
        <v>22</v>
      </c>
      <c r="G1140" t="s">
        <v>32</v>
      </c>
      <c r="H1140" t="s">
        <v>33</v>
      </c>
      <c r="I1140">
        <v>12</v>
      </c>
      <c r="J1140" s="3">
        <v>8082.32</v>
      </c>
      <c r="K1140" s="3">
        <v>96987.839999999997</v>
      </c>
      <c r="L1140" t="s">
        <v>25</v>
      </c>
      <c r="M1140" s="2">
        <v>46112</v>
      </c>
      <c r="N1140" s="2">
        <v>46112</v>
      </c>
      <c r="O1140" t="s">
        <v>43</v>
      </c>
      <c r="P1140" t="s">
        <v>27</v>
      </c>
      <c r="Q1140" t="s">
        <v>28</v>
      </c>
      <c r="R1140" t="s">
        <v>29</v>
      </c>
    </row>
    <row r="1141" spans="1:18">
      <c r="A1141" t="s">
        <v>1272</v>
      </c>
      <c r="B1141" s="2">
        <v>46020</v>
      </c>
      <c r="C1141" t="s">
        <v>71</v>
      </c>
      <c r="D1141" t="s">
        <v>72</v>
      </c>
      <c r="E1141" t="s">
        <v>73</v>
      </c>
      <c r="F1141" t="s">
        <v>57</v>
      </c>
      <c r="G1141" t="s">
        <v>101</v>
      </c>
      <c r="H1141" t="s">
        <v>102</v>
      </c>
      <c r="I1141">
        <v>40</v>
      </c>
      <c r="J1141" s="3">
        <v>1695.51</v>
      </c>
      <c r="K1141" s="3">
        <v>67820.399999999994</v>
      </c>
      <c r="L1141" t="s">
        <v>34</v>
      </c>
      <c r="M1141" s="2">
        <v>46025</v>
      </c>
      <c r="N1141" s="2">
        <v>46024</v>
      </c>
      <c r="O1141" t="s">
        <v>43</v>
      </c>
      <c r="P1141" t="s">
        <v>77</v>
      </c>
      <c r="Q1141" t="s">
        <v>28</v>
      </c>
      <c r="R1141" t="s">
        <v>29</v>
      </c>
    </row>
    <row r="1142" spans="1:18">
      <c r="A1142" t="s">
        <v>1273</v>
      </c>
      <c r="B1142" s="2">
        <v>46027</v>
      </c>
      <c r="C1142" t="s">
        <v>104</v>
      </c>
      <c r="D1142" t="s">
        <v>105</v>
      </c>
      <c r="E1142" t="s">
        <v>48</v>
      </c>
      <c r="F1142" t="s">
        <v>49</v>
      </c>
      <c r="G1142" t="s">
        <v>68</v>
      </c>
      <c r="H1142" t="s">
        <v>69</v>
      </c>
      <c r="I1142">
        <v>1</v>
      </c>
      <c r="J1142" s="3">
        <v>46671.19</v>
      </c>
      <c r="K1142" s="3">
        <v>46671.19</v>
      </c>
      <c r="L1142" t="s">
        <v>25</v>
      </c>
      <c r="M1142" s="2">
        <v>46040</v>
      </c>
      <c r="N1142" s="2">
        <v>46037</v>
      </c>
      <c r="O1142" t="s">
        <v>76</v>
      </c>
      <c r="P1142" t="s">
        <v>53</v>
      </c>
      <c r="Q1142" t="s">
        <v>28</v>
      </c>
      <c r="R1142" t="s">
        <v>29</v>
      </c>
    </row>
    <row r="1143" spans="1:18">
      <c r="A1143" t="s">
        <v>1274</v>
      </c>
      <c r="B1143" s="2">
        <v>46118</v>
      </c>
      <c r="C1143" t="s">
        <v>19</v>
      </c>
      <c r="D1143" t="s">
        <v>20</v>
      </c>
      <c r="E1143" t="s">
        <v>21</v>
      </c>
      <c r="F1143" t="s">
        <v>22</v>
      </c>
      <c r="G1143" t="s">
        <v>23</v>
      </c>
      <c r="H1143" t="s">
        <v>24</v>
      </c>
      <c r="I1143">
        <v>26</v>
      </c>
      <c r="J1143" s="3">
        <v>225.66</v>
      </c>
      <c r="K1143" s="3">
        <v>5867.16</v>
      </c>
      <c r="L1143" t="s">
        <v>25</v>
      </c>
      <c r="M1143" s="2">
        <v>46134</v>
      </c>
      <c r="N1143" s="2">
        <v>46132</v>
      </c>
      <c r="O1143" t="s">
        <v>76</v>
      </c>
      <c r="P1143" t="s">
        <v>27</v>
      </c>
      <c r="Q1143" t="s">
        <v>28</v>
      </c>
      <c r="R1143" t="s">
        <v>29</v>
      </c>
    </row>
    <row r="1144" spans="1:18">
      <c r="A1144" t="s">
        <v>1275</v>
      </c>
      <c r="B1144" s="2">
        <v>45982</v>
      </c>
      <c r="C1144" t="s">
        <v>46</v>
      </c>
      <c r="D1144" t="s">
        <v>47</v>
      </c>
      <c r="E1144" t="s">
        <v>48</v>
      </c>
      <c r="F1144" t="s">
        <v>49</v>
      </c>
      <c r="G1144" t="s">
        <v>50</v>
      </c>
      <c r="H1144" t="s">
        <v>51</v>
      </c>
      <c r="I1144">
        <v>3</v>
      </c>
      <c r="J1144" s="3">
        <v>54425.97</v>
      </c>
      <c r="K1144" s="3">
        <v>163277.91</v>
      </c>
      <c r="L1144" t="s">
        <v>52</v>
      </c>
      <c r="M1144" s="2">
        <v>45988</v>
      </c>
      <c r="N1144" s="2">
        <v>45985</v>
      </c>
      <c r="O1144" t="s">
        <v>43</v>
      </c>
      <c r="P1144" t="s">
        <v>53</v>
      </c>
      <c r="Q1144" t="s">
        <v>28</v>
      </c>
      <c r="R1144" t="s">
        <v>29</v>
      </c>
    </row>
    <row r="1145" spans="1:18">
      <c r="A1145" t="s">
        <v>1276</v>
      </c>
      <c r="B1145" s="2">
        <v>45701</v>
      </c>
      <c r="C1145" t="s">
        <v>71</v>
      </c>
      <c r="D1145" t="s">
        <v>72</v>
      </c>
      <c r="E1145" t="s">
        <v>21</v>
      </c>
      <c r="F1145" t="s">
        <v>57</v>
      </c>
      <c r="G1145" t="s">
        <v>86</v>
      </c>
      <c r="H1145" t="s">
        <v>87</v>
      </c>
      <c r="I1145">
        <v>2</v>
      </c>
      <c r="J1145" s="3">
        <v>10590.07</v>
      </c>
      <c r="K1145" s="3">
        <v>21180.14</v>
      </c>
      <c r="L1145" t="s">
        <v>52</v>
      </c>
      <c r="M1145" s="2">
        <v>45709</v>
      </c>
      <c r="N1145" s="2">
        <v>45724</v>
      </c>
      <c r="O1145" t="s">
        <v>43</v>
      </c>
      <c r="P1145" t="s">
        <v>27</v>
      </c>
      <c r="Q1145" t="s">
        <v>28</v>
      </c>
      <c r="R1145" t="s">
        <v>129</v>
      </c>
    </row>
    <row r="1146" spans="1:18">
      <c r="A1146" t="s">
        <v>1277</v>
      </c>
      <c r="B1146" s="2">
        <v>45982</v>
      </c>
      <c r="C1146" t="s">
        <v>37</v>
      </c>
      <c r="D1146" t="s">
        <v>38</v>
      </c>
      <c r="E1146" t="s">
        <v>39</v>
      </c>
      <c r="F1146" t="s">
        <v>40</v>
      </c>
      <c r="G1146" t="s">
        <v>62</v>
      </c>
      <c r="H1146" t="s">
        <v>63</v>
      </c>
      <c r="I1146">
        <v>7</v>
      </c>
      <c r="J1146" s="3">
        <v>19366.8</v>
      </c>
      <c r="K1146" s="3">
        <v>135567.6</v>
      </c>
      <c r="L1146" t="s">
        <v>25</v>
      </c>
      <c r="M1146" s="2">
        <v>45995</v>
      </c>
      <c r="N1146" s="2">
        <v>45995</v>
      </c>
      <c r="O1146" t="s">
        <v>76</v>
      </c>
      <c r="P1146" t="s">
        <v>44</v>
      </c>
      <c r="Q1146" t="s">
        <v>28</v>
      </c>
      <c r="R1146" t="s">
        <v>29</v>
      </c>
    </row>
    <row r="1147" spans="1:18">
      <c r="A1147" t="s">
        <v>1278</v>
      </c>
      <c r="B1147" s="2">
        <v>46053</v>
      </c>
      <c r="C1147" t="s">
        <v>134</v>
      </c>
      <c r="D1147" t="s">
        <v>135</v>
      </c>
      <c r="E1147" t="s">
        <v>112</v>
      </c>
      <c r="F1147" t="s">
        <v>40</v>
      </c>
      <c r="G1147" t="s">
        <v>149</v>
      </c>
      <c r="H1147" t="s">
        <v>150</v>
      </c>
      <c r="I1147">
        <v>19</v>
      </c>
      <c r="J1147" s="3">
        <v>1399.32</v>
      </c>
      <c r="K1147" s="3">
        <v>26587.08</v>
      </c>
      <c r="L1147" t="s">
        <v>34</v>
      </c>
      <c r="M1147" s="2">
        <v>46064</v>
      </c>
      <c r="N1147" s="2">
        <v>46061</v>
      </c>
      <c r="O1147" t="s">
        <v>76</v>
      </c>
      <c r="P1147" t="s">
        <v>115</v>
      </c>
      <c r="Q1147" t="s">
        <v>28</v>
      </c>
      <c r="R1147" t="s">
        <v>29</v>
      </c>
    </row>
    <row r="1148" spans="1:18">
      <c r="A1148" t="s">
        <v>1279</v>
      </c>
      <c r="B1148" s="2">
        <v>45790</v>
      </c>
      <c r="C1148" t="s">
        <v>142</v>
      </c>
      <c r="D1148" t="s">
        <v>143</v>
      </c>
      <c r="E1148" t="s">
        <v>31</v>
      </c>
      <c r="F1148" t="s">
        <v>22</v>
      </c>
      <c r="G1148" t="s">
        <v>32</v>
      </c>
      <c r="H1148" t="s">
        <v>33</v>
      </c>
      <c r="I1148">
        <v>4</v>
      </c>
      <c r="J1148" s="3">
        <v>7746.92</v>
      </c>
      <c r="K1148" s="3">
        <v>30987.68</v>
      </c>
      <c r="L1148" t="s">
        <v>34</v>
      </c>
      <c r="M1148" s="2">
        <v>45796</v>
      </c>
      <c r="N1148" s="2">
        <v>45795</v>
      </c>
      <c r="O1148" t="s">
        <v>43</v>
      </c>
      <c r="P1148" t="s">
        <v>94</v>
      </c>
      <c r="Q1148" t="s">
        <v>28</v>
      </c>
      <c r="R1148" t="s">
        <v>29</v>
      </c>
    </row>
    <row r="1149" spans="1:18">
      <c r="A1149" t="s">
        <v>1280</v>
      </c>
      <c r="B1149" s="2">
        <v>45787</v>
      </c>
      <c r="C1149" t="s">
        <v>80</v>
      </c>
      <c r="D1149" t="s">
        <v>81</v>
      </c>
      <c r="E1149" t="s">
        <v>39</v>
      </c>
      <c r="F1149" t="s">
        <v>82</v>
      </c>
      <c r="G1149" t="s">
        <v>83</v>
      </c>
      <c r="H1149" t="s">
        <v>84</v>
      </c>
      <c r="I1149">
        <v>8</v>
      </c>
      <c r="J1149" s="3">
        <v>695.06</v>
      </c>
      <c r="K1149" s="3">
        <v>5560.48</v>
      </c>
      <c r="L1149" t="s">
        <v>25</v>
      </c>
      <c r="M1149" s="2">
        <v>45798</v>
      </c>
      <c r="N1149" s="2">
        <v>45798</v>
      </c>
      <c r="O1149" t="s">
        <v>60</v>
      </c>
      <c r="P1149" t="s">
        <v>44</v>
      </c>
      <c r="Q1149" t="s">
        <v>28</v>
      </c>
      <c r="R1149" t="s">
        <v>29</v>
      </c>
    </row>
    <row r="1150" spans="1:18">
      <c r="A1150" t="s">
        <v>1281</v>
      </c>
      <c r="B1150" s="2">
        <v>46159</v>
      </c>
      <c r="C1150" t="s">
        <v>104</v>
      </c>
      <c r="D1150" t="s">
        <v>105</v>
      </c>
      <c r="E1150" t="s">
        <v>48</v>
      </c>
      <c r="F1150" t="s">
        <v>49</v>
      </c>
      <c r="G1150" t="s">
        <v>165</v>
      </c>
      <c r="H1150" t="s">
        <v>166</v>
      </c>
      <c r="I1150">
        <v>2</v>
      </c>
      <c r="J1150" s="3">
        <v>43868.49</v>
      </c>
      <c r="K1150" s="3">
        <v>87736.98</v>
      </c>
      <c r="L1150" t="s">
        <v>34</v>
      </c>
      <c r="M1150" s="2">
        <v>46170</v>
      </c>
      <c r="N1150" s="2">
        <v>46170</v>
      </c>
      <c r="O1150" t="s">
        <v>26</v>
      </c>
      <c r="P1150" t="s">
        <v>53</v>
      </c>
      <c r="Q1150" t="s">
        <v>28</v>
      </c>
      <c r="R1150" t="s">
        <v>29</v>
      </c>
    </row>
    <row r="1151" spans="1:18">
      <c r="A1151" t="s">
        <v>1282</v>
      </c>
      <c r="B1151" s="2">
        <v>46016</v>
      </c>
      <c r="C1151" t="s">
        <v>71</v>
      </c>
      <c r="D1151" t="s">
        <v>72</v>
      </c>
      <c r="E1151" t="s">
        <v>21</v>
      </c>
      <c r="F1151" t="s">
        <v>57</v>
      </c>
      <c r="G1151" t="s">
        <v>58</v>
      </c>
      <c r="H1151" t="s">
        <v>59</v>
      </c>
      <c r="I1151">
        <v>3</v>
      </c>
      <c r="J1151" s="3">
        <v>52378.27</v>
      </c>
      <c r="K1151" s="3">
        <v>157134.81</v>
      </c>
      <c r="L1151" t="s">
        <v>52</v>
      </c>
      <c r="M1151" s="2">
        <v>46027</v>
      </c>
      <c r="N1151" s="2">
        <v>46038</v>
      </c>
      <c r="O1151" t="s">
        <v>76</v>
      </c>
      <c r="P1151" t="s">
        <v>27</v>
      </c>
      <c r="Q1151" t="s">
        <v>28</v>
      </c>
      <c r="R1151" t="s">
        <v>129</v>
      </c>
    </row>
    <row r="1152" spans="1:18">
      <c r="A1152" t="s">
        <v>1283</v>
      </c>
      <c r="B1152" s="2">
        <v>45750</v>
      </c>
      <c r="C1152" t="s">
        <v>66</v>
      </c>
      <c r="D1152" t="s">
        <v>67</v>
      </c>
      <c r="E1152" t="s">
        <v>48</v>
      </c>
      <c r="F1152" t="s">
        <v>49</v>
      </c>
      <c r="G1152" t="s">
        <v>68</v>
      </c>
      <c r="H1152" t="s">
        <v>69</v>
      </c>
      <c r="I1152">
        <v>1</v>
      </c>
      <c r="J1152" s="3">
        <v>47018.239999999998</v>
      </c>
      <c r="K1152" s="3">
        <v>47018.239999999998</v>
      </c>
      <c r="L1152" t="s">
        <v>25</v>
      </c>
      <c r="M1152" s="2">
        <v>45761</v>
      </c>
      <c r="N1152" s="2">
        <v>45776</v>
      </c>
      <c r="O1152" t="s">
        <v>60</v>
      </c>
      <c r="P1152" t="s">
        <v>53</v>
      </c>
      <c r="Q1152" t="s">
        <v>28</v>
      </c>
      <c r="R1152" t="s">
        <v>129</v>
      </c>
    </row>
    <row r="1153" spans="1:18">
      <c r="A1153" t="s">
        <v>1284</v>
      </c>
      <c r="B1153" s="2">
        <v>46138</v>
      </c>
      <c r="C1153" t="s">
        <v>142</v>
      </c>
      <c r="D1153" t="s">
        <v>143</v>
      </c>
      <c r="E1153" t="s">
        <v>73</v>
      </c>
      <c r="F1153" t="s">
        <v>22</v>
      </c>
      <c r="G1153" t="s">
        <v>23</v>
      </c>
      <c r="H1153" t="s">
        <v>24</v>
      </c>
      <c r="I1153">
        <v>18</v>
      </c>
      <c r="J1153" s="3">
        <v>251.01</v>
      </c>
      <c r="K1153" s="3">
        <v>4518.18</v>
      </c>
      <c r="L1153" t="s">
        <v>52</v>
      </c>
      <c r="M1153" s="2">
        <v>46152</v>
      </c>
      <c r="N1153" s="2">
        <v>46151</v>
      </c>
      <c r="O1153" t="s">
        <v>43</v>
      </c>
      <c r="P1153" t="s">
        <v>77</v>
      </c>
      <c r="Q1153" t="s">
        <v>28</v>
      </c>
      <c r="R1153" t="s">
        <v>29</v>
      </c>
    </row>
    <row r="1154" spans="1:18">
      <c r="A1154" t="s">
        <v>1285</v>
      </c>
      <c r="B1154" s="2">
        <v>45844</v>
      </c>
      <c r="C1154" t="s">
        <v>142</v>
      </c>
      <c r="D1154" t="s">
        <v>143</v>
      </c>
      <c r="E1154" t="s">
        <v>31</v>
      </c>
      <c r="F1154" t="s">
        <v>22</v>
      </c>
      <c r="G1154" t="s">
        <v>32</v>
      </c>
      <c r="H1154" t="s">
        <v>33</v>
      </c>
      <c r="I1154">
        <v>3</v>
      </c>
      <c r="J1154" s="3">
        <v>7777.18</v>
      </c>
      <c r="K1154" s="3">
        <v>23331.54</v>
      </c>
      <c r="L1154" t="s">
        <v>34</v>
      </c>
      <c r="M1154" s="2">
        <v>45850</v>
      </c>
      <c r="N1154" s="2">
        <v>45848</v>
      </c>
      <c r="O1154" t="s">
        <v>43</v>
      </c>
      <c r="P1154" t="s">
        <v>35</v>
      </c>
      <c r="Q1154" t="s">
        <v>28</v>
      </c>
      <c r="R1154" t="s">
        <v>29</v>
      </c>
    </row>
    <row r="1155" spans="1:18">
      <c r="A1155" t="s">
        <v>1286</v>
      </c>
      <c r="B1155" s="2">
        <v>45899</v>
      </c>
      <c r="C1155" t="s">
        <v>19</v>
      </c>
      <c r="D1155" t="s">
        <v>20</v>
      </c>
      <c r="E1155" t="s">
        <v>39</v>
      </c>
      <c r="F1155" t="s">
        <v>22</v>
      </c>
      <c r="G1155" t="s">
        <v>160</v>
      </c>
      <c r="H1155" t="s">
        <v>161</v>
      </c>
      <c r="I1155">
        <v>4</v>
      </c>
      <c r="J1155" s="3">
        <v>2997.53</v>
      </c>
      <c r="K1155" s="3">
        <v>11990.12</v>
      </c>
      <c r="L1155" t="s">
        <v>25</v>
      </c>
      <c r="M1155" s="2">
        <v>45916</v>
      </c>
      <c r="N1155" s="2">
        <v>45915</v>
      </c>
      <c r="O1155" t="s">
        <v>76</v>
      </c>
      <c r="P1155" t="s">
        <v>44</v>
      </c>
      <c r="Q1155" t="s">
        <v>28</v>
      </c>
      <c r="R1155" t="s">
        <v>29</v>
      </c>
    </row>
    <row r="1156" spans="1:18">
      <c r="A1156" t="s">
        <v>1287</v>
      </c>
      <c r="B1156" s="2">
        <v>46085</v>
      </c>
      <c r="C1156" t="s">
        <v>104</v>
      </c>
      <c r="D1156" t="s">
        <v>105</v>
      </c>
      <c r="E1156" t="s">
        <v>48</v>
      </c>
      <c r="F1156" t="s">
        <v>49</v>
      </c>
      <c r="G1156" t="s">
        <v>68</v>
      </c>
      <c r="H1156" t="s">
        <v>69</v>
      </c>
      <c r="I1156">
        <v>1</v>
      </c>
      <c r="J1156" s="3">
        <v>49571.6</v>
      </c>
      <c r="K1156" s="3">
        <v>49571.6</v>
      </c>
      <c r="L1156" t="s">
        <v>25</v>
      </c>
      <c r="M1156" s="2">
        <v>46093</v>
      </c>
      <c r="N1156" s="2">
        <v>46091</v>
      </c>
      <c r="O1156" t="s">
        <v>76</v>
      </c>
      <c r="P1156" t="s">
        <v>53</v>
      </c>
      <c r="Q1156" t="s">
        <v>28</v>
      </c>
      <c r="R1156" t="s">
        <v>29</v>
      </c>
    </row>
    <row r="1157" spans="1:18">
      <c r="A1157" t="s">
        <v>1288</v>
      </c>
      <c r="B1157" s="2">
        <v>45777</v>
      </c>
      <c r="C1157" t="s">
        <v>117</v>
      </c>
      <c r="D1157" t="s">
        <v>118</v>
      </c>
      <c r="E1157" t="s">
        <v>73</v>
      </c>
      <c r="F1157" t="s">
        <v>57</v>
      </c>
      <c r="G1157" t="s">
        <v>74</v>
      </c>
      <c r="H1157" t="s">
        <v>75</v>
      </c>
      <c r="I1157">
        <v>8</v>
      </c>
      <c r="J1157" s="3">
        <v>8821.3799999999992</v>
      </c>
      <c r="K1157" s="3">
        <v>70571.039999999994</v>
      </c>
      <c r="L1157" t="s">
        <v>25</v>
      </c>
      <c r="M1157" s="2">
        <v>45783</v>
      </c>
      <c r="N1157" s="2">
        <v>45781</v>
      </c>
      <c r="O1157" t="s">
        <v>60</v>
      </c>
      <c r="P1157" t="s">
        <v>77</v>
      </c>
      <c r="Q1157" t="s">
        <v>28</v>
      </c>
      <c r="R1157" t="s">
        <v>29</v>
      </c>
    </row>
    <row r="1158" spans="1:18">
      <c r="A1158" t="s">
        <v>1289</v>
      </c>
      <c r="B1158" s="2">
        <v>45773</v>
      </c>
      <c r="C1158" t="s">
        <v>46</v>
      </c>
      <c r="D1158" t="s">
        <v>47</v>
      </c>
      <c r="E1158" t="s">
        <v>48</v>
      </c>
      <c r="F1158" t="s">
        <v>49</v>
      </c>
      <c r="G1158" t="s">
        <v>50</v>
      </c>
      <c r="H1158" t="s">
        <v>51</v>
      </c>
      <c r="I1158">
        <v>3</v>
      </c>
      <c r="J1158" s="3">
        <v>55684.88</v>
      </c>
      <c r="K1158" s="3">
        <v>167054.64000000001</v>
      </c>
      <c r="L1158" t="s">
        <v>34</v>
      </c>
      <c r="M1158" s="2">
        <v>45781</v>
      </c>
      <c r="N1158" s="2">
        <v>45781</v>
      </c>
      <c r="O1158" t="s">
        <v>43</v>
      </c>
      <c r="P1158" t="s">
        <v>53</v>
      </c>
      <c r="Q1158" t="s">
        <v>28</v>
      </c>
      <c r="R1158" t="s">
        <v>29</v>
      </c>
    </row>
    <row r="1159" spans="1:18">
      <c r="A1159" t="s">
        <v>1290</v>
      </c>
      <c r="B1159" s="2">
        <v>46031</v>
      </c>
      <c r="C1159" t="s">
        <v>117</v>
      </c>
      <c r="D1159" t="s">
        <v>118</v>
      </c>
      <c r="E1159" t="s">
        <v>48</v>
      </c>
      <c r="F1159" t="s">
        <v>57</v>
      </c>
      <c r="G1159" t="s">
        <v>127</v>
      </c>
      <c r="H1159" t="s">
        <v>128</v>
      </c>
      <c r="I1159">
        <v>1</v>
      </c>
      <c r="J1159" s="3">
        <v>15861.24</v>
      </c>
      <c r="K1159" s="3">
        <v>15861.24</v>
      </c>
      <c r="L1159" t="s">
        <v>34</v>
      </c>
      <c r="M1159" s="2">
        <v>46040</v>
      </c>
      <c r="N1159" s="2">
        <v>46037</v>
      </c>
      <c r="O1159" t="s">
        <v>60</v>
      </c>
      <c r="P1159" t="s">
        <v>53</v>
      </c>
      <c r="Q1159" t="s">
        <v>28</v>
      </c>
      <c r="R1159" t="s">
        <v>29</v>
      </c>
    </row>
    <row r="1160" spans="1:18">
      <c r="A1160" t="s">
        <v>1291</v>
      </c>
      <c r="B1160" s="2">
        <v>46023</v>
      </c>
      <c r="C1160" t="s">
        <v>71</v>
      </c>
      <c r="D1160" t="s">
        <v>72</v>
      </c>
      <c r="E1160" t="s">
        <v>31</v>
      </c>
      <c r="F1160" t="s">
        <v>57</v>
      </c>
      <c r="G1160" t="s">
        <v>101</v>
      </c>
      <c r="H1160" t="s">
        <v>102</v>
      </c>
      <c r="I1160">
        <v>55</v>
      </c>
      <c r="J1160" s="3">
        <v>1755.94</v>
      </c>
      <c r="K1160" s="3">
        <v>96576.7</v>
      </c>
      <c r="L1160" t="s">
        <v>25</v>
      </c>
      <c r="M1160" s="2">
        <v>46041</v>
      </c>
      <c r="N1160" s="2">
        <v>46040</v>
      </c>
      <c r="O1160" t="s">
        <v>76</v>
      </c>
      <c r="P1160" t="s">
        <v>94</v>
      </c>
      <c r="Q1160" t="s">
        <v>28</v>
      </c>
      <c r="R1160" t="s">
        <v>29</v>
      </c>
    </row>
    <row r="1161" spans="1:18">
      <c r="A1161" t="s">
        <v>1292</v>
      </c>
      <c r="B1161" s="2">
        <v>45986</v>
      </c>
      <c r="C1161" t="s">
        <v>37</v>
      </c>
      <c r="D1161" t="s">
        <v>38</v>
      </c>
      <c r="E1161" t="s">
        <v>39</v>
      </c>
      <c r="F1161" t="s">
        <v>22</v>
      </c>
      <c r="G1161" t="s">
        <v>23</v>
      </c>
      <c r="H1161" t="s">
        <v>24</v>
      </c>
      <c r="I1161">
        <v>60</v>
      </c>
      <c r="J1161" s="3">
        <v>265.12</v>
      </c>
      <c r="K1161" s="3">
        <v>15907.2</v>
      </c>
      <c r="L1161" t="s">
        <v>34</v>
      </c>
      <c r="M1161" s="2">
        <v>45992</v>
      </c>
      <c r="N1161" s="2">
        <v>45996</v>
      </c>
      <c r="O1161" t="s">
        <v>26</v>
      </c>
      <c r="P1161" t="s">
        <v>44</v>
      </c>
      <c r="Q1161" t="s">
        <v>28</v>
      </c>
      <c r="R1161" t="s">
        <v>129</v>
      </c>
    </row>
    <row r="1162" spans="1:18">
      <c r="A1162" t="s">
        <v>1293</v>
      </c>
      <c r="B1162" s="2">
        <v>45682</v>
      </c>
      <c r="C1162" t="s">
        <v>37</v>
      </c>
      <c r="D1162" t="s">
        <v>38</v>
      </c>
      <c r="E1162" t="s">
        <v>39</v>
      </c>
      <c r="F1162" t="s">
        <v>40</v>
      </c>
      <c r="G1162" t="s">
        <v>149</v>
      </c>
      <c r="H1162" t="s">
        <v>150</v>
      </c>
      <c r="I1162">
        <v>5</v>
      </c>
      <c r="J1162" s="3">
        <v>1493.75</v>
      </c>
      <c r="K1162" s="3">
        <v>7468.75</v>
      </c>
      <c r="L1162" t="s">
        <v>25</v>
      </c>
      <c r="M1162" s="2">
        <v>45696</v>
      </c>
      <c r="N1162" s="2">
        <v>45693</v>
      </c>
      <c r="O1162" t="s">
        <v>60</v>
      </c>
      <c r="P1162" t="s">
        <v>64</v>
      </c>
      <c r="Q1162" t="s">
        <v>28</v>
      </c>
      <c r="R1162" t="s">
        <v>29</v>
      </c>
    </row>
    <row r="1163" spans="1:18">
      <c r="A1163" t="s">
        <v>1294</v>
      </c>
      <c r="B1163" s="2">
        <v>45775</v>
      </c>
      <c r="C1163" t="s">
        <v>142</v>
      </c>
      <c r="D1163" t="s">
        <v>143</v>
      </c>
      <c r="E1163" t="s">
        <v>39</v>
      </c>
      <c r="F1163" t="s">
        <v>22</v>
      </c>
      <c r="G1163" t="s">
        <v>32</v>
      </c>
      <c r="H1163" t="s">
        <v>33</v>
      </c>
      <c r="I1163">
        <v>2</v>
      </c>
      <c r="J1163" s="3">
        <v>7633.49</v>
      </c>
      <c r="K1163" s="3">
        <v>15266.98</v>
      </c>
      <c r="L1163" t="s">
        <v>25</v>
      </c>
      <c r="M1163" s="2">
        <v>45793</v>
      </c>
      <c r="N1163" s="2">
        <v>45790</v>
      </c>
      <c r="O1163" t="s">
        <v>26</v>
      </c>
      <c r="P1163" t="s">
        <v>64</v>
      </c>
      <c r="Q1163" t="s">
        <v>28</v>
      </c>
      <c r="R1163" t="s">
        <v>29</v>
      </c>
    </row>
    <row r="1164" spans="1:18">
      <c r="A1164" t="s">
        <v>1295</v>
      </c>
      <c r="B1164" s="2">
        <v>45775</v>
      </c>
      <c r="C1164" t="s">
        <v>117</v>
      </c>
      <c r="D1164" t="s">
        <v>118</v>
      </c>
      <c r="E1164" t="s">
        <v>48</v>
      </c>
      <c r="F1164" t="s">
        <v>57</v>
      </c>
      <c r="G1164" t="s">
        <v>101</v>
      </c>
      <c r="H1164" t="s">
        <v>102</v>
      </c>
      <c r="I1164">
        <v>13</v>
      </c>
      <c r="J1164" s="3">
        <v>1806.19</v>
      </c>
      <c r="K1164" s="3">
        <v>23480.47</v>
      </c>
      <c r="L1164" t="s">
        <v>34</v>
      </c>
      <c r="M1164" s="2">
        <v>45782</v>
      </c>
      <c r="N1164" s="2">
        <v>45793</v>
      </c>
      <c r="O1164" t="s">
        <v>60</v>
      </c>
      <c r="P1164" t="s">
        <v>53</v>
      </c>
      <c r="Q1164" t="s">
        <v>28</v>
      </c>
      <c r="R1164" t="s">
        <v>129</v>
      </c>
    </row>
    <row r="1165" spans="1:18">
      <c r="A1165" t="s">
        <v>1296</v>
      </c>
      <c r="B1165" s="2">
        <v>45912</v>
      </c>
      <c r="C1165" t="s">
        <v>142</v>
      </c>
      <c r="D1165" t="s">
        <v>143</v>
      </c>
      <c r="E1165" t="s">
        <v>31</v>
      </c>
      <c r="F1165" t="s">
        <v>22</v>
      </c>
      <c r="G1165" t="s">
        <v>23</v>
      </c>
      <c r="H1165" t="s">
        <v>24</v>
      </c>
      <c r="I1165">
        <v>32</v>
      </c>
      <c r="J1165" s="3">
        <v>247.81</v>
      </c>
      <c r="K1165" s="3">
        <v>7929.92</v>
      </c>
      <c r="L1165" t="s">
        <v>34</v>
      </c>
      <c r="M1165" s="2">
        <v>45923</v>
      </c>
      <c r="N1165" s="2">
        <v>45923</v>
      </c>
      <c r="O1165" t="s">
        <v>60</v>
      </c>
      <c r="P1165" t="s">
        <v>35</v>
      </c>
      <c r="Q1165" t="s">
        <v>28</v>
      </c>
      <c r="R1165" t="s">
        <v>29</v>
      </c>
    </row>
    <row r="1166" spans="1:18">
      <c r="A1166" t="s">
        <v>1297</v>
      </c>
      <c r="B1166" s="2">
        <v>46191</v>
      </c>
      <c r="C1166" t="s">
        <v>104</v>
      </c>
      <c r="D1166" t="s">
        <v>105</v>
      </c>
      <c r="E1166" t="s">
        <v>48</v>
      </c>
      <c r="F1166" t="s">
        <v>49</v>
      </c>
      <c r="G1166" t="s">
        <v>50</v>
      </c>
      <c r="H1166" t="s">
        <v>51</v>
      </c>
      <c r="I1166">
        <v>3</v>
      </c>
      <c r="J1166" s="3">
        <v>51251.23</v>
      </c>
      <c r="K1166" s="3">
        <v>153753.69</v>
      </c>
      <c r="L1166" t="s">
        <v>52</v>
      </c>
      <c r="M1166" s="2">
        <v>46206</v>
      </c>
      <c r="N1166" s="2">
        <v>46205</v>
      </c>
      <c r="O1166" t="s">
        <v>76</v>
      </c>
      <c r="P1166" t="s">
        <v>53</v>
      </c>
      <c r="Q1166" t="s">
        <v>28</v>
      </c>
      <c r="R1166" t="s">
        <v>29</v>
      </c>
    </row>
    <row r="1167" spans="1:18">
      <c r="A1167" t="s">
        <v>1298</v>
      </c>
      <c r="B1167" s="2">
        <v>45811</v>
      </c>
      <c r="C1167" t="s">
        <v>142</v>
      </c>
      <c r="D1167" t="s">
        <v>143</v>
      </c>
      <c r="E1167" t="s">
        <v>73</v>
      </c>
      <c r="F1167" t="s">
        <v>22</v>
      </c>
      <c r="G1167" t="s">
        <v>32</v>
      </c>
      <c r="H1167" t="s">
        <v>33</v>
      </c>
      <c r="I1167">
        <v>6</v>
      </c>
      <c r="J1167" s="3">
        <v>8082.5</v>
      </c>
      <c r="K1167" s="3">
        <v>48495</v>
      </c>
      <c r="L1167" t="s">
        <v>34</v>
      </c>
      <c r="M1167" s="2">
        <v>45827</v>
      </c>
      <c r="N1167" s="2">
        <v>45827</v>
      </c>
      <c r="O1167" t="s">
        <v>43</v>
      </c>
      <c r="P1167" t="s">
        <v>77</v>
      </c>
      <c r="Q1167" t="s">
        <v>28</v>
      </c>
      <c r="R1167" t="s">
        <v>29</v>
      </c>
    </row>
    <row r="1168" spans="1:18">
      <c r="A1168" t="s">
        <v>1299</v>
      </c>
      <c r="B1168" s="2">
        <v>46011</v>
      </c>
      <c r="C1168" t="s">
        <v>66</v>
      </c>
      <c r="D1168" t="s">
        <v>67</v>
      </c>
      <c r="E1168" t="s">
        <v>48</v>
      </c>
      <c r="F1168" t="s">
        <v>49</v>
      </c>
      <c r="G1168" t="s">
        <v>113</v>
      </c>
      <c r="H1168" t="s">
        <v>114</v>
      </c>
      <c r="I1168">
        <v>2</v>
      </c>
      <c r="J1168" s="3">
        <v>36144.83</v>
      </c>
      <c r="K1168" s="3">
        <v>72289.66</v>
      </c>
      <c r="L1168" t="s">
        <v>25</v>
      </c>
      <c r="M1168" s="2">
        <v>46017</v>
      </c>
      <c r="N1168" s="2">
        <v>46016</v>
      </c>
      <c r="O1168" t="s">
        <v>76</v>
      </c>
      <c r="P1168" t="s">
        <v>53</v>
      </c>
      <c r="Q1168" t="s">
        <v>28</v>
      </c>
      <c r="R1168" t="s">
        <v>29</v>
      </c>
    </row>
    <row r="1169" spans="1:18">
      <c r="A1169" t="s">
        <v>1300</v>
      </c>
      <c r="B1169" s="2">
        <v>46033</v>
      </c>
      <c r="C1169" t="s">
        <v>71</v>
      </c>
      <c r="D1169" t="s">
        <v>72</v>
      </c>
      <c r="E1169" t="s">
        <v>48</v>
      </c>
      <c r="F1169" t="s">
        <v>57</v>
      </c>
      <c r="G1169" t="s">
        <v>86</v>
      </c>
      <c r="H1169" t="s">
        <v>87</v>
      </c>
      <c r="I1169">
        <v>2</v>
      </c>
      <c r="J1169" s="3">
        <v>10022.219999999999</v>
      </c>
      <c r="K1169" s="3">
        <v>20044.439999999999</v>
      </c>
      <c r="L1169" t="s">
        <v>25</v>
      </c>
      <c r="M1169" s="2">
        <v>46049</v>
      </c>
      <c r="N1169" s="2">
        <v>46049</v>
      </c>
      <c r="O1169" t="s">
        <v>60</v>
      </c>
      <c r="P1169" t="s">
        <v>53</v>
      </c>
      <c r="Q1169" t="s">
        <v>28</v>
      </c>
      <c r="R1169" t="s">
        <v>29</v>
      </c>
    </row>
    <row r="1170" spans="1:18">
      <c r="A1170" t="s">
        <v>1301</v>
      </c>
      <c r="B1170" s="2">
        <v>46090</v>
      </c>
      <c r="C1170" t="s">
        <v>71</v>
      </c>
      <c r="D1170" t="s">
        <v>72</v>
      </c>
      <c r="E1170" t="s">
        <v>31</v>
      </c>
      <c r="F1170" t="s">
        <v>57</v>
      </c>
      <c r="G1170" t="s">
        <v>86</v>
      </c>
      <c r="H1170" t="s">
        <v>87</v>
      </c>
      <c r="I1170">
        <v>3</v>
      </c>
      <c r="J1170" s="3">
        <v>10039.26</v>
      </c>
      <c r="K1170" s="3">
        <v>30117.78</v>
      </c>
      <c r="L1170" t="s">
        <v>34</v>
      </c>
      <c r="M1170" s="2">
        <v>46104</v>
      </c>
      <c r="N1170" s="2">
        <v>46101</v>
      </c>
      <c r="O1170" t="s">
        <v>43</v>
      </c>
      <c r="P1170" t="s">
        <v>35</v>
      </c>
      <c r="Q1170" t="s">
        <v>28</v>
      </c>
      <c r="R1170" t="s">
        <v>29</v>
      </c>
    </row>
    <row r="1171" spans="1:18">
      <c r="A1171" t="s">
        <v>1302</v>
      </c>
      <c r="B1171" s="2">
        <v>45680</v>
      </c>
      <c r="C1171" t="s">
        <v>134</v>
      </c>
      <c r="D1171" t="s">
        <v>135</v>
      </c>
      <c r="E1171" t="s">
        <v>39</v>
      </c>
      <c r="F1171" t="s">
        <v>40</v>
      </c>
      <c r="G1171" t="s">
        <v>41</v>
      </c>
      <c r="H1171" t="s">
        <v>42</v>
      </c>
      <c r="I1171">
        <v>14</v>
      </c>
      <c r="J1171" s="3">
        <v>5310.88</v>
      </c>
      <c r="K1171" s="3">
        <v>74352.320000000007</v>
      </c>
      <c r="L1171" t="s">
        <v>25</v>
      </c>
      <c r="M1171" s="2">
        <v>45687</v>
      </c>
      <c r="N1171" s="2">
        <v>45687</v>
      </c>
      <c r="O1171" t="s">
        <v>76</v>
      </c>
      <c r="P1171" t="s">
        <v>64</v>
      </c>
      <c r="Q1171" t="s">
        <v>28</v>
      </c>
      <c r="R1171" t="s">
        <v>29</v>
      </c>
    </row>
    <row r="1172" spans="1:18">
      <c r="A1172" t="s">
        <v>1303</v>
      </c>
      <c r="B1172" s="2">
        <v>45913</v>
      </c>
      <c r="C1172" t="s">
        <v>147</v>
      </c>
      <c r="D1172" t="s">
        <v>148</v>
      </c>
      <c r="E1172" t="s">
        <v>39</v>
      </c>
      <c r="F1172" t="s">
        <v>40</v>
      </c>
      <c r="G1172" t="s">
        <v>62</v>
      </c>
      <c r="H1172" t="s">
        <v>63</v>
      </c>
      <c r="I1172">
        <v>8</v>
      </c>
      <c r="J1172" s="3">
        <v>17951.78</v>
      </c>
      <c r="K1172" s="3">
        <v>143614.24</v>
      </c>
      <c r="L1172" t="s">
        <v>34</v>
      </c>
      <c r="M1172" s="2">
        <v>45923</v>
      </c>
      <c r="N1172" s="2">
        <v>45921</v>
      </c>
      <c r="O1172" t="s">
        <v>76</v>
      </c>
      <c r="P1172" t="s">
        <v>44</v>
      </c>
      <c r="Q1172" t="s">
        <v>28</v>
      </c>
      <c r="R1172" t="s">
        <v>29</v>
      </c>
    </row>
    <row r="1173" spans="1:18">
      <c r="A1173" t="s">
        <v>1304</v>
      </c>
      <c r="B1173" s="2">
        <v>46014</v>
      </c>
      <c r="C1173" t="s">
        <v>142</v>
      </c>
      <c r="D1173" t="s">
        <v>143</v>
      </c>
      <c r="E1173" t="s">
        <v>73</v>
      </c>
      <c r="F1173" t="s">
        <v>22</v>
      </c>
      <c r="G1173" t="s">
        <v>23</v>
      </c>
      <c r="H1173" t="s">
        <v>24</v>
      </c>
      <c r="I1173">
        <v>13</v>
      </c>
      <c r="J1173" s="3">
        <v>253.76</v>
      </c>
      <c r="K1173" s="3">
        <v>3298.88</v>
      </c>
      <c r="L1173" t="s">
        <v>25</v>
      </c>
      <c r="M1173" s="2">
        <v>46032</v>
      </c>
      <c r="N1173" s="2">
        <v>46029</v>
      </c>
      <c r="O1173" t="s">
        <v>43</v>
      </c>
      <c r="P1173" t="s">
        <v>77</v>
      </c>
      <c r="Q1173" t="s">
        <v>28</v>
      </c>
      <c r="R1173" t="s">
        <v>29</v>
      </c>
    </row>
    <row r="1174" spans="1:18">
      <c r="A1174" t="s">
        <v>1305</v>
      </c>
      <c r="B1174" s="2">
        <v>45718</v>
      </c>
      <c r="C1174" t="s">
        <v>117</v>
      </c>
      <c r="D1174" t="s">
        <v>118</v>
      </c>
      <c r="E1174" t="s">
        <v>48</v>
      </c>
      <c r="F1174" t="s">
        <v>57</v>
      </c>
      <c r="G1174" t="s">
        <v>101</v>
      </c>
      <c r="H1174" t="s">
        <v>102</v>
      </c>
      <c r="I1174">
        <v>52</v>
      </c>
      <c r="J1174" s="3">
        <v>1872.01</v>
      </c>
      <c r="K1174" s="3">
        <v>97344.52</v>
      </c>
      <c r="L1174" t="s">
        <v>25</v>
      </c>
      <c r="M1174" s="2">
        <v>45735</v>
      </c>
      <c r="N1174" s="2">
        <v>45734</v>
      </c>
      <c r="O1174" t="s">
        <v>60</v>
      </c>
      <c r="P1174" t="s">
        <v>53</v>
      </c>
      <c r="Q1174" t="s">
        <v>28</v>
      </c>
      <c r="R1174" t="s">
        <v>29</v>
      </c>
    </row>
    <row r="1175" spans="1:18">
      <c r="A1175" t="s">
        <v>1306</v>
      </c>
      <c r="B1175" s="2">
        <v>45750</v>
      </c>
      <c r="C1175" t="s">
        <v>142</v>
      </c>
      <c r="D1175" t="s">
        <v>143</v>
      </c>
      <c r="E1175" t="s">
        <v>73</v>
      </c>
      <c r="F1175" t="s">
        <v>22</v>
      </c>
      <c r="G1175" t="s">
        <v>32</v>
      </c>
      <c r="H1175" t="s">
        <v>33</v>
      </c>
      <c r="I1175">
        <v>12</v>
      </c>
      <c r="J1175" s="3">
        <v>7556.39</v>
      </c>
      <c r="K1175" s="3">
        <v>90676.68</v>
      </c>
      <c r="L1175" t="s">
        <v>25</v>
      </c>
      <c r="M1175" s="2">
        <v>45765</v>
      </c>
      <c r="N1175" s="2">
        <v>45765</v>
      </c>
      <c r="O1175" t="s">
        <v>43</v>
      </c>
      <c r="P1175" t="s">
        <v>77</v>
      </c>
      <c r="Q1175" t="s">
        <v>28</v>
      </c>
      <c r="R1175" t="s">
        <v>29</v>
      </c>
    </row>
    <row r="1176" spans="1:18">
      <c r="A1176" t="s">
        <v>1307</v>
      </c>
      <c r="B1176" s="2">
        <v>46132</v>
      </c>
      <c r="C1176" t="s">
        <v>117</v>
      </c>
      <c r="D1176" t="s">
        <v>118</v>
      </c>
      <c r="E1176" t="s">
        <v>31</v>
      </c>
      <c r="F1176" t="s">
        <v>57</v>
      </c>
      <c r="G1176" t="s">
        <v>74</v>
      </c>
      <c r="H1176" t="s">
        <v>75</v>
      </c>
      <c r="I1176">
        <v>12</v>
      </c>
      <c r="J1176" s="3">
        <v>8415.42</v>
      </c>
      <c r="K1176" s="3">
        <v>100985.04</v>
      </c>
      <c r="L1176" t="s">
        <v>34</v>
      </c>
      <c r="M1176" s="2">
        <v>46140</v>
      </c>
      <c r="N1176" s="2">
        <v>46140</v>
      </c>
      <c r="O1176" t="s">
        <v>76</v>
      </c>
      <c r="P1176" t="s">
        <v>35</v>
      </c>
      <c r="Q1176" t="s">
        <v>28</v>
      </c>
      <c r="R1176" t="s">
        <v>29</v>
      </c>
    </row>
    <row r="1177" spans="1:18">
      <c r="A1177" t="s">
        <v>1308</v>
      </c>
      <c r="B1177" s="2">
        <v>46161</v>
      </c>
      <c r="C1177" t="s">
        <v>71</v>
      </c>
      <c r="D1177" t="s">
        <v>72</v>
      </c>
      <c r="E1177" t="s">
        <v>48</v>
      </c>
      <c r="F1177" t="s">
        <v>57</v>
      </c>
      <c r="G1177" t="s">
        <v>101</v>
      </c>
      <c r="H1177" t="s">
        <v>102</v>
      </c>
      <c r="I1177">
        <v>41</v>
      </c>
      <c r="J1177" s="3">
        <v>1619.92</v>
      </c>
      <c r="K1177" s="3">
        <v>66416.72</v>
      </c>
      <c r="L1177" t="s">
        <v>52</v>
      </c>
      <c r="M1177" s="2">
        <v>46172</v>
      </c>
      <c r="N1177" s="2">
        <v>46182</v>
      </c>
      <c r="O1177" t="s">
        <v>76</v>
      </c>
      <c r="P1177" t="s">
        <v>53</v>
      </c>
      <c r="Q1177" t="s">
        <v>28</v>
      </c>
      <c r="R1177" t="s">
        <v>129</v>
      </c>
    </row>
    <row r="1178" spans="1:18">
      <c r="A1178" t="s">
        <v>1309</v>
      </c>
      <c r="B1178" s="2">
        <v>46094</v>
      </c>
      <c r="C1178" t="s">
        <v>117</v>
      </c>
      <c r="D1178" t="s">
        <v>118</v>
      </c>
      <c r="E1178" t="s">
        <v>31</v>
      </c>
      <c r="F1178" t="s">
        <v>57</v>
      </c>
      <c r="G1178" t="s">
        <v>101</v>
      </c>
      <c r="H1178" t="s">
        <v>102</v>
      </c>
      <c r="I1178">
        <v>26</v>
      </c>
      <c r="J1178" s="3">
        <v>1832.06</v>
      </c>
      <c r="K1178" s="3">
        <v>47633.56</v>
      </c>
      <c r="L1178" t="s">
        <v>34</v>
      </c>
      <c r="M1178" s="2">
        <v>46102</v>
      </c>
      <c r="N1178" s="2">
        <v>46101</v>
      </c>
      <c r="O1178" t="s">
        <v>26</v>
      </c>
      <c r="P1178" t="s">
        <v>35</v>
      </c>
      <c r="Q1178" t="s">
        <v>28</v>
      </c>
      <c r="R1178" t="s">
        <v>29</v>
      </c>
    </row>
    <row r="1179" spans="1:18">
      <c r="A1179" t="s">
        <v>1310</v>
      </c>
      <c r="B1179" s="2">
        <v>46061</v>
      </c>
      <c r="C1179" t="s">
        <v>134</v>
      </c>
      <c r="D1179" t="s">
        <v>135</v>
      </c>
      <c r="E1179" t="s">
        <v>39</v>
      </c>
      <c r="F1179" t="s">
        <v>40</v>
      </c>
      <c r="G1179" t="s">
        <v>41</v>
      </c>
      <c r="H1179" t="s">
        <v>42</v>
      </c>
      <c r="I1179">
        <v>12</v>
      </c>
      <c r="J1179" s="3">
        <v>5587.72</v>
      </c>
      <c r="K1179" s="3">
        <v>67052.639999999999</v>
      </c>
      <c r="L1179" t="s">
        <v>25</v>
      </c>
      <c r="M1179" s="2">
        <v>46079</v>
      </c>
      <c r="N1179" s="2">
        <v>46079</v>
      </c>
      <c r="O1179" t="s">
        <v>76</v>
      </c>
      <c r="P1179" t="s">
        <v>44</v>
      </c>
      <c r="Q1179" t="s">
        <v>28</v>
      </c>
      <c r="R1179" t="s">
        <v>29</v>
      </c>
    </row>
    <row r="1180" spans="1:18">
      <c r="A1180" t="s">
        <v>1311</v>
      </c>
      <c r="B1180" s="2">
        <v>46082</v>
      </c>
      <c r="C1180" t="s">
        <v>66</v>
      </c>
      <c r="D1180" t="s">
        <v>67</v>
      </c>
      <c r="E1180" t="s">
        <v>21</v>
      </c>
      <c r="F1180" t="s">
        <v>49</v>
      </c>
      <c r="G1180" t="s">
        <v>113</v>
      </c>
      <c r="H1180" t="s">
        <v>114</v>
      </c>
      <c r="I1180">
        <v>1</v>
      </c>
      <c r="J1180" s="3">
        <v>38023.279999999999</v>
      </c>
      <c r="K1180" s="3">
        <v>38023.279999999999</v>
      </c>
      <c r="L1180" t="s">
        <v>25</v>
      </c>
      <c r="M1180" s="2">
        <v>46094</v>
      </c>
      <c r="N1180" s="2">
        <v>46091</v>
      </c>
      <c r="O1180" t="s">
        <v>76</v>
      </c>
      <c r="P1180" t="s">
        <v>27</v>
      </c>
      <c r="Q1180" t="s">
        <v>28</v>
      </c>
      <c r="R1180" t="s">
        <v>29</v>
      </c>
    </row>
    <row r="1181" spans="1:18">
      <c r="A1181" t="s">
        <v>1312</v>
      </c>
      <c r="B1181" s="2">
        <v>45926</v>
      </c>
      <c r="C1181" t="s">
        <v>37</v>
      </c>
      <c r="D1181" t="s">
        <v>38</v>
      </c>
      <c r="E1181" t="s">
        <v>31</v>
      </c>
      <c r="F1181" t="s">
        <v>22</v>
      </c>
      <c r="G1181" t="s">
        <v>23</v>
      </c>
      <c r="H1181" t="s">
        <v>24</v>
      </c>
      <c r="I1181">
        <v>49</v>
      </c>
      <c r="J1181" s="3">
        <v>264.95</v>
      </c>
      <c r="K1181" s="3">
        <v>12982.55</v>
      </c>
      <c r="L1181" t="s">
        <v>34</v>
      </c>
      <c r="M1181" s="2">
        <v>45944</v>
      </c>
      <c r="N1181" s="2">
        <v>45942</v>
      </c>
      <c r="O1181" t="s">
        <v>76</v>
      </c>
      <c r="P1181" t="s">
        <v>94</v>
      </c>
      <c r="Q1181" t="s">
        <v>28</v>
      </c>
      <c r="R1181" t="s">
        <v>29</v>
      </c>
    </row>
    <row r="1182" spans="1:18">
      <c r="A1182" t="s">
        <v>1313</v>
      </c>
      <c r="B1182" s="2">
        <v>45725</v>
      </c>
      <c r="C1182" t="s">
        <v>147</v>
      </c>
      <c r="D1182" t="s">
        <v>148</v>
      </c>
      <c r="E1182" t="s">
        <v>39</v>
      </c>
      <c r="F1182" t="s">
        <v>40</v>
      </c>
      <c r="G1182" t="s">
        <v>41</v>
      </c>
      <c r="H1182" t="s">
        <v>42</v>
      </c>
      <c r="I1182">
        <v>14</v>
      </c>
      <c r="J1182" s="3">
        <v>5115.5</v>
      </c>
      <c r="K1182" s="3">
        <v>71617</v>
      </c>
      <c r="L1182" t="s">
        <v>34</v>
      </c>
      <c r="M1182" s="2">
        <v>45739</v>
      </c>
      <c r="N1182" s="2">
        <v>45736</v>
      </c>
      <c r="O1182" t="s">
        <v>60</v>
      </c>
      <c r="P1182" t="s">
        <v>64</v>
      </c>
      <c r="Q1182" t="s">
        <v>28</v>
      </c>
      <c r="R1182" t="s">
        <v>29</v>
      </c>
    </row>
    <row r="1183" spans="1:18">
      <c r="A1183" t="s">
        <v>1314</v>
      </c>
      <c r="B1183" s="2">
        <v>45724</v>
      </c>
      <c r="C1183" t="s">
        <v>37</v>
      </c>
      <c r="D1183" t="s">
        <v>38</v>
      </c>
      <c r="E1183" t="s">
        <v>31</v>
      </c>
      <c r="F1183" t="s">
        <v>22</v>
      </c>
      <c r="G1183" t="s">
        <v>23</v>
      </c>
      <c r="H1183" t="s">
        <v>24</v>
      </c>
      <c r="I1183">
        <v>40</v>
      </c>
      <c r="J1183" s="3">
        <v>260.68</v>
      </c>
      <c r="K1183" s="3">
        <v>10427.200000000001</v>
      </c>
      <c r="L1183" t="s">
        <v>52</v>
      </c>
      <c r="M1183" s="2">
        <v>45740</v>
      </c>
      <c r="N1183" s="2">
        <v>45737</v>
      </c>
      <c r="O1183" t="s">
        <v>43</v>
      </c>
      <c r="P1183" t="s">
        <v>94</v>
      </c>
      <c r="Q1183" t="s">
        <v>28</v>
      </c>
      <c r="R1183" t="s">
        <v>29</v>
      </c>
    </row>
    <row r="1184" spans="1:18">
      <c r="A1184" t="s">
        <v>1315</v>
      </c>
      <c r="B1184" s="2">
        <v>45879</v>
      </c>
      <c r="C1184" t="s">
        <v>134</v>
      </c>
      <c r="D1184" t="s">
        <v>135</v>
      </c>
      <c r="E1184" t="s">
        <v>112</v>
      </c>
      <c r="F1184" t="s">
        <v>40</v>
      </c>
      <c r="G1184" t="s">
        <v>62</v>
      </c>
      <c r="H1184" t="s">
        <v>63</v>
      </c>
      <c r="I1184">
        <v>3</v>
      </c>
      <c r="J1184" s="3">
        <v>18173.32</v>
      </c>
      <c r="K1184" s="3">
        <v>54519.96</v>
      </c>
      <c r="L1184" t="s">
        <v>25</v>
      </c>
      <c r="M1184" s="2">
        <v>45896</v>
      </c>
      <c r="N1184" s="2">
        <v>45895</v>
      </c>
      <c r="O1184" t="s">
        <v>76</v>
      </c>
      <c r="P1184" t="s">
        <v>115</v>
      </c>
      <c r="Q1184" t="s">
        <v>28</v>
      </c>
      <c r="R1184" t="s">
        <v>29</v>
      </c>
    </row>
    <row r="1185" spans="1:18">
      <c r="A1185" t="s">
        <v>1316</v>
      </c>
      <c r="B1185" s="2">
        <v>45726</v>
      </c>
      <c r="C1185" t="s">
        <v>37</v>
      </c>
      <c r="D1185" t="s">
        <v>38</v>
      </c>
      <c r="E1185" t="s">
        <v>112</v>
      </c>
      <c r="F1185" t="s">
        <v>22</v>
      </c>
      <c r="G1185" t="s">
        <v>160</v>
      </c>
      <c r="H1185" t="s">
        <v>161</v>
      </c>
      <c r="I1185">
        <v>3</v>
      </c>
      <c r="J1185" s="3">
        <v>3737.14</v>
      </c>
      <c r="K1185" s="3">
        <v>11211.42</v>
      </c>
      <c r="L1185" t="s">
        <v>25</v>
      </c>
      <c r="M1185" s="2">
        <v>45731</v>
      </c>
      <c r="N1185" s="2">
        <v>45731</v>
      </c>
      <c r="O1185" t="s">
        <v>26</v>
      </c>
      <c r="P1185" t="s">
        <v>115</v>
      </c>
      <c r="Q1185" t="s">
        <v>28</v>
      </c>
      <c r="R1185" t="s">
        <v>29</v>
      </c>
    </row>
    <row r="1186" spans="1:18">
      <c r="A1186" t="s">
        <v>1317</v>
      </c>
      <c r="B1186" s="2">
        <v>45749</v>
      </c>
      <c r="C1186" t="s">
        <v>71</v>
      </c>
      <c r="D1186" t="s">
        <v>72</v>
      </c>
      <c r="E1186" t="s">
        <v>48</v>
      </c>
      <c r="F1186" t="s">
        <v>57</v>
      </c>
      <c r="G1186" t="s">
        <v>120</v>
      </c>
      <c r="H1186" t="s">
        <v>121</v>
      </c>
      <c r="I1186">
        <v>2</v>
      </c>
      <c r="J1186" s="3">
        <v>20812.82</v>
      </c>
      <c r="K1186" s="3">
        <v>41625.64</v>
      </c>
      <c r="L1186" t="s">
        <v>25</v>
      </c>
      <c r="M1186" s="2">
        <v>45767</v>
      </c>
      <c r="N1186" s="2">
        <v>45767</v>
      </c>
      <c r="O1186" t="s">
        <v>60</v>
      </c>
      <c r="P1186" t="s">
        <v>53</v>
      </c>
      <c r="Q1186" t="s">
        <v>28</v>
      </c>
      <c r="R1186" t="s">
        <v>29</v>
      </c>
    </row>
    <row r="1187" spans="1:18">
      <c r="A1187" t="s">
        <v>1318</v>
      </c>
      <c r="B1187" s="2">
        <v>45772</v>
      </c>
      <c r="C1187" t="s">
        <v>37</v>
      </c>
      <c r="D1187" t="s">
        <v>38</v>
      </c>
      <c r="E1187" t="s">
        <v>73</v>
      </c>
      <c r="F1187" t="s">
        <v>22</v>
      </c>
      <c r="G1187" t="s">
        <v>32</v>
      </c>
      <c r="H1187" t="s">
        <v>33</v>
      </c>
      <c r="I1187">
        <v>10</v>
      </c>
      <c r="J1187" s="3">
        <v>8390.4699999999993</v>
      </c>
      <c r="K1187" s="3">
        <v>83904.7</v>
      </c>
      <c r="L1187" t="s">
        <v>34</v>
      </c>
      <c r="M1187" s="2">
        <v>45781</v>
      </c>
      <c r="N1187" s="2">
        <v>45781</v>
      </c>
      <c r="O1187" t="s">
        <v>43</v>
      </c>
      <c r="P1187" t="s">
        <v>77</v>
      </c>
      <c r="Q1187" t="s">
        <v>28</v>
      </c>
      <c r="R1187" t="s">
        <v>29</v>
      </c>
    </row>
    <row r="1188" spans="1:18">
      <c r="A1188" t="s">
        <v>1319</v>
      </c>
      <c r="B1188" s="2">
        <v>45924</v>
      </c>
      <c r="C1188" t="s">
        <v>37</v>
      </c>
      <c r="D1188" t="s">
        <v>38</v>
      </c>
      <c r="E1188" t="s">
        <v>39</v>
      </c>
      <c r="F1188" t="s">
        <v>22</v>
      </c>
      <c r="G1188" t="s">
        <v>160</v>
      </c>
      <c r="H1188" t="s">
        <v>161</v>
      </c>
      <c r="I1188">
        <v>9</v>
      </c>
      <c r="J1188" s="3">
        <v>3503.67</v>
      </c>
      <c r="K1188" s="3">
        <v>31533.03</v>
      </c>
      <c r="L1188" t="s">
        <v>34</v>
      </c>
      <c r="M1188" s="2">
        <v>45937</v>
      </c>
      <c r="N1188" s="2">
        <v>45936</v>
      </c>
      <c r="O1188" t="s">
        <v>60</v>
      </c>
      <c r="P1188" t="s">
        <v>44</v>
      </c>
      <c r="Q1188" t="s">
        <v>28</v>
      </c>
      <c r="R1188" t="s">
        <v>29</v>
      </c>
    </row>
    <row r="1189" spans="1:18">
      <c r="A1189" t="s">
        <v>1320</v>
      </c>
      <c r="B1189" s="2">
        <v>45834</v>
      </c>
      <c r="C1189" t="s">
        <v>96</v>
      </c>
      <c r="D1189" t="s">
        <v>97</v>
      </c>
      <c r="E1189" t="s">
        <v>39</v>
      </c>
      <c r="F1189" t="s">
        <v>82</v>
      </c>
      <c r="G1189" t="s">
        <v>83</v>
      </c>
      <c r="H1189" t="s">
        <v>84</v>
      </c>
      <c r="I1189">
        <v>47</v>
      </c>
      <c r="J1189" s="3">
        <v>719.07</v>
      </c>
      <c r="K1189" s="3">
        <v>33796.29</v>
      </c>
      <c r="L1189" t="s">
        <v>34</v>
      </c>
      <c r="M1189" s="2">
        <v>45840</v>
      </c>
      <c r="N1189" s="2">
        <v>45839</v>
      </c>
      <c r="O1189" t="s">
        <v>60</v>
      </c>
      <c r="P1189" t="s">
        <v>64</v>
      </c>
      <c r="Q1189" t="s">
        <v>28</v>
      </c>
      <c r="R1189" t="s">
        <v>29</v>
      </c>
    </row>
    <row r="1190" spans="1:18">
      <c r="A1190" t="s">
        <v>1321</v>
      </c>
      <c r="B1190" s="2">
        <v>45964</v>
      </c>
      <c r="C1190" t="s">
        <v>96</v>
      </c>
      <c r="D1190" t="s">
        <v>97</v>
      </c>
      <c r="E1190" t="s">
        <v>39</v>
      </c>
      <c r="F1190" t="s">
        <v>82</v>
      </c>
      <c r="G1190" t="s">
        <v>197</v>
      </c>
      <c r="H1190" t="s">
        <v>198</v>
      </c>
      <c r="I1190">
        <v>36</v>
      </c>
      <c r="J1190" s="3">
        <v>2066.29</v>
      </c>
      <c r="K1190" s="3">
        <v>74386.44</v>
      </c>
      <c r="L1190" t="s">
        <v>34</v>
      </c>
      <c r="M1190" s="2">
        <v>45979</v>
      </c>
      <c r="N1190" s="2">
        <v>45977</v>
      </c>
      <c r="O1190" t="s">
        <v>60</v>
      </c>
      <c r="P1190" t="s">
        <v>64</v>
      </c>
      <c r="Q1190" t="s">
        <v>28</v>
      </c>
      <c r="R1190" t="s">
        <v>29</v>
      </c>
    </row>
    <row r="1191" spans="1:18">
      <c r="A1191" t="s">
        <v>1322</v>
      </c>
      <c r="B1191" s="2">
        <v>46059</v>
      </c>
      <c r="C1191" t="s">
        <v>37</v>
      </c>
      <c r="D1191" t="s">
        <v>38</v>
      </c>
      <c r="E1191" t="s">
        <v>112</v>
      </c>
      <c r="F1191" t="s">
        <v>40</v>
      </c>
      <c r="G1191" t="s">
        <v>41</v>
      </c>
      <c r="H1191" t="s">
        <v>42</v>
      </c>
      <c r="I1191">
        <v>4</v>
      </c>
      <c r="J1191" s="3">
        <v>5853.09</v>
      </c>
      <c r="K1191" s="3">
        <v>23412.36</v>
      </c>
      <c r="L1191" t="s">
        <v>34</v>
      </c>
      <c r="M1191" s="2">
        <v>46075</v>
      </c>
      <c r="N1191" s="2">
        <v>46075</v>
      </c>
      <c r="O1191" t="s">
        <v>60</v>
      </c>
      <c r="P1191" t="s">
        <v>115</v>
      </c>
      <c r="Q1191" t="s">
        <v>28</v>
      </c>
      <c r="R1191" t="s">
        <v>29</v>
      </c>
    </row>
    <row r="1192" spans="1:18">
      <c r="A1192" t="s">
        <v>1323</v>
      </c>
      <c r="B1192" s="2">
        <v>46021</v>
      </c>
      <c r="C1192" t="s">
        <v>142</v>
      </c>
      <c r="D1192" t="s">
        <v>143</v>
      </c>
      <c r="E1192" t="s">
        <v>31</v>
      </c>
      <c r="F1192" t="s">
        <v>22</v>
      </c>
      <c r="G1192" t="s">
        <v>32</v>
      </c>
      <c r="H1192" t="s">
        <v>33</v>
      </c>
      <c r="I1192">
        <v>11</v>
      </c>
      <c r="J1192" s="3">
        <v>7830.23</v>
      </c>
      <c r="K1192" s="3">
        <v>86132.53</v>
      </c>
      <c r="L1192" t="s">
        <v>25</v>
      </c>
      <c r="M1192" s="2">
        <v>46038</v>
      </c>
      <c r="N1192" s="2">
        <v>46037</v>
      </c>
      <c r="O1192" t="s">
        <v>60</v>
      </c>
      <c r="P1192" t="s">
        <v>35</v>
      </c>
      <c r="Q1192" t="s">
        <v>28</v>
      </c>
      <c r="R1192" t="s">
        <v>29</v>
      </c>
    </row>
    <row r="1193" spans="1:18">
      <c r="A1193" t="s">
        <v>1324</v>
      </c>
      <c r="B1193" s="2">
        <v>46129</v>
      </c>
      <c r="C1193" t="s">
        <v>104</v>
      </c>
      <c r="D1193" t="s">
        <v>105</v>
      </c>
      <c r="E1193" t="s">
        <v>112</v>
      </c>
      <c r="F1193" t="s">
        <v>49</v>
      </c>
      <c r="G1193" t="s">
        <v>68</v>
      </c>
      <c r="H1193" t="s">
        <v>69</v>
      </c>
      <c r="I1193">
        <v>3</v>
      </c>
      <c r="J1193" s="3">
        <v>48844.79</v>
      </c>
      <c r="K1193" s="3">
        <v>146534.37</v>
      </c>
      <c r="L1193" t="s">
        <v>34</v>
      </c>
      <c r="M1193" s="2">
        <v>46140</v>
      </c>
      <c r="N1193" s="2">
        <v>46138</v>
      </c>
      <c r="O1193" t="s">
        <v>60</v>
      </c>
      <c r="P1193" t="s">
        <v>115</v>
      </c>
      <c r="Q1193" t="s">
        <v>28</v>
      </c>
      <c r="R1193" t="s">
        <v>29</v>
      </c>
    </row>
    <row r="1194" spans="1:18">
      <c r="A1194" t="s">
        <v>1325</v>
      </c>
      <c r="B1194" s="2">
        <v>46097</v>
      </c>
      <c r="C1194" t="s">
        <v>104</v>
      </c>
      <c r="D1194" t="s">
        <v>105</v>
      </c>
      <c r="E1194" t="s">
        <v>73</v>
      </c>
      <c r="F1194" t="s">
        <v>49</v>
      </c>
      <c r="G1194" t="s">
        <v>50</v>
      </c>
      <c r="H1194" t="s">
        <v>51</v>
      </c>
      <c r="I1194">
        <v>3</v>
      </c>
      <c r="J1194" s="3">
        <v>49974.36</v>
      </c>
      <c r="K1194" s="3">
        <v>149923.07999999999</v>
      </c>
      <c r="L1194" t="s">
        <v>25</v>
      </c>
      <c r="M1194" s="2">
        <v>46107</v>
      </c>
      <c r="N1194" s="2">
        <v>46106</v>
      </c>
      <c r="O1194" t="s">
        <v>76</v>
      </c>
      <c r="P1194" t="s">
        <v>77</v>
      </c>
      <c r="Q1194" t="s">
        <v>28</v>
      </c>
      <c r="R1194" t="s">
        <v>29</v>
      </c>
    </row>
    <row r="1195" spans="1:18">
      <c r="A1195" t="s">
        <v>1326</v>
      </c>
      <c r="B1195" s="2">
        <v>46074</v>
      </c>
      <c r="C1195" t="s">
        <v>89</v>
      </c>
      <c r="D1195" t="s">
        <v>90</v>
      </c>
      <c r="E1195" t="s">
        <v>31</v>
      </c>
      <c r="F1195" t="s">
        <v>91</v>
      </c>
      <c r="G1195" t="s">
        <v>92</v>
      </c>
      <c r="H1195" t="s">
        <v>93</v>
      </c>
      <c r="I1195">
        <v>3</v>
      </c>
      <c r="J1195" s="3">
        <v>41832.49</v>
      </c>
      <c r="K1195" s="3">
        <v>125497.47</v>
      </c>
      <c r="L1195" t="s">
        <v>25</v>
      </c>
      <c r="M1195" s="2">
        <v>46082</v>
      </c>
      <c r="N1195" s="2">
        <v>46079</v>
      </c>
      <c r="O1195" t="s">
        <v>76</v>
      </c>
      <c r="P1195" t="s">
        <v>35</v>
      </c>
      <c r="Q1195" t="s">
        <v>28</v>
      </c>
      <c r="R1195" t="s">
        <v>29</v>
      </c>
    </row>
    <row r="1196" spans="1:18">
      <c r="A1196" t="s">
        <v>1327</v>
      </c>
      <c r="B1196" s="2">
        <v>46149</v>
      </c>
      <c r="C1196" t="s">
        <v>46</v>
      </c>
      <c r="D1196" t="s">
        <v>47</v>
      </c>
      <c r="E1196" t="s">
        <v>112</v>
      </c>
      <c r="F1196" t="s">
        <v>49</v>
      </c>
      <c r="G1196" t="s">
        <v>68</v>
      </c>
      <c r="H1196" t="s">
        <v>69</v>
      </c>
      <c r="I1196">
        <v>1</v>
      </c>
      <c r="J1196" s="3">
        <v>49156.87</v>
      </c>
      <c r="K1196" s="3">
        <v>49156.87</v>
      </c>
      <c r="L1196" t="s">
        <v>25</v>
      </c>
      <c r="M1196" s="2">
        <v>46163</v>
      </c>
      <c r="N1196" s="2">
        <v>46163</v>
      </c>
      <c r="O1196" t="s">
        <v>26</v>
      </c>
      <c r="P1196" t="s">
        <v>115</v>
      </c>
      <c r="Q1196" t="s">
        <v>28</v>
      </c>
      <c r="R1196" t="s">
        <v>29</v>
      </c>
    </row>
    <row r="1197" spans="1:18">
      <c r="A1197" t="s">
        <v>1328</v>
      </c>
      <c r="B1197" s="2">
        <v>45912</v>
      </c>
      <c r="C1197" t="s">
        <v>71</v>
      </c>
      <c r="D1197" t="s">
        <v>72</v>
      </c>
      <c r="E1197" t="s">
        <v>48</v>
      </c>
      <c r="F1197" t="s">
        <v>57</v>
      </c>
      <c r="G1197" t="s">
        <v>86</v>
      </c>
      <c r="H1197" t="s">
        <v>87</v>
      </c>
      <c r="I1197">
        <v>4</v>
      </c>
      <c r="J1197" s="3">
        <v>9883.35</v>
      </c>
      <c r="K1197" s="3">
        <v>39533.4</v>
      </c>
      <c r="L1197" t="s">
        <v>25</v>
      </c>
      <c r="M1197" s="2">
        <v>45924</v>
      </c>
      <c r="N1197" s="2">
        <v>45924</v>
      </c>
      <c r="O1197" t="s">
        <v>26</v>
      </c>
      <c r="P1197" t="s">
        <v>53</v>
      </c>
      <c r="Q1197" t="s">
        <v>28</v>
      </c>
      <c r="R1197" t="s">
        <v>29</v>
      </c>
    </row>
    <row r="1198" spans="1:18">
      <c r="A1198" t="s">
        <v>1329</v>
      </c>
      <c r="B1198" s="2">
        <v>45918</v>
      </c>
      <c r="C1198" t="s">
        <v>71</v>
      </c>
      <c r="D1198" t="s">
        <v>72</v>
      </c>
      <c r="E1198" t="s">
        <v>31</v>
      </c>
      <c r="F1198" t="s">
        <v>57</v>
      </c>
      <c r="G1198" t="s">
        <v>58</v>
      </c>
      <c r="H1198" t="s">
        <v>59</v>
      </c>
      <c r="I1198">
        <v>3</v>
      </c>
      <c r="J1198" s="3">
        <v>54460.99</v>
      </c>
      <c r="K1198" s="3">
        <v>163382.97</v>
      </c>
      <c r="L1198" t="s">
        <v>34</v>
      </c>
      <c r="M1198" s="2">
        <v>45928</v>
      </c>
      <c r="N1198" s="2">
        <v>45926</v>
      </c>
      <c r="O1198" t="s">
        <v>60</v>
      </c>
      <c r="P1198" t="s">
        <v>94</v>
      </c>
      <c r="Q1198" t="s">
        <v>28</v>
      </c>
      <c r="R1198" t="s">
        <v>29</v>
      </c>
    </row>
    <row r="1199" spans="1:18">
      <c r="A1199" t="s">
        <v>1330</v>
      </c>
      <c r="B1199" s="2">
        <v>45926</v>
      </c>
      <c r="C1199" t="s">
        <v>147</v>
      </c>
      <c r="D1199" t="s">
        <v>148</v>
      </c>
      <c r="E1199" t="s">
        <v>39</v>
      </c>
      <c r="F1199" t="s">
        <v>40</v>
      </c>
      <c r="G1199" t="s">
        <v>41</v>
      </c>
      <c r="H1199" t="s">
        <v>42</v>
      </c>
      <c r="I1199">
        <v>5</v>
      </c>
      <c r="J1199" s="3">
        <v>5301.84</v>
      </c>
      <c r="K1199" s="3">
        <v>26509.200000000001</v>
      </c>
      <c r="L1199" t="s">
        <v>25</v>
      </c>
      <c r="M1199" s="2">
        <v>45931</v>
      </c>
      <c r="N1199" s="2">
        <v>45928</v>
      </c>
      <c r="O1199" t="s">
        <v>43</v>
      </c>
      <c r="P1199" t="s">
        <v>44</v>
      </c>
      <c r="Q1199" t="s">
        <v>28</v>
      </c>
      <c r="R1199" t="s">
        <v>29</v>
      </c>
    </row>
    <row r="1200" spans="1:18">
      <c r="A1200" t="s">
        <v>1331</v>
      </c>
      <c r="B1200" s="2">
        <v>45724</v>
      </c>
      <c r="C1200" t="s">
        <v>134</v>
      </c>
      <c r="D1200" t="s">
        <v>135</v>
      </c>
      <c r="E1200" t="s">
        <v>39</v>
      </c>
      <c r="F1200" t="s">
        <v>40</v>
      </c>
      <c r="G1200" t="s">
        <v>41</v>
      </c>
      <c r="H1200" t="s">
        <v>42</v>
      </c>
      <c r="I1200">
        <v>12</v>
      </c>
      <c r="J1200" s="3">
        <v>5648.82</v>
      </c>
      <c r="K1200" s="3">
        <v>67785.84</v>
      </c>
      <c r="L1200" t="s">
        <v>34</v>
      </c>
      <c r="M1200" s="2">
        <v>45729</v>
      </c>
      <c r="N1200" s="2">
        <v>45726</v>
      </c>
      <c r="O1200" t="s">
        <v>26</v>
      </c>
      <c r="P1200" t="s">
        <v>64</v>
      </c>
      <c r="Q1200" t="s">
        <v>28</v>
      </c>
      <c r="R1200" t="s">
        <v>29</v>
      </c>
    </row>
    <row r="1201" spans="1:18">
      <c r="A1201" t="s">
        <v>1332</v>
      </c>
      <c r="B1201" s="2">
        <v>45936</v>
      </c>
      <c r="C1201" t="s">
        <v>71</v>
      </c>
      <c r="D1201" t="s">
        <v>72</v>
      </c>
      <c r="E1201" t="s">
        <v>21</v>
      </c>
      <c r="F1201" t="s">
        <v>57</v>
      </c>
      <c r="G1201" t="s">
        <v>101</v>
      </c>
      <c r="H1201" t="s">
        <v>102</v>
      </c>
      <c r="I1201">
        <v>44</v>
      </c>
      <c r="J1201" s="3">
        <v>1743.39</v>
      </c>
      <c r="K1201" s="3">
        <v>76709.16</v>
      </c>
      <c r="L1201" t="s">
        <v>52</v>
      </c>
      <c r="M1201" s="2">
        <v>45943</v>
      </c>
      <c r="N1201" s="2">
        <v>45940</v>
      </c>
      <c r="O1201" t="s">
        <v>60</v>
      </c>
      <c r="P1201" t="s">
        <v>27</v>
      </c>
      <c r="Q1201" t="s">
        <v>28</v>
      </c>
      <c r="R1201" t="s">
        <v>29</v>
      </c>
    </row>
    <row r="1202" spans="1:18">
      <c r="A1202" t="s">
        <v>1333</v>
      </c>
      <c r="B1202" s="2">
        <v>46108</v>
      </c>
      <c r="C1202" t="s">
        <v>19</v>
      </c>
      <c r="D1202" t="s">
        <v>20</v>
      </c>
      <c r="E1202" t="s">
        <v>31</v>
      </c>
      <c r="F1202" t="s">
        <v>22</v>
      </c>
      <c r="G1202" t="s">
        <v>160</v>
      </c>
      <c r="H1202" t="s">
        <v>161</v>
      </c>
      <c r="I1202">
        <v>6</v>
      </c>
      <c r="J1202" s="3">
        <v>3040.84</v>
      </c>
      <c r="K1202" s="3">
        <v>18245.04</v>
      </c>
      <c r="L1202" t="s">
        <v>34</v>
      </c>
      <c r="M1202" s="2">
        <v>46118</v>
      </c>
      <c r="N1202" s="2">
        <v>46116</v>
      </c>
      <c r="O1202" t="s">
        <v>43</v>
      </c>
      <c r="P1202" t="s">
        <v>94</v>
      </c>
      <c r="Q1202" t="s">
        <v>28</v>
      </c>
      <c r="R1202" t="s">
        <v>29</v>
      </c>
    </row>
    <row r="1203" spans="1:18">
      <c r="A1203" t="s">
        <v>1334</v>
      </c>
      <c r="B1203" s="2">
        <v>45785</v>
      </c>
      <c r="C1203" t="s">
        <v>71</v>
      </c>
      <c r="D1203" t="s">
        <v>72</v>
      </c>
      <c r="E1203" t="s">
        <v>48</v>
      </c>
      <c r="F1203" t="s">
        <v>57</v>
      </c>
      <c r="G1203" t="s">
        <v>101</v>
      </c>
      <c r="H1203" t="s">
        <v>102</v>
      </c>
      <c r="I1203">
        <v>28</v>
      </c>
      <c r="J1203" s="3">
        <v>1734.5</v>
      </c>
      <c r="K1203" s="3">
        <v>48566</v>
      </c>
      <c r="L1203" t="s">
        <v>52</v>
      </c>
      <c r="M1203" s="2">
        <v>45793</v>
      </c>
      <c r="N1203" s="2">
        <v>45790</v>
      </c>
      <c r="O1203" t="s">
        <v>43</v>
      </c>
      <c r="P1203" t="s">
        <v>53</v>
      </c>
      <c r="Q1203" t="s">
        <v>28</v>
      </c>
      <c r="R1203" t="s">
        <v>29</v>
      </c>
    </row>
    <row r="1204" spans="1:18">
      <c r="A1204" t="s">
        <v>1335</v>
      </c>
      <c r="B1204" s="2">
        <v>45774</v>
      </c>
      <c r="C1204" t="s">
        <v>96</v>
      </c>
      <c r="D1204" t="s">
        <v>97</v>
      </c>
      <c r="E1204" t="s">
        <v>39</v>
      </c>
      <c r="F1204" t="s">
        <v>82</v>
      </c>
      <c r="G1204" t="s">
        <v>197</v>
      </c>
      <c r="H1204" t="s">
        <v>198</v>
      </c>
      <c r="I1204">
        <v>39</v>
      </c>
      <c r="J1204" s="3">
        <v>2195.08</v>
      </c>
      <c r="K1204" s="3">
        <v>85608.12</v>
      </c>
      <c r="L1204" t="s">
        <v>25</v>
      </c>
      <c r="M1204" s="2">
        <v>45791</v>
      </c>
      <c r="N1204" s="2">
        <v>45788</v>
      </c>
      <c r="O1204" t="s">
        <v>76</v>
      </c>
      <c r="P1204" t="s">
        <v>64</v>
      </c>
      <c r="Q1204" t="s">
        <v>28</v>
      </c>
      <c r="R1204" t="s">
        <v>29</v>
      </c>
    </row>
    <row r="1205" spans="1:18">
      <c r="A1205" t="s">
        <v>1336</v>
      </c>
      <c r="B1205" s="2">
        <v>45786</v>
      </c>
      <c r="C1205" t="s">
        <v>71</v>
      </c>
      <c r="D1205" t="s">
        <v>72</v>
      </c>
      <c r="E1205" t="s">
        <v>31</v>
      </c>
      <c r="F1205" t="s">
        <v>57</v>
      </c>
      <c r="G1205" t="s">
        <v>58</v>
      </c>
      <c r="H1205" t="s">
        <v>59</v>
      </c>
      <c r="I1205">
        <v>1</v>
      </c>
      <c r="J1205" s="3">
        <v>52921.36</v>
      </c>
      <c r="K1205" s="3">
        <v>52921.36</v>
      </c>
      <c r="L1205" t="s">
        <v>34</v>
      </c>
      <c r="M1205" s="2">
        <v>45791</v>
      </c>
      <c r="N1205" s="2">
        <v>45803</v>
      </c>
      <c r="O1205" t="s">
        <v>76</v>
      </c>
      <c r="P1205" t="s">
        <v>94</v>
      </c>
      <c r="Q1205" t="s">
        <v>28</v>
      </c>
      <c r="R1205" t="s">
        <v>129</v>
      </c>
    </row>
    <row r="1206" spans="1:18">
      <c r="A1206" t="s">
        <v>1337</v>
      </c>
      <c r="B1206" s="2">
        <v>45963</v>
      </c>
      <c r="C1206" t="s">
        <v>89</v>
      </c>
      <c r="D1206" t="s">
        <v>90</v>
      </c>
      <c r="E1206" t="s">
        <v>31</v>
      </c>
      <c r="F1206" t="s">
        <v>91</v>
      </c>
      <c r="G1206" t="s">
        <v>92</v>
      </c>
      <c r="H1206" t="s">
        <v>93</v>
      </c>
      <c r="I1206">
        <v>2</v>
      </c>
      <c r="J1206" s="3">
        <v>41742.550000000003</v>
      </c>
      <c r="K1206" s="3">
        <v>83485.100000000006</v>
      </c>
      <c r="L1206" t="s">
        <v>25</v>
      </c>
      <c r="M1206" s="2">
        <v>45978</v>
      </c>
      <c r="N1206" s="2">
        <v>45975</v>
      </c>
      <c r="O1206" t="s">
        <v>60</v>
      </c>
      <c r="P1206" t="s">
        <v>94</v>
      </c>
      <c r="Q1206" t="s">
        <v>28</v>
      </c>
      <c r="R1206" t="s">
        <v>29</v>
      </c>
    </row>
    <row r="1207" spans="1:18">
      <c r="A1207" t="s">
        <v>1338</v>
      </c>
      <c r="B1207" s="2">
        <v>45926</v>
      </c>
      <c r="C1207" t="s">
        <v>104</v>
      </c>
      <c r="D1207" t="s">
        <v>105</v>
      </c>
      <c r="E1207" t="s">
        <v>48</v>
      </c>
      <c r="F1207" t="s">
        <v>49</v>
      </c>
      <c r="G1207" t="s">
        <v>165</v>
      </c>
      <c r="H1207" t="s">
        <v>166</v>
      </c>
      <c r="I1207">
        <v>2</v>
      </c>
      <c r="J1207" s="3">
        <v>44674.96</v>
      </c>
      <c r="K1207" s="3">
        <v>89349.92</v>
      </c>
      <c r="L1207" t="s">
        <v>34</v>
      </c>
      <c r="M1207" s="2">
        <v>45936</v>
      </c>
      <c r="N1207" s="2">
        <v>45936</v>
      </c>
      <c r="O1207" t="s">
        <v>76</v>
      </c>
      <c r="P1207" t="s">
        <v>53</v>
      </c>
      <c r="Q1207" t="s">
        <v>28</v>
      </c>
      <c r="R1207" t="s">
        <v>29</v>
      </c>
    </row>
    <row r="1208" spans="1:18">
      <c r="A1208" t="s">
        <v>1339</v>
      </c>
      <c r="B1208" s="2">
        <v>45884</v>
      </c>
      <c r="C1208" t="s">
        <v>142</v>
      </c>
      <c r="D1208" t="s">
        <v>143</v>
      </c>
      <c r="E1208" t="s">
        <v>31</v>
      </c>
      <c r="F1208" t="s">
        <v>22</v>
      </c>
      <c r="G1208" t="s">
        <v>23</v>
      </c>
      <c r="H1208" t="s">
        <v>24</v>
      </c>
      <c r="I1208">
        <v>55</v>
      </c>
      <c r="J1208" s="3">
        <v>240.55</v>
      </c>
      <c r="K1208" s="3">
        <v>13230.25</v>
      </c>
      <c r="L1208" t="s">
        <v>52</v>
      </c>
      <c r="M1208" s="2">
        <v>45894</v>
      </c>
      <c r="N1208" s="2">
        <v>45891</v>
      </c>
      <c r="O1208" t="s">
        <v>26</v>
      </c>
      <c r="P1208" t="s">
        <v>94</v>
      </c>
      <c r="Q1208" t="s">
        <v>28</v>
      </c>
      <c r="R1208" t="s">
        <v>29</v>
      </c>
    </row>
    <row r="1209" spans="1:18">
      <c r="A1209" t="s">
        <v>1340</v>
      </c>
      <c r="B1209" s="2">
        <v>46086</v>
      </c>
      <c r="C1209" t="s">
        <v>19</v>
      </c>
      <c r="D1209" t="s">
        <v>20</v>
      </c>
      <c r="E1209" t="s">
        <v>21</v>
      </c>
      <c r="F1209" t="s">
        <v>22</v>
      </c>
      <c r="G1209" t="s">
        <v>160</v>
      </c>
      <c r="H1209" t="s">
        <v>161</v>
      </c>
      <c r="I1209">
        <v>6</v>
      </c>
      <c r="J1209" s="3">
        <v>2971.48</v>
      </c>
      <c r="K1209" s="3">
        <v>17828.88</v>
      </c>
      <c r="L1209" t="s">
        <v>34</v>
      </c>
      <c r="M1209" s="2">
        <v>46094</v>
      </c>
      <c r="N1209" s="2">
        <v>46094</v>
      </c>
      <c r="O1209" t="s">
        <v>60</v>
      </c>
      <c r="P1209" t="s">
        <v>27</v>
      </c>
      <c r="Q1209" t="s">
        <v>28</v>
      </c>
      <c r="R1209" t="s">
        <v>29</v>
      </c>
    </row>
    <row r="1210" spans="1:18">
      <c r="A1210" t="s">
        <v>1341</v>
      </c>
      <c r="B1210" s="2">
        <v>45849</v>
      </c>
      <c r="C1210" t="s">
        <v>142</v>
      </c>
      <c r="D1210" t="s">
        <v>143</v>
      </c>
      <c r="E1210" t="s">
        <v>39</v>
      </c>
      <c r="F1210" t="s">
        <v>22</v>
      </c>
      <c r="G1210" t="s">
        <v>160</v>
      </c>
      <c r="H1210" t="s">
        <v>161</v>
      </c>
      <c r="I1210">
        <v>12</v>
      </c>
      <c r="J1210" s="3">
        <v>3273.86</v>
      </c>
      <c r="K1210" s="3">
        <v>39286.32</v>
      </c>
      <c r="L1210" t="s">
        <v>25</v>
      </c>
      <c r="M1210" s="2">
        <v>45864</v>
      </c>
      <c r="N1210" s="2">
        <v>45861</v>
      </c>
      <c r="O1210" t="s">
        <v>76</v>
      </c>
      <c r="P1210" t="s">
        <v>64</v>
      </c>
      <c r="Q1210" t="s">
        <v>28</v>
      </c>
      <c r="R1210" t="s">
        <v>29</v>
      </c>
    </row>
    <row r="1211" spans="1:18">
      <c r="A1211" t="s">
        <v>1342</v>
      </c>
      <c r="B1211" s="2">
        <v>46057</v>
      </c>
      <c r="C1211" t="s">
        <v>37</v>
      </c>
      <c r="D1211" t="s">
        <v>38</v>
      </c>
      <c r="E1211" t="s">
        <v>39</v>
      </c>
      <c r="F1211" t="s">
        <v>40</v>
      </c>
      <c r="G1211" t="s">
        <v>41</v>
      </c>
      <c r="H1211" t="s">
        <v>42</v>
      </c>
      <c r="I1211">
        <v>14</v>
      </c>
      <c r="J1211" s="3">
        <v>6020.47</v>
      </c>
      <c r="K1211" s="3">
        <v>84286.58</v>
      </c>
      <c r="L1211" t="s">
        <v>25</v>
      </c>
      <c r="M1211" s="2">
        <v>46070</v>
      </c>
      <c r="N1211" s="2">
        <v>46068</v>
      </c>
      <c r="O1211" t="s">
        <v>60</v>
      </c>
      <c r="P1211" t="s">
        <v>64</v>
      </c>
      <c r="Q1211" t="s">
        <v>28</v>
      </c>
      <c r="R1211" t="s">
        <v>29</v>
      </c>
    </row>
    <row r="1212" spans="1:18">
      <c r="A1212" t="s">
        <v>1343</v>
      </c>
      <c r="B1212" s="2">
        <v>45673</v>
      </c>
      <c r="C1212" t="s">
        <v>71</v>
      </c>
      <c r="D1212" t="s">
        <v>72</v>
      </c>
      <c r="E1212" t="s">
        <v>31</v>
      </c>
      <c r="F1212" t="s">
        <v>57</v>
      </c>
      <c r="G1212" t="s">
        <v>74</v>
      </c>
      <c r="H1212" t="s">
        <v>75</v>
      </c>
      <c r="I1212">
        <v>3</v>
      </c>
      <c r="J1212" s="3">
        <v>8497.85</v>
      </c>
      <c r="K1212" s="3">
        <v>25493.55</v>
      </c>
      <c r="L1212" t="s">
        <v>34</v>
      </c>
      <c r="M1212" s="2">
        <v>45681</v>
      </c>
      <c r="N1212" s="2">
        <v>45680</v>
      </c>
      <c r="O1212" t="s">
        <v>76</v>
      </c>
      <c r="P1212" t="s">
        <v>35</v>
      </c>
      <c r="Q1212" t="s">
        <v>28</v>
      </c>
      <c r="R1212" t="s">
        <v>29</v>
      </c>
    </row>
    <row r="1213" spans="1:18">
      <c r="A1213" t="s">
        <v>1344</v>
      </c>
      <c r="B1213" s="2">
        <v>45937</v>
      </c>
      <c r="C1213" t="s">
        <v>147</v>
      </c>
      <c r="D1213" t="s">
        <v>148</v>
      </c>
      <c r="E1213" t="s">
        <v>112</v>
      </c>
      <c r="F1213" t="s">
        <v>40</v>
      </c>
      <c r="G1213" t="s">
        <v>136</v>
      </c>
      <c r="H1213" t="s">
        <v>137</v>
      </c>
      <c r="I1213">
        <v>32</v>
      </c>
      <c r="J1213" s="3">
        <v>1611.68</v>
      </c>
      <c r="K1213" s="3">
        <v>51573.760000000002</v>
      </c>
      <c r="L1213" t="s">
        <v>52</v>
      </c>
      <c r="M1213" s="2">
        <v>45943</v>
      </c>
      <c r="N1213" s="2">
        <v>45946</v>
      </c>
      <c r="O1213" t="s">
        <v>43</v>
      </c>
      <c r="P1213" t="s">
        <v>115</v>
      </c>
      <c r="Q1213" t="s">
        <v>28</v>
      </c>
      <c r="R1213" t="s">
        <v>129</v>
      </c>
    </row>
    <row r="1214" spans="1:18">
      <c r="A1214" t="s">
        <v>1345</v>
      </c>
      <c r="B1214" s="2">
        <v>46199</v>
      </c>
      <c r="C1214" t="s">
        <v>104</v>
      </c>
      <c r="D1214" t="s">
        <v>105</v>
      </c>
      <c r="E1214" t="s">
        <v>48</v>
      </c>
      <c r="F1214" t="s">
        <v>49</v>
      </c>
      <c r="G1214" t="s">
        <v>165</v>
      </c>
      <c r="H1214" t="s">
        <v>166</v>
      </c>
      <c r="I1214">
        <v>3</v>
      </c>
      <c r="J1214" s="3">
        <v>44600.160000000003</v>
      </c>
      <c r="K1214" s="3">
        <v>133800.48000000001</v>
      </c>
      <c r="L1214" t="s">
        <v>25</v>
      </c>
      <c r="M1214" s="2">
        <v>46215</v>
      </c>
      <c r="N1214" s="2">
        <v>46215</v>
      </c>
      <c r="O1214" t="s">
        <v>26</v>
      </c>
      <c r="P1214" t="s">
        <v>53</v>
      </c>
      <c r="Q1214" t="s">
        <v>28</v>
      </c>
      <c r="R1214" t="s">
        <v>29</v>
      </c>
    </row>
    <row r="1215" spans="1:18">
      <c r="A1215" t="s">
        <v>1346</v>
      </c>
      <c r="B1215" s="2">
        <v>45837</v>
      </c>
      <c r="C1215" t="s">
        <v>80</v>
      </c>
      <c r="D1215" t="s">
        <v>81</v>
      </c>
      <c r="E1215" t="s">
        <v>39</v>
      </c>
      <c r="F1215" t="s">
        <v>82</v>
      </c>
      <c r="G1215" t="s">
        <v>197</v>
      </c>
      <c r="H1215" t="s">
        <v>198</v>
      </c>
      <c r="I1215">
        <v>21</v>
      </c>
      <c r="J1215" s="3">
        <v>2005.6</v>
      </c>
      <c r="K1215" s="3">
        <v>42117.599999999999</v>
      </c>
      <c r="L1215" t="s">
        <v>25</v>
      </c>
      <c r="M1215" s="2">
        <v>45847</v>
      </c>
      <c r="N1215" s="2">
        <v>45845</v>
      </c>
      <c r="O1215" t="s">
        <v>60</v>
      </c>
      <c r="P1215" t="s">
        <v>44</v>
      </c>
      <c r="Q1215" t="s">
        <v>28</v>
      </c>
      <c r="R1215" t="s">
        <v>29</v>
      </c>
    </row>
    <row r="1216" spans="1:18">
      <c r="A1216" t="s">
        <v>1347</v>
      </c>
      <c r="B1216" s="2">
        <v>45970</v>
      </c>
      <c r="C1216" t="s">
        <v>46</v>
      </c>
      <c r="D1216" t="s">
        <v>47</v>
      </c>
      <c r="E1216" t="s">
        <v>21</v>
      </c>
      <c r="F1216" t="s">
        <v>49</v>
      </c>
      <c r="G1216" t="s">
        <v>165</v>
      </c>
      <c r="H1216" t="s">
        <v>166</v>
      </c>
      <c r="I1216">
        <v>1</v>
      </c>
      <c r="J1216" s="3">
        <v>49526.35</v>
      </c>
      <c r="K1216" s="3">
        <v>49526.35</v>
      </c>
      <c r="L1216" t="s">
        <v>25</v>
      </c>
      <c r="M1216" s="2">
        <v>45976</v>
      </c>
      <c r="N1216" s="2">
        <v>45975</v>
      </c>
      <c r="O1216" t="s">
        <v>60</v>
      </c>
      <c r="P1216" t="s">
        <v>27</v>
      </c>
      <c r="Q1216" t="s">
        <v>28</v>
      </c>
      <c r="R1216" t="s">
        <v>29</v>
      </c>
    </row>
    <row r="1217" spans="1:18">
      <c r="A1217" t="s">
        <v>1348</v>
      </c>
      <c r="B1217" s="2">
        <v>45744</v>
      </c>
      <c r="C1217" t="s">
        <v>37</v>
      </c>
      <c r="D1217" t="s">
        <v>38</v>
      </c>
      <c r="E1217" t="s">
        <v>112</v>
      </c>
      <c r="F1217" t="s">
        <v>40</v>
      </c>
      <c r="G1217" t="s">
        <v>149</v>
      </c>
      <c r="H1217" t="s">
        <v>150</v>
      </c>
      <c r="I1217">
        <v>46</v>
      </c>
      <c r="J1217" s="3">
        <v>1424.87</v>
      </c>
      <c r="K1217" s="3">
        <v>65544.02</v>
      </c>
      <c r="L1217" t="s">
        <v>25</v>
      </c>
      <c r="M1217" s="2">
        <v>45759</v>
      </c>
      <c r="N1217" s="2">
        <v>45756</v>
      </c>
      <c r="O1217" t="s">
        <v>26</v>
      </c>
      <c r="P1217" t="s">
        <v>115</v>
      </c>
      <c r="Q1217" t="s">
        <v>28</v>
      </c>
      <c r="R1217" t="s">
        <v>29</v>
      </c>
    </row>
    <row r="1218" spans="1:18">
      <c r="A1218" t="s">
        <v>1349</v>
      </c>
      <c r="B1218" s="2">
        <v>46144</v>
      </c>
      <c r="C1218" t="s">
        <v>80</v>
      </c>
      <c r="D1218" t="s">
        <v>81</v>
      </c>
      <c r="E1218" t="s">
        <v>39</v>
      </c>
      <c r="F1218" t="s">
        <v>82</v>
      </c>
      <c r="G1218" t="s">
        <v>83</v>
      </c>
      <c r="H1218" t="s">
        <v>84</v>
      </c>
      <c r="I1218">
        <v>55</v>
      </c>
      <c r="J1218" s="3">
        <v>660.78</v>
      </c>
      <c r="K1218" s="3">
        <v>36342.9</v>
      </c>
      <c r="L1218" t="s">
        <v>25</v>
      </c>
      <c r="M1218" s="2">
        <v>46155</v>
      </c>
      <c r="N1218" s="2">
        <v>46155</v>
      </c>
      <c r="O1218" t="s">
        <v>26</v>
      </c>
      <c r="P1218" t="s">
        <v>64</v>
      </c>
      <c r="Q1218" t="s">
        <v>28</v>
      </c>
      <c r="R1218" t="s">
        <v>29</v>
      </c>
    </row>
    <row r="1219" spans="1:18">
      <c r="A1219" t="s">
        <v>1350</v>
      </c>
      <c r="B1219" s="2">
        <v>46053</v>
      </c>
      <c r="C1219" t="s">
        <v>71</v>
      </c>
      <c r="D1219" t="s">
        <v>72</v>
      </c>
      <c r="E1219" t="s">
        <v>48</v>
      </c>
      <c r="F1219" t="s">
        <v>57</v>
      </c>
      <c r="G1219" t="s">
        <v>58</v>
      </c>
      <c r="H1219" t="s">
        <v>59</v>
      </c>
      <c r="I1219">
        <v>3</v>
      </c>
      <c r="J1219" s="3">
        <v>53515.75</v>
      </c>
      <c r="K1219" s="3">
        <v>160547.25</v>
      </c>
      <c r="L1219" t="s">
        <v>25</v>
      </c>
      <c r="M1219" s="2">
        <v>46062</v>
      </c>
      <c r="N1219" s="2">
        <v>46061</v>
      </c>
      <c r="O1219" t="s">
        <v>26</v>
      </c>
      <c r="P1219" t="s">
        <v>53</v>
      </c>
      <c r="Q1219" t="s">
        <v>28</v>
      </c>
      <c r="R1219" t="s">
        <v>29</v>
      </c>
    </row>
    <row r="1220" spans="1:18">
      <c r="A1220" t="s">
        <v>1351</v>
      </c>
      <c r="B1220" s="2">
        <v>45670</v>
      </c>
      <c r="C1220" t="s">
        <v>46</v>
      </c>
      <c r="D1220" t="s">
        <v>47</v>
      </c>
      <c r="E1220" t="s">
        <v>112</v>
      </c>
      <c r="F1220" t="s">
        <v>49</v>
      </c>
      <c r="G1220" t="s">
        <v>113</v>
      </c>
      <c r="H1220" t="s">
        <v>114</v>
      </c>
      <c r="I1220">
        <v>2</v>
      </c>
      <c r="J1220" s="3">
        <v>41261.379999999997</v>
      </c>
      <c r="K1220" s="3">
        <v>82522.759999999995</v>
      </c>
      <c r="L1220" t="s">
        <v>25</v>
      </c>
      <c r="M1220" s="2">
        <v>45682</v>
      </c>
      <c r="N1220" s="2">
        <v>45680</v>
      </c>
      <c r="O1220" t="s">
        <v>43</v>
      </c>
      <c r="P1220" t="s">
        <v>115</v>
      </c>
      <c r="Q1220" t="s">
        <v>28</v>
      </c>
      <c r="R1220" t="s">
        <v>29</v>
      </c>
    </row>
    <row r="1221" spans="1:18">
      <c r="A1221" t="s">
        <v>1352</v>
      </c>
      <c r="B1221" s="2">
        <v>45943</v>
      </c>
      <c r="C1221" t="s">
        <v>37</v>
      </c>
      <c r="D1221" t="s">
        <v>38</v>
      </c>
      <c r="E1221" t="s">
        <v>112</v>
      </c>
      <c r="F1221" t="s">
        <v>40</v>
      </c>
      <c r="G1221" t="s">
        <v>136</v>
      </c>
      <c r="H1221" t="s">
        <v>137</v>
      </c>
      <c r="I1221">
        <v>39</v>
      </c>
      <c r="J1221" s="3">
        <v>1703.38</v>
      </c>
      <c r="K1221" s="3">
        <v>66431.820000000007</v>
      </c>
      <c r="L1221" t="s">
        <v>34</v>
      </c>
      <c r="M1221" s="2">
        <v>45951</v>
      </c>
      <c r="N1221" s="2">
        <v>45949</v>
      </c>
      <c r="O1221" t="s">
        <v>60</v>
      </c>
      <c r="P1221" t="s">
        <v>115</v>
      </c>
      <c r="Q1221" t="s">
        <v>28</v>
      </c>
      <c r="R1221" t="s">
        <v>29</v>
      </c>
    </row>
    <row r="1222" spans="1:18">
      <c r="A1222" t="s">
        <v>1353</v>
      </c>
      <c r="B1222" s="2">
        <v>45767</v>
      </c>
      <c r="C1222" t="s">
        <v>46</v>
      </c>
      <c r="D1222" t="s">
        <v>47</v>
      </c>
      <c r="E1222" t="s">
        <v>48</v>
      </c>
      <c r="F1222" t="s">
        <v>49</v>
      </c>
      <c r="G1222" t="s">
        <v>50</v>
      </c>
      <c r="H1222" t="s">
        <v>51</v>
      </c>
      <c r="I1222">
        <v>3</v>
      </c>
      <c r="J1222" s="3">
        <v>53527.03</v>
      </c>
      <c r="K1222" s="3">
        <v>160581.09</v>
      </c>
      <c r="L1222" t="s">
        <v>52</v>
      </c>
      <c r="M1222" s="2">
        <v>45779</v>
      </c>
      <c r="N1222" s="2">
        <v>45777</v>
      </c>
      <c r="O1222" t="s">
        <v>60</v>
      </c>
      <c r="P1222" t="s">
        <v>53</v>
      </c>
      <c r="Q1222" t="s">
        <v>28</v>
      </c>
      <c r="R1222" t="s">
        <v>29</v>
      </c>
    </row>
    <row r="1223" spans="1:18">
      <c r="A1223" t="s">
        <v>1354</v>
      </c>
      <c r="B1223" s="2">
        <v>46198</v>
      </c>
      <c r="C1223" t="s">
        <v>96</v>
      </c>
      <c r="D1223" t="s">
        <v>97</v>
      </c>
      <c r="E1223" t="s">
        <v>39</v>
      </c>
      <c r="F1223" t="s">
        <v>82</v>
      </c>
      <c r="G1223" t="s">
        <v>197</v>
      </c>
      <c r="H1223" t="s">
        <v>198</v>
      </c>
      <c r="I1223">
        <v>25</v>
      </c>
      <c r="J1223" s="3">
        <v>2225.75</v>
      </c>
      <c r="K1223" s="3">
        <v>55643.75</v>
      </c>
      <c r="L1223" t="s">
        <v>25</v>
      </c>
      <c r="M1223" s="2">
        <v>46210</v>
      </c>
      <c r="N1223" s="2">
        <v>46209</v>
      </c>
      <c r="O1223" t="s">
        <v>60</v>
      </c>
      <c r="P1223" t="s">
        <v>64</v>
      </c>
      <c r="Q1223" t="s">
        <v>28</v>
      </c>
      <c r="R1223" t="s">
        <v>29</v>
      </c>
    </row>
    <row r="1224" spans="1:18">
      <c r="A1224" t="s">
        <v>1355</v>
      </c>
      <c r="B1224" s="2">
        <v>45917</v>
      </c>
      <c r="C1224" t="s">
        <v>37</v>
      </c>
      <c r="D1224" t="s">
        <v>38</v>
      </c>
      <c r="E1224" t="s">
        <v>39</v>
      </c>
      <c r="F1224" t="s">
        <v>22</v>
      </c>
      <c r="G1224" t="s">
        <v>32</v>
      </c>
      <c r="H1224" t="s">
        <v>33</v>
      </c>
      <c r="I1224">
        <v>7</v>
      </c>
      <c r="J1224" s="3">
        <v>8418.11</v>
      </c>
      <c r="K1224" s="3">
        <v>58926.77</v>
      </c>
      <c r="L1224" t="s">
        <v>25</v>
      </c>
      <c r="M1224" s="2">
        <v>45933</v>
      </c>
      <c r="N1224" s="2">
        <v>45931</v>
      </c>
      <c r="O1224" t="s">
        <v>26</v>
      </c>
      <c r="P1224" t="s">
        <v>64</v>
      </c>
      <c r="Q1224" t="s">
        <v>28</v>
      </c>
      <c r="R1224" t="s">
        <v>29</v>
      </c>
    </row>
    <row r="1225" spans="1:18">
      <c r="A1225" t="s">
        <v>1356</v>
      </c>
      <c r="B1225" s="2">
        <v>46118</v>
      </c>
      <c r="C1225" t="s">
        <v>96</v>
      </c>
      <c r="D1225" t="s">
        <v>97</v>
      </c>
      <c r="E1225" t="s">
        <v>39</v>
      </c>
      <c r="F1225" t="s">
        <v>82</v>
      </c>
      <c r="G1225" t="s">
        <v>83</v>
      </c>
      <c r="H1225" t="s">
        <v>84</v>
      </c>
      <c r="I1225">
        <v>46</v>
      </c>
      <c r="J1225" s="3">
        <v>705.49</v>
      </c>
      <c r="K1225" s="3">
        <v>32452.54</v>
      </c>
      <c r="L1225" t="s">
        <v>25</v>
      </c>
      <c r="M1225" s="2">
        <v>46133</v>
      </c>
      <c r="N1225" s="2">
        <v>46133</v>
      </c>
      <c r="O1225" t="s">
        <v>26</v>
      </c>
      <c r="P1225" t="s">
        <v>64</v>
      </c>
      <c r="Q1225" t="s">
        <v>28</v>
      </c>
      <c r="R1225" t="s">
        <v>29</v>
      </c>
    </row>
    <row r="1226" spans="1:18">
      <c r="A1226" t="s">
        <v>1357</v>
      </c>
      <c r="B1226" s="2">
        <v>45834</v>
      </c>
      <c r="C1226" t="s">
        <v>89</v>
      </c>
      <c r="D1226" t="s">
        <v>90</v>
      </c>
      <c r="E1226" t="s">
        <v>31</v>
      </c>
      <c r="F1226" t="s">
        <v>91</v>
      </c>
      <c r="G1226" t="s">
        <v>92</v>
      </c>
      <c r="H1226" t="s">
        <v>93</v>
      </c>
      <c r="I1226">
        <v>1</v>
      </c>
      <c r="J1226" s="3">
        <v>40777.86</v>
      </c>
      <c r="K1226" s="3">
        <v>40777.86</v>
      </c>
      <c r="L1226" t="s">
        <v>52</v>
      </c>
      <c r="M1226" s="2">
        <v>45839</v>
      </c>
      <c r="N1226" s="2">
        <v>45838</v>
      </c>
      <c r="O1226" t="s">
        <v>43</v>
      </c>
      <c r="P1226" t="s">
        <v>94</v>
      </c>
      <c r="Q1226" t="s">
        <v>28</v>
      </c>
      <c r="R1226" t="s">
        <v>29</v>
      </c>
    </row>
    <row r="1227" spans="1:18">
      <c r="A1227" t="s">
        <v>1358</v>
      </c>
      <c r="B1227" s="2">
        <v>46192</v>
      </c>
      <c r="C1227" t="s">
        <v>37</v>
      </c>
      <c r="D1227" t="s">
        <v>38</v>
      </c>
      <c r="E1227" t="s">
        <v>73</v>
      </c>
      <c r="F1227" t="s">
        <v>22</v>
      </c>
      <c r="G1227" t="s">
        <v>23</v>
      </c>
      <c r="H1227" t="s">
        <v>24</v>
      </c>
      <c r="I1227">
        <v>45</v>
      </c>
      <c r="J1227" s="3">
        <v>263.64999999999998</v>
      </c>
      <c r="K1227" s="3">
        <v>11864.25</v>
      </c>
      <c r="L1227" t="s">
        <v>25</v>
      </c>
      <c r="M1227" s="2">
        <v>46206</v>
      </c>
      <c r="N1227" s="2">
        <v>46203</v>
      </c>
      <c r="O1227" t="s">
        <v>43</v>
      </c>
      <c r="P1227" t="s">
        <v>77</v>
      </c>
      <c r="Q1227" t="s">
        <v>28</v>
      </c>
      <c r="R1227" t="s">
        <v>29</v>
      </c>
    </row>
    <row r="1228" spans="1:18">
      <c r="A1228" t="s">
        <v>1359</v>
      </c>
      <c r="B1228" s="2">
        <v>45851</v>
      </c>
      <c r="C1228" t="s">
        <v>66</v>
      </c>
      <c r="D1228" t="s">
        <v>67</v>
      </c>
      <c r="E1228" t="s">
        <v>48</v>
      </c>
      <c r="F1228" t="s">
        <v>49</v>
      </c>
      <c r="G1228" t="s">
        <v>113</v>
      </c>
      <c r="H1228" t="s">
        <v>114</v>
      </c>
      <c r="I1228">
        <v>3</v>
      </c>
      <c r="J1228" s="3">
        <v>36165.96</v>
      </c>
      <c r="K1228" s="3">
        <v>108497.88</v>
      </c>
      <c r="L1228" t="s">
        <v>34</v>
      </c>
      <c r="M1228" s="2">
        <v>45860</v>
      </c>
      <c r="N1228" s="2">
        <v>45859</v>
      </c>
      <c r="O1228" t="s">
        <v>43</v>
      </c>
      <c r="P1228" t="s">
        <v>53</v>
      </c>
      <c r="Q1228" t="s">
        <v>28</v>
      </c>
      <c r="R1228" t="s">
        <v>29</v>
      </c>
    </row>
    <row r="1229" spans="1:18">
      <c r="A1229" t="s">
        <v>1360</v>
      </c>
      <c r="B1229" s="2">
        <v>46152</v>
      </c>
      <c r="C1229" t="s">
        <v>55</v>
      </c>
      <c r="D1229" t="s">
        <v>56</v>
      </c>
      <c r="E1229" t="s">
        <v>48</v>
      </c>
      <c r="F1229" t="s">
        <v>57</v>
      </c>
      <c r="G1229" t="s">
        <v>86</v>
      </c>
      <c r="H1229" t="s">
        <v>87</v>
      </c>
      <c r="I1229">
        <v>6</v>
      </c>
      <c r="J1229" s="3">
        <v>12057.05</v>
      </c>
      <c r="K1229" s="3">
        <v>72342.3</v>
      </c>
      <c r="L1229" t="s">
        <v>25</v>
      </c>
      <c r="M1229" s="2">
        <v>46170</v>
      </c>
      <c r="N1229" s="2">
        <v>46170</v>
      </c>
      <c r="O1229" t="s">
        <v>26</v>
      </c>
      <c r="P1229" t="s">
        <v>53</v>
      </c>
      <c r="Q1229" t="s">
        <v>28</v>
      </c>
      <c r="R1229" t="s">
        <v>29</v>
      </c>
    </row>
    <row r="1230" spans="1:18">
      <c r="A1230" t="s">
        <v>1361</v>
      </c>
      <c r="B1230" s="2">
        <v>45661</v>
      </c>
      <c r="C1230" t="s">
        <v>104</v>
      </c>
      <c r="D1230" t="s">
        <v>105</v>
      </c>
      <c r="E1230" t="s">
        <v>48</v>
      </c>
      <c r="F1230" t="s">
        <v>49</v>
      </c>
      <c r="G1230" t="s">
        <v>68</v>
      </c>
      <c r="H1230" t="s">
        <v>69</v>
      </c>
      <c r="I1230">
        <v>1</v>
      </c>
      <c r="J1230" s="3">
        <v>46401.98</v>
      </c>
      <c r="K1230" s="3">
        <v>46401.98</v>
      </c>
      <c r="L1230" t="s">
        <v>52</v>
      </c>
      <c r="M1230" s="2">
        <v>45677</v>
      </c>
      <c r="N1230" s="2">
        <v>45685</v>
      </c>
      <c r="O1230" t="s">
        <v>60</v>
      </c>
      <c r="P1230" t="s">
        <v>53</v>
      </c>
      <c r="Q1230" t="s">
        <v>28</v>
      </c>
      <c r="R1230" t="s">
        <v>129</v>
      </c>
    </row>
    <row r="1231" spans="1:18">
      <c r="A1231" t="s">
        <v>1362</v>
      </c>
      <c r="B1231" s="2">
        <v>45933</v>
      </c>
      <c r="C1231" t="s">
        <v>80</v>
      </c>
      <c r="D1231" t="s">
        <v>81</v>
      </c>
      <c r="E1231" t="s">
        <v>39</v>
      </c>
      <c r="F1231" t="s">
        <v>82</v>
      </c>
      <c r="G1231" t="s">
        <v>98</v>
      </c>
      <c r="H1231" t="s">
        <v>99</v>
      </c>
      <c r="I1231">
        <v>10</v>
      </c>
      <c r="J1231" s="3">
        <v>1078.21</v>
      </c>
      <c r="K1231" s="3">
        <v>10782.1</v>
      </c>
      <c r="L1231" t="s">
        <v>52</v>
      </c>
      <c r="M1231" s="2">
        <v>45949</v>
      </c>
      <c r="N1231" s="2">
        <v>45964</v>
      </c>
      <c r="O1231" t="s">
        <v>26</v>
      </c>
      <c r="P1231" t="s">
        <v>44</v>
      </c>
      <c r="Q1231" t="s">
        <v>28</v>
      </c>
      <c r="R1231" t="s">
        <v>129</v>
      </c>
    </row>
    <row r="1232" spans="1:18">
      <c r="A1232" t="s">
        <v>1363</v>
      </c>
      <c r="B1232" s="2">
        <v>45989</v>
      </c>
      <c r="C1232" t="s">
        <v>19</v>
      </c>
      <c r="D1232" t="s">
        <v>20</v>
      </c>
      <c r="E1232" t="s">
        <v>31</v>
      </c>
      <c r="F1232" t="s">
        <v>22</v>
      </c>
      <c r="G1232" t="s">
        <v>160</v>
      </c>
      <c r="H1232" t="s">
        <v>161</v>
      </c>
      <c r="I1232">
        <v>9</v>
      </c>
      <c r="J1232" s="3">
        <v>2936.09</v>
      </c>
      <c r="K1232" s="3">
        <v>26424.81</v>
      </c>
      <c r="L1232" t="s">
        <v>34</v>
      </c>
      <c r="M1232" s="2">
        <v>46003</v>
      </c>
      <c r="N1232" s="2">
        <v>46017</v>
      </c>
      <c r="O1232" t="s">
        <v>26</v>
      </c>
      <c r="P1232" t="s">
        <v>35</v>
      </c>
      <c r="Q1232" t="s">
        <v>28</v>
      </c>
      <c r="R1232" t="s">
        <v>129</v>
      </c>
    </row>
    <row r="1233" spans="1:18">
      <c r="A1233" t="s">
        <v>1364</v>
      </c>
      <c r="B1233" s="2">
        <v>46087</v>
      </c>
      <c r="C1233" t="s">
        <v>19</v>
      </c>
      <c r="D1233" t="s">
        <v>20</v>
      </c>
      <c r="E1233" t="s">
        <v>21</v>
      </c>
      <c r="F1233" t="s">
        <v>22</v>
      </c>
      <c r="G1233" t="s">
        <v>160</v>
      </c>
      <c r="H1233" t="s">
        <v>161</v>
      </c>
      <c r="I1233">
        <v>10</v>
      </c>
      <c r="J1233" s="3">
        <v>2961.94</v>
      </c>
      <c r="K1233" s="3">
        <v>29619.4</v>
      </c>
      <c r="L1233" t="s">
        <v>25</v>
      </c>
      <c r="M1233" s="2">
        <v>46098</v>
      </c>
      <c r="N1233" s="2">
        <v>46109</v>
      </c>
      <c r="O1233" t="s">
        <v>43</v>
      </c>
      <c r="P1233" t="s">
        <v>27</v>
      </c>
      <c r="Q1233" t="s">
        <v>28</v>
      </c>
      <c r="R1233" t="s">
        <v>129</v>
      </c>
    </row>
    <row r="1234" spans="1:18">
      <c r="A1234" t="s">
        <v>1365</v>
      </c>
      <c r="B1234" s="2">
        <v>46101</v>
      </c>
      <c r="C1234" t="s">
        <v>142</v>
      </c>
      <c r="D1234" t="s">
        <v>143</v>
      </c>
      <c r="E1234" t="s">
        <v>31</v>
      </c>
      <c r="F1234" t="s">
        <v>22</v>
      </c>
      <c r="G1234" t="s">
        <v>32</v>
      </c>
      <c r="H1234" t="s">
        <v>33</v>
      </c>
      <c r="I1234">
        <v>11</v>
      </c>
      <c r="J1234" s="3">
        <v>7859.46</v>
      </c>
      <c r="K1234" s="3">
        <v>86454.06</v>
      </c>
      <c r="L1234" t="s">
        <v>25</v>
      </c>
      <c r="M1234" s="2">
        <v>46116</v>
      </c>
      <c r="N1234" s="2">
        <v>46116</v>
      </c>
      <c r="O1234" t="s">
        <v>76</v>
      </c>
      <c r="P1234" t="s">
        <v>35</v>
      </c>
      <c r="Q1234" t="s">
        <v>28</v>
      </c>
      <c r="R1234" t="s">
        <v>29</v>
      </c>
    </row>
    <row r="1235" spans="1:18">
      <c r="A1235" t="s">
        <v>1366</v>
      </c>
      <c r="B1235" s="2">
        <v>45842</v>
      </c>
      <c r="C1235" t="s">
        <v>104</v>
      </c>
      <c r="D1235" t="s">
        <v>105</v>
      </c>
      <c r="E1235" t="s">
        <v>48</v>
      </c>
      <c r="F1235" t="s">
        <v>49</v>
      </c>
      <c r="G1235" t="s">
        <v>68</v>
      </c>
      <c r="H1235" t="s">
        <v>69</v>
      </c>
      <c r="I1235">
        <v>1</v>
      </c>
      <c r="J1235" s="3">
        <v>48649.11</v>
      </c>
      <c r="K1235" s="3">
        <v>48649.11</v>
      </c>
      <c r="L1235" t="s">
        <v>25</v>
      </c>
      <c r="M1235" s="2">
        <v>45847</v>
      </c>
      <c r="N1235" s="2">
        <v>45846</v>
      </c>
      <c r="O1235" t="s">
        <v>76</v>
      </c>
      <c r="P1235" t="s">
        <v>53</v>
      </c>
      <c r="Q1235" t="s">
        <v>28</v>
      </c>
      <c r="R1235" t="s">
        <v>29</v>
      </c>
    </row>
    <row r="1236" spans="1:18">
      <c r="A1236" t="s">
        <v>1367</v>
      </c>
      <c r="B1236" s="2">
        <v>46192</v>
      </c>
      <c r="C1236" t="s">
        <v>117</v>
      </c>
      <c r="D1236" t="s">
        <v>118</v>
      </c>
      <c r="E1236" t="s">
        <v>48</v>
      </c>
      <c r="F1236" t="s">
        <v>57</v>
      </c>
      <c r="G1236" t="s">
        <v>74</v>
      </c>
      <c r="H1236" t="s">
        <v>75</v>
      </c>
      <c r="I1236">
        <v>9</v>
      </c>
      <c r="J1236" s="3">
        <v>9140.66</v>
      </c>
      <c r="K1236" s="3">
        <v>82265.94</v>
      </c>
      <c r="L1236" t="s">
        <v>25</v>
      </c>
      <c r="M1236" s="2">
        <v>46210</v>
      </c>
      <c r="N1236" s="2">
        <v>46221</v>
      </c>
      <c r="O1236" t="s">
        <v>43</v>
      </c>
      <c r="P1236" t="s">
        <v>53</v>
      </c>
      <c r="Q1236" t="s">
        <v>28</v>
      </c>
      <c r="R1236" t="s">
        <v>129</v>
      </c>
    </row>
    <row r="1237" spans="1:18">
      <c r="A1237" t="s">
        <v>1368</v>
      </c>
      <c r="B1237" s="2">
        <v>46027</v>
      </c>
      <c r="C1237" t="s">
        <v>19</v>
      </c>
      <c r="D1237" t="s">
        <v>20</v>
      </c>
      <c r="E1237" t="s">
        <v>21</v>
      </c>
      <c r="F1237" t="s">
        <v>22</v>
      </c>
      <c r="G1237" t="s">
        <v>160</v>
      </c>
      <c r="H1237" t="s">
        <v>161</v>
      </c>
      <c r="I1237">
        <v>2</v>
      </c>
      <c r="J1237" s="3">
        <v>2888.99</v>
      </c>
      <c r="K1237" s="3">
        <v>5777.98</v>
      </c>
      <c r="L1237" t="s">
        <v>25</v>
      </c>
      <c r="M1237" s="2">
        <v>46042</v>
      </c>
      <c r="N1237" s="2">
        <v>46039</v>
      </c>
      <c r="O1237" t="s">
        <v>26</v>
      </c>
      <c r="P1237" t="s">
        <v>27</v>
      </c>
      <c r="Q1237" t="s">
        <v>28</v>
      </c>
      <c r="R1237" t="s">
        <v>29</v>
      </c>
    </row>
    <row r="1238" spans="1:18">
      <c r="A1238" t="s">
        <v>1369</v>
      </c>
      <c r="B1238" s="2">
        <v>45756</v>
      </c>
      <c r="C1238" t="s">
        <v>117</v>
      </c>
      <c r="D1238" t="s">
        <v>118</v>
      </c>
      <c r="E1238" t="s">
        <v>48</v>
      </c>
      <c r="F1238" t="s">
        <v>57</v>
      </c>
      <c r="G1238" t="s">
        <v>58</v>
      </c>
      <c r="H1238" t="s">
        <v>59</v>
      </c>
      <c r="I1238">
        <v>7</v>
      </c>
      <c r="J1238" s="3">
        <v>58714.48</v>
      </c>
      <c r="K1238" s="3">
        <v>411001.36</v>
      </c>
      <c r="L1238" t="s">
        <v>25</v>
      </c>
      <c r="M1238" s="2">
        <v>45763</v>
      </c>
      <c r="N1238" s="2">
        <v>45762</v>
      </c>
      <c r="O1238" t="s">
        <v>60</v>
      </c>
      <c r="P1238" t="s">
        <v>53</v>
      </c>
      <c r="Q1238" t="s">
        <v>28</v>
      </c>
      <c r="R1238" t="s">
        <v>29</v>
      </c>
    </row>
    <row r="1239" spans="1:18">
      <c r="A1239" t="s">
        <v>1370</v>
      </c>
      <c r="B1239" s="2">
        <v>46182</v>
      </c>
      <c r="C1239" t="s">
        <v>71</v>
      </c>
      <c r="D1239" t="s">
        <v>72</v>
      </c>
      <c r="E1239" t="s">
        <v>73</v>
      </c>
      <c r="F1239" t="s">
        <v>57</v>
      </c>
      <c r="G1239" t="s">
        <v>58</v>
      </c>
      <c r="H1239" t="s">
        <v>59</v>
      </c>
      <c r="I1239">
        <v>3</v>
      </c>
      <c r="J1239" s="3">
        <v>52861.279999999999</v>
      </c>
      <c r="K1239" s="3">
        <v>158583.84</v>
      </c>
      <c r="L1239" t="s">
        <v>34</v>
      </c>
      <c r="M1239" s="2">
        <v>46188</v>
      </c>
      <c r="N1239" s="2">
        <v>46186</v>
      </c>
      <c r="O1239" t="s">
        <v>76</v>
      </c>
      <c r="P1239" t="s">
        <v>77</v>
      </c>
      <c r="Q1239" t="s">
        <v>28</v>
      </c>
      <c r="R1239" t="s">
        <v>29</v>
      </c>
    </row>
    <row r="1240" spans="1:18">
      <c r="A1240" t="s">
        <v>1371</v>
      </c>
      <c r="B1240" s="2">
        <v>45704</v>
      </c>
      <c r="C1240" t="s">
        <v>71</v>
      </c>
      <c r="D1240" t="s">
        <v>72</v>
      </c>
      <c r="E1240" t="s">
        <v>48</v>
      </c>
      <c r="F1240" t="s">
        <v>57</v>
      </c>
      <c r="G1240" t="s">
        <v>101</v>
      </c>
      <c r="H1240" t="s">
        <v>102</v>
      </c>
      <c r="I1240">
        <v>59</v>
      </c>
      <c r="J1240" s="3">
        <v>1637.6</v>
      </c>
      <c r="K1240" s="3">
        <v>96618.4</v>
      </c>
      <c r="L1240" t="s">
        <v>34</v>
      </c>
      <c r="M1240" s="2">
        <v>45722</v>
      </c>
      <c r="N1240" s="2">
        <v>45722</v>
      </c>
      <c r="O1240" t="s">
        <v>43</v>
      </c>
      <c r="P1240" t="s">
        <v>53</v>
      </c>
      <c r="Q1240" t="s">
        <v>28</v>
      </c>
      <c r="R1240" t="s">
        <v>29</v>
      </c>
    </row>
    <row r="1241" spans="1:18">
      <c r="A1241" t="s">
        <v>1372</v>
      </c>
      <c r="B1241" s="2">
        <v>45722</v>
      </c>
      <c r="C1241" t="s">
        <v>96</v>
      </c>
      <c r="D1241" t="s">
        <v>97</v>
      </c>
      <c r="E1241" t="s">
        <v>39</v>
      </c>
      <c r="F1241" t="s">
        <v>82</v>
      </c>
      <c r="G1241" t="s">
        <v>98</v>
      </c>
      <c r="H1241" t="s">
        <v>99</v>
      </c>
      <c r="I1241">
        <v>34</v>
      </c>
      <c r="J1241" s="3">
        <v>1214.42</v>
      </c>
      <c r="K1241" s="3">
        <v>41290.28</v>
      </c>
      <c r="L1241" t="s">
        <v>25</v>
      </c>
      <c r="M1241" s="2">
        <v>45729</v>
      </c>
      <c r="N1241" s="2">
        <v>45728</v>
      </c>
      <c r="O1241" t="s">
        <v>60</v>
      </c>
      <c r="P1241" t="s">
        <v>64</v>
      </c>
      <c r="Q1241" t="s">
        <v>28</v>
      </c>
      <c r="R1241" t="s">
        <v>29</v>
      </c>
    </row>
    <row r="1242" spans="1:18">
      <c r="A1242" t="s">
        <v>1373</v>
      </c>
      <c r="B1242" s="2">
        <v>46173</v>
      </c>
      <c r="C1242" t="s">
        <v>131</v>
      </c>
      <c r="D1242" t="s">
        <v>132</v>
      </c>
      <c r="E1242" t="s">
        <v>31</v>
      </c>
      <c r="F1242" t="s">
        <v>57</v>
      </c>
      <c r="G1242" t="s">
        <v>120</v>
      </c>
      <c r="H1242" t="s">
        <v>121</v>
      </c>
      <c r="I1242">
        <v>1</v>
      </c>
      <c r="J1242" s="3">
        <v>22610.34</v>
      </c>
      <c r="K1242" s="3">
        <v>22610.34</v>
      </c>
      <c r="L1242" t="s">
        <v>25</v>
      </c>
      <c r="M1242" s="2">
        <v>46179</v>
      </c>
      <c r="N1242" s="2">
        <v>46178</v>
      </c>
      <c r="O1242" t="s">
        <v>76</v>
      </c>
      <c r="P1242" t="s">
        <v>35</v>
      </c>
      <c r="Q1242" t="s">
        <v>28</v>
      </c>
      <c r="R1242" t="s">
        <v>29</v>
      </c>
    </row>
    <row r="1243" spans="1:18">
      <c r="A1243" t="s">
        <v>1374</v>
      </c>
      <c r="B1243" s="2">
        <v>45904</v>
      </c>
      <c r="C1243" t="s">
        <v>37</v>
      </c>
      <c r="D1243" t="s">
        <v>38</v>
      </c>
      <c r="E1243" t="s">
        <v>112</v>
      </c>
      <c r="F1243" t="s">
        <v>22</v>
      </c>
      <c r="G1243" t="s">
        <v>160</v>
      </c>
      <c r="H1243" t="s">
        <v>161</v>
      </c>
      <c r="I1243">
        <v>15</v>
      </c>
      <c r="J1243" s="3">
        <v>3604.18</v>
      </c>
      <c r="K1243" s="3">
        <v>54062.7</v>
      </c>
      <c r="L1243" t="s">
        <v>25</v>
      </c>
      <c r="M1243" s="2">
        <v>45921</v>
      </c>
      <c r="N1243" s="2">
        <v>45921</v>
      </c>
      <c r="O1243" t="s">
        <v>43</v>
      </c>
      <c r="P1243" t="s">
        <v>115</v>
      </c>
      <c r="Q1243" t="s">
        <v>28</v>
      </c>
      <c r="R1243" t="s">
        <v>29</v>
      </c>
    </row>
    <row r="1244" spans="1:18">
      <c r="A1244" t="s">
        <v>1375</v>
      </c>
      <c r="B1244" s="2">
        <v>45718</v>
      </c>
      <c r="C1244" t="s">
        <v>107</v>
      </c>
      <c r="D1244" t="s">
        <v>108</v>
      </c>
      <c r="E1244" t="s">
        <v>31</v>
      </c>
      <c r="F1244" t="s">
        <v>91</v>
      </c>
      <c r="G1244" t="s">
        <v>92</v>
      </c>
      <c r="H1244" t="s">
        <v>93</v>
      </c>
      <c r="I1244">
        <v>1</v>
      </c>
      <c r="J1244" s="3">
        <v>48035.61</v>
      </c>
      <c r="K1244" s="3">
        <v>48035.61</v>
      </c>
      <c r="L1244" t="s">
        <v>25</v>
      </c>
      <c r="M1244" s="2">
        <v>45736</v>
      </c>
      <c r="N1244" s="2">
        <v>45734</v>
      </c>
      <c r="O1244" t="s">
        <v>43</v>
      </c>
      <c r="P1244" t="s">
        <v>94</v>
      </c>
      <c r="Q1244" t="s">
        <v>28</v>
      </c>
      <c r="R1244" t="s">
        <v>29</v>
      </c>
    </row>
    <row r="1245" spans="1:18">
      <c r="A1245" t="s">
        <v>1376</v>
      </c>
      <c r="B1245" s="2">
        <v>46029</v>
      </c>
      <c r="C1245" t="s">
        <v>66</v>
      </c>
      <c r="D1245" t="s">
        <v>67</v>
      </c>
      <c r="E1245" t="s">
        <v>48</v>
      </c>
      <c r="F1245" t="s">
        <v>49</v>
      </c>
      <c r="G1245" t="s">
        <v>113</v>
      </c>
      <c r="H1245" t="s">
        <v>114</v>
      </c>
      <c r="I1245">
        <v>1</v>
      </c>
      <c r="J1245" s="3">
        <v>35837.31</v>
      </c>
      <c r="K1245" s="3">
        <v>35837.31</v>
      </c>
      <c r="L1245" t="s">
        <v>34</v>
      </c>
      <c r="M1245" s="2">
        <v>46034</v>
      </c>
      <c r="N1245" s="2">
        <v>46031</v>
      </c>
      <c r="O1245" t="s">
        <v>43</v>
      </c>
      <c r="P1245" t="s">
        <v>53</v>
      </c>
      <c r="Q1245" t="s">
        <v>28</v>
      </c>
      <c r="R1245" t="s">
        <v>29</v>
      </c>
    </row>
    <row r="1246" spans="1:18">
      <c r="A1246" t="s">
        <v>1377</v>
      </c>
      <c r="B1246" s="2">
        <v>46153</v>
      </c>
      <c r="C1246" t="s">
        <v>71</v>
      </c>
      <c r="D1246" t="s">
        <v>72</v>
      </c>
      <c r="E1246" t="s">
        <v>48</v>
      </c>
      <c r="F1246" t="s">
        <v>57</v>
      </c>
      <c r="G1246" t="s">
        <v>127</v>
      </c>
      <c r="H1246" t="s">
        <v>128</v>
      </c>
      <c r="I1246">
        <v>6</v>
      </c>
      <c r="J1246" s="3">
        <v>15106.12</v>
      </c>
      <c r="K1246" s="3">
        <v>90636.72</v>
      </c>
      <c r="L1246" t="s">
        <v>34</v>
      </c>
      <c r="M1246" s="2">
        <v>46169</v>
      </c>
      <c r="N1246" s="2">
        <v>46168</v>
      </c>
      <c r="O1246" t="s">
        <v>60</v>
      </c>
      <c r="P1246" t="s">
        <v>53</v>
      </c>
      <c r="Q1246" t="s">
        <v>28</v>
      </c>
      <c r="R1246" t="s">
        <v>29</v>
      </c>
    </row>
    <row r="1247" spans="1:18">
      <c r="A1247" t="s">
        <v>1378</v>
      </c>
      <c r="B1247" s="2">
        <v>46080</v>
      </c>
      <c r="C1247" t="s">
        <v>71</v>
      </c>
      <c r="D1247" t="s">
        <v>72</v>
      </c>
      <c r="E1247" t="s">
        <v>31</v>
      </c>
      <c r="F1247" t="s">
        <v>57</v>
      </c>
      <c r="G1247" t="s">
        <v>74</v>
      </c>
      <c r="H1247" t="s">
        <v>75</v>
      </c>
      <c r="I1247">
        <v>12</v>
      </c>
      <c r="J1247" s="3">
        <v>8076.39</v>
      </c>
      <c r="K1247" s="3">
        <v>96916.68</v>
      </c>
      <c r="L1247" t="s">
        <v>52</v>
      </c>
      <c r="M1247" s="2">
        <v>46086</v>
      </c>
      <c r="N1247" s="2">
        <v>46085</v>
      </c>
      <c r="O1247" t="s">
        <v>26</v>
      </c>
      <c r="P1247" t="s">
        <v>35</v>
      </c>
      <c r="Q1247" t="s">
        <v>28</v>
      </c>
      <c r="R1247" t="s">
        <v>29</v>
      </c>
    </row>
    <row r="1248" spans="1:18">
      <c r="A1248" t="s">
        <v>1379</v>
      </c>
      <c r="B1248" s="2">
        <v>45742</v>
      </c>
      <c r="C1248" t="s">
        <v>55</v>
      </c>
      <c r="D1248" t="s">
        <v>56</v>
      </c>
      <c r="E1248" t="s">
        <v>48</v>
      </c>
      <c r="F1248" t="s">
        <v>57</v>
      </c>
      <c r="G1248" t="s">
        <v>101</v>
      </c>
      <c r="H1248" t="s">
        <v>102</v>
      </c>
      <c r="I1248">
        <v>27</v>
      </c>
      <c r="J1248" s="3">
        <v>1926.24</v>
      </c>
      <c r="K1248" s="3">
        <v>52008.480000000003</v>
      </c>
      <c r="L1248" t="s">
        <v>25</v>
      </c>
      <c r="M1248" s="2">
        <v>45759</v>
      </c>
      <c r="N1248" s="2">
        <v>45756</v>
      </c>
      <c r="O1248" t="s">
        <v>26</v>
      </c>
      <c r="P1248" t="s">
        <v>53</v>
      </c>
      <c r="Q1248" t="s">
        <v>28</v>
      </c>
      <c r="R1248" t="s">
        <v>29</v>
      </c>
    </row>
    <row r="1249" spans="1:18">
      <c r="A1249" t="s">
        <v>1380</v>
      </c>
      <c r="B1249" s="2">
        <v>46026</v>
      </c>
      <c r="C1249" t="s">
        <v>107</v>
      </c>
      <c r="D1249" t="s">
        <v>108</v>
      </c>
      <c r="E1249" t="s">
        <v>31</v>
      </c>
      <c r="F1249" t="s">
        <v>91</v>
      </c>
      <c r="G1249" t="s">
        <v>109</v>
      </c>
      <c r="H1249" t="s">
        <v>110</v>
      </c>
      <c r="I1249">
        <v>3</v>
      </c>
      <c r="J1249" s="3">
        <v>13387.34</v>
      </c>
      <c r="K1249" s="3">
        <v>40162.019999999997</v>
      </c>
      <c r="L1249" t="s">
        <v>52</v>
      </c>
      <c r="M1249" s="2">
        <v>46031</v>
      </c>
      <c r="N1249" s="2">
        <v>46029</v>
      </c>
      <c r="O1249" t="s">
        <v>60</v>
      </c>
      <c r="P1249" t="s">
        <v>94</v>
      </c>
      <c r="Q1249" t="s">
        <v>28</v>
      </c>
      <c r="R1249" t="s">
        <v>29</v>
      </c>
    </row>
    <row r="1250" spans="1:18">
      <c r="A1250" t="s">
        <v>1381</v>
      </c>
      <c r="B1250" s="2">
        <v>46097</v>
      </c>
      <c r="C1250" t="s">
        <v>107</v>
      </c>
      <c r="D1250" t="s">
        <v>108</v>
      </c>
      <c r="E1250" t="s">
        <v>31</v>
      </c>
      <c r="F1250" t="s">
        <v>91</v>
      </c>
      <c r="G1250" t="s">
        <v>109</v>
      </c>
      <c r="H1250" t="s">
        <v>110</v>
      </c>
      <c r="I1250">
        <v>3</v>
      </c>
      <c r="J1250" s="3">
        <v>14352.05</v>
      </c>
      <c r="K1250" s="3">
        <v>43056.15</v>
      </c>
      <c r="L1250" t="s">
        <v>25</v>
      </c>
      <c r="M1250" s="2">
        <v>46105</v>
      </c>
      <c r="N1250" s="2">
        <v>46104</v>
      </c>
      <c r="O1250" t="s">
        <v>26</v>
      </c>
      <c r="P1250" t="s">
        <v>35</v>
      </c>
      <c r="Q1250" t="s">
        <v>28</v>
      </c>
      <c r="R1250" t="s">
        <v>29</v>
      </c>
    </row>
    <row r="1251" spans="1:18">
      <c r="A1251" t="s">
        <v>1382</v>
      </c>
      <c r="B1251" s="2">
        <v>45963</v>
      </c>
      <c r="C1251" t="s">
        <v>142</v>
      </c>
      <c r="D1251" t="s">
        <v>143</v>
      </c>
      <c r="E1251" t="s">
        <v>39</v>
      </c>
      <c r="F1251" t="s">
        <v>22</v>
      </c>
      <c r="G1251" t="s">
        <v>160</v>
      </c>
      <c r="H1251" t="s">
        <v>161</v>
      </c>
      <c r="I1251">
        <v>8</v>
      </c>
      <c r="J1251" s="3">
        <v>3150.3</v>
      </c>
      <c r="K1251" s="3">
        <v>25202.400000000001</v>
      </c>
      <c r="L1251" t="s">
        <v>25</v>
      </c>
      <c r="M1251" s="2">
        <v>45972</v>
      </c>
      <c r="N1251" s="2">
        <v>45969</v>
      </c>
      <c r="O1251" t="s">
        <v>76</v>
      </c>
      <c r="P1251" t="s">
        <v>44</v>
      </c>
      <c r="Q1251" t="s">
        <v>28</v>
      </c>
      <c r="R1251" t="s">
        <v>29</v>
      </c>
    </row>
    <row r="1252" spans="1:18">
      <c r="A1252" t="s">
        <v>1383</v>
      </c>
      <c r="B1252" s="2">
        <v>45739</v>
      </c>
      <c r="C1252" t="s">
        <v>142</v>
      </c>
      <c r="D1252" t="s">
        <v>143</v>
      </c>
      <c r="E1252" t="s">
        <v>73</v>
      </c>
      <c r="F1252" t="s">
        <v>22</v>
      </c>
      <c r="G1252" t="s">
        <v>32</v>
      </c>
      <c r="H1252" t="s">
        <v>33</v>
      </c>
      <c r="I1252">
        <v>10</v>
      </c>
      <c r="J1252" s="3">
        <v>8066.91</v>
      </c>
      <c r="K1252" s="3">
        <v>80669.100000000006</v>
      </c>
      <c r="L1252" t="s">
        <v>52</v>
      </c>
      <c r="M1252" s="2">
        <v>45744</v>
      </c>
      <c r="N1252" s="2">
        <v>45742</v>
      </c>
      <c r="O1252" t="s">
        <v>76</v>
      </c>
      <c r="P1252" t="s">
        <v>77</v>
      </c>
      <c r="Q1252" t="s">
        <v>28</v>
      </c>
      <c r="R1252" t="s">
        <v>29</v>
      </c>
    </row>
    <row r="1253" spans="1:18">
      <c r="A1253" t="s">
        <v>1384</v>
      </c>
      <c r="B1253" s="2">
        <v>45701</v>
      </c>
      <c r="C1253" t="s">
        <v>131</v>
      </c>
      <c r="D1253" t="s">
        <v>132</v>
      </c>
      <c r="E1253" t="s">
        <v>48</v>
      </c>
      <c r="F1253" t="s">
        <v>57</v>
      </c>
      <c r="G1253" t="s">
        <v>120</v>
      </c>
      <c r="H1253" t="s">
        <v>121</v>
      </c>
      <c r="I1253">
        <v>4</v>
      </c>
      <c r="J1253" s="3">
        <v>22242.1</v>
      </c>
      <c r="K1253" s="3">
        <v>88968.4</v>
      </c>
      <c r="L1253" t="s">
        <v>25</v>
      </c>
      <c r="M1253" s="2">
        <v>45707</v>
      </c>
      <c r="N1253" s="2">
        <v>45707</v>
      </c>
      <c r="O1253" t="s">
        <v>60</v>
      </c>
      <c r="P1253" t="s">
        <v>53</v>
      </c>
      <c r="Q1253" t="s">
        <v>28</v>
      </c>
      <c r="R1253" t="s">
        <v>29</v>
      </c>
    </row>
    <row r="1254" spans="1:18">
      <c r="A1254" t="s">
        <v>1385</v>
      </c>
      <c r="B1254" s="2">
        <v>45677</v>
      </c>
      <c r="C1254" t="s">
        <v>104</v>
      </c>
      <c r="D1254" t="s">
        <v>105</v>
      </c>
      <c r="E1254" t="s">
        <v>48</v>
      </c>
      <c r="F1254" t="s">
        <v>49</v>
      </c>
      <c r="G1254" t="s">
        <v>68</v>
      </c>
      <c r="H1254" t="s">
        <v>69</v>
      </c>
      <c r="I1254">
        <v>1</v>
      </c>
      <c r="J1254" s="3">
        <v>49115.65</v>
      </c>
      <c r="K1254" s="3">
        <v>49115.65</v>
      </c>
      <c r="L1254" t="s">
        <v>34</v>
      </c>
      <c r="M1254" s="2">
        <v>45692</v>
      </c>
      <c r="N1254" s="2">
        <v>45705</v>
      </c>
      <c r="O1254" t="s">
        <v>26</v>
      </c>
      <c r="P1254" t="s">
        <v>53</v>
      </c>
      <c r="Q1254" t="s">
        <v>28</v>
      </c>
      <c r="R1254" t="s">
        <v>129</v>
      </c>
    </row>
    <row r="1255" spans="1:18">
      <c r="A1255" t="s">
        <v>1386</v>
      </c>
      <c r="B1255" s="2">
        <v>45932</v>
      </c>
      <c r="C1255" t="s">
        <v>37</v>
      </c>
      <c r="D1255" t="s">
        <v>38</v>
      </c>
      <c r="E1255" t="s">
        <v>39</v>
      </c>
      <c r="F1255" t="s">
        <v>22</v>
      </c>
      <c r="G1255" t="s">
        <v>23</v>
      </c>
      <c r="H1255" t="s">
        <v>24</v>
      </c>
      <c r="I1255">
        <v>16</v>
      </c>
      <c r="J1255" s="3">
        <v>267.39999999999998</v>
      </c>
      <c r="K1255" s="3">
        <v>4278.3999999999996</v>
      </c>
      <c r="L1255" t="s">
        <v>52</v>
      </c>
      <c r="M1255" s="2">
        <v>45944</v>
      </c>
      <c r="N1255" s="2">
        <v>45942</v>
      </c>
      <c r="O1255" t="s">
        <v>43</v>
      </c>
      <c r="P1255" t="s">
        <v>1387</v>
      </c>
      <c r="Q1255" t="s">
        <v>28</v>
      </c>
      <c r="R1255" t="s">
        <v>29</v>
      </c>
    </row>
    <row r="1256" spans="1:18">
      <c r="A1256" t="s">
        <v>1388</v>
      </c>
      <c r="B1256" s="2">
        <v>45709</v>
      </c>
      <c r="C1256" t="s">
        <v>37</v>
      </c>
      <c r="D1256" t="s">
        <v>38</v>
      </c>
      <c r="E1256" t="s">
        <v>39</v>
      </c>
      <c r="F1256" t="s">
        <v>22</v>
      </c>
      <c r="G1256" t="s">
        <v>32</v>
      </c>
      <c r="H1256" t="s">
        <v>33</v>
      </c>
      <c r="I1256">
        <v>6</v>
      </c>
      <c r="J1256" s="3">
        <v>8693.07</v>
      </c>
      <c r="K1256" s="3">
        <v>52158.42</v>
      </c>
      <c r="L1256" t="s">
        <v>25</v>
      </c>
      <c r="M1256" s="2">
        <v>45726</v>
      </c>
      <c r="N1256" s="2">
        <v>45724</v>
      </c>
      <c r="O1256" t="s">
        <v>76</v>
      </c>
      <c r="P1256" t="s">
        <v>64</v>
      </c>
      <c r="Q1256" t="s">
        <v>28</v>
      </c>
      <c r="R1256" t="s">
        <v>29</v>
      </c>
    </row>
    <row r="1257" spans="1:18">
      <c r="A1257" t="s">
        <v>1389</v>
      </c>
      <c r="B1257" s="2">
        <v>46106</v>
      </c>
      <c r="C1257" t="s">
        <v>147</v>
      </c>
      <c r="D1257" t="s">
        <v>148</v>
      </c>
      <c r="E1257" t="s">
        <v>112</v>
      </c>
      <c r="F1257" t="s">
        <v>40</v>
      </c>
      <c r="G1257" t="s">
        <v>41</v>
      </c>
      <c r="H1257" t="s">
        <v>42</v>
      </c>
      <c r="I1257">
        <v>14</v>
      </c>
      <c r="J1257" s="3">
        <v>5305.18</v>
      </c>
      <c r="K1257" s="3">
        <v>74272.52</v>
      </c>
      <c r="L1257" t="s">
        <v>52</v>
      </c>
      <c r="M1257" s="2">
        <v>46113</v>
      </c>
      <c r="N1257" s="2">
        <v>46113</v>
      </c>
      <c r="O1257" t="s">
        <v>76</v>
      </c>
      <c r="P1257" t="s">
        <v>115</v>
      </c>
      <c r="Q1257" t="s">
        <v>28</v>
      </c>
      <c r="R1257" t="s">
        <v>29</v>
      </c>
    </row>
    <row r="1258" spans="1:18">
      <c r="A1258" t="s">
        <v>1390</v>
      </c>
      <c r="B1258" s="2">
        <v>45725</v>
      </c>
      <c r="C1258" t="s">
        <v>147</v>
      </c>
      <c r="D1258" t="s">
        <v>148</v>
      </c>
      <c r="E1258" t="s">
        <v>112</v>
      </c>
      <c r="F1258" t="s">
        <v>40</v>
      </c>
      <c r="G1258" t="s">
        <v>149</v>
      </c>
      <c r="H1258" t="s">
        <v>150</v>
      </c>
      <c r="I1258">
        <v>5</v>
      </c>
      <c r="J1258" s="3">
        <v>1334.31</v>
      </c>
      <c r="K1258" s="3">
        <v>6671.55</v>
      </c>
      <c r="L1258" t="s">
        <v>25</v>
      </c>
      <c r="M1258" s="2">
        <v>45733</v>
      </c>
      <c r="N1258" s="2">
        <v>45733</v>
      </c>
      <c r="O1258" t="s">
        <v>76</v>
      </c>
      <c r="P1258" t="s">
        <v>115</v>
      </c>
      <c r="Q1258" t="s">
        <v>28</v>
      </c>
      <c r="R1258" t="s">
        <v>29</v>
      </c>
    </row>
    <row r="1259" spans="1:18">
      <c r="A1259" t="s">
        <v>1391</v>
      </c>
      <c r="B1259" s="2">
        <v>46096</v>
      </c>
      <c r="C1259" t="s">
        <v>117</v>
      </c>
      <c r="D1259" t="s">
        <v>118</v>
      </c>
      <c r="E1259" t="s">
        <v>31</v>
      </c>
      <c r="F1259" t="s">
        <v>57</v>
      </c>
      <c r="G1259" t="s">
        <v>101</v>
      </c>
      <c r="H1259" t="s">
        <v>102</v>
      </c>
      <c r="I1259">
        <v>44</v>
      </c>
      <c r="J1259" s="3">
        <v>1789.41</v>
      </c>
      <c r="K1259" s="3">
        <v>78734.039999999994</v>
      </c>
      <c r="L1259" t="s">
        <v>52</v>
      </c>
      <c r="M1259" s="2">
        <v>46102</v>
      </c>
      <c r="N1259" s="2">
        <v>46100</v>
      </c>
      <c r="O1259" t="s">
        <v>26</v>
      </c>
      <c r="P1259" t="s">
        <v>35</v>
      </c>
      <c r="Q1259" t="s">
        <v>28</v>
      </c>
      <c r="R1259" t="s">
        <v>29</v>
      </c>
    </row>
    <row r="1260" spans="1:18">
      <c r="A1260" t="s">
        <v>1392</v>
      </c>
      <c r="B1260" s="2">
        <v>46006</v>
      </c>
      <c r="C1260" t="s">
        <v>142</v>
      </c>
      <c r="D1260" t="s">
        <v>143</v>
      </c>
      <c r="E1260" t="s">
        <v>73</v>
      </c>
      <c r="F1260" t="s">
        <v>22</v>
      </c>
      <c r="G1260" t="s">
        <v>23</v>
      </c>
      <c r="H1260" t="s">
        <v>24</v>
      </c>
      <c r="I1260">
        <v>41</v>
      </c>
      <c r="J1260" s="3">
        <v>256.45</v>
      </c>
      <c r="K1260" s="3">
        <v>10514.45</v>
      </c>
      <c r="L1260" t="s">
        <v>25</v>
      </c>
      <c r="M1260" s="2">
        <v>46020</v>
      </c>
      <c r="N1260" s="2">
        <v>46022</v>
      </c>
      <c r="O1260" t="s">
        <v>60</v>
      </c>
      <c r="P1260" t="s">
        <v>77</v>
      </c>
      <c r="Q1260" t="s">
        <v>28</v>
      </c>
      <c r="R1260" t="s">
        <v>129</v>
      </c>
    </row>
    <row r="1261" spans="1:18">
      <c r="A1261" t="s">
        <v>1393</v>
      </c>
      <c r="B1261" s="2">
        <v>45733</v>
      </c>
      <c r="C1261" t="s">
        <v>104</v>
      </c>
      <c r="D1261" t="s">
        <v>105</v>
      </c>
      <c r="E1261" t="s">
        <v>48</v>
      </c>
      <c r="F1261" t="s">
        <v>49</v>
      </c>
      <c r="G1261" t="s">
        <v>165</v>
      </c>
      <c r="H1261" t="s">
        <v>166</v>
      </c>
      <c r="I1261">
        <v>1</v>
      </c>
      <c r="J1261" s="3">
        <v>46016.58</v>
      </c>
      <c r="K1261" s="3">
        <v>46016.58</v>
      </c>
      <c r="L1261" t="s">
        <v>34</v>
      </c>
      <c r="M1261" s="2">
        <v>45745</v>
      </c>
      <c r="N1261" s="2">
        <v>45744</v>
      </c>
      <c r="O1261" t="s">
        <v>26</v>
      </c>
      <c r="P1261" t="s">
        <v>53</v>
      </c>
      <c r="Q1261" t="s">
        <v>28</v>
      </c>
      <c r="R1261" t="s">
        <v>29</v>
      </c>
    </row>
    <row r="1262" spans="1:18">
      <c r="A1262" t="s">
        <v>1394</v>
      </c>
      <c r="B1262" s="2">
        <v>45953</v>
      </c>
      <c r="C1262" t="s">
        <v>104</v>
      </c>
      <c r="D1262" t="s">
        <v>105</v>
      </c>
      <c r="E1262" t="s">
        <v>48</v>
      </c>
      <c r="F1262" t="s">
        <v>49</v>
      </c>
      <c r="G1262" t="s">
        <v>50</v>
      </c>
      <c r="H1262" t="s">
        <v>51</v>
      </c>
      <c r="I1262">
        <v>2</v>
      </c>
      <c r="J1262" s="3">
        <v>51757.51</v>
      </c>
      <c r="K1262" s="3">
        <v>103515.02</v>
      </c>
      <c r="L1262" t="s">
        <v>25</v>
      </c>
      <c r="M1262" s="2">
        <v>45964</v>
      </c>
      <c r="N1262" s="2">
        <v>45963</v>
      </c>
      <c r="O1262" t="s">
        <v>43</v>
      </c>
      <c r="P1262" t="s">
        <v>53</v>
      </c>
      <c r="Q1262" t="s">
        <v>28</v>
      </c>
      <c r="R1262" t="s">
        <v>29</v>
      </c>
    </row>
    <row r="1263" spans="1:18">
      <c r="A1263" t="s">
        <v>1395</v>
      </c>
      <c r="B1263" s="2">
        <v>45822</v>
      </c>
      <c r="C1263" t="s">
        <v>117</v>
      </c>
      <c r="D1263" t="s">
        <v>118</v>
      </c>
      <c r="E1263" t="s">
        <v>48</v>
      </c>
      <c r="F1263" t="s">
        <v>57</v>
      </c>
      <c r="G1263" t="s">
        <v>74</v>
      </c>
      <c r="H1263" t="s">
        <v>75</v>
      </c>
      <c r="I1263">
        <v>5</v>
      </c>
      <c r="J1263" s="3">
        <v>8671.01</v>
      </c>
      <c r="K1263" s="3">
        <v>43355.05</v>
      </c>
      <c r="L1263" t="s">
        <v>25</v>
      </c>
      <c r="M1263" s="2">
        <v>45829</v>
      </c>
      <c r="N1263" s="2">
        <v>45828</v>
      </c>
      <c r="O1263" t="s">
        <v>60</v>
      </c>
      <c r="P1263" t="s">
        <v>53</v>
      </c>
      <c r="Q1263" t="s">
        <v>28</v>
      </c>
      <c r="R1263" t="s">
        <v>29</v>
      </c>
    </row>
    <row r="1264" spans="1:18">
      <c r="A1264" t="s">
        <v>1396</v>
      </c>
      <c r="B1264" s="2">
        <v>45846</v>
      </c>
      <c r="C1264" t="s">
        <v>19</v>
      </c>
      <c r="D1264" t="s">
        <v>20</v>
      </c>
      <c r="E1264" t="s">
        <v>31</v>
      </c>
      <c r="F1264" t="s">
        <v>22</v>
      </c>
      <c r="G1264" t="s">
        <v>32</v>
      </c>
      <c r="H1264" t="s">
        <v>33</v>
      </c>
      <c r="I1264">
        <v>13</v>
      </c>
      <c r="J1264" s="3">
        <v>7061.41</v>
      </c>
      <c r="K1264" s="3">
        <v>91798.33</v>
      </c>
      <c r="L1264" t="s">
        <v>25</v>
      </c>
      <c r="M1264" s="2">
        <v>45854</v>
      </c>
      <c r="N1264" s="2">
        <v>45854</v>
      </c>
      <c r="O1264" t="s">
        <v>43</v>
      </c>
      <c r="P1264" t="s">
        <v>94</v>
      </c>
      <c r="Q1264" t="s">
        <v>28</v>
      </c>
      <c r="R1264" t="s">
        <v>29</v>
      </c>
    </row>
    <row r="1265" spans="1:18">
      <c r="A1265" t="s">
        <v>1397</v>
      </c>
      <c r="B1265" s="2">
        <v>45705</v>
      </c>
      <c r="C1265" t="s">
        <v>80</v>
      </c>
      <c r="D1265" t="s">
        <v>81</v>
      </c>
      <c r="E1265" t="s">
        <v>39</v>
      </c>
      <c r="F1265" t="s">
        <v>82</v>
      </c>
      <c r="G1265" t="s">
        <v>197</v>
      </c>
      <c r="H1265" t="s">
        <v>198</v>
      </c>
      <c r="I1265">
        <v>20</v>
      </c>
      <c r="J1265" s="3">
        <v>2006.85</v>
      </c>
      <c r="K1265" s="3">
        <v>40137</v>
      </c>
      <c r="L1265" t="s">
        <v>25</v>
      </c>
      <c r="M1265" s="2">
        <v>45710</v>
      </c>
      <c r="N1265" s="2">
        <v>45710</v>
      </c>
      <c r="O1265" t="s">
        <v>60</v>
      </c>
      <c r="P1265" t="s">
        <v>44</v>
      </c>
      <c r="Q1265" t="s">
        <v>28</v>
      </c>
      <c r="R1265" t="s">
        <v>29</v>
      </c>
    </row>
    <row r="1266" spans="1:18">
      <c r="A1266" t="s">
        <v>1398</v>
      </c>
      <c r="B1266" s="2">
        <v>45664</v>
      </c>
      <c r="C1266" t="s">
        <v>66</v>
      </c>
      <c r="D1266" t="s">
        <v>67</v>
      </c>
      <c r="E1266" t="s">
        <v>48</v>
      </c>
      <c r="F1266" t="s">
        <v>49</v>
      </c>
      <c r="G1266" t="s">
        <v>165</v>
      </c>
      <c r="H1266" t="s">
        <v>166</v>
      </c>
      <c r="I1266">
        <v>3</v>
      </c>
      <c r="J1266" s="3">
        <v>45816.87</v>
      </c>
      <c r="K1266" s="3">
        <v>137450.60999999999</v>
      </c>
      <c r="L1266" t="s">
        <v>25</v>
      </c>
      <c r="M1266" s="2">
        <v>45681</v>
      </c>
      <c r="N1266" s="2">
        <v>45678</v>
      </c>
      <c r="O1266" t="s">
        <v>26</v>
      </c>
      <c r="P1266" t="s">
        <v>53</v>
      </c>
      <c r="Q1266" t="s">
        <v>28</v>
      </c>
      <c r="R1266" t="s">
        <v>29</v>
      </c>
    </row>
    <row r="1267" spans="1:18">
      <c r="A1267" t="s">
        <v>1399</v>
      </c>
      <c r="B1267" s="2">
        <v>45833</v>
      </c>
      <c r="C1267" t="s">
        <v>117</v>
      </c>
      <c r="D1267" t="s">
        <v>118</v>
      </c>
      <c r="E1267" t="s">
        <v>31</v>
      </c>
      <c r="F1267" t="s">
        <v>57</v>
      </c>
      <c r="G1267" t="s">
        <v>58</v>
      </c>
      <c r="H1267" t="s">
        <v>59</v>
      </c>
      <c r="I1267">
        <v>4</v>
      </c>
      <c r="J1267" s="3">
        <v>55276.35</v>
      </c>
      <c r="K1267" s="3">
        <v>221105.4</v>
      </c>
      <c r="L1267" t="s">
        <v>34</v>
      </c>
      <c r="M1267" s="2">
        <v>45844</v>
      </c>
      <c r="N1267" s="2">
        <v>45843</v>
      </c>
      <c r="O1267" t="s">
        <v>26</v>
      </c>
      <c r="P1267" t="s">
        <v>35</v>
      </c>
      <c r="Q1267" t="s">
        <v>28</v>
      </c>
      <c r="R1267" t="s">
        <v>29</v>
      </c>
    </row>
    <row r="1268" spans="1:18">
      <c r="A1268" t="s">
        <v>1400</v>
      </c>
      <c r="B1268" s="2">
        <v>46036</v>
      </c>
      <c r="C1268" t="s">
        <v>147</v>
      </c>
      <c r="D1268" t="s">
        <v>148</v>
      </c>
      <c r="E1268" t="s">
        <v>39</v>
      </c>
      <c r="F1268" t="s">
        <v>40</v>
      </c>
      <c r="G1268" t="s">
        <v>62</v>
      </c>
      <c r="H1268" t="s">
        <v>63</v>
      </c>
      <c r="I1268">
        <v>3</v>
      </c>
      <c r="J1268" s="3">
        <v>18472.060000000001</v>
      </c>
      <c r="K1268" s="3">
        <v>55416.18</v>
      </c>
      <c r="L1268" t="s">
        <v>25</v>
      </c>
      <c r="M1268" s="2">
        <v>46041</v>
      </c>
      <c r="N1268" s="2">
        <v>46041</v>
      </c>
      <c r="O1268" t="s">
        <v>76</v>
      </c>
      <c r="P1268" t="s">
        <v>64</v>
      </c>
      <c r="Q1268" t="s">
        <v>28</v>
      </c>
      <c r="R1268" t="s">
        <v>29</v>
      </c>
    </row>
    <row r="1269" spans="1:18">
      <c r="A1269" t="s">
        <v>1401</v>
      </c>
      <c r="B1269" s="2">
        <v>45664</v>
      </c>
      <c r="C1269" t="s">
        <v>19</v>
      </c>
      <c r="D1269" t="s">
        <v>20</v>
      </c>
      <c r="E1269" t="s">
        <v>73</v>
      </c>
      <c r="F1269" t="s">
        <v>22</v>
      </c>
      <c r="G1269" t="s">
        <v>23</v>
      </c>
      <c r="H1269" t="s">
        <v>24</v>
      </c>
      <c r="I1269">
        <v>47</v>
      </c>
      <c r="J1269" s="3">
        <v>231.2</v>
      </c>
      <c r="K1269" s="3">
        <v>10866.4</v>
      </c>
      <c r="L1269" t="s">
        <v>34</v>
      </c>
      <c r="M1269" s="2">
        <v>45671</v>
      </c>
      <c r="N1269" s="2">
        <v>45681</v>
      </c>
      <c r="O1269" t="s">
        <v>60</v>
      </c>
      <c r="P1269" t="s">
        <v>77</v>
      </c>
      <c r="Q1269" t="s">
        <v>28</v>
      </c>
      <c r="R1269" t="s">
        <v>129</v>
      </c>
    </row>
    <row r="1270" spans="1:18">
      <c r="A1270" t="s">
        <v>1402</v>
      </c>
      <c r="B1270" s="2">
        <v>46032</v>
      </c>
      <c r="C1270" t="s">
        <v>142</v>
      </c>
      <c r="D1270" t="s">
        <v>143</v>
      </c>
      <c r="E1270" t="s">
        <v>73</v>
      </c>
      <c r="F1270" t="s">
        <v>22</v>
      </c>
      <c r="G1270" t="s">
        <v>32</v>
      </c>
      <c r="H1270" t="s">
        <v>33</v>
      </c>
      <c r="I1270">
        <v>6</v>
      </c>
      <c r="J1270" s="3">
        <v>7863.94</v>
      </c>
      <c r="K1270" s="3">
        <v>47183.64</v>
      </c>
      <c r="L1270" t="s">
        <v>34</v>
      </c>
      <c r="M1270" s="2">
        <v>46045</v>
      </c>
      <c r="N1270" s="2">
        <v>46043</v>
      </c>
      <c r="O1270" t="s">
        <v>60</v>
      </c>
      <c r="P1270" t="s">
        <v>77</v>
      </c>
      <c r="Q1270" t="s">
        <v>28</v>
      </c>
      <c r="R1270" t="s">
        <v>29</v>
      </c>
    </row>
    <row r="1271" spans="1:18">
      <c r="A1271" t="s">
        <v>1403</v>
      </c>
      <c r="B1271" s="2">
        <v>45754</v>
      </c>
      <c r="C1271" t="s">
        <v>19</v>
      </c>
      <c r="D1271" t="s">
        <v>20</v>
      </c>
      <c r="E1271" t="s">
        <v>31</v>
      </c>
      <c r="F1271" t="s">
        <v>22</v>
      </c>
      <c r="G1271" t="s">
        <v>23</v>
      </c>
      <c r="H1271" t="s">
        <v>24</v>
      </c>
      <c r="I1271">
        <v>20</v>
      </c>
      <c r="J1271" s="3">
        <v>234.59</v>
      </c>
      <c r="K1271" s="3">
        <v>4691.8</v>
      </c>
      <c r="L1271" t="s">
        <v>25</v>
      </c>
      <c r="M1271" s="2">
        <v>45766</v>
      </c>
      <c r="N1271" s="2">
        <v>45765</v>
      </c>
      <c r="O1271" t="s">
        <v>60</v>
      </c>
      <c r="P1271" t="s">
        <v>94</v>
      </c>
      <c r="Q1271" t="s">
        <v>28</v>
      </c>
      <c r="R1271" t="s">
        <v>29</v>
      </c>
    </row>
    <row r="1272" spans="1:18">
      <c r="A1272" t="s">
        <v>1404</v>
      </c>
      <c r="B1272" s="2">
        <v>46179</v>
      </c>
      <c r="C1272" t="s">
        <v>134</v>
      </c>
      <c r="D1272" t="s">
        <v>135</v>
      </c>
      <c r="E1272" t="s">
        <v>112</v>
      </c>
      <c r="F1272" t="s">
        <v>40</v>
      </c>
      <c r="G1272" t="s">
        <v>41</v>
      </c>
      <c r="H1272" t="s">
        <v>42</v>
      </c>
      <c r="I1272">
        <v>3</v>
      </c>
      <c r="J1272" s="3">
        <v>5667.78</v>
      </c>
      <c r="K1272" s="3">
        <v>17003.34</v>
      </c>
      <c r="L1272" t="s">
        <v>25</v>
      </c>
      <c r="M1272" s="2">
        <v>46186</v>
      </c>
      <c r="N1272" s="2">
        <v>46183</v>
      </c>
      <c r="O1272" t="s">
        <v>43</v>
      </c>
      <c r="P1272" t="s">
        <v>115</v>
      </c>
      <c r="Q1272" t="s">
        <v>28</v>
      </c>
      <c r="R1272" t="s">
        <v>29</v>
      </c>
    </row>
    <row r="1273" spans="1:18">
      <c r="A1273" t="s">
        <v>1405</v>
      </c>
      <c r="B1273" s="2">
        <v>45876</v>
      </c>
      <c r="C1273" t="s">
        <v>142</v>
      </c>
      <c r="D1273" t="s">
        <v>143</v>
      </c>
      <c r="E1273" t="s">
        <v>31</v>
      </c>
      <c r="F1273" t="s">
        <v>22</v>
      </c>
      <c r="G1273" t="s">
        <v>23</v>
      </c>
      <c r="H1273" t="s">
        <v>24</v>
      </c>
      <c r="I1273">
        <v>8</v>
      </c>
      <c r="J1273" s="3">
        <v>256.05</v>
      </c>
      <c r="K1273" s="3">
        <v>2048.4</v>
      </c>
      <c r="L1273" t="s">
        <v>25</v>
      </c>
      <c r="M1273" s="2">
        <v>45885</v>
      </c>
      <c r="N1273" s="2">
        <v>45883</v>
      </c>
      <c r="O1273" t="s">
        <v>76</v>
      </c>
      <c r="P1273" t="s">
        <v>94</v>
      </c>
      <c r="Q1273" t="s">
        <v>28</v>
      </c>
      <c r="R1273" t="s">
        <v>29</v>
      </c>
    </row>
    <row r="1274" spans="1:18">
      <c r="A1274" t="s">
        <v>1406</v>
      </c>
      <c r="B1274" s="2">
        <v>45725</v>
      </c>
      <c r="C1274" t="s">
        <v>147</v>
      </c>
      <c r="D1274" t="s">
        <v>148</v>
      </c>
      <c r="E1274" t="s">
        <v>112</v>
      </c>
      <c r="F1274" t="s">
        <v>40</v>
      </c>
      <c r="G1274" t="s">
        <v>149</v>
      </c>
      <c r="H1274" t="s">
        <v>150</v>
      </c>
      <c r="I1274">
        <v>52</v>
      </c>
      <c r="J1274" s="3">
        <v>1322.67</v>
      </c>
      <c r="K1274" s="3">
        <v>68778.84</v>
      </c>
      <c r="L1274" t="s">
        <v>25</v>
      </c>
      <c r="M1274" s="2">
        <v>45740</v>
      </c>
      <c r="N1274" s="2">
        <v>45739</v>
      </c>
      <c r="O1274" t="s">
        <v>26</v>
      </c>
      <c r="P1274" t="s">
        <v>115</v>
      </c>
      <c r="Q1274" t="s">
        <v>28</v>
      </c>
      <c r="R1274" t="s">
        <v>29</v>
      </c>
    </row>
    <row r="1275" spans="1:18">
      <c r="A1275" t="s">
        <v>1407</v>
      </c>
      <c r="B1275" s="2">
        <v>45810</v>
      </c>
      <c r="C1275" t="s">
        <v>96</v>
      </c>
      <c r="D1275" t="s">
        <v>97</v>
      </c>
      <c r="E1275" t="s">
        <v>39</v>
      </c>
      <c r="F1275" t="s">
        <v>82</v>
      </c>
      <c r="G1275" t="s">
        <v>98</v>
      </c>
      <c r="H1275" t="s">
        <v>99</v>
      </c>
      <c r="I1275">
        <v>13</v>
      </c>
      <c r="J1275" s="3">
        <v>1203.95</v>
      </c>
      <c r="K1275" s="3">
        <v>15651.35</v>
      </c>
      <c r="L1275" t="s">
        <v>25</v>
      </c>
      <c r="M1275" s="2">
        <v>45826</v>
      </c>
      <c r="N1275" s="2">
        <v>45825</v>
      </c>
      <c r="O1275" t="s">
        <v>26</v>
      </c>
      <c r="P1275" t="s">
        <v>64</v>
      </c>
      <c r="Q1275" t="s">
        <v>28</v>
      </c>
      <c r="R1275" t="s">
        <v>29</v>
      </c>
    </row>
    <row r="1276" spans="1:18">
      <c r="A1276" t="s">
        <v>1408</v>
      </c>
      <c r="B1276" s="2">
        <v>45791</v>
      </c>
      <c r="C1276" t="s">
        <v>142</v>
      </c>
      <c r="D1276" t="s">
        <v>143</v>
      </c>
      <c r="E1276" t="s">
        <v>73</v>
      </c>
      <c r="F1276" t="s">
        <v>22</v>
      </c>
      <c r="G1276" t="s">
        <v>160</v>
      </c>
      <c r="H1276" t="s">
        <v>161</v>
      </c>
      <c r="I1276">
        <v>11</v>
      </c>
      <c r="J1276" s="3">
        <v>3079.86</v>
      </c>
      <c r="K1276" s="3">
        <v>33878.46</v>
      </c>
      <c r="L1276" t="s">
        <v>34</v>
      </c>
      <c r="M1276" s="2">
        <v>45809</v>
      </c>
      <c r="N1276" s="2">
        <v>45822</v>
      </c>
      <c r="O1276" t="s">
        <v>26</v>
      </c>
      <c r="P1276" t="s">
        <v>77</v>
      </c>
      <c r="Q1276" t="s">
        <v>28</v>
      </c>
      <c r="R1276" t="s">
        <v>129</v>
      </c>
    </row>
    <row r="1277" spans="1:18">
      <c r="A1277" t="s">
        <v>1409</v>
      </c>
      <c r="B1277" s="2">
        <v>46125</v>
      </c>
      <c r="C1277" t="s">
        <v>71</v>
      </c>
      <c r="D1277" t="s">
        <v>72</v>
      </c>
      <c r="E1277" t="s">
        <v>73</v>
      </c>
      <c r="F1277" t="s">
        <v>57</v>
      </c>
      <c r="G1277" t="s">
        <v>101</v>
      </c>
      <c r="H1277" t="s">
        <v>102</v>
      </c>
      <c r="I1277">
        <v>54</v>
      </c>
      <c r="J1277" s="3">
        <v>1650.14</v>
      </c>
      <c r="K1277" s="3">
        <v>89107.56</v>
      </c>
      <c r="L1277" t="s">
        <v>52</v>
      </c>
      <c r="M1277" s="2">
        <v>46131</v>
      </c>
      <c r="N1277" s="2">
        <v>46130</v>
      </c>
      <c r="O1277" t="s">
        <v>43</v>
      </c>
      <c r="P1277" t="s">
        <v>77</v>
      </c>
      <c r="Q1277" t="s">
        <v>28</v>
      </c>
      <c r="R1277" t="s">
        <v>29</v>
      </c>
    </row>
    <row r="1278" spans="1:18">
      <c r="A1278" t="s">
        <v>1410</v>
      </c>
      <c r="B1278" s="2">
        <v>45733</v>
      </c>
      <c r="C1278" t="s">
        <v>131</v>
      </c>
      <c r="D1278" t="s">
        <v>132</v>
      </c>
      <c r="E1278" t="s">
        <v>73</v>
      </c>
      <c r="F1278" t="s">
        <v>57</v>
      </c>
      <c r="G1278" t="s">
        <v>101</v>
      </c>
      <c r="H1278" t="s">
        <v>102</v>
      </c>
      <c r="I1278">
        <v>52</v>
      </c>
      <c r="J1278" s="3">
        <v>1838.54</v>
      </c>
      <c r="K1278" s="3">
        <v>95604.08</v>
      </c>
      <c r="L1278" t="s">
        <v>25</v>
      </c>
      <c r="M1278" s="2">
        <v>45746</v>
      </c>
      <c r="N1278" s="2">
        <v>45746</v>
      </c>
      <c r="O1278" t="s">
        <v>76</v>
      </c>
      <c r="P1278" t="s">
        <v>77</v>
      </c>
      <c r="Q1278" t="s">
        <v>28</v>
      </c>
      <c r="R1278" t="s">
        <v>29</v>
      </c>
    </row>
    <row r="1279" spans="1:18">
      <c r="A1279" t="s">
        <v>1411</v>
      </c>
      <c r="B1279" s="2">
        <v>46054</v>
      </c>
      <c r="C1279" t="s">
        <v>37</v>
      </c>
      <c r="D1279" t="s">
        <v>38</v>
      </c>
      <c r="E1279" t="s">
        <v>39</v>
      </c>
      <c r="F1279" t="s">
        <v>22</v>
      </c>
      <c r="G1279" t="s">
        <v>23</v>
      </c>
      <c r="H1279" t="s">
        <v>24</v>
      </c>
      <c r="I1279">
        <v>5</v>
      </c>
      <c r="J1279" s="3">
        <v>261.57</v>
      </c>
      <c r="K1279" s="3">
        <v>1307.8499999999999</v>
      </c>
      <c r="L1279" t="s">
        <v>34</v>
      </c>
      <c r="M1279" s="2">
        <v>46067</v>
      </c>
      <c r="N1279" s="2">
        <v>46075</v>
      </c>
      <c r="O1279" t="s">
        <v>76</v>
      </c>
      <c r="P1279" t="s">
        <v>44</v>
      </c>
      <c r="Q1279" t="s">
        <v>28</v>
      </c>
      <c r="R1279" t="s">
        <v>129</v>
      </c>
    </row>
    <row r="1280" spans="1:18">
      <c r="A1280" t="s">
        <v>1412</v>
      </c>
      <c r="B1280" s="2">
        <v>46060</v>
      </c>
      <c r="C1280" t="s">
        <v>55</v>
      </c>
      <c r="D1280" t="s">
        <v>56</v>
      </c>
      <c r="E1280" t="s">
        <v>48</v>
      </c>
      <c r="F1280" t="s">
        <v>57</v>
      </c>
      <c r="G1280" t="s">
        <v>74</v>
      </c>
      <c r="H1280" t="s">
        <v>75</v>
      </c>
      <c r="I1280">
        <v>3</v>
      </c>
      <c r="J1280" s="3">
        <v>9568.36</v>
      </c>
      <c r="K1280" s="3">
        <v>28705.08</v>
      </c>
      <c r="L1280" t="s">
        <v>25</v>
      </c>
      <c r="M1280" s="2">
        <v>46066</v>
      </c>
      <c r="N1280" s="2">
        <v>46063</v>
      </c>
      <c r="O1280" t="s">
        <v>43</v>
      </c>
      <c r="P1280" t="s">
        <v>53</v>
      </c>
      <c r="Q1280" t="s">
        <v>28</v>
      </c>
      <c r="R1280" t="s">
        <v>29</v>
      </c>
    </row>
    <row r="1281" spans="1:18">
      <c r="A1281" t="s">
        <v>1413</v>
      </c>
      <c r="B1281" s="2">
        <v>45951</v>
      </c>
      <c r="C1281" t="s">
        <v>104</v>
      </c>
      <c r="D1281" t="s">
        <v>105</v>
      </c>
      <c r="E1281" t="s">
        <v>48</v>
      </c>
      <c r="F1281" t="s">
        <v>49</v>
      </c>
      <c r="G1281" t="s">
        <v>113</v>
      </c>
      <c r="H1281" t="s">
        <v>114</v>
      </c>
      <c r="I1281">
        <v>1</v>
      </c>
      <c r="J1281" s="3">
        <v>37955.68</v>
      </c>
      <c r="K1281" s="3">
        <v>37955.68</v>
      </c>
      <c r="L1281" t="s">
        <v>34</v>
      </c>
      <c r="M1281" s="2">
        <v>45966</v>
      </c>
      <c r="N1281" s="2">
        <v>45965</v>
      </c>
      <c r="O1281" t="s">
        <v>60</v>
      </c>
      <c r="P1281" t="s">
        <v>53</v>
      </c>
      <c r="Q1281" t="s">
        <v>28</v>
      </c>
      <c r="R1281" t="s">
        <v>29</v>
      </c>
    </row>
    <row r="1282" spans="1:18">
      <c r="A1282" t="s">
        <v>1414</v>
      </c>
      <c r="B1282" s="2">
        <v>45666</v>
      </c>
      <c r="C1282" t="s">
        <v>89</v>
      </c>
      <c r="D1282" t="s">
        <v>90</v>
      </c>
      <c r="E1282" t="s">
        <v>31</v>
      </c>
      <c r="F1282" t="s">
        <v>91</v>
      </c>
      <c r="G1282" t="s">
        <v>109</v>
      </c>
      <c r="H1282" t="s">
        <v>110</v>
      </c>
      <c r="I1282">
        <v>2</v>
      </c>
      <c r="J1282" s="3">
        <v>12952.32</v>
      </c>
      <c r="K1282" s="3">
        <v>25904.639999999999</v>
      </c>
      <c r="L1282" t="s">
        <v>25</v>
      </c>
      <c r="M1282" s="2">
        <v>45673</v>
      </c>
      <c r="N1282" s="2">
        <v>45673</v>
      </c>
      <c r="O1282" t="s">
        <v>26</v>
      </c>
      <c r="P1282" t="s">
        <v>35</v>
      </c>
      <c r="Q1282" t="s">
        <v>28</v>
      </c>
      <c r="R1282" t="s">
        <v>29</v>
      </c>
    </row>
    <row r="1283" spans="1:18">
      <c r="A1283" t="s">
        <v>1415</v>
      </c>
      <c r="B1283" s="2">
        <v>45986</v>
      </c>
      <c r="C1283" t="s">
        <v>80</v>
      </c>
      <c r="D1283" t="s">
        <v>81</v>
      </c>
      <c r="E1283" t="s">
        <v>39</v>
      </c>
      <c r="F1283" t="s">
        <v>82</v>
      </c>
      <c r="G1283" t="s">
        <v>197</v>
      </c>
      <c r="H1283" t="s">
        <v>198</v>
      </c>
      <c r="I1283">
        <v>7</v>
      </c>
      <c r="J1283" s="3">
        <v>2029.44</v>
      </c>
      <c r="K1283" s="3">
        <v>14206.08</v>
      </c>
      <c r="L1283" t="s">
        <v>34</v>
      </c>
      <c r="M1283" s="2">
        <v>45999</v>
      </c>
      <c r="N1283" s="2">
        <v>45999</v>
      </c>
      <c r="O1283" t="s">
        <v>60</v>
      </c>
      <c r="P1283" t="s">
        <v>64</v>
      </c>
      <c r="Q1283" t="s">
        <v>28</v>
      </c>
      <c r="R1283" t="s">
        <v>29</v>
      </c>
    </row>
    <row r="1284" spans="1:18">
      <c r="A1284" t="s">
        <v>1416</v>
      </c>
      <c r="B1284" s="2">
        <v>45744</v>
      </c>
      <c r="C1284" t="s">
        <v>55</v>
      </c>
      <c r="D1284" t="s">
        <v>56</v>
      </c>
      <c r="E1284" t="s">
        <v>31</v>
      </c>
      <c r="F1284" t="s">
        <v>57</v>
      </c>
      <c r="G1284" t="s">
        <v>58</v>
      </c>
      <c r="H1284" t="s">
        <v>59</v>
      </c>
      <c r="I1284">
        <v>4</v>
      </c>
      <c r="J1284" s="3">
        <v>63835.4</v>
      </c>
      <c r="K1284" s="3">
        <v>255341.6</v>
      </c>
      <c r="L1284" t="s">
        <v>52</v>
      </c>
      <c r="M1284" s="2">
        <v>45751</v>
      </c>
      <c r="N1284" s="2">
        <v>45749</v>
      </c>
      <c r="O1284" t="s">
        <v>26</v>
      </c>
      <c r="P1284" t="s">
        <v>35</v>
      </c>
      <c r="Q1284" t="s">
        <v>28</v>
      </c>
      <c r="R1284" t="s">
        <v>29</v>
      </c>
    </row>
    <row r="1285" spans="1:18">
      <c r="A1285" t="s">
        <v>1417</v>
      </c>
      <c r="B1285" s="2">
        <v>45716</v>
      </c>
      <c r="C1285" t="s">
        <v>37</v>
      </c>
      <c r="D1285" t="s">
        <v>38</v>
      </c>
      <c r="E1285" t="s">
        <v>39</v>
      </c>
      <c r="F1285" t="s">
        <v>22</v>
      </c>
      <c r="G1285" t="s">
        <v>160</v>
      </c>
      <c r="H1285" t="s">
        <v>161</v>
      </c>
      <c r="I1285">
        <v>1</v>
      </c>
      <c r="J1285" s="3">
        <v>3523.66</v>
      </c>
      <c r="K1285" s="3">
        <v>3523.66</v>
      </c>
      <c r="L1285" t="s">
        <v>25</v>
      </c>
      <c r="M1285" s="2">
        <v>45733</v>
      </c>
      <c r="N1285" s="2">
        <v>45733</v>
      </c>
      <c r="O1285" t="s">
        <v>76</v>
      </c>
      <c r="P1285" t="s">
        <v>44</v>
      </c>
      <c r="Q1285" t="s">
        <v>28</v>
      </c>
      <c r="R1285" t="s">
        <v>29</v>
      </c>
    </row>
    <row r="1286" spans="1:18">
      <c r="A1286" t="s">
        <v>1418</v>
      </c>
      <c r="B1286" s="2">
        <v>46073</v>
      </c>
      <c r="C1286" t="s">
        <v>147</v>
      </c>
      <c r="D1286" t="s">
        <v>148</v>
      </c>
      <c r="E1286" t="s">
        <v>112</v>
      </c>
      <c r="F1286" t="s">
        <v>40</v>
      </c>
      <c r="G1286" t="s">
        <v>136</v>
      </c>
      <c r="H1286" t="s">
        <v>137</v>
      </c>
      <c r="I1286">
        <v>29</v>
      </c>
      <c r="J1286" s="3">
        <v>1631.6</v>
      </c>
      <c r="K1286" s="3">
        <v>47316.4</v>
      </c>
      <c r="L1286" t="s">
        <v>25</v>
      </c>
      <c r="M1286" s="2">
        <v>46089</v>
      </c>
      <c r="N1286" s="2">
        <v>46087</v>
      </c>
      <c r="O1286" t="s">
        <v>60</v>
      </c>
      <c r="P1286" t="s">
        <v>115</v>
      </c>
      <c r="Q1286" t="s">
        <v>28</v>
      </c>
      <c r="R1286" t="s">
        <v>29</v>
      </c>
    </row>
    <row r="1287" spans="1:18">
      <c r="A1287" t="s">
        <v>1419</v>
      </c>
      <c r="B1287" s="2">
        <v>45932</v>
      </c>
      <c r="C1287" t="s">
        <v>66</v>
      </c>
      <c r="D1287" t="s">
        <v>67</v>
      </c>
      <c r="E1287" t="s">
        <v>112</v>
      </c>
      <c r="F1287" t="s">
        <v>49</v>
      </c>
      <c r="G1287" t="s">
        <v>165</v>
      </c>
      <c r="H1287" t="s">
        <v>166</v>
      </c>
      <c r="I1287">
        <v>1</v>
      </c>
      <c r="J1287" s="3">
        <v>43320.2</v>
      </c>
      <c r="K1287" s="3">
        <v>43320.2</v>
      </c>
      <c r="L1287" t="s">
        <v>52</v>
      </c>
      <c r="M1287" s="2">
        <v>45943</v>
      </c>
      <c r="N1287" s="2">
        <v>45940</v>
      </c>
      <c r="O1287" t="s">
        <v>76</v>
      </c>
      <c r="P1287" t="s">
        <v>115</v>
      </c>
      <c r="Q1287" t="s">
        <v>28</v>
      </c>
      <c r="R1287" t="s">
        <v>29</v>
      </c>
    </row>
    <row r="1288" spans="1:18">
      <c r="A1288" t="s">
        <v>1420</v>
      </c>
      <c r="B1288" s="2">
        <v>46172</v>
      </c>
      <c r="C1288" t="s">
        <v>66</v>
      </c>
      <c r="D1288" t="s">
        <v>67</v>
      </c>
      <c r="E1288" t="s">
        <v>48</v>
      </c>
      <c r="F1288" t="s">
        <v>49</v>
      </c>
      <c r="G1288" t="s">
        <v>50</v>
      </c>
      <c r="H1288" t="s">
        <v>51</v>
      </c>
      <c r="I1288">
        <v>1</v>
      </c>
      <c r="J1288" s="3">
        <v>48996.54</v>
      </c>
      <c r="K1288" s="3">
        <v>48996.54</v>
      </c>
      <c r="L1288" t="s">
        <v>25</v>
      </c>
      <c r="M1288" s="2">
        <v>46182</v>
      </c>
      <c r="N1288" s="2">
        <v>46182</v>
      </c>
      <c r="O1288" t="s">
        <v>43</v>
      </c>
      <c r="P1288" t="s">
        <v>53</v>
      </c>
      <c r="Q1288" t="s">
        <v>28</v>
      </c>
      <c r="R1288" t="s">
        <v>29</v>
      </c>
    </row>
    <row r="1289" spans="1:18">
      <c r="A1289" t="s">
        <v>1421</v>
      </c>
      <c r="B1289" s="2">
        <v>45971</v>
      </c>
      <c r="C1289" t="s">
        <v>71</v>
      </c>
      <c r="D1289" t="s">
        <v>72</v>
      </c>
      <c r="E1289" t="s">
        <v>48</v>
      </c>
      <c r="F1289" t="s">
        <v>57</v>
      </c>
      <c r="G1289" t="s">
        <v>74</v>
      </c>
      <c r="H1289" t="s">
        <v>75</v>
      </c>
      <c r="I1289">
        <v>6</v>
      </c>
      <c r="J1289" s="3">
        <v>8010.55</v>
      </c>
      <c r="K1289" s="3">
        <v>48063.3</v>
      </c>
      <c r="L1289" t="s">
        <v>34</v>
      </c>
      <c r="M1289" s="2">
        <v>45985</v>
      </c>
      <c r="N1289" s="2">
        <v>45983</v>
      </c>
      <c r="O1289" t="s">
        <v>26</v>
      </c>
      <c r="P1289" t="s">
        <v>53</v>
      </c>
      <c r="Q1289" t="s">
        <v>28</v>
      </c>
      <c r="R1289" t="s">
        <v>29</v>
      </c>
    </row>
    <row r="1290" spans="1:18">
      <c r="A1290" t="s">
        <v>1422</v>
      </c>
      <c r="B1290" s="2">
        <v>45903</v>
      </c>
      <c r="C1290" t="s">
        <v>37</v>
      </c>
      <c r="D1290" t="s">
        <v>38</v>
      </c>
      <c r="E1290" t="s">
        <v>112</v>
      </c>
      <c r="F1290" t="s">
        <v>40</v>
      </c>
      <c r="G1290" t="s">
        <v>149</v>
      </c>
      <c r="H1290" t="s">
        <v>150</v>
      </c>
      <c r="I1290">
        <v>42</v>
      </c>
      <c r="J1290" s="3">
        <v>1487.72</v>
      </c>
      <c r="K1290" s="3">
        <v>62484.24</v>
      </c>
      <c r="L1290" t="s">
        <v>25</v>
      </c>
      <c r="M1290" s="2">
        <v>45909</v>
      </c>
      <c r="N1290" s="2">
        <v>45906</v>
      </c>
      <c r="O1290" t="s">
        <v>76</v>
      </c>
      <c r="P1290" t="s">
        <v>115</v>
      </c>
      <c r="Q1290" t="s">
        <v>28</v>
      </c>
      <c r="R1290" t="s">
        <v>29</v>
      </c>
    </row>
    <row r="1291" spans="1:18">
      <c r="A1291" t="s">
        <v>1423</v>
      </c>
      <c r="B1291" s="2">
        <v>45858</v>
      </c>
      <c r="C1291" t="s">
        <v>37</v>
      </c>
      <c r="D1291" t="s">
        <v>38</v>
      </c>
      <c r="E1291" t="s">
        <v>112</v>
      </c>
      <c r="F1291" t="s">
        <v>40</v>
      </c>
      <c r="G1291" t="s">
        <v>41</v>
      </c>
      <c r="H1291" t="s">
        <v>42</v>
      </c>
      <c r="I1291">
        <v>5</v>
      </c>
      <c r="J1291" s="3">
        <v>5711.59</v>
      </c>
      <c r="K1291" s="3">
        <v>28557.95</v>
      </c>
      <c r="L1291" t="s">
        <v>25</v>
      </c>
      <c r="M1291" s="2">
        <v>45866</v>
      </c>
      <c r="N1291" s="2">
        <v>45866</v>
      </c>
      <c r="O1291" t="s">
        <v>60</v>
      </c>
      <c r="P1291" t="s">
        <v>115</v>
      </c>
      <c r="Q1291" t="s">
        <v>28</v>
      </c>
      <c r="R1291" t="s">
        <v>29</v>
      </c>
    </row>
    <row r="1292" spans="1:18">
      <c r="A1292" t="s">
        <v>1424</v>
      </c>
      <c r="B1292" s="2">
        <v>46126</v>
      </c>
      <c r="C1292" t="s">
        <v>104</v>
      </c>
      <c r="D1292" t="s">
        <v>105</v>
      </c>
      <c r="E1292" t="s">
        <v>112</v>
      </c>
      <c r="F1292" t="s">
        <v>49</v>
      </c>
      <c r="G1292" t="s">
        <v>113</v>
      </c>
      <c r="H1292" t="s">
        <v>114</v>
      </c>
      <c r="I1292">
        <v>1</v>
      </c>
      <c r="J1292" s="3">
        <v>38688.01</v>
      </c>
      <c r="K1292" s="3">
        <v>38688.01</v>
      </c>
      <c r="L1292" t="s">
        <v>52</v>
      </c>
      <c r="M1292" s="2">
        <v>46138</v>
      </c>
      <c r="N1292" s="2">
        <v>46136</v>
      </c>
      <c r="O1292" t="s">
        <v>26</v>
      </c>
      <c r="P1292" t="s">
        <v>115</v>
      </c>
      <c r="Q1292" t="s">
        <v>28</v>
      </c>
      <c r="R1292" t="s">
        <v>29</v>
      </c>
    </row>
    <row r="1293" spans="1:18">
      <c r="A1293" t="s">
        <v>1425</v>
      </c>
      <c r="B1293" s="2">
        <v>45739</v>
      </c>
      <c r="C1293" t="s">
        <v>89</v>
      </c>
      <c r="D1293" t="s">
        <v>90</v>
      </c>
      <c r="E1293" t="s">
        <v>31</v>
      </c>
      <c r="F1293" t="s">
        <v>91</v>
      </c>
      <c r="G1293" t="s">
        <v>109</v>
      </c>
      <c r="H1293" t="s">
        <v>110</v>
      </c>
      <c r="I1293">
        <v>1</v>
      </c>
      <c r="J1293" s="3">
        <v>12235.25</v>
      </c>
      <c r="K1293" s="3">
        <v>12235.25</v>
      </c>
      <c r="L1293" t="s">
        <v>52</v>
      </c>
      <c r="M1293" s="2">
        <v>45755</v>
      </c>
      <c r="N1293" s="2">
        <v>45752</v>
      </c>
      <c r="O1293" t="s">
        <v>60</v>
      </c>
      <c r="P1293" t="s">
        <v>35</v>
      </c>
      <c r="Q1293" t="s">
        <v>28</v>
      </c>
      <c r="R1293" t="s">
        <v>29</v>
      </c>
    </row>
    <row r="1294" spans="1:18">
      <c r="A1294" t="s">
        <v>1426</v>
      </c>
      <c r="B1294" s="2">
        <v>46168</v>
      </c>
      <c r="C1294" t="s">
        <v>37</v>
      </c>
      <c r="D1294" t="s">
        <v>38</v>
      </c>
      <c r="E1294" t="s">
        <v>31</v>
      </c>
      <c r="F1294" t="s">
        <v>22</v>
      </c>
      <c r="G1294" t="s">
        <v>23</v>
      </c>
      <c r="H1294" t="s">
        <v>24</v>
      </c>
      <c r="I1294">
        <v>48</v>
      </c>
      <c r="J1294" s="3">
        <v>273.69</v>
      </c>
      <c r="K1294" s="3">
        <v>13137.12</v>
      </c>
      <c r="L1294" t="s">
        <v>34</v>
      </c>
      <c r="M1294" s="2">
        <v>46173</v>
      </c>
      <c r="N1294" s="2">
        <v>46170</v>
      </c>
      <c r="O1294" t="s">
        <v>26</v>
      </c>
      <c r="P1294" t="s">
        <v>94</v>
      </c>
      <c r="Q1294" t="s">
        <v>28</v>
      </c>
      <c r="R1294" t="s">
        <v>29</v>
      </c>
    </row>
    <row r="1295" spans="1:18">
      <c r="A1295" t="s">
        <v>1427</v>
      </c>
      <c r="B1295" s="2">
        <v>46113</v>
      </c>
      <c r="C1295" t="s">
        <v>147</v>
      </c>
      <c r="D1295" t="s">
        <v>148</v>
      </c>
      <c r="E1295" t="s">
        <v>39</v>
      </c>
      <c r="F1295" t="s">
        <v>40</v>
      </c>
      <c r="G1295" t="s">
        <v>62</v>
      </c>
      <c r="H1295" t="s">
        <v>63</v>
      </c>
      <c r="I1295">
        <v>4</v>
      </c>
      <c r="J1295" s="3">
        <v>17699.73</v>
      </c>
      <c r="K1295" s="3">
        <v>70798.92</v>
      </c>
      <c r="L1295" t="s">
        <v>52</v>
      </c>
      <c r="M1295" s="2">
        <v>46125</v>
      </c>
      <c r="N1295" s="2">
        <v>46131</v>
      </c>
      <c r="O1295" t="s">
        <v>43</v>
      </c>
      <c r="P1295" t="s">
        <v>44</v>
      </c>
      <c r="Q1295" t="s">
        <v>28</v>
      </c>
      <c r="R1295" t="s">
        <v>129</v>
      </c>
    </row>
    <row r="1296" spans="1:18">
      <c r="A1296" t="s">
        <v>1428</v>
      </c>
      <c r="B1296" s="2">
        <v>45722</v>
      </c>
      <c r="C1296" t="s">
        <v>37</v>
      </c>
      <c r="D1296" t="s">
        <v>38</v>
      </c>
      <c r="E1296" t="s">
        <v>112</v>
      </c>
      <c r="F1296" t="s">
        <v>40</v>
      </c>
      <c r="G1296" t="s">
        <v>41</v>
      </c>
      <c r="H1296" t="s">
        <v>42</v>
      </c>
      <c r="I1296">
        <v>8</v>
      </c>
      <c r="J1296" s="3">
        <v>6025.7</v>
      </c>
      <c r="K1296" s="3">
        <v>48205.599999999999</v>
      </c>
      <c r="L1296" t="s">
        <v>25</v>
      </c>
      <c r="M1296" s="2">
        <v>45740</v>
      </c>
      <c r="N1296" s="2">
        <v>45739</v>
      </c>
      <c r="O1296" t="s">
        <v>26</v>
      </c>
      <c r="P1296" t="s">
        <v>115</v>
      </c>
      <c r="Q1296" t="s">
        <v>28</v>
      </c>
      <c r="R1296" t="s">
        <v>29</v>
      </c>
    </row>
    <row r="1297" spans="1:18">
      <c r="A1297" t="s">
        <v>1429</v>
      </c>
      <c r="B1297" s="2">
        <v>45857</v>
      </c>
      <c r="C1297" t="s">
        <v>147</v>
      </c>
      <c r="D1297" t="s">
        <v>148</v>
      </c>
      <c r="E1297" t="s">
        <v>39</v>
      </c>
      <c r="F1297" t="s">
        <v>40</v>
      </c>
      <c r="G1297" t="s">
        <v>149</v>
      </c>
      <c r="H1297" t="s">
        <v>150</v>
      </c>
      <c r="I1297">
        <v>12</v>
      </c>
      <c r="J1297" s="3">
        <v>1324.91</v>
      </c>
      <c r="K1297" s="3">
        <v>15898.92</v>
      </c>
      <c r="L1297" t="s">
        <v>25</v>
      </c>
      <c r="M1297" s="2">
        <v>45874</v>
      </c>
      <c r="N1297" s="2">
        <v>45871</v>
      </c>
      <c r="O1297" t="s">
        <v>43</v>
      </c>
      <c r="P1297" t="s">
        <v>44</v>
      </c>
      <c r="Q1297" t="s">
        <v>28</v>
      </c>
      <c r="R1297" t="s">
        <v>29</v>
      </c>
    </row>
    <row r="1298" spans="1:18">
      <c r="A1298" t="s">
        <v>1430</v>
      </c>
      <c r="B1298" s="2">
        <v>45861</v>
      </c>
      <c r="C1298" t="s">
        <v>46</v>
      </c>
      <c r="D1298" t="s">
        <v>47</v>
      </c>
      <c r="E1298" t="s">
        <v>73</v>
      </c>
      <c r="F1298" t="s">
        <v>49</v>
      </c>
      <c r="G1298" t="s">
        <v>165</v>
      </c>
      <c r="H1298" t="s">
        <v>166</v>
      </c>
      <c r="I1298">
        <v>2</v>
      </c>
      <c r="J1298" s="3">
        <v>48016.19</v>
      </c>
      <c r="K1298" s="3">
        <v>96032.38</v>
      </c>
      <c r="L1298" t="s">
        <v>34</v>
      </c>
      <c r="M1298" s="2">
        <v>45868</v>
      </c>
      <c r="N1298" s="2">
        <v>45868</v>
      </c>
      <c r="O1298" t="s">
        <v>26</v>
      </c>
      <c r="P1298" t="s">
        <v>77</v>
      </c>
      <c r="Q1298" t="s">
        <v>28</v>
      </c>
      <c r="R1298" t="s">
        <v>29</v>
      </c>
    </row>
    <row r="1299" spans="1:18">
      <c r="A1299" t="s">
        <v>1431</v>
      </c>
      <c r="B1299" s="2">
        <v>45910</v>
      </c>
      <c r="C1299" t="s">
        <v>66</v>
      </c>
      <c r="D1299" t="s">
        <v>67</v>
      </c>
      <c r="E1299" t="s">
        <v>48</v>
      </c>
      <c r="F1299" t="s">
        <v>49</v>
      </c>
      <c r="G1299" t="s">
        <v>50</v>
      </c>
      <c r="H1299" t="s">
        <v>51</v>
      </c>
      <c r="I1299">
        <v>1</v>
      </c>
      <c r="J1299" s="3">
        <v>49095.89</v>
      </c>
      <c r="K1299" s="3">
        <v>49095.89</v>
      </c>
      <c r="L1299" t="s">
        <v>25</v>
      </c>
      <c r="M1299" s="2">
        <v>45925</v>
      </c>
      <c r="N1299" s="2">
        <v>45922</v>
      </c>
      <c r="O1299" t="s">
        <v>26</v>
      </c>
      <c r="P1299" t="s">
        <v>53</v>
      </c>
      <c r="Q1299" t="s">
        <v>28</v>
      </c>
      <c r="R1299" t="s">
        <v>29</v>
      </c>
    </row>
    <row r="1300" spans="1:18">
      <c r="A1300" t="s">
        <v>1432</v>
      </c>
      <c r="B1300" s="2">
        <v>45659</v>
      </c>
      <c r="C1300" t="s">
        <v>66</v>
      </c>
      <c r="D1300" t="s">
        <v>67</v>
      </c>
      <c r="E1300" t="s">
        <v>112</v>
      </c>
      <c r="F1300" t="s">
        <v>49</v>
      </c>
      <c r="G1300" t="s">
        <v>50</v>
      </c>
      <c r="H1300" t="s">
        <v>51</v>
      </c>
      <c r="I1300">
        <v>1</v>
      </c>
      <c r="J1300" s="3">
        <v>49446.09</v>
      </c>
      <c r="K1300" s="3">
        <v>49446.09</v>
      </c>
      <c r="L1300" t="s">
        <v>52</v>
      </c>
      <c r="M1300" s="2">
        <v>45670</v>
      </c>
      <c r="N1300" s="2">
        <v>45668</v>
      </c>
      <c r="O1300" t="s">
        <v>60</v>
      </c>
      <c r="P1300" t="s">
        <v>115</v>
      </c>
      <c r="Q1300" t="s">
        <v>28</v>
      </c>
      <c r="R1300" t="s">
        <v>29</v>
      </c>
    </row>
    <row r="1301" spans="1:18">
      <c r="A1301" t="s">
        <v>1433</v>
      </c>
      <c r="B1301" s="2">
        <v>46128</v>
      </c>
      <c r="C1301" t="s">
        <v>80</v>
      </c>
      <c r="D1301" t="s">
        <v>81</v>
      </c>
      <c r="E1301" t="s">
        <v>39</v>
      </c>
      <c r="F1301" t="s">
        <v>82</v>
      </c>
      <c r="G1301" t="s">
        <v>98</v>
      </c>
      <c r="H1301" t="s">
        <v>99</v>
      </c>
      <c r="I1301">
        <v>37</v>
      </c>
      <c r="J1301" s="3">
        <v>1060.68</v>
      </c>
      <c r="K1301" s="3">
        <v>39245.160000000003</v>
      </c>
      <c r="L1301" t="s">
        <v>25</v>
      </c>
      <c r="M1301" s="2">
        <v>46145</v>
      </c>
      <c r="N1301" s="2">
        <v>46144</v>
      </c>
      <c r="O1301" t="s">
        <v>43</v>
      </c>
      <c r="P1301" t="s">
        <v>64</v>
      </c>
      <c r="Q1301" t="s">
        <v>28</v>
      </c>
      <c r="R1301" t="s">
        <v>29</v>
      </c>
    </row>
    <row r="1302" spans="1:18">
      <c r="A1302" t="s">
        <v>1434</v>
      </c>
      <c r="B1302" s="2">
        <v>46161</v>
      </c>
      <c r="C1302" t="s">
        <v>66</v>
      </c>
      <c r="D1302" t="s">
        <v>67</v>
      </c>
      <c r="E1302" t="s">
        <v>73</v>
      </c>
      <c r="F1302" t="s">
        <v>49</v>
      </c>
      <c r="G1302" t="s">
        <v>50</v>
      </c>
      <c r="H1302" t="s">
        <v>51</v>
      </c>
      <c r="I1302">
        <v>3</v>
      </c>
      <c r="J1302" s="3">
        <v>50956.75</v>
      </c>
      <c r="K1302" s="3">
        <v>152870.25</v>
      </c>
      <c r="L1302" t="s">
        <v>52</v>
      </c>
      <c r="M1302" s="2">
        <v>46176</v>
      </c>
      <c r="N1302" s="2">
        <v>46176</v>
      </c>
      <c r="O1302" t="s">
        <v>60</v>
      </c>
      <c r="P1302" t="s">
        <v>77</v>
      </c>
      <c r="Q1302" t="s">
        <v>28</v>
      </c>
      <c r="R1302" t="s">
        <v>29</v>
      </c>
    </row>
    <row r="1303" spans="1:18">
      <c r="A1303" t="s">
        <v>1435</v>
      </c>
      <c r="B1303" s="2">
        <v>45926</v>
      </c>
      <c r="C1303" t="s">
        <v>104</v>
      </c>
      <c r="D1303" t="s">
        <v>105</v>
      </c>
      <c r="E1303" t="s">
        <v>21</v>
      </c>
      <c r="F1303" t="s">
        <v>49</v>
      </c>
      <c r="G1303" t="s">
        <v>68</v>
      </c>
      <c r="H1303" t="s">
        <v>69</v>
      </c>
      <c r="I1303">
        <v>1</v>
      </c>
      <c r="J1303" s="3">
        <v>47992.1</v>
      </c>
      <c r="K1303" s="3">
        <v>47992.1</v>
      </c>
      <c r="L1303" t="s">
        <v>52</v>
      </c>
      <c r="M1303" s="2">
        <v>45933</v>
      </c>
      <c r="N1303" s="2">
        <v>45932</v>
      </c>
      <c r="O1303" t="s">
        <v>26</v>
      </c>
      <c r="P1303" t="s">
        <v>27</v>
      </c>
      <c r="Q1303" t="s">
        <v>28</v>
      </c>
      <c r="R1303" t="s">
        <v>29</v>
      </c>
    </row>
    <row r="1304" spans="1:18">
      <c r="A1304" t="s">
        <v>1436</v>
      </c>
      <c r="B1304" s="2">
        <v>46178</v>
      </c>
      <c r="C1304" t="s">
        <v>96</v>
      </c>
      <c r="D1304" t="s">
        <v>97</v>
      </c>
      <c r="E1304" t="s">
        <v>39</v>
      </c>
      <c r="F1304" t="s">
        <v>82</v>
      </c>
      <c r="G1304" t="s">
        <v>98</v>
      </c>
      <c r="H1304" t="s">
        <v>99</v>
      </c>
      <c r="I1304">
        <v>40</v>
      </c>
      <c r="J1304" s="3">
        <v>1131.1400000000001</v>
      </c>
      <c r="K1304" s="3">
        <v>45245.599999999999</v>
      </c>
      <c r="L1304" t="s">
        <v>34</v>
      </c>
      <c r="M1304" s="2">
        <v>46193</v>
      </c>
      <c r="N1304" s="2">
        <v>46192</v>
      </c>
      <c r="O1304" t="s">
        <v>26</v>
      </c>
      <c r="P1304" t="s">
        <v>64</v>
      </c>
      <c r="Q1304" t="s">
        <v>28</v>
      </c>
      <c r="R1304" t="s">
        <v>29</v>
      </c>
    </row>
    <row r="1305" spans="1:18">
      <c r="A1305" t="s">
        <v>1437</v>
      </c>
      <c r="B1305" s="2">
        <v>46020</v>
      </c>
      <c r="C1305" t="s">
        <v>117</v>
      </c>
      <c r="D1305" t="s">
        <v>118</v>
      </c>
      <c r="E1305" t="s">
        <v>73</v>
      </c>
      <c r="F1305" t="s">
        <v>57</v>
      </c>
      <c r="G1305" t="s">
        <v>58</v>
      </c>
      <c r="H1305" t="s">
        <v>59</v>
      </c>
      <c r="I1305">
        <v>7</v>
      </c>
      <c r="J1305" s="3">
        <v>58422.03</v>
      </c>
      <c r="K1305" s="3">
        <v>408954.21</v>
      </c>
      <c r="L1305" t="s">
        <v>52</v>
      </c>
      <c r="M1305" s="2">
        <v>46028</v>
      </c>
      <c r="N1305" s="2">
        <v>46025</v>
      </c>
      <c r="O1305" t="s">
        <v>26</v>
      </c>
      <c r="P1305" t="s">
        <v>719</v>
      </c>
      <c r="Q1305" t="s">
        <v>28</v>
      </c>
      <c r="R1305" t="s">
        <v>29</v>
      </c>
    </row>
    <row r="1306" spans="1:18">
      <c r="A1306" t="s">
        <v>1438</v>
      </c>
      <c r="B1306" s="2">
        <v>45775</v>
      </c>
      <c r="C1306" t="s">
        <v>55</v>
      </c>
      <c r="D1306" t="s">
        <v>56</v>
      </c>
      <c r="E1306" t="s">
        <v>21</v>
      </c>
      <c r="F1306" t="s">
        <v>57</v>
      </c>
      <c r="G1306" t="s">
        <v>74</v>
      </c>
      <c r="H1306" t="s">
        <v>75</v>
      </c>
      <c r="I1306">
        <v>1</v>
      </c>
      <c r="J1306" s="3">
        <v>9943.52</v>
      </c>
      <c r="K1306" s="3">
        <v>9943.52</v>
      </c>
      <c r="L1306" t="s">
        <v>52</v>
      </c>
      <c r="M1306" s="2">
        <v>45787</v>
      </c>
      <c r="N1306" s="2">
        <v>45786</v>
      </c>
      <c r="O1306" t="s">
        <v>76</v>
      </c>
      <c r="P1306" t="s">
        <v>27</v>
      </c>
      <c r="Q1306" t="s">
        <v>28</v>
      </c>
      <c r="R1306" t="s">
        <v>29</v>
      </c>
    </row>
    <row r="1307" spans="1:18">
      <c r="A1307" t="s">
        <v>1439</v>
      </c>
      <c r="B1307" s="2">
        <v>45989</v>
      </c>
      <c r="C1307" t="s">
        <v>19</v>
      </c>
      <c r="D1307" t="s">
        <v>20</v>
      </c>
      <c r="E1307" t="s">
        <v>112</v>
      </c>
      <c r="F1307" t="s">
        <v>22</v>
      </c>
      <c r="G1307" t="s">
        <v>23</v>
      </c>
      <c r="H1307" t="s">
        <v>24</v>
      </c>
      <c r="I1307">
        <v>47</v>
      </c>
      <c r="J1307" s="3">
        <v>235.65</v>
      </c>
      <c r="K1307" s="3">
        <v>11075.55</v>
      </c>
      <c r="L1307" t="s">
        <v>34</v>
      </c>
      <c r="M1307" s="2">
        <v>45994</v>
      </c>
      <c r="N1307" s="2">
        <v>45992</v>
      </c>
      <c r="O1307" t="s">
        <v>26</v>
      </c>
      <c r="P1307" t="s">
        <v>115</v>
      </c>
      <c r="Q1307" t="s">
        <v>28</v>
      </c>
      <c r="R1307" t="s">
        <v>29</v>
      </c>
    </row>
    <row r="1308" spans="1:18">
      <c r="A1308" t="s">
        <v>1440</v>
      </c>
      <c r="B1308" s="2">
        <v>46032</v>
      </c>
      <c r="C1308" t="s">
        <v>104</v>
      </c>
      <c r="D1308" t="s">
        <v>105</v>
      </c>
      <c r="E1308" t="s">
        <v>21</v>
      </c>
      <c r="F1308" t="s">
        <v>49</v>
      </c>
      <c r="G1308" t="s">
        <v>68</v>
      </c>
      <c r="H1308" t="s">
        <v>69</v>
      </c>
      <c r="I1308">
        <v>3</v>
      </c>
      <c r="J1308" s="3">
        <v>47455.58</v>
      </c>
      <c r="K1308" s="3">
        <v>142366.74</v>
      </c>
      <c r="L1308" t="s">
        <v>25</v>
      </c>
      <c r="M1308" s="2">
        <v>46038</v>
      </c>
      <c r="N1308" s="2">
        <v>46038</v>
      </c>
      <c r="O1308" t="s">
        <v>60</v>
      </c>
      <c r="P1308" t="s">
        <v>27</v>
      </c>
      <c r="Q1308" t="s">
        <v>28</v>
      </c>
      <c r="R1308" t="s">
        <v>29</v>
      </c>
    </row>
    <row r="1309" spans="1:18">
      <c r="A1309" t="s">
        <v>1441</v>
      </c>
      <c r="B1309" s="2">
        <v>45731</v>
      </c>
      <c r="C1309" t="s">
        <v>104</v>
      </c>
      <c r="D1309" t="s">
        <v>105</v>
      </c>
      <c r="E1309" t="s">
        <v>48</v>
      </c>
      <c r="F1309" t="s">
        <v>49</v>
      </c>
      <c r="G1309" t="s">
        <v>165</v>
      </c>
      <c r="H1309" t="s">
        <v>166</v>
      </c>
      <c r="I1309">
        <v>1</v>
      </c>
      <c r="J1309" s="3">
        <v>43268.47</v>
      </c>
      <c r="K1309" s="3">
        <v>43268.47</v>
      </c>
      <c r="L1309" t="s">
        <v>34</v>
      </c>
      <c r="M1309" s="2">
        <v>45745</v>
      </c>
      <c r="N1309" s="2">
        <v>45744</v>
      </c>
      <c r="O1309" t="s">
        <v>60</v>
      </c>
      <c r="P1309" t="s">
        <v>53</v>
      </c>
      <c r="Q1309" t="s">
        <v>28</v>
      </c>
      <c r="R1309" t="s">
        <v>29</v>
      </c>
    </row>
    <row r="1310" spans="1:18">
      <c r="A1310" t="s">
        <v>1442</v>
      </c>
      <c r="B1310" s="2">
        <v>45719</v>
      </c>
      <c r="C1310" t="s">
        <v>142</v>
      </c>
      <c r="D1310" t="s">
        <v>143</v>
      </c>
      <c r="E1310" t="s">
        <v>39</v>
      </c>
      <c r="F1310" t="s">
        <v>22</v>
      </c>
      <c r="G1310" t="s">
        <v>23</v>
      </c>
      <c r="H1310" t="s">
        <v>24</v>
      </c>
      <c r="I1310">
        <v>15</v>
      </c>
      <c r="J1310" s="3">
        <v>244.78</v>
      </c>
      <c r="K1310" s="3">
        <v>3671.7</v>
      </c>
      <c r="L1310" t="s">
        <v>52</v>
      </c>
      <c r="M1310" s="2">
        <v>45734</v>
      </c>
      <c r="N1310" s="2">
        <v>45745</v>
      </c>
      <c r="O1310" t="s">
        <v>60</v>
      </c>
      <c r="P1310" t="s">
        <v>64</v>
      </c>
      <c r="Q1310" t="s">
        <v>28</v>
      </c>
      <c r="R1310" t="s">
        <v>129</v>
      </c>
    </row>
    <row r="1311" spans="1:18">
      <c r="A1311" t="s">
        <v>1443</v>
      </c>
      <c r="B1311" s="2">
        <v>45749</v>
      </c>
      <c r="C1311" t="s">
        <v>142</v>
      </c>
      <c r="D1311" t="s">
        <v>143</v>
      </c>
      <c r="E1311" t="s">
        <v>39</v>
      </c>
      <c r="F1311" t="s">
        <v>22</v>
      </c>
      <c r="G1311" t="s">
        <v>32</v>
      </c>
      <c r="H1311" t="s">
        <v>33</v>
      </c>
      <c r="I1311">
        <v>15</v>
      </c>
      <c r="J1311" s="3">
        <v>7990.95</v>
      </c>
      <c r="K1311" s="3">
        <v>119864.25</v>
      </c>
      <c r="L1311" t="s">
        <v>25</v>
      </c>
      <c r="M1311" s="2">
        <v>45763</v>
      </c>
      <c r="N1311" s="2">
        <v>45760</v>
      </c>
      <c r="O1311" t="s">
        <v>60</v>
      </c>
      <c r="P1311" t="s">
        <v>64</v>
      </c>
      <c r="Q1311" t="s">
        <v>28</v>
      </c>
      <c r="R1311" t="s">
        <v>29</v>
      </c>
    </row>
    <row r="1312" spans="1:18">
      <c r="A1312" t="s">
        <v>1444</v>
      </c>
      <c r="B1312" s="2">
        <v>45733</v>
      </c>
      <c r="C1312" t="s">
        <v>117</v>
      </c>
      <c r="D1312" t="s">
        <v>118</v>
      </c>
      <c r="E1312" t="s">
        <v>31</v>
      </c>
      <c r="F1312" t="s">
        <v>57</v>
      </c>
      <c r="G1312" t="s">
        <v>86</v>
      </c>
      <c r="H1312" t="s">
        <v>87</v>
      </c>
      <c r="I1312">
        <v>3</v>
      </c>
      <c r="J1312" s="3">
        <v>11131.58</v>
      </c>
      <c r="K1312" s="3">
        <v>33394.74</v>
      </c>
      <c r="L1312" t="s">
        <v>34</v>
      </c>
      <c r="M1312" s="2">
        <v>45740</v>
      </c>
      <c r="N1312" s="2">
        <v>45737</v>
      </c>
      <c r="O1312" t="s">
        <v>43</v>
      </c>
      <c r="P1312" t="s">
        <v>35</v>
      </c>
      <c r="Q1312" t="s">
        <v>28</v>
      </c>
      <c r="R1312" t="s">
        <v>29</v>
      </c>
    </row>
    <row r="1313" spans="1:18">
      <c r="A1313" t="s">
        <v>1445</v>
      </c>
      <c r="B1313" s="2">
        <v>46201</v>
      </c>
      <c r="C1313" t="s">
        <v>142</v>
      </c>
      <c r="D1313" t="s">
        <v>143</v>
      </c>
      <c r="E1313" t="s">
        <v>31</v>
      </c>
      <c r="F1313" t="s">
        <v>22</v>
      </c>
      <c r="G1313" t="s">
        <v>160</v>
      </c>
      <c r="H1313" t="s">
        <v>161</v>
      </c>
      <c r="I1313">
        <v>15</v>
      </c>
      <c r="J1313" s="3">
        <v>3262.33</v>
      </c>
      <c r="K1313" s="3">
        <v>48934.95</v>
      </c>
      <c r="L1313" t="s">
        <v>34</v>
      </c>
      <c r="M1313" s="2">
        <v>46209</v>
      </c>
      <c r="N1313" s="2"/>
      <c r="O1313" t="s">
        <v>60</v>
      </c>
      <c r="P1313" t="s">
        <v>35</v>
      </c>
      <c r="Q1313" t="s">
        <v>167</v>
      </c>
      <c r="R1313" t="s">
        <v>167</v>
      </c>
    </row>
    <row r="1314" spans="1:18">
      <c r="A1314" t="s">
        <v>1446</v>
      </c>
      <c r="B1314" s="2">
        <v>45974</v>
      </c>
      <c r="C1314" t="s">
        <v>104</v>
      </c>
      <c r="D1314" t="s">
        <v>105</v>
      </c>
      <c r="E1314" t="s">
        <v>112</v>
      </c>
      <c r="F1314" t="s">
        <v>49</v>
      </c>
      <c r="G1314" t="s">
        <v>165</v>
      </c>
      <c r="H1314" t="s">
        <v>166</v>
      </c>
      <c r="I1314">
        <v>1</v>
      </c>
      <c r="J1314" s="3">
        <v>43704.99</v>
      </c>
      <c r="K1314" s="3">
        <v>43704.99</v>
      </c>
      <c r="L1314" t="s">
        <v>25</v>
      </c>
      <c r="M1314" s="2">
        <v>45981</v>
      </c>
      <c r="N1314" s="2">
        <v>45981</v>
      </c>
      <c r="O1314" t="s">
        <v>43</v>
      </c>
      <c r="P1314" t="s">
        <v>115</v>
      </c>
      <c r="Q1314" t="s">
        <v>28</v>
      </c>
      <c r="R1314" t="s">
        <v>29</v>
      </c>
    </row>
    <row r="1315" spans="1:18">
      <c r="A1315" t="s">
        <v>1447</v>
      </c>
      <c r="B1315" s="2">
        <v>45948</v>
      </c>
      <c r="C1315" t="s">
        <v>71</v>
      </c>
      <c r="D1315" t="s">
        <v>72</v>
      </c>
      <c r="E1315" t="s">
        <v>48</v>
      </c>
      <c r="F1315" t="s">
        <v>57</v>
      </c>
      <c r="G1315" t="s">
        <v>86</v>
      </c>
      <c r="H1315" t="s">
        <v>87</v>
      </c>
      <c r="I1315">
        <v>7</v>
      </c>
      <c r="J1315" s="3">
        <v>10299.15</v>
      </c>
      <c r="K1315" s="3">
        <v>72094.05</v>
      </c>
      <c r="L1315" t="s">
        <v>25</v>
      </c>
      <c r="M1315" s="2">
        <v>45957</v>
      </c>
      <c r="N1315" s="2">
        <v>45954</v>
      </c>
      <c r="O1315" t="s">
        <v>76</v>
      </c>
      <c r="P1315" t="s">
        <v>53</v>
      </c>
      <c r="Q1315" t="s">
        <v>28</v>
      </c>
      <c r="R1315" t="s">
        <v>29</v>
      </c>
    </row>
    <row r="1316" spans="1:18">
      <c r="A1316" t="s">
        <v>1448</v>
      </c>
      <c r="B1316" s="2">
        <v>45749</v>
      </c>
      <c r="C1316" t="s">
        <v>147</v>
      </c>
      <c r="D1316" t="s">
        <v>148</v>
      </c>
      <c r="E1316" t="s">
        <v>39</v>
      </c>
      <c r="F1316" t="s">
        <v>40</v>
      </c>
      <c r="G1316" t="s">
        <v>62</v>
      </c>
      <c r="H1316" t="s">
        <v>63</v>
      </c>
      <c r="I1316">
        <v>6</v>
      </c>
      <c r="J1316" s="3">
        <v>17103.59</v>
      </c>
      <c r="K1316" s="3">
        <v>102621.54</v>
      </c>
      <c r="L1316" t="s">
        <v>25</v>
      </c>
      <c r="M1316" s="2">
        <v>45754</v>
      </c>
      <c r="N1316" s="2">
        <v>45759</v>
      </c>
      <c r="O1316" t="s">
        <v>26</v>
      </c>
      <c r="P1316" t="s">
        <v>44</v>
      </c>
      <c r="Q1316" t="s">
        <v>28</v>
      </c>
      <c r="R1316" t="s">
        <v>129</v>
      </c>
    </row>
    <row r="1317" spans="1:18">
      <c r="A1317" t="s">
        <v>1449</v>
      </c>
      <c r="B1317" s="2">
        <v>45861</v>
      </c>
      <c r="C1317" t="s">
        <v>46</v>
      </c>
      <c r="D1317" t="s">
        <v>47</v>
      </c>
      <c r="E1317" t="s">
        <v>48</v>
      </c>
      <c r="F1317" t="s">
        <v>49</v>
      </c>
      <c r="G1317" t="s">
        <v>68</v>
      </c>
      <c r="H1317" t="s">
        <v>69</v>
      </c>
      <c r="I1317">
        <v>2</v>
      </c>
      <c r="J1317" s="3">
        <v>53254.05</v>
      </c>
      <c r="K1317" s="3">
        <v>106508.1</v>
      </c>
      <c r="L1317" t="s">
        <v>25</v>
      </c>
      <c r="M1317" s="2">
        <v>45867</v>
      </c>
      <c r="N1317" s="2">
        <v>45865</v>
      </c>
      <c r="O1317" t="s">
        <v>60</v>
      </c>
      <c r="P1317" t="s">
        <v>53</v>
      </c>
      <c r="Q1317" t="s">
        <v>28</v>
      </c>
      <c r="R1317" t="s">
        <v>29</v>
      </c>
    </row>
    <row r="1318" spans="1:18">
      <c r="A1318" t="s">
        <v>1450</v>
      </c>
      <c r="B1318" s="2">
        <v>45986</v>
      </c>
      <c r="C1318" t="s">
        <v>104</v>
      </c>
      <c r="D1318" t="s">
        <v>105</v>
      </c>
      <c r="E1318" t="s">
        <v>48</v>
      </c>
      <c r="F1318" t="s">
        <v>49</v>
      </c>
      <c r="G1318" t="s">
        <v>113</v>
      </c>
      <c r="H1318" t="s">
        <v>114</v>
      </c>
      <c r="I1318">
        <v>1</v>
      </c>
      <c r="J1318" s="3">
        <v>37676.19</v>
      </c>
      <c r="K1318" s="3">
        <v>37676.19</v>
      </c>
      <c r="L1318" t="s">
        <v>34</v>
      </c>
      <c r="M1318" s="2">
        <v>45999</v>
      </c>
      <c r="N1318" s="2">
        <v>45996</v>
      </c>
      <c r="O1318" t="s">
        <v>60</v>
      </c>
      <c r="P1318" t="s">
        <v>53</v>
      </c>
      <c r="Q1318" t="s">
        <v>28</v>
      </c>
      <c r="R1318" t="s">
        <v>29</v>
      </c>
    </row>
    <row r="1319" spans="1:18">
      <c r="A1319" t="s">
        <v>1451</v>
      </c>
      <c r="B1319" s="2">
        <v>45979</v>
      </c>
      <c r="C1319" t="s">
        <v>46</v>
      </c>
      <c r="D1319" t="s">
        <v>47</v>
      </c>
      <c r="E1319" t="s">
        <v>112</v>
      </c>
      <c r="F1319" t="s">
        <v>49</v>
      </c>
      <c r="G1319" t="s">
        <v>165</v>
      </c>
      <c r="H1319" t="s">
        <v>166</v>
      </c>
      <c r="I1319">
        <v>1</v>
      </c>
      <c r="J1319" s="3">
        <v>47288.89</v>
      </c>
      <c r="K1319" s="3">
        <v>47288.89</v>
      </c>
      <c r="L1319" t="s">
        <v>25</v>
      </c>
      <c r="M1319" s="2">
        <v>45990</v>
      </c>
      <c r="N1319" s="2">
        <v>45989</v>
      </c>
      <c r="O1319" t="s">
        <v>76</v>
      </c>
      <c r="P1319" t="s">
        <v>115</v>
      </c>
      <c r="Q1319" t="s">
        <v>28</v>
      </c>
      <c r="R1319" t="s">
        <v>29</v>
      </c>
    </row>
    <row r="1320" spans="1:18">
      <c r="A1320" t="s">
        <v>1452</v>
      </c>
      <c r="B1320" s="2">
        <v>45957</v>
      </c>
      <c r="C1320" t="s">
        <v>66</v>
      </c>
      <c r="D1320" t="s">
        <v>67</v>
      </c>
      <c r="E1320" t="s">
        <v>21</v>
      </c>
      <c r="F1320" t="s">
        <v>49</v>
      </c>
      <c r="G1320" t="s">
        <v>113</v>
      </c>
      <c r="H1320" t="s">
        <v>114</v>
      </c>
      <c r="I1320">
        <v>1</v>
      </c>
      <c r="J1320" s="3">
        <v>36398.58</v>
      </c>
      <c r="K1320" s="3">
        <v>36398.58</v>
      </c>
      <c r="L1320" t="s">
        <v>34</v>
      </c>
      <c r="M1320" s="2">
        <v>45968</v>
      </c>
      <c r="N1320" s="2">
        <v>45967</v>
      </c>
      <c r="O1320" t="s">
        <v>26</v>
      </c>
      <c r="P1320" t="s">
        <v>27</v>
      </c>
      <c r="Q1320" t="s">
        <v>28</v>
      </c>
      <c r="R1320" t="s">
        <v>29</v>
      </c>
    </row>
    <row r="1321" spans="1:18">
      <c r="A1321" t="s">
        <v>1453</v>
      </c>
      <c r="B1321" s="2">
        <v>45940</v>
      </c>
      <c r="C1321" t="s">
        <v>131</v>
      </c>
      <c r="D1321" t="s">
        <v>132</v>
      </c>
      <c r="E1321" t="s">
        <v>21</v>
      </c>
      <c r="F1321" t="s">
        <v>57</v>
      </c>
      <c r="G1321" t="s">
        <v>58</v>
      </c>
      <c r="H1321" t="s">
        <v>59</v>
      </c>
      <c r="I1321">
        <v>3</v>
      </c>
      <c r="J1321" s="3">
        <v>58699.85</v>
      </c>
      <c r="K1321" s="3">
        <v>176099.55</v>
      </c>
      <c r="L1321" t="s">
        <v>25</v>
      </c>
      <c r="M1321" s="2">
        <v>45947</v>
      </c>
      <c r="N1321" s="2">
        <v>45945</v>
      </c>
      <c r="O1321" t="s">
        <v>26</v>
      </c>
      <c r="P1321" t="s">
        <v>27</v>
      </c>
      <c r="Q1321" t="s">
        <v>28</v>
      </c>
      <c r="R1321" t="s">
        <v>29</v>
      </c>
    </row>
    <row r="1322" spans="1:18">
      <c r="A1322" t="s">
        <v>1454</v>
      </c>
      <c r="B1322" s="2">
        <v>46192</v>
      </c>
      <c r="C1322" t="s">
        <v>142</v>
      </c>
      <c r="D1322" t="s">
        <v>143</v>
      </c>
      <c r="E1322" t="s">
        <v>112</v>
      </c>
      <c r="F1322" t="s">
        <v>22</v>
      </c>
      <c r="G1322" t="s">
        <v>23</v>
      </c>
      <c r="H1322" t="s">
        <v>24</v>
      </c>
      <c r="I1322">
        <v>53</v>
      </c>
      <c r="J1322" s="3">
        <v>271.92</v>
      </c>
      <c r="K1322" s="3">
        <v>14411.76</v>
      </c>
      <c r="L1322" t="s">
        <v>25</v>
      </c>
      <c r="M1322" s="2">
        <v>46206</v>
      </c>
      <c r="N1322" s="2">
        <v>46206</v>
      </c>
      <c r="O1322" t="s">
        <v>60</v>
      </c>
      <c r="P1322" t="s">
        <v>115</v>
      </c>
      <c r="Q1322" t="s">
        <v>28</v>
      </c>
      <c r="R1322" t="s">
        <v>29</v>
      </c>
    </row>
    <row r="1323" spans="1:18">
      <c r="A1323" t="s">
        <v>1455</v>
      </c>
      <c r="B1323" s="2">
        <v>46148</v>
      </c>
      <c r="C1323" t="s">
        <v>104</v>
      </c>
      <c r="D1323" t="s">
        <v>105</v>
      </c>
      <c r="E1323" t="s">
        <v>112</v>
      </c>
      <c r="F1323" t="s">
        <v>49</v>
      </c>
      <c r="G1323" t="s">
        <v>165</v>
      </c>
      <c r="H1323" t="s">
        <v>166</v>
      </c>
      <c r="I1323">
        <v>2</v>
      </c>
      <c r="J1323" s="3">
        <v>45752.7</v>
      </c>
      <c r="K1323" s="3">
        <v>91505.4</v>
      </c>
      <c r="L1323" t="s">
        <v>52</v>
      </c>
      <c r="M1323" s="2">
        <v>46158</v>
      </c>
      <c r="N1323" s="2">
        <v>46157</v>
      </c>
      <c r="O1323" t="s">
        <v>26</v>
      </c>
      <c r="P1323" t="s">
        <v>115</v>
      </c>
      <c r="Q1323" t="s">
        <v>28</v>
      </c>
      <c r="R1323" t="s">
        <v>29</v>
      </c>
    </row>
    <row r="1324" spans="1:18">
      <c r="A1324" t="s">
        <v>1456</v>
      </c>
      <c r="B1324" s="2">
        <v>45908</v>
      </c>
      <c r="C1324" t="s">
        <v>71</v>
      </c>
      <c r="D1324" t="s">
        <v>72</v>
      </c>
      <c r="E1324" t="s">
        <v>21</v>
      </c>
      <c r="F1324" t="s">
        <v>57</v>
      </c>
      <c r="G1324" t="s">
        <v>74</v>
      </c>
      <c r="H1324" t="s">
        <v>75</v>
      </c>
      <c r="I1324">
        <v>2</v>
      </c>
      <c r="J1324" s="3">
        <v>8053.12</v>
      </c>
      <c r="K1324" s="3">
        <v>16106.24</v>
      </c>
      <c r="L1324" t="s">
        <v>34</v>
      </c>
      <c r="M1324" s="2">
        <v>45915</v>
      </c>
      <c r="N1324" s="2">
        <v>45914</v>
      </c>
      <c r="O1324" t="s">
        <v>43</v>
      </c>
      <c r="P1324" t="s">
        <v>27</v>
      </c>
      <c r="Q1324" t="s">
        <v>28</v>
      </c>
      <c r="R1324" t="s">
        <v>29</v>
      </c>
    </row>
    <row r="1325" spans="1:18">
      <c r="A1325" t="s">
        <v>1457</v>
      </c>
      <c r="B1325" s="2">
        <v>46022</v>
      </c>
      <c r="C1325" t="s">
        <v>131</v>
      </c>
      <c r="D1325" t="s">
        <v>132</v>
      </c>
      <c r="E1325" t="s">
        <v>48</v>
      </c>
      <c r="F1325" t="s">
        <v>57</v>
      </c>
      <c r="G1325" t="s">
        <v>120</v>
      </c>
      <c r="H1325" t="s">
        <v>121</v>
      </c>
      <c r="I1325">
        <v>7</v>
      </c>
      <c r="J1325" s="3">
        <v>22720.47</v>
      </c>
      <c r="K1325" s="3">
        <v>159043.29</v>
      </c>
      <c r="L1325" t="s">
        <v>25</v>
      </c>
      <c r="M1325" s="2">
        <v>46040</v>
      </c>
      <c r="N1325" s="2">
        <v>46037</v>
      </c>
      <c r="O1325" t="s">
        <v>76</v>
      </c>
      <c r="P1325" t="s">
        <v>53</v>
      </c>
      <c r="Q1325" t="s">
        <v>28</v>
      </c>
      <c r="R1325" t="s">
        <v>29</v>
      </c>
    </row>
    <row r="1326" spans="1:18">
      <c r="A1326" t="s">
        <v>1458</v>
      </c>
      <c r="B1326" s="2">
        <v>45660</v>
      </c>
      <c r="C1326" t="s">
        <v>19</v>
      </c>
      <c r="D1326" t="s">
        <v>20</v>
      </c>
      <c r="E1326" t="s">
        <v>73</v>
      </c>
      <c r="F1326" t="s">
        <v>22</v>
      </c>
      <c r="G1326" t="s">
        <v>32</v>
      </c>
      <c r="H1326" t="s">
        <v>33</v>
      </c>
      <c r="I1326">
        <v>5</v>
      </c>
      <c r="J1326" s="3">
        <v>7580.39</v>
      </c>
      <c r="K1326" s="3">
        <v>37901.949999999997</v>
      </c>
      <c r="L1326" t="s">
        <v>25</v>
      </c>
      <c r="M1326" s="2">
        <v>45676</v>
      </c>
      <c r="N1326" s="2">
        <v>45674</v>
      </c>
      <c r="O1326" t="s">
        <v>76</v>
      </c>
      <c r="P1326" t="s">
        <v>77</v>
      </c>
      <c r="Q1326" t="s">
        <v>28</v>
      </c>
      <c r="R1326" t="s">
        <v>29</v>
      </c>
    </row>
    <row r="1327" spans="1:18">
      <c r="A1327" t="s">
        <v>1459</v>
      </c>
      <c r="B1327" s="2">
        <v>46055</v>
      </c>
      <c r="C1327" t="s">
        <v>96</v>
      </c>
      <c r="D1327" t="s">
        <v>97</v>
      </c>
      <c r="E1327" t="s">
        <v>39</v>
      </c>
      <c r="F1327" t="s">
        <v>82</v>
      </c>
      <c r="G1327" t="s">
        <v>197</v>
      </c>
      <c r="H1327" t="s">
        <v>198</v>
      </c>
      <c r="I1327">
        <v>23</v>
      </c>
      <c r="J1327" s="3">
        <v>2205.1</v>
      </c>
      <c r="K1327" s="3">
        <v>50717.3</v>
      </c>
      <c r="L1327" t="s">
        <v>25</v>
      </c>
      <c r="M1327" s="2">
        <v>46062</v>
      </c>
      <c r="N1327" s="2">
        <v>46059</v>
      </c>
      <c r="O1327" t="s">
        <v>26</v>
      </c>
      <c r="P1327" t="s">
        <v>64</v>
      </c>
      <c r="Q1327" t="s">
        <v>28</v>
      </c>
      <c r="R1327" t="s">
        <v>29</v>
      </c>
    </row>
    <row r="1328" spans="1:18">
      <c r="A1328" t="s">
        <v>1460</v>
      </c>
      <c r="B1328" s="2">
        <v>45912</v>
      </c>
      <c r="C1328" t="s">
        <v>142</v>
      </c>
      <c r="D1328" t="s">
        <v>143</v>
      </c>
      <c r="E1328" t="s">
        <v>73</v>
      </c>
      <c r="F1328" t="s">
        <v>22</v>
      </c>
      <c r="G1328" t="s">
        <v>160</v>
      </c>
      <c r="H1328" t="s">
        <v>161</v>
      </c>
      <c r="I1328">
        <v>1</v>
      </c>
      <c r="J1328" s="3">
        <v>3209.98</v>
      </c>
      <c r="K1328" s="3">
        <v>3209.98</v>
      </c>
      <c r="L1328" t="s">
        <v>34</v>
      </c>
      <c r="M1328" s="2">
        <v>45921</v>
      </c>
      <c r="N1328" s="2">
        <v>45918</v>
      </c>
      <c r="O1328" t="s">
        <v>60</v>
      </c>
      <c r="P1328" t="s">
        <v>77</v>
      </c>
      <c r="Q1328" t="s">
        <v>28</v>
      </c>
      <c r="R1328" t="s">
        <v>29</v>
      </c>
    </row>
    <row r="1329" spans="1:18">
      <c r="A1329" t="s">
        <v>1461</v>
      </c>
      <c r="B1329" s="2">
        <v>45686</v>
      </c>
      <c r="C1329" t="s">
        <v>46</v>
      </c>
      <c r="D1329" t="s">
        <v>47</v>
      </c>
      <c r="E1329" t="s">
        <v>48</v>
      </c>
      <c r="F1329" t="s">
        <v>49</v>
      </c>
      <c r="G1329" t="s">
        <v>50</v>
      </c>
      <c r="H1329" t="s">
        <v>51</v>
      </c>
      <c r="I1329">
        <v>3</v>
      </c>
      <c r="J1329" s="3">
        <v>54307.1</v>
      </c>
      <c r="K1329" s="3">
        <v>162921.29999999999</v>
      </c>
      <c r="L1329" t="s">
        <v>34</v>
      </c>
      <c r="M1329" s="2">
        <v>45691</v>
      </c>
      <c r="N1329" s="2">
        <v>45691</v>
      </c>
      <c r="O1329" t="s">
        <v>60</v>
      </c>
      <c r="P1329" t="s">
        <v>53</v>
      </c>
      <c r="Q1329" t="s">
        <v>28</v>
      </c>
      <c r="R1329" t="s">
        <v>29</v>
      </c>
    </row>
    <row r="1330" spans="1:18">
      <c r="A1330" t="s">
        <v>1462</v>
      </c>
      <c r="B1330" s="2">
        <v>45950</v>
      </c>
      <c r="C1330" t="s">
        <v>142</v>
      </c>
      <c r="D1330" t="s">
        <v>143</v>
      </c>
      <c r="E1330" t="s">
        <v>21</v>
      </c>
      <c r="F1330" t="s">
        <v>22</v>
      </c>
      <c r="G1330" t="s">
        <v>160</v>
      </c>
      <c r="H1330" t="s">
        <v>161</v>
      </c>
      <c r="I1330">
        <v>3</v>
      </c>
      <c r="J1330" s="3">
        <v>3114.31</v>
      </c>
      <c r="K1330" s="3">
        <v>9342.93</v>
      </c>
      <c r="L1330" t="s">
        <v>52</v>
      </c>
      <c r="M1330" s="2">
        <v>45958</v>
      </c>
      <c r="N1330" s="2">
        <v>45956</v>
      </c>
      <c r="O1330" t="s">
        <v>26</v>
      </c>
      <c r="P1330" t="s">
        <v>27</v>
      </c>
      <c r="Q1330" t="s">
        <v>28</v>
      </c>
      <c r="R1330" t="s">
        <v>29</v>
      </c>
    </row>
    <row r="1331" spans="1:18">
      <c r="A1331" t="s">
        <v>1463</v>
      </c>
      <c r="B1331" s="2">
        <v>45945</v>
      </c>
      <c r="C1331" t="s">
        <v>46</v>
      </c>
      <c r="D1331" t="s">
        <v>47</v>
      </c>
      <c r="E1331" t="s">
        <v>21</v>
      </c>
      <c r="F1331" t="s">
        <v>49</v>
      </c>
      <c r="G1331" t="s">
        <v>165</v>
      </c>
      <c r="H1331" t="s">
        <v>166</v>
      </c>
      <c r="I1331">
        <v>1</v>
      </c>
      <c r="J1331" s="3">
        <v>49028.46</v>
      </c>
      <c r="K1331" s="3">
        <v>49028.46</v>
      </c>
      <c r="L1331" t="s">
        <v>34</v>
      </c>
      <c r="M1331" s="2">
        <v>45953</v>
      </c>
      <c r="N1331" s="2">
        <v>45952</v>
      </c>
      <c r="O1331" t="s">
        <v>26</v>
      </c>
      <c r="P1331" t="s">
        <v>27</v>
      </c>
      <c r="Q1331" t="s">
        <v>28</v>
      </c>
      <c r="R1331" t="s">
        <v>29</v>
      </c>
    </row>
    <row r="1332" spans="1:18">
      <c r="A1332" t="s">
        <v>1464</v>
      </c>
      <c r="B1332" s="2">
        <v>45797</v>
      </c>
      <c r="C1332" t="s">
        <v>117</v>
      </c>
      <c r="D1332" t="s">
        <v>118</v>
      </c>
      <c r="E1332" t="s">
        <v>21</v>
      </c>
      <c r="F1332" t="s">
        <v>57</v>
      </c>
      <c r="G1332" t="s">
        <v>101</v>
      </c>
      <c r="H1332" t="s">
        <v>102</v>
      </c>
      <c r="I1332">
        <v>19</v>
      </c>
      <c r="J1332" s="3">
        <v>1883.71</v>
      </c>
      <c r="K1332" s="3">
        <v>35790.49</v>
      </c>
      <c r="L1332" t="s">
        <v>25</v>
      </c>
      <c r="M1332" s="2">
        <v>45802</v>
      </c>
      <c r="N1332" s="2">
        <v>45800</v>
      </c>
      <c r="O1332" t="s">
        <v>60</v>
      </c>
      <c r="P1332" t="s">
        <v>27</v>
      </c>
      <c r="Q1332" t="s">
        <v>28</v>
      </c>
      <c r="R1332" t="s">
        <v>29</v>
      </c>
    </row>
    <row r="1333" spans="1:18">
      <c r="A1333" t="s">
        <v>1465</v>
      </c>
      <c r="B1333" s="2">
        <v>46096</v>
      </c>
      <c r="C1333" t="s">
        <v>37</v>
      </c>
      <c r="D1333" t="s">
        <v>38</v>
      </c>
      <c r="E1333" t="s">
        <v>73</v>
      </c>
      <c r="F1333" t="s">
        <v>22</v>
      </c>
      <c r="G1333" t="s">
        <v>160</v>
      </c>
      <c r="H1333" t="s">
        <v>161</v>
      </c>
      <c r="I1333">
        <v>8</v>
      </c>
      <c r="J1333" s="3">
        <v>3278.75</v>
      </c>
      <c r="K1333" s="3">
        <v>26230</v>
      </c>
      <c r="L1333" t="s">
        <v>25</v>
      </c>
      <c r="M1333" s="2">
        <v>46110</v>
      </c>
      <c r="N1333" s="2">
        <v>46108</v>
      </c>
      <c r="O1333" t="s">
        <v>43</v>
      </c>
      <c r="P1333" t="s">
        <v>77</v>
      </c>
      <c r="Q1333" t="s">
        <v>28</v>
      </c>
      <c r="R1333" t="s">
        <v>29</v>
      </c>
    </row>
    <row r="1334" spans="1:18">
      <c r="A1334" t="s">
        <v>1466</v>
      </c>
      <c r="B1334" s="2">
        <v>45942</v>
      </c>
      <c r="C1334" t="s">
        <v>37</v>
      </c>
      <c r="D1334" t="s">
        <v>38</v>
      </c>
      <c r="E1334" t="s">
        <v>39</v>
      </c>
      <c r="F1334" t="s">
        <v>22</v>
      </c>
      <c r="G1334" t="s">
        <v>23</v>
      </c>
      <c r="H1334" t="s">
        <v>24</v>
      </c>
      <c r="I1334">
        <v>40</v>
      </c>
      <c r="J1334" s="3">
        <v>269</v>
      </c>
      <c r="K1334" s="3">
        <v>10760</v>
      </c>
      <c r="L1334" t="s">
        <v>25</v>
      </c>
      <c r="M1334" s="2">
        <v>45959</v>
      </c>
      <c r="N1334" s="2">
        <v>45956</v>
      </c>
      <c r="O1334" t="s">
        <v>43</v>
      </c>
      <c r="P1334" t="s">
        <v>64</v>
      </c>
      <c r="Q1334" t="s">
        <v>28</v>
      </c>
      <c r="R1334" t="s">
        <v>29</v>
      </c>
    </row>
    <row r="1335" spans="1:18">
      <c r="A1335" t="s">
        <v>1467</v>
      </c>
      <c r="B1335" s="2">
        <v>45935</v>
      </c>
      <c r="C1335" t="s">
        <v>142</v>
      </c>
      <c r="D1335" t="s">
        <v>143</v>
      </c>
      <c r="E1335" t="s">
        <v>112</v>
      </c>
      <c r="F1335" t="s">
        <v>22</v>
      </c>
      <c r="G1335" t="s">
        <v>23</v>
      </c>
      <c r="H1335" t="s">
        <v>24</v>
      </c>
      <c r="I1335">
        <v>9</v>
      </c>
      <c r="J1335" s="3">
        <v>256.23</v>
      </c>
      <c r="K1335" s="3">
        <v>2306.0700000000002</v>
      </c>
      <c r="L1335" t="s">
        <v>25</v>
      </c>
      <c r="M1335" s="2">
        <v>45952</v>
      </c>
      <c r="N1335" s="2">
        <v>45952</v>
      </c>
      <c r="O1335" t="s">
        <v>26</v>
      </c>
      <c r="P1335" t="s">
        <v>115</v>
      </c>
      <c r="Q1335" t="s">
        <v>28</v>
      </c>
      <c r="R1335" t="s">
        <v>29</v>
      </c>
    </row>
    <row r="1336" spans="1:18">
      <c r="A1336" t="s">
        <v>1468</v>
      </c>
      <c r="B1336" s="2">
        <v>45793</v>
      </c>
      <c r="C1336" t="s">
        <v>37</v>
      </c>
      <c r="D1336" t="s">
        <v>38</v>
      </c>
      <c r="E1336" t="s">
        <v>112</v>
      </c>
      <c r="F1336" t="s">
        <v>22</v>
      </c>
      <c r="G1336" t="s">
        <v>160</v>
      </c>
      <c r="H1336" t="s">
        <v>161</v>
      </c>
      <c r="I1336">
        <v>15</v>
      </c>
      <c r="J1336" s="3">
        <v>3662.05</v>
      </c>
      <c r="K1336" s="3">
        <v>54930.75</v>
      </c>
      <c r="L1336" t="s">
        <v>34</v>
      </c>
      <c r="M1336" s="2">
        <v>45811</v>
      </c>
      <c r="N1336" s="2">
        <v>45808</v>
      </c>
      <c r="O1336" t="s">
        <v>43</v>
      </c>
      <c r="P1336" t="s">
        <v>115</v>
      </c>
      <c r="Q1336" t="s">
        <v>28</v>
      </c>
      <c r="R1336" t="s">
        <v>29</v>
      </c>
    </row>
    <row r="1337" spans="1:18">
      <c r="A1337" t="s">
        <v>1469</v>
      </c>
      <c r="B1337" s="2">
        <v>46165</v>
      </c>
      <c r="C1337" t="s">
        <v>37</v>
      </c>
      <c r="D1337" t="s">
        <v>38</v>
      </c>
      <c r="E1337" t="s">
        <v>21</v>
      </c>
      <c r="F1337" t="s">
        <v>22</v>
      </c>
      <c r="G1337" t="s">
        <v>32</v>
      </c>
      <c r="H1337" t="s">
        <v>33</v>
      </c>
      <c r="I1337">
        <v>14</v>
      </c>
      <c r="J1337" s="3">
        <v>8463.3799999999992</v>
      </c>
      <c r="K1337" s="3">
        <v>118487.32</v>
      </c>
      <c r="L1337" t="s">
        <v>25</v>
      </c>
      <c r="M1337" s="2">
        <v>46172</v>
      </c>
      <c r="N1337" s="2">
        <v>46172</v>
      </c>
      <c r="O1337" t="s">
        <v>26</v>
      </c>
      <c r="P1337" t="s">
        <v>27</v>
      </c>
      <c r="Q1337" t="s">
        <v>28</v>
      </c>
      <c r="R1337" t="s">
        <v>29</v>
      </c>
    </row>
    <row r="1338" spans="1:18">
      <c r="A1338" t="s">
        <v>1470</v>
      </c>
      <c r="B1338" s="2">
        <v>46138</v>
      </c>
      <c r="C1338" t="s">
        <v>142</v>
      </c>
      <c r="D1338" t="s">
        <v>143</v>
      </c>
      <c r="E1338" t="s">
        <v>21</v>
      </c>
      <c r="F1338" t="s">
        <v>22</v>
      </c>
      <c r="G1338" t="s">
        <v>23</v>
      </c>
      <c r="H1338" t="s">
        <v>24</v>
      </c>
      <c r="I1338">
        <v>56</v>
      </c>
      <c r="J1338" s="3">
        <v>248.4</v>
      </c>
      <c r="K1338" s="3">
        <v>13910.4</v>
      </c>
      <c r="L1338" t="s">
        <v>25</v>
      </c>
      <c r="M1338" s="2">
        <v>46152</v>
      </c>
      <c r="N1338" s="2">
        <v>46150</v>
      </c>
      <c r="O1338" t="s">
        <v>76</v>
      </c>
      <c r="P1338" t="s">
        <v>27</v>
      </c>
      <c r="Q1338" t="s">
        <v>28</v>
      </c>
      <c r="R1338" t="s">
        <v>29</v>
      </c>
    </row>
    <row r="1339" spans="1:18">
      <c r="A1339" t="s">
        <v>1471</v>
      </c>
      <c r="B1339" s="2">
        <v>46155</v>
      </c>
      <c r="C1339" t="s">
        <v>80</v>
      </c>
      <c r="D1339" t="s">
        <v>81</v>
      </c>
      <c r="E1339" t="s">
        <v>39</v>
      </c>
      <c r="F1339" t="s">
        <v>82</v>
      </c>
      <c r="G1339" t="s">
        <v>83</v>
      </c>
      <c r="H1339" t="s">
        <v>84</v>
      </c>
      <c r="I1339">
        <v>10</v>
      </c>
      <c r="J1339" s="3">
        <v>662.78</v>
      </c>
      <c r="K1339" s="3">
        <v>6627.8</v>
      </c>
      <c r="L1339" t="s">
        <v>25</v>
      </c>
      <c r="M1339" s="2">
        <v>46161</v>
      </c>
      <c r="N1339" s="2">
        <v>46161</v>
      </c>
      <c r="O1339" t="s">
        <v>43</v>
      </c>
      <c r="P1339" t="s">
        <v>64</v>
      </c>
      <c r="Q1339" t="s">
        <v>28</v>
      </c>
      <c r="R1339" t="s">
        <v>29</v>
      </c>
    </row>
    <row r="1340" spans="1:18">
      <c r="A1340" t="s">
        <v>1472</v>
      </c>
      <c r="B1340" s="2">
        <v>46083</v>
      </c>
      <c r="C1340" t="s">
        <v>131</v>
      </c>
      <c r="D1340" t="s">
        <v>132</v>
      </c>
      <c r="E1340" t="s">
        <v>48</v>
      </c>
      <c r="F1340" t="s">
        <v>57</v>
      </c>
      <c r="G1340" t="s">
        <v>120</v>
      </c>
      <c r="H1340" t="s">
        <v>121</v>
      </c>
      <c r="I1340">
        <v>2</v>
      </c>
      <c r="J1340" s="3">
        <v>24047.919999999998</v>
      </c>
      <c r="K1340" s="3">
        <v>48095.839999999997</v>
      </c>
      <c r="L1340" t="s">
        <v>25</v>
      </c>
      <c r="M1340" s="2">
        <v>46095</v>
      </c>
      <c r="N1340" s="2">
        <v>46092</v>
      </c>
      <c r="O1340" t="s">
        <v>43</v>
      </c>
      <c r="P1340" t="s">
        <v>53</v>
      </c>
      <c r="Q1340" t="s">
        <v>28</v>
      </c>
      <c r="R1340" t="s">
        <v>29</v>
      </c>
    </row>
    <row r="1341" spans="1:18">
      <c r="A1341" t="s">
        <v>1473</v>
      </c>
      <c r="B1341" s="2">
        <v>45812</v>
      </c>
      <c r="C1341" t="s">
        <v>142</v>
      </c>
      <c r="D1341" t="s">
        <v>143</v>
      </c>
      <c r="E1341" t="s">
        <v>31</v>
      </c>
      <c r="F1341" t="s">
        <v>22</v>
      </c>
      <c r="G1341" t="s">
        <v>32</v>
      </c>
      <c r="H1341" t="s">
        <v>33</v>
      </c>
      <c r="I1341">
        <v>10</v>
      </c>
      <c r="J1341" s="3">
        <v>7737.18</v>
      </c>
      <c r="K1341" s="3">
        <v>77371.8</v>
      </c>
      <c r="L1341" t="s">
        <v>25</v>
      </c>
      <c r="M1341" s="2">
        <v>45822</v>
      </c>
      <c r="N1341" s="2">
        <v>45822</v>
      </c>
      <c r="O1341" t="s">
        <v>26</v>
      </c>
      <c r="P1341" t="s">
        <v>94</v>
      </c>
      <c r="Q1341" t="s">
        <v>28</v>
      </c>
      <c r="R1341" t="s">
        <v>29</v>
      </c>
    </row>
    <row r="1342" spans="1:18">
      <c r="A1342" t="s">
        <v>1474</v>
      </c>
      <c r="B1342" s="2">
        <v>45913</v>
      </c>
      <c r="C1342" t="s">
        <v>142</v>
      </c>
      <c r="D1342" t="s">
        <v>143</v>
      </c>
      <c r="E1342" t="s">
        <v>73</v>
      </c>
      <c r="F1342" t="s">
        <v>22</v>
      </c>
      <c r="G1342" t="s">
        <v>23</v>
      </c>
      <c r="H1342" t="s">
        <v>24</v>
      </c>
      <c r="I1342">
        <v>14</v>
      </c>
      <c r="J1342" s="3">
        <v>241.58</v>
      </c>
      <c r="K1342" s="3">
        <v>3382.12</v>
      </c>
      <c r="L1342" t="s">
        <v>34</v>
      </c>
      <c r="M1342" s="2">
        <v>45919</v>
      </c>
      <c r="N1342" s="2">
        <v>45916</v>
      </c>
      <c r="O1342" t="s">
        <v>76</v>
      </c>
      <c r="P1342" t="s">
        <v>77</v>
      </c>
      <c r="Q1342" t="s">
        <v>28</v>
      </c>
      <c r="R1342" t="s">
        <v>29</v>
      </c>
    </row>
    <row r="1343" spans="1:18">
      <c r="A1343" t="s">
        <v>1475</v>
      </c>
      <c r="B1343" s="2">
        <v>45858</v>
      </c>
      <c r="C1343" t="s">
        <v>66</v>
      </c>
      <c r="D1343" t="s">
        <v>67</v>
      </c>
      <c r="E1343" t="s">
        <v>21</v>
      </c>
      <c r="F1343" t="s">
        <v>49</v>
      </c>
      <c r="G1343" t="s">
        <v>68</v>
      </c>
      <c r="H1343" t="s">
        <v>69</v>
      </c>
      <c r="I1343">
        <v>1</v>
      </c>
      <c r="J1343" s="3">
        <v>48190.36</v>
      </c>
      <c r="K1343" s="3">
        <v>48190.36</v>
      </c>
      <c r="L1343" t="s">
        <v>25</v>
      </c>
      <c r="M1343" s="2">
        <v>45871</v>
      </c>
      <c r="N1343" s="2">
        <v>45868</v>
      </c>
      <c r="O1343" t="s">
        <v>76</v>
      </c>
      <c r="P1343" t="s">
        <v>27</v>
      </c>
      <c r="Q1343" t="s">
        <v>28</v>
      </c>
      <c r="R1343" t="s">
        <v>29</v>
      </c>
    </row>
    <row r="1344" spans="1:18">
      <c r="A1344" t="s">
        <v>1476</v>
      </c>
      <c r="B1344" s="2">
        <v>45935</v>
      </c>
      <c r="C1344" t="s">
        <v>71</v>
      </c>
      <c r="D1344" t="s">
        <v>72</v>
      </c>
      <c r="E1344" t="s">
        <v>48</v>
      </c>
      <c r="F1344" t="s">
        <v>57</v>
      </c>
      <c r="G1344" t="s">
        <v>58</v>
      </c>
      <c r="H1344" t="s">
        <v>59</v>
      </c>
      <c r="I1344">
        <v>6</v>
      </c>
      <c r="J1344" s="3">
        <v>52914.37</v>
      </c>
      <c r="K1344" s="3">
        <v>317486.21999999997</v>
      </c>
      <c r="L1344" t="s">
        <v>25</v>
      </c>
      <c r="M1344" s="2">
        <v>45941</v>
      </c>
      <c r="N1344" s="2">
        <v>45939</v>
      </c>
      <c r="O1344" t="s">
        <v>60</v>
      </c>
      <c r="P1344" t="s">
        <v>53</v>
      </c>
      <c r="Q1344" t="s">
        <v>28</v>
      </c>
      <c r="R1344" t="s">
        <v>29</v>
      </c>
    </row>
    <row r="1345" spans="1:18">
      <c r="A1345" t="s">
        <v>1477</v>
      </c>
      <c r="B1345" s="2">
        <v>45921</v>
      </c>
      <c r="C1345" t="s">
        <v>134</v>
      </c>
      <c r="D1345" t="s">
        <v>135</v>
      </c>
      <c r="E1345" t="s">
        <v>112</v>
      </c>
      <c r="F1345" t="s">
        <v>40</v>
      </c>
      <c r="G1345" t="s">
        <v>62</v>
      </c>
      <c r="H1345" t="s">
        <v>63</v>
      </c>
      <c r="I1345">
        <v>6</v>
      </c>
      <c r="J1345" s="3">
        <v>18108.32</v>
      </c>
      <c r="K1345" s="3">
        <v>108649.92</v>
      </c>
      <c r="L1345" t="s">
        <v>25</v>
      </c>
      <c r="M1345" s="2">
        <v>45932</v>
      </c>
      <c r="N1345" s="2">
        <v>45931</v>
      </c>
      <c r="O1345" t="s">
        <v>60</v>
      </c>
      <c r="P1345" t="s">
        <v>115</v>
      </c>
      <c r="Q1345" t="s">
        <v>28</v>
      </c>
      <c r="R1345" t="s">
        <v>29</v>
      </c>
    </row>
    <row r="1346" spans="1:18">
      <c r="A1346" t="s">
        <v>1478</v>
      </c>
      <c r="B1346" s="2">
        <v>45984</v>
      </c>
      <c r="C1346" t="s">
        <v>37</v>
      </c>
      <c r="D1346" t="s">
        <v>38</v>
      </c>
      <c r="E1346" t="s">
        <v>39</v>
      </c>
      <c r="F1346" t="s">
        <v>40</v>
      </c>
      <c r="G1346" t="s">
        <v>149</v>
      </c>
      <c r="H1346" t="s">
        <v>150</v>
      </c>
      <c r="I1346">
        <v>30</v>
      </c>
      <c r="J1346" s="3">
        <v>1397.19</v>
      </c>
      <c r="K1346" s="3">
        <v>41915.699999999997</v>
      </c>
      <c r="L1346" t="s">
        <v>34</v>
      </c>
      <c r="M1346" s="2">
        <v>45994</v>
      </c>
      <c r="N1346" s="2">
        <v>45993</v>
      </c>
      <c r="O1346" t="s">
        <v>26</v>
      </c>
      <c r="P1346" t="s">
        <v>64</v>
      </c>
      <c r="Q1346" t="s">
        <v>28</v>
      </c>
      <c r="R1346" t="s">
        <v>29</v>
      </c>
    </row>
    <row r="1347" spans="1:18">
      <c r="A1347" t="s">
        <v>1479</v>
      </c>
      <c r="B1347" s="2">
        <v>46035</v>
      </c>
      <c r="C1347" t="s">
        <v>142</v>
      </c>
      <c r="D1347" t="s">
        <v>143</v>
      </c>
      <c r="E1347" t="s">
        <v>112</v>
      </c>
      <c r="F1347" t="s">
        <v>22</v>
      </c>
      <c r="G1347" t="s">
        <v>32</v>
      </c>
      <c r="H1347" t="s">
        <v>33</v>
      </c>
      <c r="I1347">
        <v>15</v>
      </c>
      <c r="J1347" s="3">
        <v>7990.36</v>
      </c>
      <c r="K1347" s="3">
        <v>119855.4</v>
      </c>
      <c r="L1347" t="s">
        <v>25</v>
      </c>
      <c r="M1347" s="2">
        <v>46053</v>
      </c>
      <c r="N1347" s="2">
        <v>46050</v>
      </c>
      <c r="O1347" t="s">
        <v>26</v>
      </c>
      <c r="P1347" t="s">
        <v>115</v>
      </c>
      <c r="Q1347" t="s">
        <v>28</v>
      </c>
      <c r="R1347" t="s">
        <v>29</v>
      </c>
    </row>
    <row r="1348" spans="1:18">
      <c r="A1348" t="s">
        <v>1480</v>
      </c>
      <c r="B1348" s="2">
        <v>45981</v>
      </c>
      <c r="C1348" t="s">
        <v>104</v>
      </c>
      <c r="D1348" t="s">
        <v>105</v>
      </c>
      <c r="E1348" t="s">
        <v>48</v>
      </c>
      <c r="F1348" t="s">
        <v>49</v>
      </c>
      <c r="G1348" t="s">
        <v>50</v>
      </c>
      <c r="H1348" t="s">
        <v>51</v>
      </c>
      <c r="I1348">
        <v>1</v>
      </c>
      <c r="J1348" s="3">
        <v>52088.11</v>
      </c>
      <c r="K1348" s="3">
        <v>52088.11</v>
      </c>
      <c r="L1348" t="s">
        <v>34</v>
      </c>
      <c r="M1348" s="2">
        <v>45996</v>
      </c>
      <c r="N1348" s="2">
        <v>45994</v>
      </c>
      <c r="O1348" t="s">
        <v>26</v>
      </c>
      <c r="P1348" t="s">
        <v>53</v>
      </c>
      <c r="Q1348" t="s">
        <v>28</v>
      </c>
      <c r="R1348" t="s">
        <v>29</v>
      </c>
    </row>
    <row r="1349" spans="1:18">
      <c r="A1349" t="s">
        <v>1481</v>
      </c>
      <c r="B1349" s="2">
        <v>46099</v>
      </c>
      <c r="C1349" t="s">
        <v>46</v>
      </c>
      <c r="D1349" t="s">
        <v>47</v>
      </c>
      <c r="E1349" t="s">
        <v>21</v>
      </c>
      <c r="F1349" t="s">
        <v>49</v>
      </c>
      <c r="G1349" t="s">
        <v>113</v>
      </c>
      <c r="H1349" t="s">
        <v>114</v>
      </c>
      <c r="I1349">
        <v>1</v>
      </c>
      <c r="J1349" s="3">
        <v>40667.1</v>
      </c>
      <c r="K1349" s="3">
        <v>40667.1</v>
      </c>
      <c r="L1349" t="s">
        <v>25</v>
      </c>
      <c r="M1349" s="2">
        <v>46107</v>
      </c>
      <c r="N1349" s="2">
        <v>46107</v>
      </c>
      <c r="O1349" t="s">
        <v>43</v>
      </c>
      <c r="P1349" t="s">
        <v>27</v>
      </c>
      <c r="Q1349" t="s">
        <v>28</v>
      </c>
      <c r="R1349" t="s">
        <v>29</v>
      </c>
    </row>
    <row r="1350" spans="1:18">
      <c r="A1350" t="s">
        <v>1482</v>
      </c>
      <c r="B1350" s="2">
        <v>45937</v>
      </c>
      <c r="C1350" t="s">
        <v>37</v>
      </c>
      <c r="D1350" t="s">
        <v>38</v>
      </c>
      <c r="E1350" t="s">
        <v>112</v>
      </c>
      <c r="F1350" t="s">
        <v>22</v>
      </c>
      <c r="G1350" t="s">
        <v>32</v>
      </c>
      <c r="H1350" t="s">
        <v>33</v>
      </c>
      <c r="I1350">
        <v>11</v>
      </c>
      <c r="J1350" s="3">
        <v>8544.0300000000007</v>
      </c>
      <c r="K1350" s="3">
        <v>93984.33</v>
      </c>
      <c r="L1350" t="s">
        <v>25</v>
      </c>
      <c r="M1350" s="2">
        <v>45943</v>
      </c>
      <c r="N1350" s="2">
        <v>45942</v>
      </c>
      <c r="O1350" t="s">
        <v>26</v>
      </c>
      <c r="P1350" t="s">
        <v>115</v>
      </c>
      <c r="Q1350" t="s">
        <v>28</v>
      </c>
      <c r="R1350" t="s">
        <v>29</v>
      </c>
    </row>
    <row r="1351" spans="1:18">
      <c r="A1351" t="s">
        <v>1483</v>
      </c>
      <c r="B1351" s="2">
        <v>46085</v>
      </c>
      <c r="C1351" t="s">
        <v>37</v>
      </c>
      <c r="D1351" t="s">
        <v>38</v>
      </c>
      <c r="E1351" t="s">
        <v>112</v>
      </c>
      <c r="F1351" t="s">
        <v>40</v>
      </c>
      <c r="G1351" t="s">
        <v>41</v>
      </c>
      <c r="H1351" t="s">
        <v>42</v>
      </c>
      <c r="I1351">
        <v>9</v>
      </c>
      <c r="J1351" s="3">
        <v>5849.97</v>
      </c>
      <c r="K1351" s="3">
        <v>52649.73</v>
      </c>
      <c r="L1351" t="s">
        <v>25</v>
      </c>
      <c r="M1351" s="2">
        <v>46095</v>
      </c>
      <c r="N1351" s="2">
        <v>46095</v>
      </c>
      <c r="O1351" t="s">
        <v>76</v>
      </c>
      <c r="P1351" t="s">
        <v>115</v>
      </c>
      <c r="Q1351" t="s">
        <v>28</v>
      </c>
      <c r="R1351" t="s">
        <v>29</v>
      </c>
    </row>
    <row r="1352" spans="1:18">
      <c r="A1352" t="s">
        <v>1484</v>
      </c>
      <c r="B1352" s="2">
        <v>45658</v>
      </c>
      <c r="C1352" t="s">
        <v>131</v>
      </c>
      <c r="D1352" t="s">
        <v>132</v>
      </c>
      <c r="E1352" t="s">
        <v>73</v>
      </c>
      <c r="F1352" t="s">
        <v>57</v>
      </c>
      <c r="G1352" t="s">
        <v>127</v>
      </c>
      <c r="H1352" t="s">
        <v>128</v>
      </c>
      <c r="I1352">
        <v>8</v>
      </c>
      <c r="J1352" s="3">
        <v>17218.330000000002</v>
      </c>
      <c r="K1352" s="3">
        <v>137746.64000000001</v>
      </c>
      <c r="L1352" t="s">
        <v>34</v>
      </c>
      <c r="M1352" s="2">
        <v>45666</v>
      </c>
      <c r="N1352" s="2">
        <v>45664</v>
      </c>
      <c r="O1352" t="s">
        <v>60</v>
      </c>
      <c r="P1352" t="s">
        <v>77</v>
      </c>
      <c r="Q1352" t="s">
        <v>28</v>
      </c>
      <c r="R1352" t="s">
        <v>29</v>
      </c>
    </row>
    <row r="1353" spans="1:18">
      <c r="A1353" t="s">
        <v>1485</v>
      </c>
      <c r="B1353" s="2">
        <v>45779</v>
      </c>
      <c r="C1353" t="s">
        <v>71</v>
      </c>
      <c r="D1353" t="s">
        <v>72</v>
      </c>
      <c r="E1353" t="s">
        <v>48</v>
      </c>
      <c r="F1353" t="s">
        <v>57</v>
      </c>
      <c r="G1353" t="s">
        <v>58</v>
      </c>
      <c r="H1353" t="s">
        <v>59</v>
      </c>
      <c r="I1353">
        <v>3</v>
      </c>
      <c r="J1353" s="3">
        <v>51641.22</v>
      </c>
      <c r="K1353" s="3">
        <v>154923.66</v>
      </c>
      <c r="L1353" t="s">
        <v>25</v>
      </c>
      <c r="M1353" s="2">
        <v>45795</v>
      </c>
      <c r="N1353" s="2">
        <v>45794</v>
      </c>
      <c r="O1353" t="s">
        <v>26</v>
      </c>
      <c r="P1353" t="s">
        <v>53</v>
      </c>
      <c r="Q1353" t="s">
        <v>28</v>
      </c>
      <c r="R1353" t="s">
        <v>29</v>
      </c>
    </row>
    <row r="1354" spans="1:18">
      <c r="A1354" t="s">
        <v>1486</v>
      </c>
      <c r="B1354" s="2">
        <v>45675</v>
      </c>
      <c r="C1354" t="s">
        <v>134</v>
      </c>
      <c r="D1354" t="s">
        <v>135</v>
      </c>
      <c r="E1354" t="s">
        <v>39</v>
      </c>
      <c r="F1354" t="s">
        <v>40</v>
      </c>
      <c r="G1354" t="s">
        <v>149</v>
      </c>
      <c r="H1354" t="s">
        <v>150</v>
      </c>
      <c r="I1354">
        <v>55</v>
      </c>
      <c r="J1354" s="3">
        <v>1360.63</v>
      </c>
      <c r="K1354" s="3">
        <v>74834.649999999994</v>
      </c>
      <c r="L1354" t="s">
        <v>52</v>
      </c>
      <c r="M1354" s="2">
        <v>45681</v>
      </c>
      <c r="N1354" s="2">
        <v>45678</v>
      </c>
      <c r="O1354" t="s">
        <v>43</v>
      </c>
      <c r="P1354" t="s">
        <v>64</v>
      </c>
      <c r="Q1354" t="s">
        <v>28</v>
      </c>
      <c r="R1354" t="s">
        <v>29</v>
      </c>
    </row>
    <row r="1355" spans="1:18">
      <c r="A1355" t="s">
        <v>1487</v>
      </c>
      <c r="B1355" s="2">
        <v>46115</v>
      </c>
      <c r="C1355" t="s">
        <v>46</v>
      </c>
      <c r="D1355" t="s">
        <v>47</v>
      </c>
      <c r="E1355" t="s">
        <v>48</v>
      </c>
      <c r="F1355" t="s">
        <v>49</v>
      </c>
      <c r="G1355" t="s">
        <v>113</v>
      </c>
      <c r="H1355" t="s">
        <v>114</v>
      </c>
      <c r="I1355">
        <v>1</v>
      </c>
      <c r="J1355" s="3">
        <v>40531.019999999997</v>
      </c>
      <c r="K1355" s="3">
        <v>40531.019999999997</v>
      </c>
      <c r="L1355" t="s">
        <v>25</v>
      </c>
      <c r="M1355" s="2">
        <v>46121</v>
      </c>
      <c r="N1355" s="2">
        <v>46121</v>
      </c>
      <c r="O1355" t="s">
        <v>60</v>
      </c>
      <c r="P1355" t="s">
        <v>53</v>
      </c>
      <c r="Q1355" t="s">
        <v>28</v>
      </c>
      <c r="R1355" t="s">
        <v>29</v>
      </c>
    </row>
    <row r="1356" spans="1:18">
      <c r="A1356" t="s">
        <v>1488</v>
      </c>
      <c r="B1356" s="2">
        <v>46077</v>
      </c>
      <c r="C1356" t="s">
        <v>117</v>
      </c>
      <c r="D1356" t="s">
        <v>118</v>
      </c>
      <c r="E1356" t="s">
        <v>48</v>
      </c>
      <c r="F1356" t="s">
        <v>57</v>
      </c>
      <c r="G1356" t="s">
        <v>120</v>
      </c>
      <c r="H1356" t="s">
        <v>121</v>
      </c>
      <c r="I1356">
        <v>4</v>
      </c>
      <c r="J1356" s="3">
        <v>21178.68</v>
      </c>
      <c r="K1356" s="3">
        <v>84714.72</v>
      </c>
      <c r="L1356" t="s">
        <v>25</v>
      </c>
      <c r="M1356" s="2">
        <v>46093</v>
      </c>
      <c r="N1356" s="2">
        <v>46091</v>
      </c>
      <c r="O1356" t="s">
        <v>60</v>
      </c>
      <c r="P1356" t="s">
        <v>53</v>
      </c>
      <c r="Q1356" t="s">
        <v>28</v>
      </c>
      <c r="R1356" t="s">
        <v>29</v>
      </c>
    </row>
    <row r="1357" spans="1:18">
      <c r="A1357" t="s">
        <v>1489</v>
      </c>
      <c r="B1357" s="2">
        <v>45756</v>
      </c>
      <c r="C1357" t="s">
        <v>55</v>
      </c>
      <c r="D1357" t="s">
        <v>56</v>
      </c>
      <c r="E1357" t="s">
        <v>31</v>
      </c>
      <c r="F1357" t="s">
        <v>57</v>
      </c>
      <c r="G1357" t="s">
        <v>86</v>
      </c>
      <c r="H1357" t="s">
        <v>87</v>
      </c>
      <c r="I1357">
        <v>4</v>
      </c>
      <c r="J1357" s="3">
        <v>12577.02</v>
      </c>
      <c r="K1357" s="3">
        <v>50308.08</v>
      </c>
      <c r="L1357" t="s">
        <v>34</v>
      </c>
      <c r="M1357" s="2">
        <v>45769</v>
      </c>
      <c r="N1357" s="2">
        <v>45767</v>
      </c>
      <c r="O1357" t="s">
        <v>26</v>
      </c>
      <c r="P1357" t="s">
        <v>35</v>
      </c>
      <c r="Q1357" t="s">
        <v>28</v>
      </c>
      <c r="R1357" t="s">
        <v>29</v>
      </c>
    </row>
    <row r="1358" spans="1:18">
      <c r="A1358" t="s">
        <v>1490</v>
      </c>
      <c r="B1358" s="2">
        <v>45721</v>
      </c>
      <c r="C1358" t="s">
        <v>117</v>
      </c>
      <c r="D1358" t="s">
        <v>118</v>
      </c>
      <c r="E1358" t="s">
        <v>73</v>
      </c>
      <c r="F1358" t="s">
        <v>57</v>
      </c>
      <c r="G1358" t="s">
        <v>74</v>
      </c>
      <c r="H1358" t="s">
        <v>75</v>
      </c>
      <c r="I1358">
        <v>7</v>
      </c>
      <c r="J1358" s="3">
        <v>8732.16</v>
      </c>
      <c r="K1358" s="3">
        <v>61125.120000000003</v>
      </c>
      <c r="L1358" t="s">
        <v>34</v>
      </c>
      <c r="M1358" s="2">
        <v>45729</v>
      </c>
      <c r="N1358" s="2">
        <v>45728</v>
      </c>
      <c r="O1358" t="s">
        <v>26</v>
      </c>
      <c r="P1358" t="s">
        <v>77</v>
      </c>
      <c r="Q1358" t="s">
        <v>28</v>
      </c>
      <c r="R1358" t="s">
        <v>29</v>
      </c>
    </row>
    <row r="1359" spans="1:18">
      <c r="A1359" t="s">
        <v>1491</v>
      </c>
      <c r="B1359" s="2">
        <v>45866</v>
      </c>
      <c r="C1359" t="s">
        <v>19</v>
      </c>
      <c r="D1359" t="s">
        <v>20</v>
      </c>
      <c r="E1359" t="s">
        <v>31</v>
      </c>
      <c r="F1359" t="s">
        <v>22</v>
      </c>
      <c r="G1359" t="s">
        <v>23</v>
      </c>
      <c r="H1359" t="s">
        <v>24</v>
      </c>
      <c r="I1359">
        <v>45</v>
      </c>
      <c r="J1359" s="3">
        <v>231.76</v>
      </c>
      <c r="K1359" s="3">
        <v>10429.200000000001</v>
      </c>
      <c r="L1359" t="s">
        <v>25</v>
      </c>
      <c r="M1359" s="2">
        <v>45879</v>
      </c>
      <c r="N1359" s="2">
        <v>45876</v>
      </c>
      <c r="O1359" t="s">
        <v>60</v>
      </c>
      <c r="P1359" t="s">
        <v>94</v>
      </c>
      <c r="Q1359" t="s">
        <v>28</v>
      </c>
      <c r="R1359" t="s">
        <v>29</v>
      </c>
    </row>
    <row r="1360" spans="1:18">
      <c r="A1360" t="s">
        <v>1492</v>
      </c>
      <c r="B1360" s="2">
        <v>45911</v>
      </c>
      <c r="C1360" t="s">
        <v>37</v>
      </c>
      <c r="D1360" t="s">
        <v>38</v>
      </c>
      <c r="E1360" t="s">
        <v>21</v>
      </c>
      <c r="F1360" t="s">
        <v>22</v>
      </c>
      <c r="G1360" t="s">
        <v>23</v>
      </c>
      <c r="H1360" t="s">
        <v>24</v>
      </c>
      <c r="I1360">
        <v>47</v>
      </c>
      <c r="J1360" s="3">
        <v>256.14</v>
      </c>
      <c r="K1360" s="3">
        <v>12038.58</v>
      </c>
      <c r="L1360" t="s">
        <v>52</v>
      </c>
      <c r="M1360" s="2">
        <v>45924</v>
      </c>
      <c r="N1360" s="2">
        <v>45923</v>
      </c>
      <c r="O1360" t="s">
        <v>26</v>
      </c>
      <c r="P1360" t="s">
        <v>27</v>
      </c>
      <c r="Q1360" t="s">
        <v>28</v>
      </c>
      <c r="R1360" t="s">
        <v>29</v>
      </c>
    </row>
    <row r="1361" spans="1:18">
      <c r="A1361" t="s">
        <v>1493</v>
      </c>
      <c r="B1361" s="2">
        <v>45887</v>
      </c>
      <c r="C1361" t="s">
        <v>80</v>
      </c>
      <c r="D1361" t="s">
        <v>81</v>
      </c>
      <c r="E1361" t="s">
        <v>39</v>
      </c>
      <c r="F1361" t="s">
        <v>82</v>
      </c>
      <c r="G1361" t="s">
        <v>197</v>
      </c>
      <c r="H1361" t="s">
        <v>198</v>
      </c>
      <c r="I1361">
        <v>35</v>
      </c>
      <c r="J1361" s="3">
        <v>1926.57</v>
      </c>
      <c r="K1361" s="3">
        <v>67429.95</v>
      </c>
      <c r="L1361" t="s">
        <v>25</v>
      </c>
      <c r="M1361" s="2">
        <v>45897</v>
      </c>
      <c r="N1361" s="2">
        <v>45897</v>
      </c>
      <c r="O1361" t="s">
        <v>60</v>
      </c>
      <c r="P1361" t="s">
        <v>44</v>
      </c>
      <c r="Q1361" t="s">
        <v>28</v>
      </c>
      <c r="R1361" t="s">
        <v>29</v>
      </c>
    </row>
    <row r="1362" spans="1:18">
      <c r="A1362" t="s">
        <v>1494</v>
      </c>
      <c r="B1362" s="2">
        <v>46052</v>
      </c>
      <c r="C1362" t="s">
        <v>96</v>
      </c>
      <c r="D1362" t="s">
        <v>97</v>
      </c>
      <c r="E1362" t="s">
        <v>39</v>
      </c>
      <c r="F1362" t="s">
        <v>82</v>
      </c>
      <c r="G1362" t="s">
        <v>197</v>
      </c>
      <c r="H1362" t="s">
        <v>198</v>
      </c>
      <c r="I1362">
        <v>5</v>
      </c>
      <c r="J1362" s="3">
        <v>2147.2600000000002</v>
      </c>
      <c r="K1362" s="3">
        <v>10736.3</v>
      </c>
      <c r="L1362" t="s">
        <v>52</v>
      </c>
      <c r="M1362" s="2">
        <v>46067</v>
      </c>
      <c r="N1362" s="2">
        <v>46067</v>
      </c>
      <c r="O1362" t="s">
        <v>76</v>
      </c>
      <c r="P1362" t="s">
        <v>64</v>
      </c>
      <c r="Q1362" t="s">
        <v>28</v>
      </c>
      <c r="R1362" t="s">
        <v>29</v>
      </c>
    </row>
    <row r="1363" spans="1:18">
      <c r="A1363" t="s">
        <v>1495</v>
      </c>
      <c r="B1363" s="2">
        <v>45734</v>
      </c>
      <c r="C1363" t="s">
        <v>104</v>
      </c>
      <c r="D1363" t="s">
        <v>105</v>
      </c>
      <c r="E1363" t="s">
        <v>73</v>
      </c>
      <c r="F1363" t="s">
        <v>49</v>
      </c>
      <c r="G1363" t="s">
        <v>68</v>
      </c>
      <c r="H1363" t="s">
        <v>69</v>
      </c>
      <c r="I1363">
        <v>1</v>
      </c>
      <c r="J1363" s="3">
        <v>50046.71</v>
      </c>
      <c r="K1363" s="3">
        <v>50046.71</v>
      </c>
      <c r="L1363" t="s">
        <v>34</v>
      </c>
      <c r="M1363" s="2">
        <v>45744</v>
      </c>
      <c r="N1363" s="2">
        <v>45741</v>
      </c>
      <c r="O1363" t="s">
        <v>26</v>
      </c>
      <c r="P1363" t="s">
        <v>77</v>
      </c>
      <c r="Q1363" t="s">
        <v>28</v>
      </c>
      <c r="R1363" t="s">
        <v>29</v>
      </c>
    </row>
    <row r="1364" spans="1:18">
      <c r="A1364" t="s">
        <v>1496</v>
      </c>
      <c r="B1364" s="2">
        <v>46043</v>
      </c>
      <c r="C1364" t="s">
        <v>147</v>
      </c>
      <c r="D1364" t="s">
        <v>148</v>
      </c>
      <c r="E1364" t="s">
        <v>112</v>
      </c>
      <c r="F1364" t="s">
        <v>40</v>
      </c>
      <c r="G1364" t="s">
        <v>62</v>
      </c>
      <c r="H1364" t="s">
        <v>63</v>
      </c>
      <c r="I1364">
        <v>6</v>
      </c>
      <c r="J1364" s="3">
        <v>18027.240000000002</v>
      </c>
      <c r="K1364" s="3">
        <v>108163.44</v>
      </c>
      <c r="L1364" t="s">
        <v>25</v>
      </c>
      <c r="M1364" s="2">
        <v>46057</v>
      </c>
      <c r="N1364" s="2">
        <v>46056</v>
      </c>
      <c r="O1364" t="s">
        <v>26</v>
      </c>
      <c r="P1364" t="s">
        <v>115</v>
      </c>
      <c r="Q1364" t="s">
        <v>28</v>
      </c>
      <c r="R1364" t="s">
        <v>29</v>
      </c>
    </row>
    <row r="1365" spans="1:18">
      <c r="A1365" t="s">
        <v>1497</v>
      </c>
      <c r="B1365" s="2">
        <v>46177</v>
      </c>
      <c r="C1365" t="s">
        <v>142</v>
      </c>
      <c r="D1365" t="s">
        <v>143</v>
      </c>
      <c r="E1365" t="s">
        <v>112</v>
      </c>
      <c r="F1365" t="s">
        <v>22</v>
      </c>
      <c r="G1365" t="s">
        <v>160</v>
      </c>
      <c r="H1365" t="s">
        <v>161</v>
      </c>
      <c r="I1365">
        <v>11</v>
      </c>
      <c r="J1365" s="3">
        <v>3386.45</v>
      </c>
      <c r="K1365" s="3">
        <v>37250.949999999997</v>
      </c>
      <c r="L1365" t="s">
        <v>34</v>
      </c>
      <c r="M1365" s="2">
        <v>46188</v>
      </c>
      <c r="N1365" s="2">
        <v>46188</v>
      </c>
      <c r="O1365" t="s">
        <v>76</v>
      </c>
      <c r="P1365" t="s">
        <v>115</v>
      </c>
      <c r="Q1365" t="s">
        <v>28</v>
      </c>
      <c r="R1365" t="s">
        <v>29</v>
      </c>
    </row>
    <row r="1366" spans="1:18">
      <c r="A1366" t="s">
        <v>1498</v>
      </c>
      <c r="B1366" s="2">
        <v>45681</v>
      </c>
      <c r="C1366" t="s">
        <v>89</v>
      </c>
      <c r="D1366" t="s">
        <v>90</v>
      </c>
      <c r="E1366" t="s">
        <v>31</v>
      </c>
      <c r="F1366" t="s">
        <v>91</v>
      </c>
      <c r="G1366" t="s">
        <v>109</v>
      </c>
      <c r="H1366" t="s">
        <v>110</v>
      </c>
      <c r="I1366">
        <v>1</v>
      </c>
      <c r="J1366" s="3">
        <v>13112.02</v>
      </c>
      <c r="K1366" s="3">
        <v>13112.02</v>
      </c>
      <c r="L1366" t="s">
        <v>25</v>
      </c>
      <c r="M1366" s="2">
        <v>45687</v>
      </c>
      <c r="N1366" s="2">
        <v>45684</v>
      </c>
      <c r="O1366" t="s">
        <v>43</v>
      </c>
      <c r="P1366" t="s">
        <v>35</v>
      </c>
      <c r="Q1366" t="s">
        <v>28</v>
      </c>
      <c r="R1366" t="s">
        <v>29</v>
      </c>
    </row>
    <row r="1367" spans="1:18">
      <c r="A1367" t="s">
        <v>1499</v>
      </c>
      <c r="B1367" s="2">
        <v>45972</v>
      </c>
      <c r="C1367" t="s">
        <v>19</v>
      </c>
      <c r="D1367" t="s">
        <v>20</v>
      </c>
      <c r="E1367" t="s">
        <v>31</v>
      </c>
      <c r="F1367" t="s">
        <v>22</v>
      </c>
      <c r="G1367" t="s">
        <v>160</v>
      </c>
      <c r="H1367" t="s">
        <v>161</v>
      </c>
      <c r="I1367">
        <v>5</v>
      </c>
      <c r="J1367" s="3">
        <v>3036.59</v>
      </c>
      <c r="K1367" s="3">
        <v>15182.95</v>
      </c>
      <c r="L1367" t="s">
        <v>34</v>
      </c>
      <c r="M1367" s="2">
        <v>45983</v>
      </c>
      <c r="N1367" s="2">
        <v>45982</v>
      </c>
      <c r="O1367" t="s">
        <v>76</v>
      </c>
      <c r="P1367" t="s">
        <v>94</v>
      </c>
      <c r="Q1367" t="s">
        <v>28</v>
      </c>
      <c r="R1367" t="s">
        <v>29</v>
      </c>
    </row>
    <row r="1368" spans="1:18">
      <c r="A1368" t="s">
        <v>1500</v>
      </c>
      <c r="B1368" s="2">
        <v>46078</v>
      </c>
      <c r="C1368" t="s">
        <v>104</v>
      </c>
      <c r="D1368" t="s">
        <v>105</v>
      </c>
      <c r="E1368" t="s">
        <v>21</v>
      </c>
      <c r="F1368" t="s">
        <v>49</v>
      </c>
      <c r="G1368" t="s">
        <v>165</v>
      </c>
      <c r="H1368" t="s">
        <v>166</v>
      </c>
      <c r="I1368">
        <v>3</v>
      </c>
      <c r="J1368" s="3">
        <v>46168.959999999999</v>
      </c>
      <c r="K1368" s="3">
        <v>138506.88</v>
      </c>
      <c r="L1368" t="s">
        <v>25</v>
      </c>
      <c r="M1368" s="2">
        <v>46095</v>
      </c>
      <c r="N1368" s="2">
        <v>46092</v>
      </c>
      <c r="O1368" t="s">
        <v>43</v>
      </c>
      <c r="P1368" t="s">
        <v>27</v>
      </c>
      <c r="Q1368" t="s">
        <v>28</v>
      </c>
      <c r="R1368" t="s">
        <v>29</v>
      </c>
    </row>
    <row r="1369" spans="1:18">
      <c r="A1369" t="s">
        <v>1501</v>
      </c>
      <c r="B1369" s="2">
        <v>45954</v>
      </c>
      <c r="C1369" t="s">
        <v>71</v>
      </c>
      <c r="D1369" t="s">
        <v>72</v>
      </c>
      <c r="E1369" t="s">
        <v>48</v>
      </c>
      <c r="F1369" t="s">
        <v>57</v>
      </c>
      <c r="G1369" t="s">
        <v>120</v>
      </c>
      <c r="H1369" t="s">
        <v>121</v>
      </c>
      <c r="I1369">
        <v>1</v>
      </c>
      <c r="J1369" s="3">
        <v>21141.63</v>
      </c>
      <c r="K1369" s="3">
        <v>21141.63</v>
      </c>
      <c r="L1369" t="s">
        <v>34</v>
      </c>
      <c r="M1369" s="2">
        <v>45964</v>
      </c>
      <c r="N1369" s="2">
        <v>45964</v>
      </c>
      <c r="O1369" t="s">
        <v>43</v>
      </c>
      <c r="P1369" t="s">
        <v>53</v>
      </c>
      <c r="Q1369" t="s">
        <v>28</v>
      </c>
      <c r="R1369" t="s">
        <v>29</v>
      </c>
    </row>
    <row r="1370" spans="1:18">
      <c r="A1370" t="s">
        <v>1502</v>
      </c>
      <c r="B1370" s="2">
        <v>46066</v>
      </c>
      <c r="C1370" t="s">
        <v>104</v>
      </c>
      <c r="D1370" t="s">
        <v>105</v>
      </c>
      <c r="E1370" t="s">
        <v>73</v>
      </c>
      <c r="F1370" t="s">
        <v>49</v>
      </c>
      <c r="G1370" t="s">
        <v>68</v>
      </c>
      <c r="H1370" t="s">
        <v>69</v>
      </c>
      <c r="I1370">
        <v>1</v>
      </c>
      <c r="J1370" s="3">
        <v>48679.9</v>
      </c>
      <c r="K1370" s="3">
        <v>48679.9</v>
      </c>
      <c r="L1370" t="s">
        <v>25</v>
      </c>
      <c r="M1370" s="2">
        <v>46071</v>
      </c>
      <c r="N1370" s="2">
        <v>46070</v>
      </c>
      <c r="O1370" t="s">
        <v>76</v>
      </c>
      <c r="P1370" t="s">
        <v>77</v>
      </c>
      <c r="Q1370" t="s">
        <v>28</v>
      </c>
      <c r="R1370" t="s">
        <v>29</v>
      </c>
    </row>
    <row r="1371" spans="1:18">
      <c r="A1371" t="s">
        <v>1503</v>
      </c>
      <c r="B1371" s="2">
        <v>46190</v>
      </c>
      <c r="C1371" t="s">
        <v>80</v>
      </c>
      <c r="D1371" t="s">
        <v>81</v>
      </c>
      <c r="E1371" t="s">
        <v>39</v>
      </c>
      <c r="F1371" t="s">
        <v>82</v>
      </c>
      <c r="G1371" t="s">
        <v>197</v>
      </c>
      <c r="H1371" t="s">
        <v>198</v>
      </c>
      <c r="I1371">
        <v>47</v>
      </c>
      <c r="J1371" s="3">
        <v>1949.31</v>
      </c>
      <c r="K1371" s="3">
        <v>91617.57</v>
      </c>
      <c r="L1371" t="s">
        <v>34</v>
      </c>
      <c r="M1371" s="2">
        <v>46207</v>
      </c>
      <c r="N1371" s="2"/>
      <c r="O1371" t="s">
        <v>26</v>
      </c>
      <c r="P1371" t="s">
        <v>44</v>
      </c>
      <c r="Q1371" t="s">
        <v>167</v>
      </c>
      <c r="R1371" t="s">
        <v>167</v>
      </c>
    </row>
    <row r="1372" spans="1:18">
      <c r="A1372" t="s">
        <v>1504</v>
      </c>
      <c r="B1372" s="2">
        <v>45766</v>
      </c>
      <c r="C1372" t="s">
        <v>142</v>
      </c>
      <c r="D1372" t="s">
        <v>143</v>
      </c>
      <c r="E1372" t="s">
        <v>73</v>
      </c>
      <c r="F1372" t="s">
        <v>22</v>
      </c>
      <c r="G1372" t="s">
        <v>23</v>
      </c>
      <c r="H1372" t="s">
        <v>24</v>
      </c>
      <c r="I1372">
        <v>55</v>
      </c>
      <c r="J1372" s="3">
        <v>256.37</v>
      </c>
      <c r="K1372" s="3">
        <v>14100.35</v>
      </c>
      <c r="L1372" t="s">
        <v>25</v>
      </c>
      <c r="M1372" s="2">
        <v>45776</v>
      </c>
      <c r="N1372" s="2">
        <v>45776</v>
      </c>
      <c r="O1372" t="s">
        <v>43</v>
      </c>
      <c r="P1372" t="s">
        <v>77</v>
      </c>
      <c r="Q1372" t="s">
        <v>28</v>
      </c>
      <c r="R1372" t="s">
        <v>29</v>
      </c>
    </row>
    <row r="1373" spans="1:18">
      <c r="A1373" t="s">
        <v>1505</v>
      </c>
      <c r="B1373" s="2">
        <v>46070</v>
      </c>
      <c r="C1373" t="s">
        <v>46</v>
      </c>
      <c r="D1373" t="s">
        <v>47</v>
      </c>
      <c r="E1373" t="s">
        <v>112</v>
      </c>
      <c r="F1373" t="s">
        <v>49</v>
      </c>
      <c r="G1373" t="s">
        <v>165</v>
      </c>
      <c r="H1373" t="s">
        <v>166</v>
      </c>
      <c r="I1373">
        <v>1</v>
      </c>
      <c r="J1373" s="3">
        <v>45866.21</v>
      </c>
      <c r="K1373" s="3">
        <v>45866.21</v>
      </c>
      <c r="L1373" t="s">
        <v>34</v>
      </c>
      <c r="M1373" s="2">
        <v>46081</v>
      </c>
      <c r="N1373" s="2">
        <v>46079</v>
      </c>
      <c r="O1373" t="s">
        <v>26</v>
      </c>
      <c r="P1373" t="s">
        <v>115</v>
      </c>
      <c r="Q1373" t="s">
        <v>28</v>
      </c>
      <c r="R1373" t="s">
        <v>29</v>
      </c>
    </row>
    <row r="1374" spans="1:18">
      <c r="A1374" t="s">
        <v>1506</v>
      </c>
      <c r="B1374" s="2">
        <v>45959</v>
      </c>
      <c r="C1374" t="s">
        <v>37</v>
      </c>
      <c r="D1374" t="s">
        <v>38</v>
      </c>
      <c r="E1374" t="s">
        <v>31</v>
      </c>
      <c r="F1374" t="s">
        <v>22</v>
      </c>
      <c r="G1374" t="s">
        <v>160</v>
      </c>
      <c r="H1374" t="s">
        <v>161</v>
      </c>
      <c r="I1374">
        <v>11</v>
      </c>
      <c r="J1374" s="3">
        <v>3512.41</v>
      </c>
      <c r="K1374" s="3">
        <v>38636.51</v>
      </c>
      <c r="L1374" t="s">
        <v>25</v>
      </c>
      <c r="M1374" s="2">
        <v>45965</v>
      </c>
      <c r="N1374" s="2">
        <v>45964</v>
      </c>
      <c r="O1374" t="s">
        <v>43</v>
      </c>
      <c r="P1374" t="s">
        <v>94</v>
      </c>
      <c r="Q1374" t="s">
        <v>28</v>
      </c>
      <c r="R1374" t="s">
        <v>29</v>
      </c>
    </row>
    <row r="1375" spans="1:18">
      <c r="A1375" t="s">
        <v>1507</v>
      </c>
      <c r="B1375" s="2">
        <v>45773</v>
      </c>
      <c r="C1375" t="s">
        <v>37</v>
      </c>
      <c r="D1375" t="s">
        <v>38</v>
      </c>
      <c r="E1375" t="s">
        <v>39</v>
      </c>
      <c r="F1375" t="s">
        <v>40</v>
      </c>
      <c r="G1375" t="s">
        <v>41</v>
      </c>
      <c r="H1375" t="s">
        <v>42</v>
      </c>
      <c r="I1375">
        <v>5</v>
      </c>
      <c r="J1375" s="3">
        <v>5688</v>
      </c>
      <c r="K1375" s="3">
        <v>28440</v>
      </c>
      <c r="L1375" t="s">
        <v>25</v>
      </c>
      <c r="M1375" s="2">
        <v>45782</v>
      </c>
      <c r="N1375" s="2">
        <v>45780</v>
      </c>
      <c r="O1375" t="s">
        <v>43</v>
      </c>
      <c r="P1375" t="s">
        <v>44</v>
      </c>
      <c r="Q1375" t="s">
        <v>28</v>
      </c>
      <c r="R1375" t="s">
        <v>29</v>
      </c>
    </row>
    <row r="1376" spans="1:18">
      <c r="A1376" t="s">
        <v>1508</v>
      </c>
      <c r="B1376" s="2">
        <v>46153</v>
      </c>
      <c r="C1376" t="s">
        <v>66</v>
      </c>
      <c r="D1376" t="s">
        <v>67</v>
      </c>
      <c r="E1376" t="s">
        <v>21</v>
      </c>
      <c r="F1376" t="s">
        <v>49</v>
      </c>
      <c r="G1376" t="s">
        <v>68</v>
      </c>
      <c r="H1376" t="s">
        <v>69</v>
      </c>
      <c r="I1376">
        <v>1</v>
      </c>
      <c r="J1376" s="3">
        <v>46265.75</v>
      </c>
      <c r="K1376" s="3">
        <v>46265.75</v>
      </c>
      <c r="L1376" t="s">
        <v>25</v>
      </c>
      <c r="M1376" s="2">
        <v>46158</v>
      </c>
      <c r="N1376" s="2">
        <v>46157</v>
      </c>
      <c r="O1376" t="s">
        <v>76</v>
      </c>
      <c r="P1376" t="s">
        <v>27</v>
      </c>
      <c r="Q1376" t="s">
        <v>28</v>
      </c>
      <c r="R1376" t="s">
        <v>29</v>
      </c>
    </row>
    <row r="1377" spans="1:18">
      <c r="A1377" t="s">
        <v>1509</v>
      </c>
      <c r="B1377" s="2">
        <v>46147</v>
      </c>
      <c r="C1377" t="s">
        <v>37</v>
      </c>
      <c r="D1377" t="s">
        <v>38</v>
      </c>
      <c r="E1377" t="s">
        <v>112</v>
      </c>
      <c r="F1377" t="s">
        <v>22</v>
      </c>
      <c r="G1377" t="s">
        <v>23</v>
      </c>
      <c r="H1377" t="s">
        <v>24</v>
      </c>
      <c r="I1377">
        <v>43</v>
      </c>
      <c r="J1377" s="3">
        <v>271.29000000000002</v>
      </c>
      <c r="K1377" s="3">
        <v>11665.47</v>
      </c>
      <c r="L1377" t="s">
        <v>52</v>
      </c>
      <c r="M1377" s="2">
        <v>46152</v>
      </c>
      <c r="N1377" s="2">
        <v>46151</v>
      </c>
      <c r="O1377" t="s">
        <v>76</v>
      </c>
      <c r="P1377" t="s">
        <v>115</v>
      </c>
      <c r="Q1377" t="s">
        <v>28</v>
      </c>
      <c r="R1377" t="s">
        <v>29</v>
      </c>
    </row>
    <row r="1378" spans="1:18">
      <c r="A1378" t="s">
        <v>1510</v>
      </c>
      <c r="B1378" s="2">
        <v>45688</v>
      </c>
      <c r="C1378" t="s">
        <v>46</v>
      </c>
      <c r="D1378" t="s">
        <v>47</v>
      </c>
      <c r="E1378" t="s">
        <v>21</v>
      </c>
      <c r="F1378" t="s">
        <v>49</v>
      </c>
      <c r="G1378" t="s">
        <v>165</v>
      </c>
      <c r="H1378" t="s">
        <v>166</v>
      </c>
      <c r="I1378">
        <v>1</v>
      </c>
      <c r="J1378" s="3">
        <v>48731.56</v>
      </c>
      <c r="K1378" s="3">
        <v>48731.56</v>
      </c>
      <c r="L1378" t="s">
        <v>25</v>
      </c>
      <c r="M1378" s="2">
        <v>45698</v>
      </c>
      <c r="N1378" s="2">
        <v>45695</v>
      </c>
      <c r="O1378" t="s">
        <v>43</v>
      </c>
      <c r="P1378" t="s">
        <v>27</v>
      </c>
      <c r="Q1378" t="s">
        <v>28</v>
      </c>
      <c r="R1378" t="s">
        <v>29</v>
      </c>
    </row>
    <row r="1379" spans="1:18">
      <c r="A1379" t="s">
        <v>1511</v>
      </c>
      <c r="B1379" s="2">
        <v>45888</v>
      </c>
      <c r="C1379" t="s">
        <v>89</v>
      </c>
      <c r="D1379" t="s">
        <v>90</v>
      </c>
      <c r="E1379" t="s">
        <v>31</v>
      </c>
      <c r="F1379" t="s">
        <v>91</v>
      </c>
      <c r="G1379" t="s">
        <v>92</v>
      </c>
      <c r="H1379" t="s">
        <v>93</v>
      </c>
      <c r="I1379">
        <v>1</v>
      </c>
      <c r="J1379" s="3">
        <v>43074.31</v>
      </c>
      <c r="K1379" s="3">
        <v>43074.31</v>
      </c>
      <c r="L1379" t="s">
        <v>25</v>
      </c>
      <c r="M1379" s="2">
        <v>45894</v>
      </c>
      <c r="N1379" s="2">
        <v>45894</v>
      </c>
      <c r="O1379" t="s">
        <v>26</v>
      </c>
      <c r="P1379" t="s">
        <v>35</v>
      </c>
      <c r="Q1379" t="s">
        <v>28</v>
      </c>
      <c r="R1379" t="s">
        <v>29</v>
      </c>
    </row>
    <row r="1380" spans="1:18">
      <c r="A1380" t="s">
        <v>1512</v>
      </c>
      <c r="B1380" s="2">
        <v>46141</v>
      </c>
      <c r="C1380" t="s">
        <v>131</v>
      </c>
      <c r="D1380" t="s">
        <v>132</v>
      </c>
      <c r="E1380" t="s">
        <v>48</v>
      </c>
      <c r="F1380" t="s">
        <v>57</v>
      </c>
      <c r="G1380" t="s">
        <v>120</v>
      </c>
      <c r="H1380" t="s">
        <v>121</v>
      </c>
      <c r="I1380">
        <v>7</v>
      </c>
      <c r="J1380" s="3">
        <v>23053.71</v>
      </c>
      <c r="K1380" s="3">
        <v>161375.97</v>
      </c>
      <c r="L1380" t="s">
        <v>34</v>
      </c>
      <c r="M1380" s="2">
        <v>46158</v>
      </c>
      <c r="N1380" s="2">
        <v>46157</v>
      </c>
      <c r="O1380" t="s">
        <v>76</v>
      </c>
      <c r="P1380" t="s">
        <v>53</v>
      </c>
      <c r="Q1380" t="s">
        <v>28</v>
      </c>
      <c r="R1380" t="s">
        <v>29</v>
      </c>
    </row>
    <row r="1381" spans="1:18">
      <c r="A1381" t="s">
        <v>1513</v>
      </c>
      <c r="B1381" s="2">
        <v>45990</v>
      </c>
      <c r="C1381" t="s">
        <v>71</v>
      </c>
      <c r="D1381" t="s">
        <v>72</v>
      </c>
      <c r="E1381" t="s">
        <v>31</v>
      </c>
      <c r="F1381" t="s">
        <v>57</v>
      </c>
      <c r="G1381" t="s">
        <v>86</v>
      </c>
      <c r="H1381" t="s">
        <v>87</v>
      </c>
      <c r="I1381">
        <v>6</v>
      </c>
      <c r="J1381" s="3">
        <v>10101.950000000001</v>
      </c>
      <c r="K1381" s="3">
        <v>60611.7</v>
      </c>
      <c r="L1381" t="s">
        <v>25</v>
      </c>
      <c r="M1381" s="2">
        <v>45996</v>
      </c>
      <c r="N1381" s="2">
        <v>45994</v>
      </c>
      <c r="O1381" t="s">
        <v>43</v>
      </c>
      <c r="P1381" t="s">
        <v>35</v>
      </c>
      <c r="Q1381" t="s">
        <v>28</v>
      </c>
      <c r="R1381" t="s">
        <v>29</v>
      </c>
    </row>
    <row r="1382" spans="1:18">
      <c r="A1382" t="s">
        <v>1514</v>
      </c>
      <c r="B1382" s="2">
        <v>45726</v>
      </c>
      <c r="C1382" t="s">
        <v>104</v>
      </c>
      <c r="D1382" t="s">
        <v>105</v>
      </c>
      <c r="E1382" t="s">
        <v>112</v>
      </c>
      <c r="F1382" t="s">
        <v>49</v>
      </c>
      <c r="G1382" t="s">
        <v>113</v>
      </c>
      <c r="H1382" t="s">
        <v>114</v>
      </c>
      <c r="I1382">
        <v>1</v>
      </c>
      <c r="J1382" s="3">
        <v>38529.56</v>
      </c>
      <c r="K1382" s="3">
        <v>38529.56</v>
      </c>
      <c r="L1382" t="s">
        <v>25</v>
      </c>
      <c r="M1382" s="2">
        <v>45738</v>
      </c>
      <c r="N1382" s="2">
        <v>45736</v>
      </c>
      <c r="O1382" t="s">
        <v>76</v>
      </c>
      <c r="P1382" t="s">
        <v>115</v>
      </c>
      <c r="Q1382" t="s">
        <v>28</v>
      </c>
      <c r="R1382" t="s">
        <v>29</v>
      </c>
    </row>
    <row r="1383" spans="1:18">
      <c r="A1383" t="s">
        <v>1515</v>
      </c>
      <c r="B1383" s="2">
        <v>45962</v>
      </c>
      <c r="C1383" t="s">
        <v>142</v>
      </c>
      <c r="D1383" t="s">
        <v>143</v>
      </c>
      <c r="E1383" t="s">
        <v>31</v>
      </c>
      <c r="F1383" t="s">
        <v>22</v>
      </c>
      <c r="G1383" t="s">
        <v>32</v>
      </c>
      <c r="H1383" t="s">
        <v>33</v>
      </c>
      <c r="I1383">
        <v>14</v>
      </c>
      <c r="J1383" s="3">
        <v>8072.95</v>
      </c>
      <c r="K1383" s="3">
        <v>113021.3</v>
      </c>
      <c r="L1383" t="s">
        <v>34</v>
      </c>
      <c r="M1383" s="2">
        <v>45974</v>
      </c>
      <c r="N1383" s="2">
        <v>45972</v>
      </c>
      <c r="O1383" t="s">
        <v>60</v>
      </c>
      <c r="P1383" t="s">
        <v>94</v>
      </c>
      <c r="Q1383" t="s">
        <v>28</v>
      </c>
      <c r="R1383" t="s">
        <v>29</v>
      </c>
    </row>
    <row r="1384" spans="1:18">
      <c r="A1384" t="s">
        <v>1516</v>
      </c>
      <c r="B1384" s="2">
        <v>45924</v>
      </c>
      <c r="C1384" t="s">
        <v>142</v>
      </c>
      <c r="D1384" t="s">
        <v>143</v>
      </c>
      <c r="E1384" t="s">
        <v>112</v>
      </c>
      <c r="F1384" t="s">
        <v>22</v>
      </c>
      <c r="G1384" t="s">
        <v>23</v>
      </c>
      <c r="H1384" t="s">
        <v>24</v>
      </c>
      <c r="I1384">
        <v>39</v>
      </c>
      <c r="J1384" s="3">
        <v>260.73</v>
      </c>
      <c r="K1384" s="3">
        <v>10168.469999999999</v>
      </c>
      <c r="L1384" t="s">
        <v>25</v>
      </c>
      <c r="M1384" s="2">
        <v>45929</v>
      </c>
      <c r="N1384" s="2">
        <v>45929</v>
      </c>
      <c r="O1384" t="s">
        <v>60</v>
      </c>
      <c r="P1384" t="s">
        <v>115</v>
      </c>
      <c r="Q1384" t="s">
        <v>28</v>
      </c>
      <c r="R1384" t="s">
        <v>29</v>
      </c>
    </row>
    <row r="1385" spans="1:18">
      <c r="A1385" t="s">
        <v>1517</v>
      </c>
      <c r="B1385" s="2">
        <v>45728</v>
      </c>
      <c r="C1385" t="s">
        <v>80</v>
      </c>
      <c r="D1385" t="s">
        <v>81</v>
      </c>
      <c r="E1385" t="s">
        <v>39</v>
      </c>
      <c r="F1385" t="s">
        <v>82</v>
      </c>
      <c r="G1385" t="s">
        <v>197</v>
      </c>
      <c r="H1385" t="s">
        <v>198</v>
      </c>
      <c r="I1385">
        <v>32</v>
      </c>
      <c r="J1385" s="3">
        <v>2091.23</v>
      </c>
      <c r="K1385" s="3">
        <v>66919.360000000001</v>
      </c>
      <c r="L1385" t="s">
        <v>34</v>
      </c>
      <c r="M1385" s="2">
        <v>45733</v>
      </c>
      <c r="N1385" s="2">
        <v>45732</v>
      </c>
      <c r="O1385" t="s">
        <v>43</v>
      </c>
      <c r="P1385" t="s">
        <v>44</v>
      </c>
      <c r="Q1385" t="s">
        <v>28</v>
      </c>
      <c r="R1385" t="s">
        <v>29</v>
      </c>
    </row>
    <row r="1386" spans="1:18">
      <c r="A1386" t="s">
        <v>1518</v>
      </c>
      <c r="B1386" s="2">
        <v>45836</v>
      </c>
      <c r="C1386" t="s">
        <v>107</v>
      </c>
      <c r="D1386" t="s">
        <v>108</v>
      </c>
      <c r="E1386" t="s">
        <v>31</v>
      </c>
      <c r="F1386" t="s">
        <v>91</v>
      </c>
      <c r="G1386" t="s">
        <v>109</v>
      </c>
      <c r="H1386" t="s">
        <v>110</v>
      </c>
      <c r="I1386">
        <v>1</v>
      </c>
      <c r="J1386" s="3">
        <v>13738.06</v>
      </c>
      <c r="K1386" s="3">
        <v>13738.06</v>
      </c>
      <c r="L1386" t="s">
        <v>25</v>
      </c>
      <c r="M1386" s="2">
        <v>45851</v>
      </c>
      <c r="N1386" s="2">
        <v>45850</v>
      </c>
      <c r="O1386" t="s">
        <v>76</v>
      </c>
      <c r="P1386" t="s">
        <v>35</v>
      </c>
      <c r="Q1386" t="s">
        <v>28</v>
      </c>
      <c r="R1386" t="s">
        <v>29</v>
      </c>
    </row>
    <row r="1387" spans="1:18">
      <c r="A1387" t="s">
        <v>1519</v>
      </c>
      <c r="B1387" s="2">
        <v>45889</v>
      </c>
      <c r="C1387" t="s">
        <v>71</v>
      </c>
      <c r="D1387" t="s">
        <v>72</v>
      </c>
      <c r="E1387" t="s">
        <v>48</v>
      </c>
      <c r="F1387" t="s">
        <v>57</v>
      </c>
      <c r="G1387" t="s">
        <v>101</v>
      </c>
      <c r="H1387" t="s">
        <v>102</v>
      </c>
      <c r="I1387">
        <v>27</v>
      </c>
      <c r="J1387" s="3">
        <v>1746.99</v>
      </c>
      <c r="K1387" s="3">
        <v>47168.73</v>
      </c>
      <c r="L1387" t="s">
        <v>25</v>
      </c>
      <c r="M1387" s="2">
        <v>45900</v>
      </c>
      <c r="N1387" s="2">
        <v>45899</v>
      </c>
      <c r="O1387" t="s">
        <v>60</v>
      </c>
      <c r="P1387" t="s">
        <v>53</v>
      </c>
      <c r="Q1387" t="s">
        <v>28</v>
      </c>
      <c r="R1387" t="s">
        <v>29</v>
      </c>
    </row>
    <row r="1388" spans="1:18">
      <c r="A1388" t="s">
        <v>1520</v>
      </c>
      <c r="B1388" s="2">
        <v>45747</v>
      </c>
      <c r="C1388" t="s">
        <v>46</v>
      </c>
      <c r="D1388" t="s">
        <v>47</v>
      </c>
      <c r="E1388" t="s">
        <v>73</v>
      </c>
      <c r="F1388" t="s">
        <v>49</v>
      </c>
      <c r="G1388" t="s">
        <v>50</v>
      </c>
      <c r="H1388" t="s">
        <v>51</v>
      </c>
      <c r="I1388">
        <v>1</v>
      </c>
      <c r="J1388" s="3">
        <v>54887.07</v>
      </c>
      <c r="K1388" s="3">
        <v>54887.07</v>
      </c>
      <c r="L1388" t="s">
        <v>25</v>
      </c>
      <c r="M1388" s="2">
        <v>45756</v>
      </c>
      <c r="N1388" s="2">
        <v>45753</v>
      </c>
      <c r="O1388" t="s">
        <v>76</v>
      </c>
      <c r="P1388" t="s">
        <v>77</v>
      </c>
      <c r="Q1388" t="s">
        <v>28</v>
      </c>
      <c r="R1388" t="s">
        <v>29</v>
      </c>
    </row>
    <row r="1389" spans="1:18">
      <c r="A1389" t="s">
        <v>1521</v>
      </c>
      <c r="B1389" s="2">
        <v>46098</v>
      </c>
      <c r="C1389" t="s">
        <v>19</v>
      </c>
      <c r="D1389" t="s">
        <v>20</v>
      </c>
      <c r="E1389" t="s">
        <v>112</v>
      </c>
      <c r="F1389" t="s">
        <v>22</v>
      </c>
      <c r="G1389" t="s">
        <v>32</v>
      </c>
      <c r="H1389" t="s">
        <v>33</v>
      </c>
      <c r="I1389">
        <v>1</v>
      </c>
      <c r="J1389" s="3">
        <v>7787.09</v>
      </c>
      <c r="K1389" s="3">
        <v>7787.09</v>
      </c>
      <c r="L1389" t="s">
        <v>25</v>
      </c>
      <c r="M1389" s="2">
        <v>46114</v>
      </c>
      <c r="N1389" s="2">
        <v>46116</v>
      </c>
      <c r="O1389" t="s">
        <v>76</v>
      </c>
      <c r="P1389" t="s">
        <v>115</v>
      </c>
      <c r="Q1389" t="s">
        <v>28</v>
      </c>
      <c r="R1389" t="s">
        <v>129</v>
      </c>
    </row>
    <row r="1390" spans="1:18">
      <c r="A1390" t="s">
        <v>1522</v>
      </c>
      <c r="B1390" s="2">
        <v>45891</v>
      </c>
      <c r="C1390" t="s">
        <v>89</v>
      </c>
      <c r="D1390" t="s">
        <v>90</v>
      </c>
      <c r="E1390" t="s">
        <v>31</v>
      </c>
      <c r="F1390" t="s">
        <v>91</v>
      </c>
      <c r="G1390" t="s">
        <v>109</v>
      </c>
      <c r="H1390" t="s">
        <v>110</v>
      </c>
      <c r="I1390">
        <v>3</v>
      </c>
      <c r="J1390" s="3">
        <v>12792.31</v>
      </c>
      <c r="K1390" s="3">
        <v>38376.93</v>
      </c>
      <c r="L1390" t="s">
        <v>52</v>
      </c>
      <c r="M1390" s="2">
        <v>45905</v>
      </c>
      <c r="N1390" s="2">
        <v>45903</v>
      </c>
      <c r="O1390" t="s">
        <v>26</v>
      </c>
      <c r="P1390" t="s">
        <v>35</v>
      </c>
      <c r="Q1390" t="s">
        <v>28</v>
      </c>
      <c r="R1390" t="s">
        <v>29</v>
      </c>
    </row>
    <row r="1391" spans="1:18">
      <c r="A1391" t="s">
        <v>1523</v>
      </c>
      <c r="B1391" s="2">
        <v>46057</v>
      </c>
      <c r="C1391" t="s">
        <v>46</v>
      </c>
      <c r="D1391" t="s">
        <v>47</v>
      </c>
      <c r="E1391" t="s">
        <v>112</v>
      </c>
      <c r="F1391" t="s">
        <v>49</v>
      </c>
      <c r="G1391" t="s">
        <v>165</v>
      </c>
      <c r="H1391" t="s">
        <v>166</v>
      </c>
      <c r="I1391">
        <v>3</v>
      </c>
      <c r="J1391" s="3">
        <v>49823.83</v>
      </c>
      <c r="K1391" s="3">
        <v>149471.49</v>
      </c>
      <c r="L1391" t="s">
        <v>25</v>
      </c>
      <c r="M1391" s="2">
        <v>46073</v>
      </c>
      <c r="N1391" s="2">
        <v>46071</v>
      </c>
      <c r="O1391" t="s">
        <v>76</v>
      </c>
      <c r="P1391" t="s">
        <v>115</v>
      </c>
      <c r="Q1391" t="s">
        <v>28</v>
      </c>
      <c r="R1391" t="s">
        <v>29</v>
      </c>
    </row>
    <row r="1392" spans="1:18">
      <c r="A1392" t="s">
        <v>1524</v>
      </c>
      <c r="B1392" s="2">
        <v>45994</v>
      </c>
      <c r="C1392" t="s">
        <v>37</v>
      </c>
      <c r="D1392" t="s">
        <v>38</v>
      </c>
      <c r="E1392" t="s">
        <v>31</v>
      </c>
      <c r="F1392" t="s">
        <v>22</v>
      </c>
      <c r="G1392" t="s">
        <v>23</v>
      </c>
      <c r="H1392" t="s">
        <v>24</v>
      </c>
      <c r="I1392">
        <v>58</v>
      </c>
      <c r="J1392" s="3">
        <v>269.17</v>
      </c>
      <c r="K1392" s="3">
        <v>15611.86</v>
      </c>
      <c r="L1392" t="s">
        <v>25</v>
      </c>
      <c r="M1392" s="2">
        <v>46008</v>
      </c>
      <c r="N1392" s="2">
        <v>46012</v>
      </c>
      <c r="O1392" t="s">
        <v>60</v>
      </c>
      <c r="P1392" t="s">
        <v>94</v>
      </c>
      <c r="Q1392" t="s">
        <v>28</v>
      </c>
      <c r="R1392" t="s">
        <v>129</v>
      </c>
    </row>
    <row r="1393" spans="1:18">
      <c r="A1393" t="s">
        <v>1525</v>
      </c>
      <c r="B1393" s="2">
        <v>45798</v>
      </c>
      <c r="C1393" t="s">
        <v>37</v>
      </c>
      <c r="D1393" t="s">
        <v>38</v>
      </c>
      <c r="E1393" t="s">
        <v>31</v>
      </c>
      <c r="F1393" t="s">
        <v>22</v>
      </c>
      <c r="G1393" t="s">
        <v>32</v>
      </c>
      <c r="H1393" t="s">
        <v>33</v>
      </c>
      <c r="I1393">
        <v>2</v>
      </c>
      <c r="J1393" s="3">
        <v>8351.57</v>
      </c>
      <c r="K1393" s="3">
        <v>16703.14</v>
      </c>
      <c r="L1393" t="s">
        <v>34</v>
      </c>
      <c r="M1393" s="2">
        <v>45810</v>
      </c>
      <c r="N1393" s="2">
        <v>45817</v>
      </c>
      <c r="O1393" t="s">
        <v>76</v>
      </c>
      <c r="P1393" t="s">
        <v>35</v>
      </c>
      <c r="Q1393" t="s">
        <v>28</v>
      </c>
      <c r="R1393" t="s">
        <v>129</v>
      </c>
    </row>
    <row r="1394" spans="1:18">
      <c r="A1394" t="s">
        <v>1526</v>
      </c>
      <c r="B1394" s="2">
        <v>45869</v>
      </c>
      <c r="C1394" t="s">
        <v>131</v>
      </c>
      <c r="D1394" t="s">
        <v>132</v>
      </c>
      <c r="E1394" t="s">
        <v>48</v>
      </c>
      <c r="F1394" t="s">
        <v>57</v>
      </c>
      <c r="G1394" t="s">
        <v>127</v>
      </c>
      <c r="H1394" t="s">
        <v>128</v>
      </c>
      <c r="I1394">
        <v>2</v>
      </c>
      <c r="J1394" s="3">
        <v>17965.11</v>
      </c>
      <c r="K1394" s="3">
        <v>35930.22</v>
      </c>
      <c r="L1394" t="s">
        <v>34</v>
      </c>
      <c r="M1394" s="2">
        <v>45875</v>
      </c>
      <c r="N1394" s="2">
        <v>45874</v>
      </c>
      <c r="O1394" t="s">
        <v>26</v>
      </c>
      <c r="P1394" t="s">
        <v>53</v>
      </c>
      <c r="Q1394" t="s">
        <v>28</v>
      </c>
      <c r="R1394" t="s">
        <v>29</v>
      </c>
    </row>
    <row r="1395" spans="1:18">
      <c r="A1395" t="s">
        <v>1527</v>
      </c>
      <c r="B1395" s="2">
        <v>45909</v>
      </c>
      <c r="C1395" t="s">
        <v>104</v>
      </c>
      <c r="D1395" t="s">
        <v>105</v>
      </c>
      <c r="E1395" t="s">
        <v>112</v>
      </c>
      <c r="F1395" t="s">
        <v>49</v>
      </c>
      <c r="G1395" t="s">
        <v>113</v>
      </c>
      <c r="H1395" t="s">
        <v>114</v>
      </c>
      <c r="I1395">
        <v>3</v>
      </c>
      <c r="J1395" s="3">
        <v>39614.21</v>
      </c>
      <c r="K1395" s="3">
        <v>118842.63</v>
      </c>
      <c r="L1395" t="s">
        <v>34</v>
      </c>
      <c r="M1395" s="2">
        <v>45914</v>
      </c>
      <c r="N1395" s="2">
        <v>45914</v>
      </c>
      <c r="O1395" t="s">
        <v>26</v>
      </c>
      <c r="P1395" t="s">
        <v>115</v>
      </c>
      <c r="Q1395" t="s">
        <v>28</v>
      </c>
      <c r="R1395" t="s">
        <v>29</v>
      </c>
    </row>
    <row r="1396" spans="1:18">
      <c r="A1396" t="s">
        <v>1528</v>
      </c>
      <c r="B1396" s="2">
        <v>46113</v>
      </c>
      <c r="C1396" t="s">
        <v>134</v>
      </c>
      <c r="D1396" t="s">
        <v>135</v>
      </c>
      <c r="E1396" t="s">
        <v>39</v>
      </c>
      <c r="F1396" t="s">
        <v>40</v>
      </c>
      <c r="G1396" t="s">
        <v>149</v>
      </c>
      <c r="H1396" t="s">
        <v>150</v>
      </c>
      <c r="I1396">
        <v>32</v>
      </c>
      <c r="J1396" s="3">
        <v>1347.66</v>
      </c>
      <c r="K1396" s="3">
        <v>43125.120000000003</v>
      </c>
      <c r="L1396" t="s">
        <v>25</v>
      </c>
      <c r="M1396" s="2">
        <v>46127</v>
      </c>
      <c r="N1396" s="2">
        <v>46125</v>
      </c>
      <c r="O1396" t="s">
        <v>76</v>
      </c>
      <c r="P1396" t="s">
        <v>64</v>
      </c>
      <c r="Q1396" t="s">
        <v>28</v>
      </c>
      <c r="R1396" t="s">
        <v>29</v>
      </c>
    </row>
    <row r="1397" spans="1:18">
      <c r="A1397" t="s">
        <v>1529</v>
      </c>
      <c r="B1397" s="2">
        <v>45984</v>
      </c>
      <c r="C1397" t="s">
        <v>71</v>
      </c>
      <c r="D1397" t="s">
        <v>72</v>
      </c>
      <c r="E1397" t="s">
        <v>48</v>
      </c>
      <c r="F1397" t="s">
        <v>57</v>
      </c>
      <c r="G1397" t="s">
        <v>120</v>
      </c>
      <c r="H1397" t="s">
        <v>121</v>
      </c>
      <c r="I1397">
        <v>4</v>
      </c>
      <c r="J1397" s="3">
        <v>19880.560000000001</v>
      </c>
      <c r="K1397" s="3">
        <v>79522.240000000005</v>
      </c>
      <c r="L1397" t="s">
        <v>25</v>
      </c>
      <c r="M1397" s="2">
        <v>46001</v>
      </c>
      <c r="N1397" s="2">
        <v>46001</v>
      </c>
      <c r="O1397" t="s">
        <v>26</v>
      </c>
      <c r="P1397" t="s">
        <v>53</v>
      </c>
      <c r="Q1397" t="s">
        <v>28</v>
      </c>
      <c r="R1397" t="s">
        <v>29</v>
      </c>
    </row>
    <row r="1398" spans="1:18">
      <c r="A1398" t="s">
        <v>1530</v>
      </c>
      <c r="B1398" s="2">
        <v>45972</v>
      </c>
      <c r="C1398" t="s">
        <v>37</v>
      </c>
      <c r="D1398" t="s">
        <v>38</v>
      </c>
      <c r="E1398" t="s">
        <v>112</v>
      </c>
      <c r="F1398" t="s">
        <v>40</v>
      </c>
      <c r="G1398" t="s">
        <v>41</v>
      </c>
      <c r="H1398" t="s">
        <v>42</v>
      </c>
      <c r="I1398">
        <v>10</v>
      </c>
      <c r="J1398" s="3">
        <v>5768.72</v>
      </c>
      <c r="K1398" s="3">
        <v>57687.199999999997</v>
      </c>
      <c r="L1398" t="s">
        <v>34</v>
      </c>
      <c r="M1398" s="2">
        <v>45977</v>
      </c>
      <c r="N1398" s="2">
        <v>45975</v>
      </c>
      <c r="O1398" t="s">
        <v>43</v>
      </c>
      <c r="P1398" t="s">
        <v>115</v>
      </c>
      <c r="Q1398" t="s">
        <v>28</v>
      </c>
      <c r="R1398" t="s">
        <v>29</v>
      </c>
    </row>
    <row r="1399" spans="1:18">
      <c r="A1399" t="s">
        <v>1531</v>
      </c>
      <c r="B1399" s="2">
        <v>45701</v>
      </c>
      <c r="C1399" t="s">
        <v>142</v>
      </c>
      <c r="D1399" t="s">
        <v>143</v>
      </c>
      <c r="E1399" t="s">
        <v>39</v>
      </c>
      <c r="F1399" t="s">
        <v>22</v>
      </c>
      <c r="G1399" t="s">
        <v>160</v>
      </c>
      <c r="H1399" t="s">
        <v>161</v>
      </c>
      <c r="I1399">
        <v>7</v>
      </c>
      <c r="J1399" s="3">
        <v>3154.7</v>
      </c>
      <c r="K1399" s="3">
        <v>22082.9</v>
      </c>
      <c r="L1399" t="s">
        <v>25</v>
      </c>
      <c r="M1399" s="2">
        <v>45707</v>
      </c>
      <c r="N1399" s="2">
        <v>45704</v>
      </c>
      <c r="O1399" t="s">
        <v>60</v>
      </c>
      <c r="P1399" t="s">
        <v>64</v>
      </c>
      <c r="Q1399" t="s">
        <v>28</v>
      </c>
      <c r="R1399" t="s">
        <v>29</v>
      </c>
    </row>
    <row r="1400" spans="1:18">
      <c r="A1400" t="s">
        <v>1532</v>
      </c>
      <c r="B1400" s="2">
        <v>46108</v>
      </c>
      <c r="C1400" t="s">
        <v>104</v>
      </c>
      <c r="D1400" t="s">
        <v>105</v>
      </c>
      <c r="E1400" t="s">
        <v>48</v>
      </c>
      <c r="F1400" t="s">
        <v>49</v>
      </c>
      <c r="G1400" t="s">
        <v>50</v>
      </c>
      <c r="H1400" t="s">
        <v>51</v>
      </c>
      <c r="I1400">
        <v>3</v>
      </c>
      <c r="J1400" s="3">
        <v>51052.53</v>
      </c>
      <c r="K1400" s="3">
        <v>153157.59</v>
      </c>
      <c r="L1400" t="s">
        <v>25</v>
      </c>
      <c r="M1400" s="2">
        <v>46113</v>
      </c>
      <c r="N1400" s="2">
        <v>46111</v>
      </c>
      <c r="O1400" t="s">
        <v>60</v>
      </c>
      <c r="P1400" t="s">
        <v>53</v>
      </c>
      <c r="Q1400" t="s">
        <v>28</v>
      </c>
      <c r="R1400" t="s">
        <v>29</v>
      </c>
    </row>
    <row r="1401" spans="1:18">
      <c r="A1401" t="s">
        <v>1533</v>
      </c>
      <c r="B1401" s="2">
        <v>46033</v>
      </c>
      <c r="C1401" t="s">
        <v>117</v>
      </c>
      <c r="D1401" t="s">
        <v>118</v>
      </c>
      <c r="E1401" t="s">
        <v>21</v>
      </c>
      <c r="F1401" t="s">
        <v>57</v>
      </c>
      <c r="G1401" t="s">
        <v>86</v>
      </c>
      <c r="H1401" t="s">
        <v>87</v>
      </c>
      <c r="I1401">
        <v>7</v>
      </c>
      <c r="J1401" s="3">
        <v>10867.21</v>
      </c>
      <c r="K1401" s="3">
        <v>76070.47</v>
      </c>
      <c r="L1401" t="s">
        <v>34</v>
      </c>
      <c r="M1401" s="2">
        <v>46051</v>
      </c>
      <c r="N1401" s="2">
        <v>46048</v>
      </c>
      <c r="O1401" t="s">
        <v>76</v>
      </c>
      <c r="P1401" t="s">
        <v>27</v>
      </c>
      <c r="Q1401" t="s">
        <v>28</v>
      </c>
      <c r="R1401" t="s">
        <v>29</v>
      </c>
    </row>
    <row r="1402" spans="1:18">
      <c r="A1402" t="s">
        <v>1534</v>
      </c>
      <c r="B1402" s="2">
        <v>45776</v>
      </c>
      <c r="C1402" t="s">
        <v>46</v>
      </c>
      <c r="D1402" t="s">
        <v>47</v>
      </c>
      <c r="E1402" t="s">
        <v>21</v>
      </c>
      <c r="F1402" t="s">
        <v>49</v>
      </c>
      <c r="G1402" t="s">
        <v>113</v>
      </c>
      <c r="H1402" t="s">
        <v>114</v>
      </c>
      <c r="I1402">
        <v>1</v>
      </c>
      <c r="J1402" s="3">
        <v>41707.870000000003</v>
      </c>
      <c r="K1402" s="3">
        <v>41707.870000000003</v>
      </c>
      <c r="L1402" t="s">
        <v>25</v>
      </c>
      <c r="M1402" s="2">
        <v>45788</v>
      </c>
      <c r="N1402" s="2">
        <v>45785</v>
      </c>
      <c r="O1402" t="s">
        <v>26</v>
      </c>
      <c r="P1402" t="s">
        <v>27</v>
      </c>
      <c r="Q1402" t="s">
        <v>28</v>
      </c>
      <c r="R1402" t="s">
        <v>29</v>
      </c>
    </row>
    <row r="1403" spans="1:18">
      <c r="A1403" t="s">
        <v>1535</v>
      </c>
      <c r="B1403" s="2">
        <v>46045</v>
      </c>
      <c r="C1403" t="s">
        <v>142</v>
      </c>
      <c r="D1403" t="s">
        <v>143</v>
      </c>
      <c r="E1403" t="s">
        <v>21</v>
      </c>
      <c r="F1403" t="s">
        <v>22</v>
      </c>
      <c r="G1403" t="s">
        <v>160</v>
      </c>
      <c r="H1403" t="s">
        <v>161</v>
      </c>
      <c r="I1403">
        <v>13</v>
      </c>
      <c r="J1403" s="3">
        <v>3047.31</v>
      </c>
      <c r="K1403" s="3">
        <v>39615.03</v>
      </c>
      <c r="L1403" t="s">
        <v>25</v>
      </c>
      <c r="M1403" s="2">
        <v>46054</v>
      </c>
      <c r="N1403" s="2">
        <v>46051</v>
      </c>
      <c r="O1403" t="s">
        <v>43</v>
      </c>
      <c r="P1403" t="s">
        <v>27</v>
      </c>
      <c r="Q1403" t="s">
        <v>28</v>
      </c>
      <c r="R1403" t="s">
        <v>29</v>
      </c>
    </row>
    <row r="1404" spans="1:18">
      <c r="A1404" t="s">
        <v>1536</v>
      </c>
      <c r="B1404" s="2">
        <v>45989</v>
      </c>
      <c r="C1404" t="s">
        <v>80</v>
      </c>
      <c r="D1404" t="s">
        <v>81</v>
      </c>
      <c r="E1404" t="s">
        <v>39</v>
      </c>
      <c r="F1404" t="s">
        <v>82</v>
      </c>
      <c r="G1404" t="s">
        <v>197</v>
      </c>
      <c r="H1404" t="s">
        <v>198</v>
      </c>
      <c r="I1404">
        <v>21</v>
      </c>
      <c r="J1404" s="3">
        <v>1988.74</v>
      </c>
      <c r="K1404" s="3">
        <v>41763.54</v>
      </c>
      <c r="L1404" t="s">
        <v>25</v>
      </c>
      <c r="M1404" s="2">
        <v>45994</v>
      </c>
      <c r="N1404" s="2">
        <v>45994</v>
      </c>
      <c r="O1404" t="s">
        <v>43</v>
      </c>
      <c r="P1404" t="s">
        <v>64</v>
      </c>
      <c r="Q1404" t="s">
        <v>28</v>
      </c>
      <c r="R1404" t="s">
        <v>29</v>
      </c>
    </row>
    <row r="1405" spans="1:18">
      <c r="A1405" t="s">
        <v>1537</v>
      </c>
      <c r="B1405" s="2">
        <v>45666</v>
      </c>
      <c r="C1405" t="s">
        <v>89</v>
      </c>
      <c r="D1405" t="s">
        <v>90</v>
      </c>
      <c r="E1405" t="s">
        <v>31</v>
      </c>
      <c r="F1405" t="s">
        <v>91</v>
      </c>
      <c r="G1405" t="s">
        <v>109</v>
      </c>
      <c r="H1405" t="s">
        <v>110</v>
      </c>
      <c r="I1405">
        <v>1</v>
      </c>
      <c r="J1405" s="3">
        <v>12964.37</v>
      </c>
      <c r="K1405" s="3">
        <v>12964.37</v>
      </c>
      <c r="L1405" t="s">
        <v>25</v>
      </c>
      <c r="M1405" s="2">
        <v>45675</v>
      </c>
      <c r="N1405" s="2">
        <v>45673</v>
      </c>
      <c r="O1405" t="s">
        <v>26</v>
      </c>
      <c r="P1405" t="s">
        <v>35</v>
      </c>
      <c r="Q1405" t="s">
        <v>28</v>
      </c>
      <c r="R1405" t="s">
        <v>29</v>
      </c>
    </row>
    <row r="1406" spans="1:18">
      <c r="A1406" t="s">
        <v>1538</v>
      </c>
      <c r="B1406" s="2">
        <v>46079</v>
      </c>
      <c r="C1406" t="s">
        <v>37</v>
      </c>
      <c r="D1406" t="s">
        <v>38</v>
      </c>
      <c r="E1406" t="s">
        <v>39</v>
      </c>
      <c r="F1406" t="s">
        <v>40</v>
      </c>
      <c r="G1406" t="s">
        <v>62</v>
      </c>
      <c r="H1406" t="s">
        <v>63</v>
      </c>
      <c r="I1406">
        <v>1</v>
      </c>
      <c r="J1406" s="3">
        <v>20350.36</v>
      </c>
      <c r="K1406" s="3">
        <v>20350.36</v>
      </c>
      <c r="L1406" t="s">
        <v>52</v>
      </c>
      <c r="M1406" s="2">
        <v>46093</v>
      </c>
      <c r="N1406" s="2">
        <v>46091</v>
      </c>
      <c r="O1406" t="s">
        <v>60</v>
      </c>
      <c r="P1406" t="s">
        <v>44</v>
      </c>
      <c r="Q1406" t="s">
        <v>28</v>
      </c>
      <c r="R1406" t="s">
        <v>29</v>
      </c>
    </row>
    <row r="1407" spans="1:18">
      <c r="A1407" t="s">
        <v>1539</v>
      </c>
      <c r="B1407" s="2">
        <v>45985</v>
      </c>
      <c r="C1407" t="s">
        <v>71</v>
      </c>
      <c r="D1407" t="s">
        <v>72</v>
      </c>
      <c r="E1407" t="s">
        <v>21</v>
      </c>
      <c r="F1407" t="s">
        <v>57</v>
      </c>
      <c r="G1407" t="s">
        <v>86</v>
      </c>
      <c r="H1407" t="s">
        <v>87</v>
      </c>
      <c r="I1407">
        <v>8</v>
      </c>
      <c r="J1407" s="3">
        <v>10487.8</v>
      </c>
      <c r="K1407" s="3">
        <v>83902.399999999994</v>
      </c>
      <c r="L1407" t="s">
        <v>25</v>
      </c>
      <c r="M1407" s="2">
        <v>45992</v>
      </c>
      <c r="N1407" s="2">
        <v>45992</v>
      </c>
      <c r="O1407" t="s">
        <v>26</v>
      </c>
      <c r="P1407" t="s">
        <v>27</v>
      </c>
      <c r="Q1407" t="s">
        <v>28</v>
      </c>
      <c r="R1407" t="s">
        <v>29</v>
      </c>
    </row>
    <row r="1408" spans="1:18">
      <c r="A1408" t="s">
        <v>1540</v>
      </c>
      <c r="B1408" s="2">
        <v>46093</v>
      </c>
      <c r="C1408" t="s">
        <v>19</v>
      </c>
      <c r="D1408" t="s">
        <v>20</v>
      </c>
      <c r="E1408" t="s">
        <v>112</v>
      </c>
      <c r="F1408" t="s">
        <v>22</v>
      </c>
      <c r="G1408" t="s">
        <v>23</v>
      </c>
      <c r="H1408" t="s">
        <v>24</v>
      </c>
      <c r="I1408">
        <v>57</v>
      </c>
      <c r="J1408" s="3">
        <v>250.1</v>
      </c>
      <c r="K1408" s="3">
        <v>14255.7</v>
      </c>
      <c r="L1408" t="s">
        <v>25</v>
      </c>
      <c r="M1408" s="2">
        <v>46102</v>
      </c>
      <c r="N1408" s="2">
        <v>46102</v>
      </c>
      <c r="O1408" t="s">
        <v>26</v>
      </c>
      <c r="P1408" t="s">
        <v>115</v>
      </c>
      <c r="Q1408" t="s">
        <v>28</v>
      </c>
      <c r="R1408" t="s">
        <v>29</v>
      </c>
    </row>
    <row r="1409" spans="1:18">
      <c r="A1409" t="s">
        <v>1541</v>
      </c>
      <c r="B1409" s="2">
        <v>46177</v>
      </c>
      <c r="C1409" t="s">
        <v>71</v>
      </c>
      <c r="D1409" t="s">
        <v>72</v>
      </c>
      <c r="E1409" t="s">
        <v>31</v>
      </c>
      <c r="F1409" t="s">
        <v>57</v>
      </c>
      <c r="G1409" t="s">
        <v>120</v>
      </c>
      <c r="H1409" t="s">
        <v>121</v>
      </c>
      <c r="I1409">
        <v>4</v>
      </c>
      <c r="J1409" s="3">
        <v>21428.36</v>
      </c>
      <c r="K1409" s="3">
        <v>85713.44</v>
      </c>
      <c r="L1409" t="s">
        <v>25</v>
      </c>
      <c r="M1409" s="2">
        <v>46193</v>
      </c>
      <c r="N1409" s="2">
        <v>46201</v>
      </c>
      <c r="O1409" t="s">
        <v>60</v>
      </c>
      <c r="P1409" t="s">
        <v>35</v>
      </c>
      <c r="Q1409" t="s">
        <v>28</v>
      </c>
      <c r="R1409" t="s">
        <v>129</v>
      </c>
    </row>
    <row r="1410" spans="1:18">
      <c r="A1410" t="s">
        <v>1542</v>
      </c>
      <c r="B1410" s="2">
        <v>45754</v>
      </c>
      <c r="C1410" t="s">
        <v>37</v>
      </c>
      <c r="D1410" t="s">
        <v>38</v>
      </c>
      <c r="E1410" t="s">
        <v>39</v>
      </c>
      <c r="F1410" t="s">
        <v>22</v>
      </c>
      <c r="G1410" t="s">
        <v>32</v>
      </c>
      <c r="H1410" t="s">
        <v>33</v>
      </c>
      <c r="I1410">
        <v>6</v>
      </c>
      <c r="J1410" s="3">
        <v>8719.7900000000009</v>
      </c>
      <c r="K1410" s="3">
        <v>52318.74</v>
      </c>
      <c r="L1410" t="s">
        <v>52</v>
      </c>
      <c r="M1410" s="2">
        <v>45762</v>
      </c>
      <c r="N1410" s="2">
        <v>45759</v>
      </c>
      <c r="O1410" t="s">
        <v>26</v>
      </c>
      <c r="P1410" t="s">
        <v>64</v>
      </c>
      <c r="Q1410" t="s">
        <v>28</v>
      </c>
      <c r="R1410" t="s">
        <v>29</v>
      </c>
    </row>
    <row r="1411" spans="1:18">
      <c r="A1411" t="s">
        <v>1543</v>
      </c>
      <c r="B1411" s="2">
        <v>46063</v>
      </c>
      <c r="C1411" t="s">
        <v>37</v>
      </c>
      <c r="D1411" t="s">
        <v>38</v>
      </c>
      <c r="E1411" t="s">
        <v>21</v>
      </c>
      <c r="F1411" t="s">
        <v>22</v>
      </c>
      <c r="G1411" t="s">
        <v>23</v>
      </c>
      <c r="H1411" t="s">
        <v>24</v>
      </c>
      <c r="I1411">
        <v>59</v>
      </c>
      <c r="J1411" s="3">
        <v>253.26</v>
      </c>
      <c r="K1411" s="3">
        <v>14942.34</v>
      </c>
      <c r="L1411" t="s">
        <v>52</v>
      </c>
      <c r="M1411" s="2">
        <v>46070</v>
      </c>
      <c r="N1411" s="2">
        <v>46069</v>
      </c>
      <c r="O1411" t="s">
        <v>43</v>
      </c>
      <c r="P1411" t="s">
        <v>27</v>
      </c>
      <c r="Q1411" t="s">
        <v>28</v>
      </c>
      <c r="R1411" t="s">
        <v>29</v>
      </c>
    </row>
    <row r="1412" spans="1:18">
      <c r="A1412" t="s">
        <v>1544</v>
      </c>
      <c r="B1412" s="2">
        <v>46119</v>
      </c>
      <c r="C1412" t="s">
        <v>37</v>
      </c>
      <c r="D1412" t="s">
        <v>38</v>
      </c>
      <c r="E1412" t="s">
        <v>39</v>
      </c>
      <c r="F1412" t="s">
        <v>40</v>
      </c>
      <c r="G1412" t="s">
        <v>41</v>
      </c>
      <c r="H1412" t="s">
        <v>42</v>
      </c>
      <c r="I1412">
        <v>8</v>
      </c>
      <c r="J1412" s="3">
        <v>5914.68</v>
      </c>
      <c r="K1412" s="3">
        <v>47317.440000000002</v>
      </c>
      <c r="L1412" t="s">
        <v>25</v>
      </c>
      <c r="M1412" s="2">
        <v>46135</v>
      </c>
      <c r="N1412" s="2">
        <v>46133</v>
      </c>
      <c r="O1412" t="s">
        <v>26</v>
      </c>
      <c r="P1412" t="s">
        <v>64</v>
      </c>
      <c r="Q1412" t="s">
        <v>28</v>
      </c>
      <c r="R1412" t="s">
        <v>29</v>
      </c>
    </row>
    <row r="1413" spans="1:18">
      <c r="A1413" t="s">
        <v>1545</v>
      </c>
      <c r="B1413" s="2">
        <v>45935</v>
      </c>
      <c r="C1413" t="s">
        <v>71</v>
      </c>
      <c r="D1413" t="s">
        <v>72</v>
      </c>
      <c r="E1413" t="s">
        <v>48</v>
      </c>
      <c r="F1413" t="s">
        <v>57</v>
      </c>
      <c r="G1413" t="s">
        <v>101</v>
      </c>
      <c r="H1413" t="s">
        <v>102</v>
      </c>
      <c r="I1413">
        <v>24</v>
      </c>
      <c r="J1413" s="3">
        <v>1724.43</v>
      </c>
      <c r="K1413" s="3">
        <v>41386.32</v>
      </c>
      <c r="L1413" t="s">
        <v>25</v>
      </c>
      <c r="M1413" s="2">
        <v>45941</v>
      </c>
      <c r="N1413" s="2">
        <v>45940</v>
      </c>
      <c r="O1413" t="s">
        <v>76</v>
      </c>
      <c r="P1413" t="s">
        <v>53</v>
      </c>
      <c r="Q1413" t="s">
        <v>28</v>
      </c>
      <c r="R1413" t="s">
        <v>29</v>
      </c>
    </row>
    <row r="1414" spans="1:18">
      <c r="A1414" t="s">
        <v>1546</v>
      </c>
      <c r="B1414" s="2">
        <v>45686</v>
      </c>
      <c r="C1414" t="s">
        <v>46</v>
      </c>
      <c r="D1414" t="s">
        <v>47</v>
      </c>
      <c r="E1414" t="s">
        <v>48</v>
      </c>
      <c r="F1414" t="s">
        <v>49</v>
      </c>
      <c r="G1414" t="s">
        <v>50</v>
      </c>
      <c r="H1414" t="s">
        <v>51</v>
      </c>
      <c r="I1414">
        <v>3</v>
      </c>
      <c r="J1414" s="3">
        <v>57791.49</v>
      </c>
      <c r="K1414" s="3">
        <v>173374.47</v>
      </c>
      <c r="L1414" t="s">
        <v>25</v>
      </c>
      <c r="M1414" s="2">
        <v>45697</v>
      </c>
      <c r="N1414" s="2">
        <v>45696</v>
      </c>
      <c r="O1414" t="s">
        <v>60</v>
      </c>
      <c r="P1414" t="s">
        <v>53</v>
      </c>
      <c r="Q1414" t="s">
        <v>28</v>
      </c>
      <c r="R1414" t="s">
        <v>29</v>
      </c>
    </row>
    <row r="1415" spans="1:18">
      <c r="A1415" t="s">
        <v>1547</v>
      </c>
      <c r="B1415" s="2">
        <v>45805</v>
      </c>
      <c r="C1415" t="s">
        <v>80</v>
      </c>
      <c r="D1415" t="s">
        <v>81</v>
      </c>
      <c r="E1415" t="s">
        <v>39</v>
      </c>
      <c r="F1415" t="s">
        <v>82</v>
      </c>
      <c r="G1415" t="s">
        <v>197</v>
      </c>
      <c r="H1415" t="s">
        <v>198</v>
      </c>
      <c r="I1415">
        <v>11</v>
      </c>
      <c r="J1415" s="3">
        <v>1946.15</v>
      </c>
      <c r="K1415" s="3">
        <v>21407.65</v>
      </c>
      <c r="L1415" t="s">
        <v>25</v>
      </c>
      <c r="M1415" s="2">
        <v>45811</v>
      </c>
      <c r="N1415" s="2">
        <v>45811</v>
      </c>
      <c r="O1415" t="s">
        <v>76</v>
      </c>
      <c r="P1415" t="s">
        <v>44</v>
      </c>
      <c r="Q1415" t="s">
        <v>28</v>
      </c>
      <c r="R1415" t="s">
        <v>29</v>
      </c>
    </row>
    <row r="1416" spans="1:18">
      <c r="A1416" t="s">
        <v>1548</v>
      </c>
      <c r="B1416" s="2">
        <v>46196</v>
      </c>
      <c r="C1416" t="s">
        <v>71</v>
      </c>
      <c r="D1416" t="s">
        <v>72</v>
      </c>
      <c r="E1416" t="s">
        <v>48</v>
      </c>
      <c r="F1416" t="s">
        <v>57</v>
      </c>
      <c r="G1416" t="s">
        <v>101</v>
      </c>
      <c r="H1416" t="s">
        <v>102</v>
      </c>
      <c r="I1416">
        <v>30</v>
      </c>
      <c r="J1416" s="3">
        <v>1638.78</v>
      </c>
      <c r="K1416" s="3">
        <v>49163.4</v>
      </c>
      <c r="L1416" t="s">
        <v>52</v>
      </c>
      <c r="M1416" s="2">
        <v>46208</v>
      </c>
      <c r="N1416" s="2"/>
      <c r="O1416" t="s">
        <v>43</v>
      </c>
      <c r="P1416" t="s">
        <v>53</v>
      </c>
      <c r="Q1416" t="s">
        <v>167</v>
      </c>
      <c r="R1416" t="s">
        <v>167</v>
      </c>
    </row>
    <row r="1417" spans="1:18">
      <c r="A1417" t="s">
        <v>1549</v>
      </c>
      <c r="B1417" s="2">
        <v>45900</v>
      </c>
      <c r="C1417" t="s">
        <v>71</v>
      </c>
      <c r="D1417" t="s">
        <v>72</v>
      </c>
      <c r="E1417" t="s">
        <v>48</v>
      </c>
      <c r="F1417" t="s">
        <v>57</v>
      </c>
      <c r="G1417" t="s">
        <v>101</v>
      </c>
      <c r="H1417" t="s">
        <v>102</v>
      </c>
      <c r="I1417">
        <v>39</v>
      </c>
      <c r="J1417" s="3">
        <v>1645.95</v>
      </c>
      <c r="K1417" s="3">
        <v>64192.05</v>
      </c>
      <c r="L1417" t="s">
        <v>25</v>
      </c>
      <c r="M1417" s="2">
        <v>45914</v>
      </c>
      <c r="N1417" s="2">
        <v>45921</v>
      </c>
      <c r="O1417" t="s">
        <v>76</v>
      </c>
      <c r="P1417" t="s">
        <v>53</v>
      </c>
      <c r="Q1417" t="s">
        <v>28</v>
      </c>
      <c r="R1417" t="s">
        <v>129</v>
      </c>
    </row>
    <row r="1418" spans="1:18">
      <c r="A1418" t="s">
        <v>1550</v>
      </c>
      <c r="B1418" s="2">
        <v>45719</v>
      </c>
      <c r="C1418" t="s">
        <v>104</v>
      </c>
      <c r="D1418" t="s">
        <v>105</v>
      </c>
      <c r="E1418" t="s">
        <v>21</v>
      </c>
      <c r="F1418" t="s">
        <v>49</v>
      </c>
      <c r="G1418" t="s">
        <v>113</v>
      </c>
      <c r="H1418" t="s">
        <v>114</v>
      </c>
      <c r="I1418">
        <v>3</v>
      </c>
      <c r="J1418" s="3">
        <v>38057.97</v>
      </c>
      <c r="K1418" s="3">
        <v>114173.91</v>
      </c>
      <c r="L1418" t="s">
        <v>34</v>
      </c>
      <c r="M1418" s="2">
        <v>45731</v>
      </c>
      <c r="N1418" s="2">
        <v>45731</v>
      </c>
      <c r="O1418" t="s">
        <v>26</v>
      </c>
      <c r="P1418" t="s">
        <v>27</v>
      </c>
      <c r="Q1418" t="s">
        <v>28</v>
      </c>
      <c r="R1418" t="s">
        <v>29</v>
      </c>
    </row>
    <row r="1419" spans="1:18">
      <c r="A1419" t="s">
        <v>1551</v>
      </c>
      <c r="B1419" s="2">
        <v>45753</v>
      </c>
      <c r="C1419" t="s">
        <v>117</v>
      </c>
      <c r="D1419" t="s">
        <v>118</v>
      </c>
      <c r="E1419" t="s">
        <v>31</v>
      </c>
      <c r="F1419" t="s">
        <v>57</v>
      </c>
      <c r="G1419" t="s">
        <v>127</v>
      </c>
      <c r="H1419" t="s">
        <v>128</v>
      </c>
      <c r="I1419">
        <v>2</v>
      </c>
      <c r="J1419" s="3">
        <v>16560.12</v>
      </c>
      <c r="K1419" s="3">
        <v>33120.239999999998</v>
      </c>
      <c r="L1419" t="s">
        <v>25</v>
      </c>
      <c r="M1419" s="2">
        <v>45768</v>
      </c>
      <c r="N1419" s="2">
        <v>45767</v>
      </c>
      <c r="O1419" t="s">
        <v>43</v>
      </c>
      <c r="P1419" t="s">
        <v>35</v>
      </c>
      <c r="Q1419" t="s">
        <v>28</v>
      </c>
      <c r="R1419" t="s">
        <v>29</v>
      </c>
    </row>
    <row r="1420" spans="1:18">
      <c r="A1420" t="s">
        <v>1552</v>
      </c>
      <c r="B1420" s="2">
        <v>45944</v>
      </c>
      <c r="C1420" t="s">
        <v>46</v>
      </c>
      <c r="D1420" t="s">
        <v>47</v>
      </c>
      <c r="E1420" t="s">
        <v>48</v>
      </c>
      <c r="F1420" t="s">
        <v>49</v>
      </c>
      <c r="G1420" t="s">
        <v>113</v>
      </c>
      <c r="H1420" t="s">
        <v>114</v>
      </c>
      <c r="I1420">
        <v>1</v>
      </c>
      <c r="J1420" s="3">
        <v>40652.36</v>
      </c>
      <c r="K1420" s="3">
        <v>40652.36</v>
      </c>
      <c r="L1420" t="s">
        <v>25</v>
      </c>
      <c r="M1420" s="2">
        <v>45956</v>
      </c>
      <c r="N1420" s="2">
        <v>45953</v>
      </c>
      <c r="O1420" t="s">
        <v>26</v>
      </c>
      <c r="P1420" t="s">
        <v>53</v>
      </c>
      <c r="Q1420" t="s">
        <v>28</v>
      </c>
      <c r="R1420" t="s">
        <v>29</v>
      </c>
    </row>
    <row r="1421" spans="1:18">
      <c r="A1421" t="s">
        <v>1553</v>
      </c>
      <c r="B1421" s="2">
        <v>45966</v>
      </c>
      <c r="C1421" t="s">
        <v>55</v>
      </c>
      <c r="D1421" t="s">
        <v>56</v>
      </c>
      <c r="E1421" t="s">
        <v>48</v>
      </c>
      <c r="F1421" t="s">
        <v>57</v>
      </c>
      <c r="G1421" t="s">
        <v>86</v>
      </c>
      <c r="H1421" t="s">
        <v>87</v>
      </c>
      <c r="I1421">
        <v>7</v>
      </c>
      <c r="J1421" s="3">
        <v>11713.23</v>
      </c>
      <c r="K1421" s="3">
        <v>81992.61</v>
      </c>
      <c r="L1421" t="s">
        <v>25</v>
      </c>
      <c r="M1421" s="2">
        <v>45971</v>
      </c>
      <c r="N1421" s="2">
        <v>45970</v>
      </c>
      <c r="O1421" t="s">
        <v>76</v>
      </c>
      <c r="P1421" t="s">
        <v>53</v>
      </c>
      <c r="Q1421" t="s">
        <v>28</v>
      </c>
      <c r="R1421" t="s">
        <v>29</v>
      </c>
    </row>
    <row r="1422" spans="1:18">
      <c r="A1422" t="s">
        <v>1554</v>
      </c>
      <c r="B1422" s="2">
        <v>45675</v>
      </c>
      <c r="C1422" t="s">
        <v>66</v>
      </c>
      <c r="D1422" t="s">
        <v>67</v>
      </c>
      <c r="E1422" t="s">
        <v>21</v>
      </c>
      <c r="F1422" t="s">
        <v>49</v>
      </c>
      <c r="G1422" t="s">
        <v>68</v>
      </c>
      <c r="H1422" t="s">
        <v>69</v>
      </c>
      <c r="I1422">
        <v>1</v>
      </c>
      <c r="J1422" s="3">
        <v>46272.47</v>
      </c>
      <c r="K1422" s="3">
        <v>46272.47</v>
      </c>
      <c r="L1422" t="s">
        <v>34</v>
      </c>
      <c r="M1422" s="2">
        <v>45683</v>
      </c>
      <c r="N1422" s="2">
        <v>45680</v>
      </c>
      <c r="O1422" t="s">
        <v>76</v>
      </c>
      <c r="P1422" t="s">
        <v>27</v>
      </c>
      <c r="Q1422" t="s">
        <v>28</v>
      </c>
      <c r="R1422" t="s">
        <v>29</v>
      </c>
    </row>
    <row r="1423" spans="1:18">
      <c r="A1423" t="s">
        <v>1555</v>
      </c>
      <c r="B1423" s="2">
        <v>45754</v>
      </c>
      <c r="C1423" t="s">
        <v>134</v>
      </c>
      <c r="D1423" t="s">
        <v>135</v>
      </c>
      <c r="E1423" t="s">
        <v>39</v>
      </c>
      <c r="F1423" t="s">
        <v>40</v>
      </c>
      <c r="G1423" t="s">
        <v>41</v>
      </c>
      <c r="H1423" t="s">
        <v>42</v>
      </c>
      <c r="I1423">
        <v>5</v>
      </c>
      <c r="J1423" s="3">
        <v>5476.9</v>
      </c>
      <c r="K1423" s="3">
        <v>27384.5</v>
      </c>
      <c r="L1423" t="s">
        <v>25</v>
      </c>
      <c r="M1423" s="2">
        <v>45770</v>
      </c>
      <c r="N1423" s="2">
        <v>45769</v>
      </c>
      <c r="O1423" t="s">
        <v>76</v>
      </c>
      <c r="P1423" t="s">
        <v>44</v>
      </c>
      <c r="Q1423" t="s">
        <v>28</v>
      </c>
      <c r="R1423" t="s">
        <v>29</v>
      </c>
    </row>
    <row r="1424" spans="1:18">
      <c r="A1424" t="s">
        <v>1556</v>
      </c>
      <c r="B1424" s="2">
        <v>46017</v>
      </c>
      <c r="C1424" t="s">
        <v>19</v>
      </c>
      <c r="D1424" t="s">
        <v>20</v>
      </c>
      <c r="E1424" t="s">
        <v>39</v>
      </c>
      <c r="F1424" t="s">
        <v>22</v>
      </c>
      <c r="G1424" t="s">
        <v>23</v>
      </c>
      <c r="H1424" t="s">
        <v>24</v>
      </c>
      <c r="I1424">
        <v>39</v>
      </c>
      <c r="J1424" s="3">
        <v>221</v>
      </c>
      <c r="K1424" s="3">
        <v>8619</v>
      </c>
      <c r="L1424" t="s">
        <v>25</v>
      </c>
      <c r="M1424" s="2">
        <v>46031</v>
      </c>
      <c r="N1424" s="2">
        <v>46031</v>
      </c>
      <c r="O1424" t="s">
        <v>60</v>
      </c>
      <c r="P1424" t="s">
        <v>44</v>
      </c>
      <c r="Q1424" t="s">
        <v>28</v>
      </c>
      <c r="R1424" t="s">
        <v>29</v>
      </c>
    </row>
    <row r="1425" spans="1:18">
      <c r="A1425" t="s">
        <v>1557</v>
      </c>
      <c r="B1425" s="2">
        <v>45950</v>
      </c>
      <c r="C1425" t="s">
        <v>104</v>
      </c>
      <c r="D1425" t="s">
        <v>105</v>
      </c>
      <c r="E1425" t="s">
        <v>48</v>
      </c>
      <c r="F1425" t="s">
        <v>49</v>
      </c>
      <c r="G1425" t="s">
        <v>165</v>
      </c>
      <c r="H1425" t="s">
        <v>166</v>
      </c>
      <c r="I1425">
        <v>3</v>
      </c>
      <c r="J1425" s="3">
        <v>44933.24</v>
      </c>
      <c r="K1425" s="3">
        <v>134799.72</v>
      </c>
      <c r="L1425" t="s">
        <v>25</v>
      </c>
      <c r="M1425" s="2">
        <v>45965</v>
      </c>
      <c r="N1425" s="2">
        <v>45964</v>
      </c>
      <c r="O1425" t="s">
        <v>43</v>
      </c>
      <c r="P1425" t="s">
        <v>53</v>
      </c>
      <c r="Q1425" t="s">
        <v>28</v>
      </c>
      <c r="R1425" t="s">
        <v>29</v>
      </c>
    </row>
    <row r="1426" spans="1:18">
      <c r="A1426" t="s">
        <v>1558</v>
      </c>
      <c r="B1426" s="2">
        <v>46170</v>
      </c>
      <c r="C1426" t="s">
        <v>46</v>
      </c>
      <c r="D1426" t="s">
        <v>47</v>
      </c>
      <c r="E1426" t="s">
        <v>21</v>
      </c>
      <c r="F1426" t="s">
        <v>49</v>
      </c>
      <c r="G1426" t="s">
        <v>113</v>
      </c>
      <c r="H1426" t="s">
        <v>114</v>
      </c>
      <c r="I1426">
        <v>3</v>
      </c>
      <c r="J1426" s="3">
        <v>39505.21</v>
      </c>
      <c r="K1426" s="3">
        <v>118515.63</v>
      </c>
      <c r="L1426" t="s">
        <v>34</v>
      </c>
      <c r="M1426" s="2">
        <v>46176</v>
      </c>
      <c r="N1426" s="2">
        <v>46176</v>
      </c>
      <c r="O1426" t="s">
        <v>60</v>
      </c>
      <c r="P1426" t="s">
        <v>27</v>
      </c>
      <c r="Q1426" t="s">
        <v>28</v>
      </c>
      <c r="R1426" t="s">
        <v>29</v>
      </c>
    </row>
    <row r="1427" spans="1:18">
      <c r="A1427" t="s">
        <v>1559</v>
      </c>
      <c r="B1427" s="2">
        <v>45791</v>
      </c>
      <c r="C1427" t="s">
        <v>19</v>
      </c>
      <c r="D1427" t="s">
        <v>20</v>
      </c>
      <c r="E1427" t="s">
        <v>21</v>
      </c>
      <c r="F1427" t="s">
        <v>22</v>
      </c>
      <c r="G1427" t="s">
        <v>160</v>
      </c>
      <c r="H1427" t="s">
        <v>161</v>
      </c>
      <c r="I1427">
        <v>9</v>
      </c>
      <c r="J1427" s="3">
        <v>3003.76</v>
      </c>
      <c r="K1427" s="3">
        <v>27033.84</v>
      </c>
      <c r="L1427" t="s">
        <v>25</v>
      </c>
      <c r="M1427" s="2">
        <v>45809</v>
      </c>
      <c r="N1427" s="2">
        <v>45808</v>
      </c>
      <c r="O1427" t="s">
        <v>26</v>
      </c>
      <c r="P1427" t="s">
        <v>27</v>
      </c>
      <c r="Q1427" t="s">
        <v>28</v>
      </c>
      <c r="R1427" t="s">
        <v>29</v>
      </c>
    </row>
    <row r="1428" spans="1:18">
      <c r="A1428" t="s">
        <v>1560</v>
      </c>
      <c r="B1428" s="2">
        <v>45943</v>
      </c>
      <c r="C1428" t="s">
        <v>131</v>
      </c>
      <c r="D1428" t="s">
        <v>132</v>
      </c>
      <c r="E1428" t="s">
        <v>31</v>
      </c>
      <c r="F1428" t="s">
        <v>57</v>
      </c>
      <c r="G1428" t="s">
        <v>74</v>
      </c>
      <c r="H1428" t="s">
        <v>75</v>
      </c>
      <c r="I1428">
        <v>3</v>
      </c>
      <c r="J1428" s="3">
        <v>8746.7999999999993</v>
      </c>
      <c r="K1428" s="3">
        <v>26240.400000000001</v>
      </c>
      <c r="L1428" t="s">
        <v>25</v>
      </c>
      <c r="M1428" s="2">
        <v>45949</v>
      </c>
      <c r="N1428" s="2">
        <v>45946</v>
      </c>
      <c r="O1428" t="s">
        <v>60</v>
      </c>
      <c r="P1428" t="s">
        <v>94</v>
      </c>
      <c r="Q1428" t="s">
        <v>28</v>
      </c>
      <c r="R1428" t="s">
        <v>29</v>
      </c>
    </row>
    <row r="1429" spans="1:18">
      <c r="A1429" t="s">
        <v>1561</v>
      </c>
      <c r="B1429" s="2">
        <v>45667</v>
      </c>
      <c r="C1429" t="s">
        <v>19</v>
      </c>
      <c r="D1429" t="s">
        <v>20</v>
      </c>
      <c r="E1429" t="s">
        <v>112</v>
      </c>
      <c r="F1429" t="s">
        <v>22</v>
      </c>
      <c r="G1429" t="s">
        <v>32</v>
      </c>
      <c r="H1429" t="s">
        <v>33</v>
      </c>
      <c r="I1429">
        <v>12</v>
      </c>
      <c r="J1429" s="3">
        <v>7856.62</v>
      </c>
      <c r="K1429" s="3">
        <v>94279.44</v>
      </c>
      <c r="L1429" t="s">
        <v>52</v>
      </c>
      <c r="M1429" s="2">
        <v>45674</v>
      </c>
      <c r="N1429" s="2">
        <v>45672</v>
      </c>
      <c r="O1429" t="s">
        <v>43</v>
      </c>
      <c r="P1429" t="s">
        <v>115</v>
      </c>
      <c r="Q1429" t="s">
        <v>28</v>
      </c>
      <c r="R1429" t="s">
        <v>29</v>
      </c>
    </row>
    <row r="1430" spans="1:18">
      <c r="A1430" t="s">
        <v>1562</v>
      </c>
      <c r="B1430" s="2">
        <v>45881</v>
      </c>
      <c r="C1430" t="s">
        <v>96</v>
      </c>
      <c r="D1430" t="s">
        <v>97</v>
      </c>
      <c r="E1430" t="s">
        <v>39</v>
      </c>
      <c r="F1430" t="s">
        <v>82</v>
      </c>
      <c r="G1430" t="s">
        <v>197</v>
      </c>
      <c r="H1430" t="s">
        <v>198</v>
      </c>
      <c r="I1430">
        <v>52</v>
      </c>
      <c r="J1430" s="3">
        <v>2187.59</v>
      </c>
      <c r="K1430" s="3">
        <v>113754.68</v>
      </c>
      <c r="L1430" t="s">
        <v>25</v>
      </c>
      <c r="M1430" s="2">
        <v>45897</v>
      </c>
      <c r="N1430" s="2">
        <v>45894</v>
      </c>
      <c r="O1430" t="s">
        <v>43</v>
      </c>
      <c r="P1430" t="s">
        <v>64</v>
      </c>
      <c r="Q1430" t="s">
        <v>28</v>
      </c>
      <c r="R1430" t="s">
        <v>29</v>
      </c>
    </row>
    <row r="1431" spans="1:18">
      <c r="A1431" t="s">
        <v>1563</v>
      </c>
      <c r="B1431" s="2">
        <v>45661</v>
      </c>
      <c r="C1431" t="s">
        <v>142</v>
      </c>
      <c r="D1431" t="s">
        <v>143</v>
      </c>
      <c r="E1431" t="s">
        <v>31</v>
      </c>
      <c r="F1431" t="s">
        <v>22</v>
      </c>
      <c r="G1431" t="s">
        <v>23</v>
      </c>
      <c r="H1431" t="s">
        <v>24</v>
      </c>
      <c r="I1431">
        <v>56</v>
      </c>
      <c r="J1431" s="3">
        <v>237.83</v>
      </c>
      <c r="K1431" s="3">
        <v>13318.48</v>
      </c>
      <c r="L1431" t="s">
        <v>52</v>
      </c>
      <c r="M1431" s="2">
        <v>45666</v>
      </c>
      <c r="N1431" s="2">
        <v>45681</v>
      </c>
      <c r="O1431" t="s">
        <v>60</v>
      </c>
      <c r="P1431" t="s">
        <v>94</v>
      </c>
      <c r="Q1431" t="s">
        <v>28</v>
      </c>
      <c r="R1431" t="s">
        <v>129</v>
      </c>
    </row>
    <row r="1432" spans="1:18">
      <c r="A1432" t="s">
        <v>1564</v>
      </c>
      <c r="B1432" s="2">
        <v>45898</v>
      </c>
      <c r="C1432" t="s">
        <v>71</v>
      </c>
      <c r="D1432" t="s">
        <v>72</v>
      </c>
      <c r="E1432" t="s">
        <v>31</v>
      </c>
      <c r="F1432" t="s">
        <v>57</v>
      </c>
      <c r="G1432" t="s">
        <v>120</v>
      </c>
      <c r="H1432" t="s">
        <v>121</v>
      </c>
      <c r="I1432">
        <v>8</v>
      </c>
      <c r="J1432" s="3">
        <v>20896.64</v>
      </c>
      <c r="K1432" s="3">
        <v>167173.12</v>
      </c>
      <c r="L1432" t="s">
        <v>25</v>
      </c>
      <c r="M1432" s="2">
        <v>45914</v>
      </c>
      <c r="N1432" s="2">
        <v>45914</v>
      </c>
      <c r="O1432" t="s">
        <v>76</v>
      </c>
      <c r="P1432" t="s">
        <v>35</v>
      </c>
      <c r="Q1432" t="s">
        <v>28</v>
      </c>
      <c r="R1432" t="s">
        <v>29</v>
      </c>
    </row>
    <row r="1433" spans="1:18">
      <c r="A1433" t="s">
        <v>1565</v>
      </c>
      <c r="B1433" s="2">
        <v>46093</v>
      </c>
      <c r="C1433" t="s">
        <v>142</v>
      </c>
      <c r="D1433" t="s">
        <v>143</v>
      </c>
      <c r="E1433" t="s">
        <v>21</v>
      </c>
      <c r="F1433" t="s">
        <v>22</v>
      </c>
      <c r="G1433" t="s">
        <v>23</v>
      </c>
      <c r="H1433" t="s">
        <v>24</v>
      </c>
      <c r="I1433">
        <v>57</v>
      </c>
      <c r="J1433" s="3">
        <v>255.52</v>
      </c>
      <c r="K1433" s="3">
        <v>14564.64</v>
      </c>
      <c r="L1433" t="s">
        <v>34</v>
      </c>
      <c r="M1433" s="2">
        <v>46111</v>
      </c>
      <c r="N1433" s="2">
        <v>46109</v>
      </c>
      <c r="O1433" t="s">
        <v>26</v>
      </c>
      <c r="P1433" t="s">
        <v>27</v>
      </c>
      <c r="Q1433" t="s">
        <v>28</v>
      </c>
      <c r="R1433" t="s">
        <v>29</v>
      </c>
    </row>
    <row r="1434" spans="1:18">
      <c r="A1434" t="s">
        <v>1566</v>
      </c>
      <c r="B1434" s="2">
        <v>45983</v>
      </c>
      <c r="C1434" t="s">
        <v>19</v>
      </c>
      <c r="D1434" t="s">
        <v>20</v>
      </c>
      <c r="E1434" t="s">
        <v>31</v>
      </c>
      <c r="F1434" t="s">
        <v>22</v>
      </c>
      <c r="G1434" t="s">
        <v>160</v>
      </c>
      <c r="H1434" t="s">
        <v>161</v>
      </c>
      <c r="I1434">
        <v>3</v>
      </c>
      <c r="J1434" s="3">
        <v>2899.25</v>
      </c>
      <c r="K1434" s="3">
        <v>8697.75</v>
      </c>
      <c r="L1434" t="s">
        <v>25</v>
      </c>
      <c r="M1434" s="2">
        <v>46000</v>
      </c>
      <c r="N1434" s="2">
        <v>45998</v>
      </c>
      <c r="O1434" t="s">
        <v>43</v>
      </c>
      <c r="P1434" t="s">
        <v>94</v>
      </c>
      <c r="Q1434" t="s">
        <v>28</v>
      </c>
      <c r="R1434" t="s">
        <v>29</v>
      </c>
    </row>
    <row r="1435" spans="1:18">
      <c r="A1435" t="s">
        <v>1567</v>
      </c>
      <c r="B1435" s="2">
        <v>45670</v>
      </c>
      <c r="C1435" t="s">
        <v>142</v>
      </c>
      <c r="D1435" t="s">
        <v>143</v>
      </c>
      <c r="E1435" t="s">
        <v>39</v>
      </c>
      <c r="F1435" t="s">
        <v>22</v>
      </c>
      <c r="G1435" t="s">
        <v>160</v>
      </c>
      <c r="H1435" t="s">
        <v>161</v>
      </c>
      <c r="I1435">
        <v>6</v>
      </c>
      <c r="J1435" s="3">
        <v>3032.5</v>
      </c>
      <c r="K1435" s="3">
        <v>18195</v>
      </c>
      <c r="L1435" t="s">
        <v>25</v>
      </c>
      <c r="M1435" s="2">
        <v>45681</v>
      </c>
      <c r="N1435" s="2">
        <v>45679</v>
      </c>
      <c r="O1435" t="s">
        <v>76</v>
      </c>
      <c r="P1435" t="s">
        <v>44</v>
      </c>
      <c r="Q1435" t="s">
        <v>28</v>
      </c>
      <c r="R1435" t="s">
        <v>29</v>
      </c>
    </row>
    <row r="1436" spans="1:18">
      <c r="A1436" t="s">
        <v>1568</v>
      </c>
      <c r="B1436" s="2">
        <v>46100</v>
      </c>
      <c r="C1436" t="s">
        <v>71</v>
      </c>
      <c r="D1436" t="s">
        <v>72</v>
      </c>
      <c r="E1436" t="s">
        <v>48</v>
      </c>
      <c r="F1436" t="s">
        <v>57</v>
      </c>
      <c r="G1436" t="s">
        <v>101</v>
      </c>
      <c r="H1436" t="s">
        <v>102</v>
      </c>
      <c r="I1436">
        <v>46</v>
      </c>
      <c r="J1436" s="3">
        <v>1656.61</v>
      </c>
      <c r="K1436" s="3">
        <v>76204.06</v>
      </c>
      <c r="L1436" t="s">
        <v>34</v>
      </c>
      <c r="M1436" s="2">
        <v>46116</v>
      </c>
      <c r="N1436" s="2">
        <v>46120</v>
      </c>
      <c r="O1436" t="s">
        <v>43</v>
      </c>
      <c r="P1436" t="s">
        <v>53</v>
      </c>
      <c r="Q1436" t="s">
        <v>28</v>
      </c>
      <c r="R1436" t="s">
        <v>129</v>
      </c>
    </row>
    <row r="1437" spans="1:18">
      <c r="A1437" t="s">
        <v>1569</v>
      </c>
      <c r="B1437" s="2">
        <v>46183</v>
      </c>
      <c r="C1437" t="s">
        <v>37</v>
      </c>
      <c r="D1437" t="s">
        <v>38</v>
      </c>
      <c r="E1437" t="s">
        <v>112</v>
      </c>
      <c r="F1437" t="s">
        <v>40</v>
      </c>
      <c r="G1437" t="s">
        <v>41</v>
      </c>
      <c r="H1437" t="s">
        <v>42</v>
      </c>
      <c r="I1437">
        <v>3</v>
      </c>
      <c r="J1437" s="3">
        <v>6010.05</v>
      </c>
      <c r="K1437" s="3">
        <v>18030.150000000001</v>
      </c>
      <c r="L1437" t="s">
        <v>25</v>
      </c>
      <c r="M1437" s="2">
        <v>46188</v>
      </c>
      <c r="N1437" s="2">
        <v>46188</v>
      </c>
      <c r="O1437" t="s">
        <v>76</v>
      </c>
      <c r="P1437" t="s">
        <v>115</v>
      </c>
      <c r="Q1437" t="s">
        <v>28</v>
      </c>
      <c r="R1437" t="s">
        <v>29</v>
      </c>
    </row>
    <row r="1438" spans="1:18">
      <c r="A1438" t="s">
        <v>1570</v>
      </c>
      <c r="B1438" s="2">
        <v>46136</v>
      </c>
      <c r="C1438" t="s">
        <v>104</v>
      </c>
      <c r="D1438" t="s">
        <v>105</v>
      </c>
      <c r="E1438" t="s">
        <v>112</v>
      </c>
      <c r="F1438" t="s">
        <v>49</v>
      </c>
      <c r="G1438" t="s">
        <v>50</v>
      </c>
      <c r="H1438" t="s">
        <v>51</v>
      </c>
      <c r="I1438">
        <v>1</v>
      </c>
      <c r="J1438" s="3">
        <v>50667.72</v>
      </c>
      <c r="K1438" s="3">
        <v>50667.72</v>
      </c>
      <c r="L1438" t="s">
        <v>25</v>
      </c>
      <c r="M1438" s="2">
        <v>46146</v>
      </c>
      <c r="N1438" s="2">
        <v>46146</v>
      </c>
      <c r="O1438" t="s">
        <v>43</v>
      </c>
      <c r="P1438" t="s">
        <v>115</v>
      </c>
      <c r="Q1438" t="s">
        <v>28</v>
      </c>
      <c r="R1438" t="s">
        <v>29</v>
      </c>
    </row>
    <row r="1439" spans="1:18">
      <c r="A1439" t="s">
        <v>1571</v>
      </c>
      <c r="B1439" s="2">
        <v>45800</v>
      </c>
      <c r="C1439" t="s">
        <v>71</v>
      </c>
      <c r="D1439" t="s">
        <v>72</v>
      </c>
      <c r="E1439" t="s">
        <v>21</v>
      </c>
      <c r="F1439" t="s">
        <v>57</v>
      </c>
      <c r="G1439" t="s">
        <v>101</v>
      </c>
      <c r="H1439" t="s">
        <v>102</v>
      </c>
      <c r="I1439">
        <v>45</v>
      </c>
      <c r="J1439" s="3">
        <v>1758.32</v>
      </c>
      <c r="K1439" s="3">
        <v>79124.399999999994</v>
      </c>
      <c r="L1439" t="s">
        <v>25</v>
      </c>
      <c r="M1439" s="2">
        <v>45807</v>
      </c>
      <c r="N1439" s="2">
        <v>45805</v>
      </c>
      <c r="O1439" t="s">
        <v>43</v>
      </c>
      <c r="P1439" t="s">
        <v>27</v>
      </c>
      <c r="Q1439" t="s">
        <v>28</v>
      </c>
      <c r="R1439" t="s">
        <v>29</v>
      </c>
    </row>
    <row r="1440" spans="1:18">
      <c r="A1440" t="s">
        <v>1572</v>
      </c>
      <c r="B1440" s="2">
        <v>46065</v>
      </c>
      <c r="C1440" t="s">
        <v>37</v>
      </c>
      <c r="D1440" t="s">
        <v>38</v>
      </c>
      <c r="E1440" t="s">
        <v>39</v>
      </c>
      <c r="F1440" t="s">
        <v>40</v>
      </c>
      <c r="G1440" t="s">
        <v>149</v>
      </c>
      <c r="H1440" t="s">
        <v>150</v>
      </c>
      <c r="I1440">
        <v>31</v>
      </c>
      <c r="J1440" s="3">
        <v>1421.11</v>
      </c>
      <c r="K1440" s="3">
        <v>44054.41</v>
      </c>
      <c r="L1440" t="s">
        <v>34</v>
      </c>
      <c r="M1440" s="2">
        <v>46070</v>
      </c>
      <c r="N1440" s="2">
        <v>46074</v>
      </c>
      <c r="O1440" t="s">
        <v>26</v>
      </c>
      <c r="P1440" t="s">
        <v>44</v>
      </c>
      <c r="Q1440" t="s">
        <v>28</v>
      </c>
      <c r="R1440" t="s">
        <v>129</v>
      </c>
    </row>
    <row r="1441" spans="1:18">
      <c r="A1441" t="s">
        <v>1573</v>
      </c>
      <c r="B1441" s="2">
        <v>45746</v>
      </c>
      <c r="C1441" t="s">
        <v>131</v>
      </c>
      <c r="D1441" t="s">
        <v>132</v>
      </c>
      <c r="E1441" t="s">
        <v>48</v>
      </c>
      <c r="F1441" t="s">
        <v>57</v>
      </c>
      <c r="G1441" t="s">
        <v>86</v>
      </c>
      <c r="H1441" t="s">
        <v>87</v>
      </c>
      <c r="I1441">
        <v>7</v>
      </c>
      <c r="J1441" s="3">
        <v>11097.77</v>
      </c>
      <c r="K1441" s="3">
        <v>77684.39</v>
      </c>
      <c r="L1441" t="s">
        <v>25</v>
      </c>
      <c r="M1441" s="2">
        <v>45752</v>
      </c>
      <c r="N1441" s="2">
        <v>45751</v>
      </c>
      <c r="O1441" t="s">
        <v>76</v>
      </c>
      <c r="P1441" t="s">
        <v>53</v>
      </c>
      <c r="Q1441" t="s">
        <v>28</v>
      </c>
      <c r="R1441" t="s">
        <v>29</v>
      </c>
    </row>
    <row r="1442" spans="1:18">
      <c r="A1442" t="s">
        <v>1574</v>
      </c>
      <c r="B1442" s="2">
        <v>45669</v>
      </c>
      <c r="C1442" t="s">
        <v>66</v>
      </c>
      <c r="D1442" t="s">
        <v>67</v>
      </c>
      <c r="E1442" t="s">
        <v>73</v>
      </c>
      <c r="F1442" t="s">
        <v>49</v>
      </c>
      <c r="G1442" t="s">
        <v>50</v>
      </c>
      <c r="H1442" t="s">
        <v>51</v>
      </c>
      <c r="I1442">
        <v>1</v>
      </c>
      <c r="J1442" s="3">
        <v>51926.53</v>
      </c>
      <c r="K1442" s="3">
        <v>51926.53</v>
      </c>
      <c r="L1442" t="s">
        <v>52</v>
      </c>
      <c r="M1442" s="2">
        <v>45678</v>
      </c>
      <c r="N1442" s="2">
        <v>45678</v>
      </c>
      <c r="O1442" t="s">
        <v>76</v>
      </c>
      <c r="P1442" t="s">
        <v>77</v>
      </c>
      <c r="Q1442" t="s">
        <v>28</v>
      </c>
      <c r="R1442" t="s">
        <v>29</v>
      </c>
    </row>
    <row r="1443" spans="1:18">
      <c r="A1443" t="s">
        <v>1575</v>
      </c>
      <c r="B1443" s="2">
        <v>45965</v>
      </c>
      <c r="C1443" t="s">
        <v>142</v>
      </c>
      <c r="D1443" t="s">
        <v>143</v>
      </c>
      <c r="E1443" t="s">
        <v>112</v>
      </c>
      <c r="F1443" t="s">
        <v>22</v>
      </c>
      <c r="G1443" t="s">
        <v>32</v>
      </c>
      <c r="H1443" t="s">
        <v>33</v>
      </c>
      <c r="I1443">
        <v>6</v>
      </c>
      <c r="J1443" s="3">
        <v>8113.34</v>
      </c>
      <c r="K1443" s="3">
        <v>48680.04</v>
      </c>
      <c r="L1443" t="s">
        <v>52</v>
      </c>
      <c r="M1443" s="2">
        <v>45977</v>
      </c>
      <c r="N1443" s="2">
        <v>45976</v>
      </c>
      <c r="O1443" t="s">
        <v>76</v>
      </c>
      <c r="P1443" t="s">
        <v>115</v>
      </c>
      <c r="Q1443" t="s">
        <v>28</v>
      </c>
      <c r="R1443" t="s">
        <v>29</v>
      </c>
    </row>
    <row r="1444" spans="1:18">
      <c r="A1444" t="s">
        <v>1576</v>
      </c>
      <c r="B1444" s="2">
        <v>45810</v>
      </c>
      <c r="C1444" t="s">
        <v>104</v>
      </c>
      <c r="D1444" t="s">
        <v>105</v>
      </c>
      <c r="E1444" t="s">
        <v>21</v>
      </c>
      <c r="F1444" t="s">
        <v>49</v>
      </c>
      <c r="G1444" t="s">
        <v>113</v>
      </c>
      <c r="H1444" t="s">
        <v>114</v>
      </c>
      <c r="I1444">
        <v>1</v>
      </c>
      <c r="J1444" s="3">
        <v>37881.629999999997</v>
      </c>
      <c r="K1444" s="3">
        <v>37881.629999999997</v>
      </c>
      <c r="L1444" t="s">
        <v>34</v>
      </c>
      <c r="M1444" s="2">
        <v>45817</v>
      </c>
      <c r="N1444" s="2">
        <v>45817</v>
      </c>
      <c r="O1444" t="s">
        <v>26</v>
      </c>
      <c r="P1444" t="s">
        <v>27</v>
      </c>
      <c r="Q1444" t="s">
        <v>28</v>
      </c>
      <c r="R1444" t="s">
        <v>29</v>
      </c>
    </row>
    <row r="1445" spans="1:18">
      <c r="A1445" t="s">
        <v>1577</v>
      </c>
      <c r="B1445" s="2">
        <v>45845</v>
      </c>
      <c r="C1445" t="s">
        <v>66</v>
      </c>
      <c r="D1445" t="s">
        <v>67</v>
      </c>
      <c r="E1445" t="s">
        <v>112</v>
      </c>
      <c r="F1445" t="s">
        <v>49</v>
      </c>
      <c r="G1445" t="s">
        <v>68</v>
      </c>
      <c r="H1445" t="s">
        <v>69</v>
      </c>
      <c r="I1445">
        <v>2</v>
      </c>
      <c r="J1445" s="3">
        <v>47645.93</v>
      </c>
      <c r="K1445" s="3">
        <v>95291.86</v>
      </c>
      <c r="L1445" t="s">
        <v>52</v>
      </c>
      <c r="M1445" s="2">
        <v>45855</v>
      </c>
      <c r="N1445" s="2">
        <v>45852</v>
      </c>
      <c r="O1445" t="s">
        <v>26</v>
      </c>
      <c r="P1445" t="s">
        <v>115</v>
      </c>
      <c r="Q1445" t="s">
        <v>28</v>
      </c>
      <c r="R1445" t="s">
        <v>29</v>
      </c>
    </row>
    <row r="1446" spans="1:18">
      <c r="A1446" t="s">
        <v>1578</v>
      </c>
      <c r="B1446" s="2">
        <v>46110</v>
      </c>
      <c r="C1446" t="s">
        <v>104</v>
      </c>
      <c r="D1446" t="s">
        <v>105</v>
      </c>
      <c r="E1446" t="s">
        <v>48</v>
      </c>
      <c r="F1446" t="s">
        <v>49</v>
      </c>
      <c r="G1446" t="s">
        <v>68</v>
      </c>
      <c r="H1446" t="s">
        <v>69</v>
      </c>
      <c r="I1446">
        <v>1</v>
      </c>
      <c r="J1446" s="3">
        <v>46427.839999999997</v>
      </c>
      <c r="K1446" s="3">
        <v>46427.839999999997</v>
      </c>
      <c r="L1446" t="s">
        <v>25</v>
      </c>
      <c r="M1446" s="2">
        <v>46124</v>
      </c>
      <c r="N1446" s="2">
        <v>46123</v>
      </c>
      <c r="O1446" t="s">
        <v>43</v>
      </c>
      <c r="P1446" t="s">
        <v>53</v>
      </c>
      <c r="Q1446" t="s">
        <v>28</v>
      </c>
      <c r="R1446" t="s">
        <v>29</v>
      </c>
    </row>
    <row r="1447" spans="1:18">
      <c r="A1447" t="s">
        <v>1579</v>
      </c>
      <c r="B1447" s="2">
        <v>45968</v>
      </c>
      <c r="C1447" t="s">
        <v>117</v>
      </c>
      <c r="D1447" t="s">
        <v>118</v>
      </c>
      <c r="E1447" t="s">
        <v>31</v>
      </c>
      <c r="F1447" t="s">
        <v>57</v>
      </c>
      <c r="G1447" t="s">
        <v>86</v>
      </c>
      <c r="H1447" t="s">
        <v>87</v>
      </c>
      <c r="I1447">
        <v>5</v>
      </c>
      <c r="J1447" s="3">
        <v>10846.36</v>
      </c>
      <c r="K1447" s="3">
        <v>54231.8</v>
      </c>
      <c r="L1447" t="s">
        <v>25</v>
      </c>
      <c r="M1447" s="2">
        <v>45985</v>
      </c>
      <c r="N1447" s="2">
        <v>45985</v>
      </c>
      <c r="O1447" t="s">
        <v>60</v>
      </c>
      <c r="P1447" t="s">
        <v>35</v>
      </c>
      <c r="Q1447" t="s">
        <v>28</v>
      </c>
      <c r="R1447" t="s">
        <v>29</v>
      </c>
    </row>
    <row r="1448" spans="1:18">
      <c r="A1448" t="s">
        <v>1580</v>
      </c>
      <c r="B1448" s="2">
        <v>45812</v>
      </c>
      <c r="C1448" t="s">
        <v>46</v>
      </c>
      <c r="D1448" t="s">
        <v>47</v>
      </c>
      <c r="E1448" t="s">
        <v>48</v>
      </c>
      <c r="F1448" t="s">
        <v>49</v>
      </c>
      <c r="G1448" t="s">
        <v>165</v>
      </c>
      <c r="H1448" t="s">
        <v>166</v>
      </c>
      <c r="I1448">
        <v>1</v>
      </c>
      <c r="J1448" s="3">
        <v>49016.94</v>
      </c>
      <c r="K1448" s="3">
        <v>49016.94</v>
      </c>
      <c r="L1448" t="s">
        <v>25</v>
      </c>
      <c r="M1448" s="2">
        <v>45822</v>
      </c>
      <c r="N1448" s="2">
        <v>45821</v>
      </c>
      <c r="O1448" t="s">
        <v>60</v>
      </c>
      <c r="P1448" t="s">
        <v>53</v>
      </c>
      <c r="Q1448" t="s">
        <v>28</v>
      </c>
      <c r="R1448" t="s">
        <v>29</v>
      </c>
    </row>
    <row r="1449" spans="1:18">
      <c r="A1449" t="s">
        <v>1581</v>
      </c>
      <c r="B1449" s="2">
        <v>45947</v>
      </c>
      <c r="C1449" t="s">
        <v>19</v>
      </c>
      <c r="D1449" t="s">
        <v>20</v>
      </c>
      <c r="E1449" t="s">
        <v>39</v>
      </c>
      <c r="F1449" t="s">
        <v>22</v>
      </c>
      <c r="G1449" t="s">
        <v>23</v>
      </c>
      <c r="H1449" t="s">
        <v>24</v>
      </c>
      <c r="I1449">
        <v>54</v>
      </c>
      <c r="J1449" s="3">
        <v>231.3</v>
      </c>
      <c r="K1449" s="3">
        <v>12490.2</v>
      </c>
      <c r="L1449" t="s">
        <v>25</v>
      </c>
      <c r="M1449" s="2">
        <v>45955</v>
      </c>
      <c r="N1449" s="2">
        <v>45955</v>
      </c>
      <c r="O1449" t="s">
        <v>60</v>
      </c>
      <c r="P1449" t="s">
        <v>64</v>
      </c>
      <c r="Q1449" t="s">
        <v>28</v>
      </c>
      <c r="R1449" t="s">
        <v>29</v>
      </c>
    </row>
    <row r="1450" spans="1:18">
      <c r="A1450" t="s">
        <v>1582</v>
      </c>
      <c r="B1450" s="2">
        <v>46097</v>
      </c>
      <c r="C1450" t="s">
        <v>80</v>
      </c>
      <c r="D1450" t="s">
        <v>81</v>
      </c>
      <c r="E1450" t="s">
        <v>39</v>
      </c>
      <c r="F1450" t="s">
        <v>82</v>
      </c>
      <c r="G1450" t="s">
        <v>197</v>
      </c>
      <c r="H1450" t="s">
        <v>198</v>
      </c>
      <c r="I1450">
        <v>60</v>
      </c>
      <c r="J1450" s="3">
        <v>2005.05</v>
      </c>
      <c r="K1450" s="3">
        <v>120303</v>
      </c>
      <c r="L1450" t="s">
        <v>25</v>
      </c>
      <c r="M1450" s="2">
        <v>46110</v>
      </c>
      <c r="N1450" s="2">
        <v>46110</v>
      </c>
      <c r="O1450" t="s">
        <v>76</v>
      </c>
      <c r="P1450" t="s">
        <v>44</v>
      </c>
      <c r="Q1450" t="s">
        <v>28</v>
      </c>
      <c r="R1450" t="s">
        <v>29</v>
      </c>
    </row>
    <row r="1451" spans="1:18">
      <c r="A1451" t="s">
        <v>1583</v>
      </c>
      <c r="B1451" s="2">
        <v>46072</v>
      </c>
      <c r="C1451" t="s">
        <v>66</v>
      </c>
      <c r="D1451" t="s">
        <v>67</v>
      </c>
      <c r="E1451" t="s">
        <v>48</v>
      </c>
      <c r="F1451" t="s">
        <v>49</v>
      </c>
      <c r="G1451" t="s">
        <v>113</v>
      </c>
      <c r="H1451" t="s">
        <v>114</v>
      </c>
      <c r="I1451">
        <v>1</v>
      </c>
      <c r="J1451" s="3">
        <v>38679.660000000003</v>
      </c>
      <c r="K1451" s="3">
        <v>38679.660000000003</v>
      </c>
      <c r="L1451" t="s">
        <v>25</v>
      </c>
      <c r="M1451" s="2">
        <v>46078</v>
      </c>
      <c r="N1451" s="2">
        <v>46076</v>
      </c>
      <c r="O1451" t="s">
        <v>76</v>
      </c>
      <c r="P1451" t="s">
        <v>53</v>
      </c>
      <c r="Q1451" t="s">
        <v>28</v>
      </c>
      <c r="R1451" t="s">
        <v>29</v>
      </c>
    </row>
    <row r="1452" spans="1:18">
      <c r="A1452" t="s">
        <v>1584</v>
      </c>
      <c r="B1452" s="2">
        <v>45848</v>
      </c>
      <c r="C1452" t="s">
        <v>96</v>
      </c>
      <c r="D1452" t="s">
        <v>97</v>
      </c>
      <c r="E1452" t="s">
        <v>39</v>
      </c>
      <c r="F1452" t="s">
        <v>82</v>
      </c>
      <c r="G1452" t="s">
        <v>98</v>
      </c>
      <c r="H1452" t="s">
        <v>99</v>
      </c>
      <c r="I1452">
        <v>38</v>
      </c>
      <c r="J1452" s="3">
        <v>1178.94</v>
      </c>
      <c r="K1452" s="3">
        <v>44799.72</v>
      </c>
      <c r="L1452" t="s">
        <v>25</v>
      </c>
      <c r="M1452" s="2">
        <v>45859</v>
      </c>
      <c r="N1452" s="2">
        <v>45864</v>
      </c>
      <c r="O1452" t="s">
        <v>43</v>
      </c>
      <c r="P1452" t="s">
        <v>44</v>
      </c>
      <c r="Q1452" t="s">
        <v>28</v>
      </c>
      <c r="R1452" t="s">
        <v>129</v>
      </c>
    </row>
    <row r="1453" spans="1:18">
      <c r="A1453" t="s">
        <v>1585</v>
      </c>
      <c r="B1453" s="2">
        <v>45865</v>
      </c>
      <c r="C1453" t="s">
        <v>19</v>
      </c>
      <c r="D1453" t="s">
        <v>20</v>
      </c>
      <c r="E1453" t="s">
        <v>112</v>
      </c>
      <c r="F1453" t="s">
        <v>22</v>
      </c>
      <c r="G1453" t="s">
        <v>23</v>
      </c>
      <c r="H1453" t="s">
        <v>24</v>
      </c>
      <c r="I1453">
        <v>42</v>
      </c>
      <c r="J1453" s="3">
        <v>243.83</v>
      </c>
      <c r="K1453" s="3">
        <v>10240.86</v>
      </c>
      <c r="L1453" t="s">
        <v>25</v>
      </c>
      <c r="M1453" s="2">
        <v>45879</v>
      </c>
      <c r="N1453" s="2">
        <v>45879</v>
      </c>
      <c r="O1453" t="s">
        <v>76</v>
      </c>
      <c r="P1453" t="s">
        <v>115</v>
      </c>
      <c r="Q1453" t="s">
        <v>28</v>
      </c>
      <c r="R1453" t="s">
        <v>29</v>
      </c>
    </row>
    <row r="1454" spans="1:18">
      <c r="A1454" t="s">
        <v>1586</v>
      </c>
      <c r="B1454" s="2">
        <v>45671</v>
      </c>
      <c r="C1454" t="s">
        <v>37</v>
      </c>
      <c r="D1454" t="s">
        <v>38</v>
      </c>
      <c r="E1454" t="s">
        <v>112</v>
      </c>
      <c r="F1454" t="s">
        <v>40</v>
      </c>
      <c r="G1454" t="s">
        <v>41</v>
      </c>
      <c r="H1454" t="s">
        <v>42</v>
      </c>
      <c r="I1454">
        <v>8</v>
      </c>
      <c r="J1454" s="3">
        <v>5937.01</v>
      </c>
      <c r="K1454" s="3">
        <v>47496.08</v>
      </c>
      <c r="L1454" t="s">
        <v>34</v>
      </c>
      <c r="M1454" s="2">
        <v>45687</v>
      </c>
      <c r="N1454" s="2">
        <v>45684</v>
      </c>
      <c r="O1454" t="s">
        <v>60</v>
      </c>
      <c r="P1454" t="s">
        <v>115</v>
      </c>
      <c r="Q1454" t="s">
        <v>28</v>
      </c>
      <c r="R1454" t="s">
        <v>29</v>
      </c>
    </row>
    <row r="1455" spans="1:18">
      <c r="A1455" t="s">
        <v>1587</v>
      </c>
      <c r="B1455" s="2">
        <v>45922</v>
      </c>
      <c r="C1455" t="s">
        <v>37</v>
      </c>
      <c r="D1455" t="s">
        <v>38</v>
      </c>
      <c r="E1455" t="s">
        <v>31</v>
      </c>
      <c r="F1455" t="s">
        <v>22</v>
      </c>
      <c r="G1455" t="s">
        <v>160</v>
      </c>
      <c r="H1455" t="s">
        <v>161</v>
      </c>
      <c r="I1455">
        <v>6</v>
      </c>
      <c r="J1455" s="3">
        <v>3335.38</v>
      </c>
      <c r="K1455" s="3">
        <v>20012.28</v>
      </c>
      <c r="L1455" t="s">
        <v>25</v>
      </c>
      <c r="M1455" s="2">
        <v>45927</v>
      </c>
      <c r="N1455" s="2">
        <v>45927</v>
      </c>
      <c r="O1455" t="s">
        <v>60</v>
      </c>
      <c r="P1455" t="s">
        <v>35</v>
      </c>
      <c r="Q1455" t="s">
        <v>28</v>
      </c>
      <c r="R1455" t="s">
        <v>29</v>
      </c>
    </row>
    <row r="1456" spans="1:18">
      <c r="A1456" t="s">
        <v>1588</v>
      </c>
      <c r="B1456" s="2">
        <v>45886</v>
      </c>
      <c r="C1456" t="s">
        <v>142</v>
      </c>
      <c r="D1456" t="s">
        <v>143</v>
      </c>
      <c r="E1456" t="s">
        <v>39</v>
      </c>
      <c r="F1456" t="s">
        <v>22</v>
      </c>
      <c r="G1456" t="s">
        <v>23</v>
      </c>
      <c r="H1456" t="s">
        <v>24</v>
      </c>
      <c r="I1456">
        <v>38</v>
      </c>
      <c r="J1456" s="3">
        <v>238.87</v>
      </c>
      <c r="K1456" s="3">
        <v>9077.06</v>
      </c>
      <c r="L1456" t="s">
        <v>25</v>
      </c>
      <c r="M1456" s="2">
        <v>45901</v>
      </c>
      <c r="N1456" s="2">
        <v>45898</v>
      </c>
      <c r="O1456" t="s">
        <v>43</v>
      </c>
      <c r="P1456" t="s">
        <v>44</v>
      </c>
      <c r="Q1456" t="s">
        <v>28</v>
      </c>
      <c r="R1456" t="s">
        <v>29</v>
      </c>
    </row>
    <row r="1457" spans="1:18">
      <c r="A1457" t="s">
        <v>1589</v>
      </c>
      <c r="B1457" s="2">
        <v>46137</v>
      </c>
      <c r="C1457" t="s">
        <v>46</v>
      </c>
      <c r="D1457" t="s">
        <v>47</v>
      </c>
      <c r="E1457" t="s">
        <v>73</v>
      </c>
      <c r="F1457" t="s">
        <v>49</v>
      </c>
      <c r="G1457" t="s">
        <v>113</v>
      </c>
      <c r="H1457" t="s">
        <v>114</v>
      </c>
      <c r="I1457">
        <v>3</v>
      </c>
      <c r="J1457" s="3">
        <v>40524.85</v>
      </c>
      <c r="K1457" s="3">
        <v>121574.55</v>
      </c>
      <c r="L1457" t="s">
        <v>25</v>
      </c>
      <c r="M1457" s="2">
        <v>46149</v>
      </c>
      <c r="N1457" s="2">
        <v>46148</v>
      </c>
      <c r="O1457" t="s">
        <v>26</v>
      </c>
      <c r="P1457" t="s">
        <v>77</v>
      </c>
      <c r="Q1457" t="s">
        <v>28</v>
      </c>
      <c r="R1457" t="s">
        <v>29</v>
      </c>
    </row>
    <row r="1458" spans="1:18">
      <c r="A1458" t="s">
        <v>1590</v>
      </c>
      <c r="B1458" s="2">
        <v>45915</v>
      </c>
      <c r="C1458" t="s">
        <v>55</v>
      </c>
      <c r="D1458" t="s">
        <v>56</v>
      </c>
      <c r="E1458" t="s">
        <v>48</v>
      </c>
      <c r="F1458" t="s">
        <v>57</v>
      </c>
      <c r="G1458" t="s">
        <v>74</v>
      </c>
      <c r="H1458" t="s">
        <v>75</v>
      </c>
      <c r="I1458">
        <v>8</v>
      </c>
      <c r="J1458" s="3">
        <v>9423.6200000000008</v>
      </c>
      <c r="K1458" s="3">
        <v>75388.960000000006</v>
      </c>
      <c r="L1458" t="s">
        <v>52</v>
      </c>
      <c r="M1458" s="2">
        <v>45926</v>
      </c>
      <c r="N1458" s="2">
        <v>45926</v>
      </c>
      <c r="O1458" t="s">
        <v>43</v>
      </c>
      <c r="P1458" t="s">
        <v>53</v>
      </c>
      <c r="Q1458" t="s">
        <v>28</v>
      </c>
      <c r="R1458" t="s">
        <v>29</v>
      </c>
    </row>
    <row r="1459" spans="1:18">
      <c r="A1459" t="s">
        <v>1591</v>
      </c>
      <c r="B1459" s="2">
        <v>45951</v>
      </c>
      <c r="C1459" t="s">
        <v>104</v>
      </c>
      <c r="D1459" t="s">
        <v>105</v>
      </c>
      <c r="E1459" t="s">
        <v>48</v>
      </c>
      <c r="F1459" t="s">
        <v>49</v>
      </c>
      <c r="G1459" t="s">
        <v>165</v>
      </c>
      <c r="H1459" t="s">
        <v>166</v>
      </c>
      <c r="I1459">
        <v>1</v>
      </c>
      <c r="J1459" s="3">
        <v>47129.64</v>
      </c>
      <c r="K1459" s="3">
        <v>47129.64</v>
      </c>
      <c r="L1459" t="s">
        <v>34</v>
      </c>
      <c r="M1459" s="2">
        <v>45956</v>
      </c>
      <c r="N1459" s="2">
        <v>45954</v>
      </c>
      <c r="O1459" t="s">
        <v>76</v>
      </c>
      <c r="P1459" t="s">
        <v>53</v>
      </c>
      <c r="Q1459" t="s">
        <v>28</v>
      </c>
      <c r="R1459" t="s">
        <v>29</v>
      </c>
    </row>
    <row r="1460" spans="1:18">
      <c r="A1460" t="s">
        <v>1592</v>
      </c>
      <c r="B1460" s="2">
        <v>45796</v>
      </c>
      <c r="C1460" t="s">
        <v>37</v>
      </c>
      <c r="D1460" t="s">
        <v>38</v>
      </c>
      <c r="E1460" t="s">
        <v>73</v>
      </c>
      <c r="F1460" t="s">
        <v>22</v>
      </c>
      <c r="G1460" t="s">
        <v>23</v>
      </c>
      <c r="H1460" t="s">
        <v>24</v>
      </c>
      <c r="I1460">
        <v>42</v>
      </c>
      <c r="J1460" s="3">
        <v>254.53</v>
      </c>
      <c r="K1460" s="3">
        <v>10690.26</v>
      </c>
      <c r="L1460" t="s">
        <v>34</v>
      </c>
      <c r="M1460" s="2">
        <v>45801</v>
      </c>
      <c r="N1460" s="2">
        <v>45798</v>
      </c>
      <c r="O1460" t="s">
        <v>60</v>
      </c>
      <c r="P1460" t="s">
        <v>77</v>
      </c>
      <c r="Q1460" t="s">
        <v>28</v>
      </c>
      <c r="R1460" t="s">
        <v>29</v>
      </c>
    </row>
    <row r="1461" spans="1:18">
      <c r="A1461" t="s">
        <v>1593</v>
      </c>
      <c r="B1461" s="2">
        <v>46124</v>
      </c>
      <c r="C1461" t="s">
        <v>71</v>
      </c>
      <c r="D1461" t="s">
        <v>72</v>
      </c>
      <c r="E1461" t="s">
        <v>48</v>
      </c>
      <c r="F1461" t="s">
        <v>57</v>
      </c>
      <c r="G1461" t="s">
        <v>74</v>
      </c>
      <c r="H1461" t="s">
        <v>75</v>
      </c>
      <c r="I1461">
        <v>6</v>
      </c>
      <c r="J1461" s="3">
        <v>8272.33</v>
      </c>
      <c r="K1461" s="3">
        <v>49633.98</v>
      </c>
      <c r="L1461" t="s">
        <v>25</v>
      </c>
      <c r="M1461" s="2">
        <v>46130</v>
      </c>
      <c r="N1461" s="2">
        <v>46130</v>
      </c>
      <c r="O1461" t="s">
        <v>76</v>
      </c>
      <c r="P1461" t="s">
        <v>53</v>
      </c>
      <c r="Q1461" t="s">
        <v>28</v>
      </c>
      <c r="R1461" t="s">
        <v>29</v>
      </c>
    </row>
    <row r="1462" spans="1:18">
      <c r="A1462" t="s">
        <v>1594</v>
      </c>
      <c r="B1462" s="2">
        <v>45749</v>
      </c>
      <c r="C1462" t="s">
        <v>66</v>
      </c>
      <c r="D1462" t="s">
        <v>67</v>
      </c>
      <c r="E1462" t="s">
        <v>48</v>
      </c>
      <c r="F1462" t="s">
        <v>49</v>
      </c>
      <c r="G1462" t="s">
        <v>165</v>
      </c>
      <c r="H1462" t="s">
        <v>166</v>
      </c>
      <c r="I1462">
        <v>1</v>
      </c>
      <c r="J1462" s="3">
        <v>43429.81</v>
      </c>
      <c r="K1462" s="3">
        <v>43429.81</v>
      </c>
      <c r="L1462" t="s">
        <v>25</v>
      </c>
      <c r="M1462" s="2">
        <v>45761</v>
      </c>
      <c r="N1462" s="2">
        <v>45760</v>
      </c>
      <c r="O1462" t="s">
        <v>43</v>
      </c>
      <c r="P1462" t="s">
        <v>53</v>
      </c>
      <c r="Q1462" t="s">
        <v>28</v>
      </c>
      <c r="R1462" t="s">
        <v>29</v>
      </c>
    </row>
    <row r="1463" spans="1:18">
      <c r="A1463" t="s">
        <v>1595</v>
      </c>
      <c r="B1463" s="2">
        <v>45818</v>
      </c>
      <c r="C1463" t="s">
        <v>96</v>
      </c>
      <c r="D1463" t="s">
        <v>97</v>
      </c>
      <c r="E1463" t="s">
        <v>39</v>
      </c>
      <c r="F1463" t="s">
        <v>82</v>
      </c>
      <c r="G1463" t="s">
        <v>197</v>
      </c>
      <c r="H1463" t="s">
        <v>198</v>
      </c>
      <c r="I1463">
        <v>19</v>
      </c>
      <c r="J1463" s="3">
        <v>2138.9</v>
      </c>
      <c r="K1463" s="3">
        <v>40639.1</v>
      </c>
      <c r="L1463" t="s">
        <v>25</v>
      </c>
      <c r="M1463" s="2">
        <v>45832</v>
      </c>
      <c r="N1463" s="2">
        <v>45830</v>
      </c>
      <c r="O1463" t="s">
        <v>26</v>
      </c>
      <c r="P1463" t="s">
        <v>64</v>
      </c>
      <c r="Q1463" t="s">
        <v>28</v>
      </c>
      <c r="R1463" t="s">
        <v>29</v>
      </c>
    </row>
    <row r="1464" spans="1:18">
      <c r="A1464" t="s">
        <v>1596</v>
      </c>
      <c r="B1464" s="2">
        <v>45668</v>
      </c>
      <c r="C1464" t="s">
        <v>147</v>
      </c>
      <c r="D1464" t="s">
        <v>148</v>
      </c>
      <c r="E1464" t="s">
        <v>39</v>
      </c>
      <c r="F1464" t="s">
        <v>40</v>
      </c>
      <c r="G1464" t="s">
        <v>41</v>
      </c>
      <c r="H1464" t="s">
        <v>42</v>
      </c>
      <c r="I1464">
        <v>4</v>
      </c>
      <c r="J1464" s="3">
        <v>5124.26</v>
      </c>
      <c r="K1464" s="3">
        <v>20497.04</v>
      </c>
      <c r="L1464" t="s">
        <v>52</v>
      </c>
      <c r="M1464" s="2">
        <v>45673</v>
      </c>
      <c r="N1464" s="2">
        <v>45680</v>
      </c>
      <c r="O1464" t="s">
        <v>60</v>
      </c>
      <c r="P1464" t="s">
        <v>44</v>
      </c>
      <c r="Q1464" t="s">
        <v>28</v>
      </c>
      <c r="R1464" t="s">
        <v>129</v>
      </c>
    </row>
    <row r="1465" spans="1:18">
      <c r="A1465" t="s">
        <v>1597</v>
      </c>
      <c r="B1465" s="2">
        <v>45908</v>
      </c>
      <c r="C1465" t="s">
        <v>104</v>
      </c>
      <c r="D1465" t="s">
        <v>105</v>
      </c>
      <c r="E1465" t="s">
        <v>112</v>
      </c>
      <c r="F1465" t="s">
        <v>49</v>
      </c>
      <c r="G1465" t="s">
        <v>165</v>
      </c>
      <c r="H1465" t="s">
        <v>166</v>
      </c>
      <c r="I1465">
        <v>1</v>
      </c>
      <c r="J1465" s="3">
        <v>45427.3</v>
      </c>
      <c r="K1465" s="3">
        <v>45427.3</v>
      </c>
      <c r="L1465" t="s">
        <v>52</v>
      </c>
      <c r="M1465" s="2">
        <v>45913</v>
      </c>
      <c r="N1465" s="2">
        <v>45913</v>
      </c>
      <c r="O1465" t="s">
        <v>76</v>
      </c>
      <c r="P1465" t="s">
        <v>115</v>
      </c>
      <c r="Q1465" t="s">
        <v>28</v>
      </c>
      <c r="R1465" t="s">
        <v>29</v>
      </c>
    </row>
    <row r="1466" spans="1:18">
      <c r="A1466" t="s">
        <v>1598</v>
      </c>
      <c r="B1466" s="2">
        <v>46088</v>
      </c>
      <c r="C1466" t="s">
        <v>147</v>
      </c>
      <c r="D1466" t="s">
        <v>148</v>
      </c>
      <c r="E1466" t="s">
        <v>112</v>
      </c>
      <c r="F1466" t="s">
        <v>40</v>
      </c>
      <c r="G1466" t="s">
        <v>62</v>
      </c>
      <c r="H1466" t="s">
        <v>63</v>
      </c>
      <c r="I1466">
        <v>8</v>
      </c>
      <c r="J1466" s="3">
        <v>17245.05</v>
      </c>
      <c r="K1466" s="3">
        <v>137960.4</v>
      </c>
      <c r="L1466" t="s">
        <v>34</v>
      </c>
      <c r="M1466" s="2">
        <v>46096</v>
      </c>
      <c r="N1466" s="2">
        <v>46094</v>
      </c>
      <c r="O1466" t="s">
        <v>43</v>
      </c>
      <c r="P1466" t="s">
        <v>115</v>
      </c>
      <c r="Q1466" t="s">
        <v>28</v>
      </c>
      <c r="R1466" t="s">
        <v>29</v>
      </c>
    </row>
    <row r="1467" spans="1:18">
      <c r="A1467" t="s">
        <v>1599</v>
      </c>
      <c r="B1467" s="2">
        <v>46162</v>
      </c>
      <c r="C1467" t="s">
        <v>142</v>
      </c>
      <c r="D1467" t="s">
        <v>143</v>
      </c>
      <c r="E1467" t="s">
        <v>39</v>
      </c>
      <c r="F1467" t="s">
        <v>22</v>
      </c>
      <c r="G1467" t="s">
        <v>32</v>
      </c>
      <c r="H1467" t="s">
        <v>33</v>
      </c>
      <c r="I1467">
        <v>9</v>
      </c>
      <c r="J1467" s="3">
        <v>7883.08</v>
      </c>
      <c r="K1467" s="3">
        <v>70947.72</v>
      </c>
      <c r="L1467" t="s">
        <v>25</v>
      </c>
      <c r="M1467" s="2">
        <v>46168</v>
      </c>
      <c r="N1467" s="2">
        <v>46166</v>
      </c>
      <c r="O1467" t="s">
        <v>43</v>
      </c>
      <c r="P1467" t="s">
        <v>44</v>
      </c>
      <c r="Q1467" t="s">
        <v>28</v>
      </c>
      <c r="R1467" t="s">
        <v>29</v>
      </c>
    </row>
    <row r="1468" spans="1:18">
      <c r="A1468" t="s">
        <v>1600</v>
      </c>
      <c r="B1468" s="2">
        <v>45822</v>
      </c>
      <c r="C1468" t="s">
        <v>37</v>
      </c>
      <c r="D1468" t="s">
        <v>38</v>
      </c>
      <c r="E1468" t="s">
        <v>73</v>
      </c>
      <c r="F1468" t="s">
        <v>22</v>
      </c>
      <c r="G1468" t="s">
        <v>160</v>
      </c>
      <c r="H1468" t="s">
        <v>161</v>
      </c>
      <c r="I1468">
        <v>12</v>
      </c>
      <c r="J1468" s="3">
        <v>3367.68</v>
      </c>
      <c r="K1468" s="3">
        <v>40412.160000000003</v>
      </c>
      <c r="L1468" t="s">
        <v>25</v>
      </c>
      <c r="M1468" s="2">
        <v>45840</v>
      </c>
      <c r="N1468" s="2">
        <v>45838</v>
      </c>
      <c r="O1468" t="s">
        <v>60</v>
      </c>
      <c r="P1468" t="s">
        <v>77</v>
      </c>
      <c r="Q1468" t="s">
        <v>28</v>
      </c>
      <c r="R1468" t="s">
        <v>29</v>
      </c>
    </row>
    <row r="1469" spans="1:18">
      <c r="A1469" t="s">
        <v>1601</v>
      </c>
      <c r="B1469" s="2">
        <v>45802</v>
      </c>
      <c r="C1469" t="s">
        <v>142</v>
      </c>
      <c r="D1469" t="s">
        <v>143</v>
      </c>
      <c r="E1469" t="s">
        <v>39</v>
      </c>
      <c r="F1469" t="s">
        <v>22</v>
      </c>
      <c r="G1469" t="s">
        <v>23</v>
      </c>
      <c r="H1469" t="s">
        <v>24</v>
      </c>
      <c r="I1469">
        <v>37</v>
      </c>
      <c r="J1469" s="3">
        <v>236.55</v>
      </c>
      <c r="K1469" s="3">
        <v>8752.35</v>
      </c>
      <c r="L1469" t="s">
        <v>34</v>
      </c>
      <c r="M1469" s="2">
        <v>45814</v>
      </c>
      <c r="N1469" s="2">
        <v>45811</v>
      </c>
      <c r="O1469" t="s">
        <v>60</v>
      </c>
      <c r="P1469" t="s">
        <v>64</v>
      </c>
      <c r="Q1469" t="s">
        <v>28</v>
      </c>
      <c r="R1469" t="s">
        <v>29</v>
      </c>
    </row>
    <row r="1470" spans="1:18">
      <c r="A1470" t="s">
        <v>1602</v>
      </c>
      <c r="B1470" s="2">
        <v>45720</v>
      </c>
      <c r="C1470" t="s">
        <v>71</v>
      </c>
      <c r="D1470" t="s">
        <v>72</v>
      </c>
      <c r="E1470" t="s">
        <v>31</v>
      </c>
      <c r="F1470" t="s">
        <v>57</v>
      </c>
      <c r="G1470" t="s">
        <v>86</v>
      </c>
      <c r="H1470" t="s">
        <v>87</v>
      </c>
      <c r="I1470">
        <v>8</v>
      </c>
      <c r="J1470" s="3">
        <v>10496.42</v>
      </c>
      <c r="K1470" s="3">
        <v>83971.36</v>
      </c>
      <c r="L1470" t="s">
        <v>25</v>
      </c>
      <c r="M1470" s="2">
        <v>45729</v>
      </c>
      <c r="N1470" s="2">
        <v>45727</v>
      </c>
      <c r="O1470" t="s">
        <v>76</v>
      </c>
      <c r="P1470" t="s">
        <v>35</v>
      </c>
      <c r="Q1470" t="s">
        <v>28</v>
      </c>
      <c r="R1470" t="s">
        <v>29</v>
      </c>
    </row>
    <row r="1471" spans="1:18">
      <c r="A1471" t="s">
        <v>1603</v>
      </c>
      <c r="B1471" s="2">
        <v>45843</v>
      </c>
      <c r="C1471" t="s">
        <v>142</v>
      </c>
      <c r="D1471" t="s">
        <v>143</v>
      </c>
      <c r="E1471" t="s">
        <v>39</v>
      </c>
      <c r="F1471" t="s">
        <v>22</v>
      </c>
      <c r="G1471" t="s">
        <v>160</v>
      </c>
      <c r="H1471" t="s">
        <v>161</v>
      </c>
      <c r="I1471">
        <v>11</v>
      </c>
      <c r="J1471" s="3">
        <v>3237.12</v>
      </c>
      <c r="K1471" s="3">
        <v>35608.32</v>
      </c>
      <c r="L1471" t="s">
        <v>52</v>
      </c>
      <c r="M1471" s="2">
        <v>45856</v>
      </c>
      <c r="N1471" s="2">
        <v>45855</v>
      </c>
      <c r="O1471" t="s">
        <v>26</v>
      </c>
      <c r="P1471" t="s">
        <v>44</v>
      </c>
      <c r="Q1471" t="s">
        <v>28</v>
      </c>
      <c r="R1471" t="s">
        <v>29</v>
      </c>
    </row>
    <row r="1472" spans="1:18">
      <c r="A1472" t="s">
        <v>1604</v>
      </c>
      <c r="B1472" s="2">
        <v>45704</v>
      </c>
      <c r="C1472" t="s">
        <v>142</v>
      </c>
      <c r="D1472" t="s">
        <v>143</v>
      </c>
      <c r="E1472" t="s">
        <v>73</v>
      </c>
      <c r="F1472" t="s">
        <v>22</v>
      </c>
      <c r="G1472" t="s">
        <v>23</v>
      </c>
      <c r="H1472" t="s">
        <v>24</v>
      </c>
      <c r="I1472">
        <v>48</v>
      </c>
      <c r="J1472" s="3">
        <v>254.88</v>
      </c>
      <c r="K1472" s="3">
        <v>12234.24</v>
      </c>
      <c r="L1472" t="s">
        <v>52</v>
      </c>
      <c r="M1472" s="2">
        <v>45712</v>
      </c>
      <c r="N1472" s="2">
        <v>45712</v>
      </c>
      <c r="O1472" t="s">
        <v>26</v>
      </c>
      <c r="P1472" t="s">
        <v>77</v>
      </c>
      <c r="Q1472" t="s">
        <v>28</v>
      </c>
      <c r="R1472" t="s">
        <v>29</v>
      </c>
    </row>
    <row r="1473" spans="1:18">
      <c r="A1473" t="s">
        <v>1605</v>
      </c>
      <c r="B1473" s="2">
        <v>46068</v>
      </c>
      <c r="C1473" t="s">
        <v>104</v>
      </c>
      <c r="D1473" t="s">
        <v>105</v>
      </c>
      <c r="E1473" t="s">
        <v>48</v>
      </c>
      <c r="F1473" t="s">
        <v>49</v>
      </c>
      <c r="G1473" t="s">
        <v>50</v>
      </c>
      <c r="H1473" t="s">
        <v>51</v>
      </c>
      <c r="I1473">
        <v>3</v>
      </c>
      <c r="J1473" s="3">
        <v>52395.78</v>
      </c>
      <c r="K1473" s="3">
        <v>157187.34</v>
      </c>
      <c r="L1473" t="s">
        <v>25</v>
      </c>
      <c r="M1473" s="2">
        <v>46086</v>
      </c>
      <c r="N1473" s="2">
        <v>46086</v>
      </c>
      <c r="O1473" t="s">
        <v>43</v>
      </c>
      <c r="P1473" t="s">
        <v>53</v>
      </c>
      <c r="Q1473" t="s">
        <v>28</v>
      </c>
      <c r="R1473" t="s">
        <v>29</v>
      </c>
    </row>
    <row r="1474" spans="1:18">
      <c r="A1474" t="s">
        <v>1606</v>
      </c>
      <c r="B1474" s="2">
        <v>45897</v>
      </c>
      <c r="C1474" t="s">
        <v>104</v>
      </c>
      <c r="D1474" t="s">
        <v>105</v>
      </c>
      <c r="E1474" t="s">
        <v>48</v>
      </c>
      <c r="F1474" t="s">
        <v>49</v>
      </c>
      <c r="G1474" t="s">
        <v>50</v>
      </c>
      <c r="H1474" t="s">
        <v>51</v>
      </c>
      <c r="I1474">
        <v>1</v>
      </c>
      <c r="J1474" s="3">
        <v>51543.27</v>
      </c>
      <c r="K1474" s="3">
        <v>51543.27</v>
      </c>
      <c r="L1474" t="s">
        <v>25</v>
      </c>
      <c r="M1474" s="2">
        <v>45912</v>
      </c>
      <c r="N1474" s="2">
        <v>45911</v>
      </c>
      <c r="O1474" t="s">
        <v>60</v>
      </c>
      <c r="P1474" t="s">
        <v>53</v>
      </c>
      <c r="Q1474" t="s">
        <v>28</v>
      </c>
      <c r="R1474" t="s">
        <v>29</v>
      </c>
    </row>
    <row r="1475" spans="1:18">
      <c r="A1475" t="s">
        <v>1607</v>
      </c>
      <c r="B1475" s="2">
        <v>45993</v>
      </c>
      <c r="C1475" t="s">
        <v>104</v>
      </c>
      <c r="D1475" t="s">
        <v>105</v>
      </c>
      <c r="E1475" t="s">
        <v>73</v>
      </c>
      <c r="F1475" t="s">
        <v>49</v>
      </c>
      <c r="G1475" t="s">
        <v>113</v>
      </c>
      <c r="H1475" t="s">
        <v>114</v>
      </c>
      <c r="I1475">
        <v>1</v>
      </c>
      <c r="J1475" s="3">
        <v>38811.800000000003</v>
      </c>
      <c r="K1475" s="3">
        <v>38811.800000000003</v>
      </c>
      <c r="L1475" t="s">
        <v>25</v>
      </c>
      <c r="M1475" s="2">
        <v>46004</v>
      </c>
      <c r="N1475" s="2">
        <v>46001</v>
      </c>
      <c r="O1475" t="s">
        <v>60</v>
      </c>
      <c r="P1475" t="s">
        <v>77</v>
      </c>
      <c r="Q1475" t="s">
        <v>28</v>
      </c>
      <c r="R1475" t="s">
        <v>29</v>
      </c>
    </row>
    <row r="1476" spans="1:18">
      <c r="A1476" t="s">
        <v>1608</v>
      </c>
      <c r="B1476" s="2">
        <v>46005</v>
      </c>
      <c r="C1476" t="s">
        <v>19</v>
      </c>
      <c r="D1476" t="s">
        <v>20</v>
      </c>
      <c r="E1476" t="s">
        <v>39</v>
      </c>
      <c r="F1476" t="s">
        <v>22</v>
      </c>
      <c r="G1476" t="s">
        <v>32</v>
      </c>
      <c r="H1476" t="s">
        <v>33</v>
      </c>
      <c r="I1476">
        <v>14</v>
      </c>
      <c r="J1476" s="3">
        <v>6981.87</v>
      </c>
      <c r="K1476" s="3">
        <v>97746.18</v>
      </c>
      <c r="L1476" t="s">
        <v>34</v>
      </c>
      <c r="M1476" s="2">
        <v>46022</v>
      </c>
      <c r="N1476" s="2">
        <v>46021</v>
      </c>
      <c r="O1476" t="s">
        <v>60</v>
      </c>
      <c r="P1476" t="s">
        <v>64</v>
      </c>
      <c r="Q1476" t="s">
        <v>28</v>
      </c>
      <c r="R1476" t="s">
        <v>29</v>
      </c>
    </row>
    <row r="1477" spans="1:18">
      <c r="A1477" t="s">
        <v>1609</v>
      </c>
      <c r="B1477" s="2">
        <v>45791</v>
      </c>
      <c r="C1477" t="s">
        <v>142</v>
      </c>
      <c r="D1477" t="s">
        <v>143</v>
      </c>
      <c r="E1477" t="s">
        <v>39</v>
      </c>
      <c r="F1477" t="s">
        <v>22</v>
      </c>
      <c r="G1477" t="s">
        <v>32</v>
      </c>
      <c r="H1477" t="s">
        <v>33</v>
      </c>
      <c r="I1477">
        <v>3</v>
      </c>
      <c r="J1477" s="3">
        <v>8150.47</v>
      </c>
      <c r="K1477" s="3">
        <v>24451.41</v>
      </c>
      <c r="L1477" t="s">
        <v>34</v>
      </c>
      <c r="M1477" s="2">
        <v>45803</v>
      </c>
      <c r="N1477" s="2">
        <v>45803</v>
      </c>
      <c r="O1477" t="s">
        <v>76</v>
      </c>
      <c r="P1477" t="s">
        <v>44</v>
      </c>
      <c r="Q1477" t="s">
        <v>28</v>
      </c>
      <c r="R1477" t="s">
        <v>29</v>
      </c>
    </row>
    <row r="1478" spans="1:18">
      <c r="A1478" t="s">
        <v>1610</v>
      </c>
      <c r="B1478" s="2">
        <v>46094</v>
      </c>
      <c r="C1478" t="s">
        <v>142</v>
      </c>
      <c r="D1478" t="s">
        <v>143</v>
      </c>
      <c r="E1478" t="s">
        <v>112</v>
      </c>
      <c r="F1478" t="s">
        <v>22</v>
      </c>
      <c r="G1478" t="s">
        <v>160</v>
      </c>
      <c r="H1478" t="s">
        <v>161</v>
      </c>
      <c r="I1478">
        <v>3</v>
      </c>
      <c r="J1478" s="3">
        <v>3439.67</v>
      </c>
      <c r="K1478" s="3">
        <v>10319.01</v>
      </c>
      <c r="L1478" t="s">
        <v>25</v>
      </c>
      <c r="M1478" s="2">
        <v>46108</v>
      </c>
      <c r="N1478" s="2">
        <v>46106</v>
      </c>
      <c r="O1478" t="s">
        <v>76</v>
      </c>
      <c r="P1478" t="s">
        <v>115</v>
      </c>
      <c r="Q1478" t="s">
        <v>28</v>
      </c>
      <c r="R1478" t="s">
        <v>29</v>
      </c>
    </row>
    <row r="1479" spans="1:18">
      <c r="A1479" t="s">
        <v>1611</v>
      </c>
      <c r="B1479" s="2">
        <v>45896</v>
      </c>
      <c r="C1479" t="s">
        <v>37</v>
      </c>
      <c r="D1479" t="s">
        <v>38</v>
      </c>
      <c r="E1479" t="s">
        <v>39</v>
      </c>
      <c r="F1479" t="s">
        <v>22</v>
      </c>
      <c r="G1479" t="s">
        <v>160</v>
      </c>
      <c r="H1479" t="s">
        <v>161</v>
      </c>
      <c r="I1479">
        <v>10</v>
      </c>
      <c r="J1479" s="3">
        <v>3238.07</v>
      </c>
      <c r="K1479" s="3">
        <v>32380.7</v>
      </c>
      <c r="L1479" t="s">
        <v>25</v>
      </c>
      <c r="M1479" s="2">
        <v>45914</v>
      </c>
      <c r="N1479" s="2">
        <v>45913</v>
      </c>
      <c r="O1479" t="s">
        <v>26</v>
      </c>
      <c r="P1479" t="s">
        <v>44</v>
      </c>
      <c r="Q1479" t="s">
        <v>28</v>
      </c>
      <c r="R1479" t="s">
        <v>29</v>
      </c>
    </row>
    <row r="1480" spans="1:18">
      <c r="A1480" t="s">
        <v>1612</v>
      </c>
      <c r="B1480" s="2">
        <v>45672</v>
      </c>
      <c r="C1480" t="s">
        <v>147</v>
      </c>
      <c r="D1480" t="s">
        <v>148</v>
      </c>
      <c r="E1480" t="s">
        <v>112</v>
      </c>
      <c r="F1480" t="s">
        <v>40</v>
      </c>
      <c r="G1480" t="s">
        <v>149</v>
      </c>
      <c r="H1480" t="s">
        <v>150</v>
      </c>
      <c r="I1480">
        <v>58</v>
      </c>
      <c r="J1480" s="3">
        <v>1275.49</v>
      </c>
      <c r="K1480" s="3">
        <v>73978.42</v>
      </c>
      <c r="L1480" t="s">
        <v>25</v>
      </c>
      <c r="M1480" s="2">
        <v>45678</v>
      </c>
      <c r="N1480" s="2">
        <v>45688</v>
      </c>
      <c r="O1480" t="s">
        <v>43</v>
      </c>
      <c r="P1480" t="s">
        <v>115</v>
      </c>
      <c r="Q1480" t="s">
        <v>28</v>
      </c>
      <c r="R1480" t="s">
        <v>129</v>
      </c>
    </row>
    <row r="1481" spans="1:18">
      <c r="A1481" t="s">
        <v>1613</v>
      </c>
      <c r="B1481" s="2">
        <v>45740</v>
      </c>
      <c r="C1481" t="s">
        <v>19</v>
      </c>
      <c r="D1481" t="s">
        <v>20</v>
      </c>
      <c r="E1481" t="s">
        <v>39</v>
      </c>
      <c r="F1481" t="s">
        <v>22</v>
      </c>
      <c r="G1481" t="s">
        <v>160</v>
      </c>
      <c r="H1481" t="s">
        <v>161</v>
      </c>
      <c r="I1481">
        <v>5</v>
      </c>
      <c r="J1481" s="3">
        <v>3060.51</v>
      </c>
      <c r="K1481" s="3">
        <v>15302.55</v>
      </c>
      <c r="L1481" t="s">
        <v>25</v>
      </c>
      <c r="M1481" s="2">
        <v>45754</v>
      </c>
      <c r="N1481" s="2">
        <v>45758</v>
      </c>
      <c r="O1481" t="s">
        <v>60</v>
      </c>
      <c r="P1481" t="s">
        <v>64</v>
      </c>
      <c r="Q1481" t="s">
        <v>28</v>
      </c>
      <c r="R1481" t="s">
        <v>129</v>
      </c>
    </row>
    <row r="1482" spans="1:18">
      <c r="A1482" t="s">
        <v>1614</v>
      </c>
      <c r="B1482" s="2">
        <v>46043</v>
      </c>
      <c r="C1482" t="s">
        <v>134</v>
      </c>
      <c r="D1482" t="s">
        <v>135</v>
      </c>
      <c r="E1482" t="s">
        <v>112</v>
      </c>
      <c r="F1482" t="s">
        <v>40</v>
      </c>
      <c r="G1482" t="s">
        <v>149</v>
      </c>
      <c r="H1482" t="s">
        <v>150</v>
      </c>
      <c r="I1482">
        <v>32</v>
      </c>
      <c r="J1482" s="3">
        <v>1391.08</v>
      </c>
      <c r="K1482" s="3">
        <v>44514.559999999998</v>
      </c>
      <c r="L1482" t="s">
        <v>25</v>
      </c>
      <c r="M1482" s="2">
        <v>46051</v>
      </c>
      <c r="N1482" s="2">
        <v>46051</v>
      </c>
      <c r="O1482" t="s">
        <v>43</v>
      </c>
      <c r="P1482" t="s">
        <v>115</v>
      </c>
      <c r="Q1482" t="s">
        <v>28</v>
      </c>
      <c r="R1482" t="s">
        <v>29</v>
      </c>
    </row>
    <row r="1483" spans="1:18">
      <c r="A1483" t="s">
        <v>1615</v>
      </c>
      <c r="B1483" s="2">
        <v>45990</v>
      </c>
      <c r="C1483" t="s">
        <v>37</v>
      </c>
      <c r="D1483" t="s">
        <v>38</v>
      </c>
      <c r="E1483" t="s">
        <v>39</v>
      </c>
      <c r="F1483" t="s">
        <v>40</v>
      </c>
      <c r="G1483" t="s">
        <v>136</v>
      </c>
      <c r="H1483" t="s">
        <v>137</v>
      </c>
      <c r="I1483">
        <v>52</v>
      </c>
      <c r="J1483" s="3">
        <v>1790.79</v>
      </c>
      <c r="K1483" s="3">
        <v>93121.08</v>
      </c>
      <c r="L1483" t="s">
        <v>34</v>
      </c>
      <c r="M1483" s="2">
        <v>46004</v>
      </c>
      <c r="N1483" s="2">
        <v>46001</v>
      </c>
      <c r="O1483" t="s">
        <v>60</v>
      </c>
      <c r="P1483" t="s">
        <v>64</v>
      </c>
      <c r="Q1483" t="s">
        <v>28</v>
      </c>
      <c r="R1483" t="s">
        <v>29</v>
      </c>
    </row>
    <row r="1484" spans="1:18">
      <c r="A1484" t="s">
        <v>1616</v>
      </c>
      <c r="B1484" s="2">
        <v>45747</v>
      </c>
      <c r="C1484" t="s">
        <v>55</v>
      </c>
      <c r="D1484" t="s">
        <v>56</v>
      </c>
      <c r="E1484" t="s">
        <v>31</v>
      </c>
      <c r="F1484" t="s">
        <v>57</v>
      </c>
      <c r="G1484" t="s">
        <v>86</v>
      </c>
      <c r="H1484" t="s">
        <v>87</v>
      </c>
      <c r="I1484">
        <v>7</v>
      </c>
      <c r="J1484" s="3">
        <v>11664.15</v>
      </c>
      <c r="K1484" s="3">
        <v>81649.05</v>
      </c>
      <c r="L1484" t="s">
        <v>34</v>
      </c>
      <c r="M1484" s="2">
        <v>45752</v>
      </c>
      <c r="N1484" s="2">
        <v>45749</v>
      </c>
      <c r="O1484" t="s">
        <v>60</v>
      </c>
      <c r="P1484" t="s">
        <v>35</v>
      </c>
      <c r="Q1484" t="s">
        <v>28</v>
      </c>
      <c r="R1484" t="s">
        <v>29</v>
      </c>
    </row>
    <row r="1485" spans="1:18">
      <c r="A1485" t="s">
        <v>1617</v>
      </c>
      <c r="B1485" s="2">
        <v>45969</v>
      </c>
      <c r="C1485" t="s">
        <v>134</v>
      </c>
      <c r="D1485" t="s">
        <v>135</v>
      </c>
      <c r="E1485" t="s">
        <v>39</v>
      </c>
      <c r="F1485" t="s">
        <v>40</v>
      </c>
      <c r="G1485" t="s">
        <v>136</v>
      </c>
      <c r="H1485" t="s">
        <v>137</v>
      </c>
      <c r="I1485">
        <v>28</v>
      </c>
      <c r="J1485" s="3">
        <v>1677.05</v>
      </c>
      <c r="K1485" s="3">
        <v>46957.4</v>
      </c>
      <c r="L1485" t="s">
        <v>25</v>
      </c>
      <c r="M1485" s="2">
        <v>45974</v>
      </c>
      <c r="N1485" s="2">
        <v>45974</v>
      </c>
      <c r="O1485" t="s">
        <v>60</v>
      </c>
      <c r="P1485" t="s">
        <v>44</v>
      </c>
      <c r="Q1485" t="s">
        <v>28</v>
      </c>
      <c r="R1485" t="s">
        <v>29</v>
      </c>
    </row>
    <row r="1486" spans="1:18">
      <c r="A1486" t="s">
        <v>1618</v>
      </c>
      <c r="B1486" s="2">
        <v>45660</v>
      </c>
      <c r="C1486" t="s">
        <v>71</v>
      </c>
      <c r="D1486" t="s">
        <v>72</v>
      </c>
      <c r="E1486" t="s">
        <v>31</v>
      </c>
      <c r="F1486" t="s">
        <v>57</v>
      </c>
      <c r="G1486" t="s">
        <v>74</v>
      </c>
      <c r="H1486" t="s">
        <v>75</v>
      </c>
      <c r="I1486">
        <v>1</v>
      </c>
      <c r="J1486" s="3">
        <v>7790.86</v>
      </c>
      <c r="K1486" s="3">
        <v>7790.86</v>
      </c>
      <c r="L1486" t="s">
        <v>52</v>
      </c>
      <c r="M1486" s="2">
        <v>45673</v>
      </c>
      <c r="N1486" s="2">
        <v>45686</v>
      </c>
      <c r="O1486" t="s">
        <v>26</v>
      </c>
      <c r="P1486" t="s">
        <v>94</v>
      </c>
      <c r="Q1486" t="s">
        <v>28</v>
      </c>
      <c r="R1486" t="s">
        <v>129</v>
      </c>
    </row>
    <row r="1487" spans="1:18">
      <c r="A1487" t="s">
        <v>1619</v>
      </c>
      <c r="B1487" s="2">
        <v>45827</v>
      </c>
      <c r="C1487" t="s">
        <v>147</v>
      </c>
      <c r="D1487" t="s">
        <v>148</v>
      </c>
      <c r="E1487" t="s">
        <v>39</v>
      </c>
      <c r="F1487" t="s">
        <v>40</v>
      </c>
      <c r="G1487" t="s">
        <v>136</v>
      </c>
      <c r="H1487" t="s">
        <v>137</v>
      </c>
      <c r="I1487">
        <v>7</v>
      </c>
      <c r="J1487" s="3">
        <v>1554.6</v>
      </c>
      <c r="K1487" s="3">
        <v>10882.2</v>
      </c>
      <c r="L1487" t="s">
        <v>34</v>
      </c>
      <c r="M1487" s="2">
        <v>45836</v>
      </c>
      <c r="N1487" s="2">
        <v>45836</v>
      </c>
      <c r="O1487" t="s">
        <v>26</v>
      </c>
      <c r="P1487" t="s">
        <v>64</v>
      </c>
      <c r="Q1487" t="s">
        <v>28</v>
      </c>
      <c r="R1487" t="s">
        <v>29</v>
      </c>
    </row>
    <row r="1488" spans="1:18">
      <c r="A1488" t="s">
        <v>1620</v>
      </c>
      <c r="B1488" s="2">
        <v>45911</v>
      </c>
      <c r="C1488" t="s">
        <v>142</v>
      </c>
      <c r="D1488" t="s">
        <v>143</v>
      </c>
      <c r="E1488" t="s">
        <v>39</v>
      </c>
      <c r="F1488" t="s">
        <v>22</v>
      </c>
      <c r="G1488" t="s">
        <v>23</v>
      </c>
      <c r="H1488" t="s">
        <v>24</v>
      </c>
      <c r="I1488">
        <v>56</v>
      </c>
      <c r="J1488" s="3">
        <v>236.1</v>
      </c>
      <c r="K1488" s="3">
        <v>13221.6</v>
      </c>
      <c r="L1488" t="s">
        <v>25</v>
      </c>
      <c r="M1488" s="2">
        <v>45921</v>
      </c>
      <c r="N1488" s="2">
        <v>45919</v>
      </c>
      <c r="O1488" t="s">
        <v>43</v>
      </c>
      <c r="P1488" t="s">
        <v>1387</v>
      </c>
      <c r="Q1488" t="s">
        <v>28</v>
      </c>
      <c r="R1488" t="s">
        <v>29</v>
      </c>
    </row>
    <row r="1489" spans="1:18">
      <c r="A1489" t="s">
        <v>1621</v>
      </c>
      <c r="B1489" s="2">
        <v>45948</v>
      </c>
      <c r="C1489" t="s">
        <v>131</v>
      </c>
      <c r="D1489" t="s">
        <v>132</v>
      </c>
      <c r="E1489" t="s">
        <v>48</v>
      </c>
      <c r="F1489" t="s">
        <v>57</v>
      </c>
      <c r="G1489" t="s">
        <v>86</v>
      </c>
      <c r="H1489" t="s">
        <v>87</v>
      </c>
      <c r="I1489">
        <v>5</v>
      </c>
      <c r="J1489" s="3">
        <v>11564.29</v>
      </c>
      <c r="K1489" s="3">
        <v>57821.45</v>
      </c>
      <c r="L1489" t="s">
        <v>34</v>
      </c>
      <c r="M1489" s="2">
        <v>45964</v>
      </c>
      <c r="N1489" s="2">
        <v>45963</v>
      </c>
      <c r="O1489" t="s">
        <v>26</v>
      </c>
      <c r="P1489" t="s">
        <v>53</v>
      </c>
      <c r="Q1489" t="s">
        <v>28</v>
      </c>
      <c r="R1489" t="s">
        <v>29</v>
      </c>
    </row>
    <row r="1490" spans="1:18">
      <c r="A1490" t="s">
        <v>1622</v>
      </c>
      <c r="B1490" s="2">
        <v>45824</v>
      </c>
      <c r="C1490" t="s">
        <v>142</v>
      </c>
      <c r="D1490" t="s">
        <v>143</v>
      </c>
      <c r="E1490" t="s">
        <v>21</v>
      </c>
      <c r="F1490" t="s">
        <v>22</v>
      </c>
      <c r="G1490" t="s">
        <v>32</v>
      </c>
      <c r="H1490" t="s">
        <v>33</v>
      </c>
      <c r="I1490">
        <v>9</v>
      </c>
      <c r="J1490" s="3">
        <v>7493.08</v>
      </c>
      <c r="K1490" s="3">
        <v>67437.72</v>
      </c>
      <c r="L1490" t="s">
        <v>25</v>
      </c>
      <c r="M1490" s="2">
        <v>45829</v>
      </c>
      <c r="N1490" s="2">
        <v>45828</v>
      </c>
      <c r="O1490" t="s">
        <v>76</v>
      </c>
      <c r="P1490" t="s">
        <v>27</v>
      </c>
      <c r="Q1490" t="s">
        <v>28</v>
      </c>
      <c r="R1490" t="s">
        <v>29</v>
      </c>
    </row>
    <row r="1491" spans="1:18">
      <c r="A1491" t="s">
        <v>1623</v>
      </c>
      <c r="B1491" s="2">
        <v>45750</v>
      </c>
      <c r="C1491" t="s">
        <v>71</v>
      </c>
      <c r="D1491" t="s">
        <v>72</v>
      </c>
      <c r="E1491" t="s">
        <v>31</v>
      </c>
      <c r="F1491" t="s">
        <v>57</v>
      </c>
      <c r="G1491" t="s">
        <v>58</v>
      </c>
      <c r="H1491" t="s">
        <v>59</v>
      </c>
      <c r="I1491">
        <v>3</v>
      </c>
      <c r="J1491" s="3">
        <v>52987.67</v>
      </c>
      <c r="K1491" s="3">
        <v>158963.01</v>
      </c>
      <c r="L1491" t="s">
        <v>52</v>
      </c>
      <c r="M1491" s="2">
        <v>45755</v>
      </c>
      <c r="N1491" s="2">
        <v>45760</v>
      </c>
      <c r="O1491" t="s">
        <v>60</v>
      </c>
      <c r="P1491" t="s">
        <v>94</v>
      </c>
      <c r="Q1491" t="s">
        <v>28</v>
      </c>
      <c r="R1491" t="s">
        <v>129</v>
      </c>
    </row>
    <row r="1492" spans="1:18">
      <c r="A1492" t="s">
        <v>1624</v>
      </c>
      <c r="B1492" s="2">
        <v>45735</v>
      </c>
      <c r="C1492" t="s">
        <v>104</v>
      </c>
      <c r="D1492" t="s">
        <v>105</v>
      </c>
      <c r="E1492" t="s">
        <v>21</v>
      </c>
      <c r="F1492" t="s">
        <v>49</v>
      </c>
      <c r="G1492" t="s">
        <v>165</v>
      </c>
      <c r="H1492" t="s">
        <v>166</v>
      </c>
      <c r="I1492">
        <v>2</v>
      </c>
      <c r="J1492" s="3">
        <v>46870.98</v>
      </c>
      <c r="K1492" s="3">
        <v>93741.96</v>
      </c>
      <c r="L1492" t="s">
        <v>34</v>
      </c>
      <c r="M1492" s="2">
        <v>45742</v>
      </c>
      <c r="N1492" s="2">
        <v>45740</v>
      </c>
      <c r="O1492" t="s">
        <v>26</v>
      </c>
      <c r="P1492" t="s">
        <v>27</v>
      </c>
      <c r="Q1492" t="s">
        <v>28</v>
      </c>
      <c r="R1492" t="s">
        <v>29</v>
      </c>
    </row>
    <row r="1493" spans="1:18">
      <c r="A1493" t="s">
        <v>1625</v>
      </c>
      <c r="B1493" s="2">
        <v>46008</v>
      </c>
      <c r="C1493" t="s">
        <v>71</v>
      </c>
      <c r="D1493" t="s">
        <v>72</v>
      </c>
      <c r="E1493" t="s">
        <v>48</v>
      </c>
      <c r="F1493" t="s">
        <v>57</v>
      </c>
      <c r="G1493" t="s">
        <v>86</v>
      </c>
      <c r="H1493" t="s">
        <v>87</v>
      </c>
      <c r="I1493">
        <v>4</v>
      </c>
      <c r="J1493" s="3">
        <v>9854.0499999999993</v>
      </c>
      <c r="K1493" s="3">
        <v>39416.199999999997</v>
      </c>
      <c r="L1493" t="s">
        <v>34</v>
      </c>
      <c r="M1493" s="2">
        <v>46014</v>
      </c>
      <c r="N1493" s="2">
        <v>46013</v>
      </c>
      <c r="O1493" t="s">
        <v>26</v>
      </c>
      <c r="P1493" t="s">
        <v>53</v>
      </c>
      <c r="Q1493" t="s">
        <v>28</v>
      </c>
      <c r="R1493" t="s">
        <v>29</v>
      </c>
    </row>
    <row r="1494" spans="1:18">
      <c r="A1494" t="s">
        <v>1626</v>
      </c>
      <c r="B1494" s="2">
        <v>45938</v>
      </c>
      <c r="C1494" t="s">
        <v>80</v>
      </c>
      <c r="D1494" t="s">
        <v>81</v>
      </c>
      <c r="E1494" t="s">
        <v>39</v>
      </c>
      <c r="F1494" t="s">
        <v>82</v>
      </c>
      <c r="G1494" t="s">
        <v>197</v>
      </c>
      <c r="H1494" t="s">
        <v>198</v>
      </c>
      <c r="I1494">
        <v>11</v>
      </c>
      <c r="J1494" s="3">
        <v>1960.42</v>
      </c>
      <c r="K1494" s="3">
        <v>21564.62</v>
      </c>
      <c r="L1494" t="s">
        <v>25</v>
      </c>
      <c r="M1494" s="2">
        <v>45945</v>
      </c>
      <c r="N1494" s="2">
        <v>45942</v>
      </c>
      <c r="O1494" t="s">
        <v>26</v>
      </c>
      <c r="P1494" t="s">
        <v>64</v>
      </c>
      <c r="Q1494" t="s">
        <v>28</v>
      </c>
      <c r="R1494" t="s">
        <v>29</v>
      </c>
    </row>
    <row r="1495" spans="1:18">
      <c r="A1495" t="s">
        <v>1627</v>
      </c>
      <c r="B1495" s="2">
        <v>45662</v>
      </c>
      <c r="C1495" t="s">
        <v>80</v>
      </c>
      <c r="D1495" t="s">
        <v>81</v>
      </c>
      <c r="E1495" t="s">
        <v>39</v>
      </c>
      <c r="F1495" t="s">
        <v>82</v>
      </c>
      <c r="G1495" t="s">
        <v>197</v>
      </c>
      <c r="H1495" t="s">
        <v>198</v>
      </c>
      <c r="I1495">
        <v>13</v>
      </c>
      <c r="J1495" s="3">
        <v>1971.83</v>
      </c>
      <c r="K1495" s="3">
        <v>25633.79</v>
      </c>
      <c r="L1495" t="s">
        <v>34</v>
      </c>
      <c r="M1495" s="2">
        <v>45671</v>
      </c>
      <c r="N1495" s="2">
        <v>45675</v>
      </c>
      <c r="O1495" t="s">
        <v>43</v>
      </c>
      <c r="P1495" t="s">
        <v>44</v>
      </c>
      <c r="Q1495" t="s">
        <v>28</v>
      </c>
      <c r="R1495" t="s">
        <v>129</v>
      </c>
    </row>
    <row r="1496" spans="1:18">
      <c r="A1496" t="s">
        <v>1628</v>
      </c>
      <c r="B1496" s="2">
        <v>46021</v>
      </c>
      <c r="C1496" t="s">
        <v>19</v>
      </c>
      <c r="D1496" t="s">
        <v>20</v>
      </c>
      <c r="E1496" t="s">
        <v>39</v>
      </c>
      <c r="F1496" t="s">
        <v>22</v>
      </c>
      <c r="G1496" t="s">
        <v>32</v>
      </c>
      <c r="H1496" t="s">
        <v>33</v>
      </c>
      <c r="I1496">
        <v>11</v>
      </c>
      <c r="J1496" s="3">
        <v>7029.37</v>
      </c>
      <c r="K1496" s="3">
        <v>77323.070000000007</v>
      </c>
      <c r="L1496" t="s">
        <v>25</v>
      </c>
      <c r="M1496" s="2">
        <v>46027</v>
      </c>
      <c r="N1496" s="2">
        <v>46027</v>
      </c>
      <c r="O1496" t="s">
        <v>60</v>
      </c>
      <c r="P1496" t="s">
        <v>44</v>
      </c>
      <c r="Q1496" t="s">
        <v>28</v>
      </c>
      <c r="R1496" t="s">
        <v>29</v>
      </c>
    </row>
    <row r="1497" spans="1:18">
      <c r="A1497" t="s">
        <v>1629</v>
      </c>
      <c r="B1497" s="2">
        <v>46130</v>
      </c>
      <c r="C1497" t="s">
        <v>71</v>
      </c>
      <c r="D1497" t="s">
        <v>72</v>
      </c>
      <c r="E1497" t="s">
        <v>21</v>
      </c>
      <c r="F1497" t="s">
        <v>57</v>
      </c>
      <c r="G1497" t="s">
        <v>86</v>
      </c>
      <c r="H1497" t="s">
        <v>87</v>
      </c>
      <c r="I1497">
        <v>3</v>
      </c>
      <c r="J1497" s="3">
        <v>10464.25</v>
      </c>
      <c r="K1497" s="3">
        <v>31392.75</v>
      </c>
      <c r="L1497" t="s">
        <v>34</v>
      </c>
      <c r="M1497" s="2">
        <v>46137</v>
      </c>
      <c r="N1497" s="2">
        <v>46136</v>
      </c>
      <c r="O1497" t="s">
        <v>76</v>
      </c>
      <c r="P1497" t="s">
        <v>27</v>
      </c>
      <c r="Q1497" t="s">
        <v>28</v>
      </c>
      <c r="R1497" t="s">
        <v>29</v>
      </c>
    </row>
    <row r="1498" spans="1:18">
      <c r="A1498" t="s">
        <v>1630</v>
      </c>
      <c r="B1498" s="2">
        <v>45770</v>
      </c>
      <c r="C1498" t="s">
        <v>71</v>
      </c>
      <c r="D1498" t="s">
        <v>72</v>
      </c>
      <c r="E1498" t="s">
        <v>48</v>
      </c>
      <c r="F1498" t="s">
        <v>57</v>
      </c>
      <c r="G1498" t="s">
        <v>58</v>
      </c>
      <c r="H1498" t="s">
        <v>59</v>
      </c>
      <c r="I1498">
        <v>1</v>
      </c>
      <c r="J1498" s="3">
        <v>53420.22</v>
      </c>
      <c r="K1498" s="3">
        <v>53420.22</v>
      </c>
      <c r="L1498" t="s">
        <v>34</v>
      </c>
      <c r="M1498" s="2">
        <v>45781</v>
      </c>
      <c r="N1498" s="2">
        <v>45778</v>
      </c>
      <c r="O1498" t="s">
        <v>26</v>
      </c>
      <c r="P1498" t="s">
        <v>53</v>
      </c>
      <c r="Q1498" t="s">
        <v>28</v>
      </c>
      <c r="R1498" t="s">
        <v>29</v>
      </c>
    </row>
    <row r="1499" spans="1:18">
      <c r="A1499" t="s">
        <v>1631</v>
      </c>
      <c r="B1499" s="2">
        <v>46098</v>
      </c>
      <c r="C1499" t="s">
        <v>117</v>
      </c>
      <c r="D1499" t="s">
        <v>118</v>
      </c>
      <c r="E1499" t="s">
        <v>21</v>
      </c>
      <c r="F1499" t="s">
        <v>57</v>
      </c>
      <c r="G1499" t="s">
        <v>101</v>
      </c>
      <c r="H1499" t="s">
        <v>102</v>
      </c>
      <c r="I1499">
        <v>39</v>
      </c>
      <c r="J1499" s="3">
        <v>1816.72</v>
      </c>
      <c r="K1499" s="3">
        <v>70852.08</v>
      </c>
      <c r="L1499" t="s">
        <v>25</v>
      </c>
      <c r="M1499" s="2">
        <v>46113</v>
      </c>
      <c r="N1499" s="2">
        <v>46110</v>
      </c>
      <c r="O1499" t="s">
        <v>76</v>
      </c>
      <c r="P1499" t="s">
        <v>27</v>
      </c>
      <c r="Q1499" t="s">
        <v>28</v>
      </c>
      <c r="R1499" t="s">
        <v>29</v>
      </c>
    </row>
    <row r="1500" spans="1:18">
      <c r="A1500" t="s">
        <v>1632</v>
      </c>
      <c r="B1500" s="2">
        <v>46197</v>
      </c>
      <c r="C1500" t="s">
        <v>71</v>
      </c>
      <c r="D1500" t="s">
        <v>72</v>
      </c>
      <c r="E1500" t="s">
        <v>48</v>
      </c>
      <c r="F1500" t="s">
        <v>57</v>
      </c>
      <c r="G1500" t="s">
        <v>58</v>
      </c>
      <c r="H1500" t="s">
        <v>59</v>
      </c>
      <c r="I1500">
        <v>8</v>
      </c>
      <c r="J1500" s="3">
        <v>54510.2</v>
      </c>
      <c r="K1500" s="3">
        <v>436081.6</v>
      </c>
      <c r="L1500" t="s">
        <v>25</v>
      </c>
      <c r="M1500" s="2">
        <v>46204</v>
      </c>
      <c r="N1500" s="2"/>
      <c r="O1500" t="s">
        <v>60</v>
      </c>
      <c r="P1500" t="s">
        <v>53</v>
      </c>
      <c r="Q1500" t="s">
        <v>167</v>
      </c>
      <c r="R1500" t="s">
        <v>167</v>
      </c>
    </row>
    <row r="1501" spans="1:18">
      <c r="A1501" t="s">
        <v>1633</v>
      </c>
      <c r="B1501" s="2">
        <v>45830</v>
      </c>
      <c r="C1501" t="s">
        <v>46</v>
      </c>
      <c r="D1501" t="s">
        <v>47</v>
      </c>
      <c r="E1501" t="s">
        <v>112</v>
      </c>
      <c r="F1501" t="s">
        <v>49</v>
      </c>
      <c r="G1501" t="s">
        <v>165</v>
      </c>
      <c r="H1501" t="s">
        <v>166</v>
      </c>
      <c r="I1501">
        <v>3</v>
      </c>
      <c r="J1501" s="3">
        <v>46136.1</v>
      </c>
      <c r="K1501" s="3">
        <v>138408.29999999999</v>
      </c>
      <c r="L1501" t="s">
        <v>25</v>
      </c>
      <c r="M1501" s="2">
        <v>45841</v>
      </c>
      <c r="N1501" s="2">
        <v>45840</v>
      </c>
      <c r="O1501" t="s">
        <v>76</v>
      </c>
      <c r="P1501" t="s">
        <v>115</v>
      </c>
      <c r="Q1501" t="s">
        <v>28</v>
      </c>
      <c r="R1501" t="s">
        <v>29</v>
      </c>
    </row>
    <row r="1502" spans="1:18">
      <c r="A1502" t="s">
        <v>1634</v>
      </c>
      <c r="B1502" s="2">
        <v>45766</v>
      </c>
      <c r="C1502" t="s">
        <v>71</v>
      </c>
      <c r="D1502" t="s">
        <v>72</v>
      </c>
      <c r="E1502" t="s">
        <v>21</v>
      </c>
      <c r="F1502" t="s">
        <v>57</v>
      </c>
      <c r="G1502" t="s">
        <v>120</v>
      </c>
      <c r="H1502" t="s">
        <v>121</v>
      </c>
      <c r="I1502">
        <v>5</v>
      </c>
      <c r="J1502" s="3">
        <v>21050.84</v>
      </c>
      <c r="K1502" s="3">
        <v>105254.2</v>
      </c>
      <c r="L1502" t="s">
        <v>25</v>
      </c>
      <c r="M1502" s="2">
        <v>45778</v>
      </c>
      <c r="N1502" s="2">
        <v>45786</v>
      </c>
      <c r="O1502" t="s">
        <v>76</v>
      </c>
      <c r="P1502" t="s">
        <v>27</v>
      </c>
      <c r="Q1502" t="s">
        <v>28</v>
      </c>
      <c r="R1502" t="s">
        <v>129</v>
      </c>
    </row>
    <row r="1503" spans="1:18">
      <c r="A1503" t="s">
        <v>1635</v>
      </c>
      <c r="B1503" s="2">
        <v>45671</v>
      </c>
      <c r="C1503" t="s">
        <v>37</v>
      </c>
      <c r="D1503" t="s">
        <v>38</v>
      </c>
      <c r="E1503" t="s">
        <v>112</v>
      </c>
      <c r="F1503" t="s">
        <v>22</v>
      </c>
      <c r="G1503" t="s">
        <v>23</v>
      </c>
      <c r="H1503" t="s">
        <v>24</v>
      </c>
      <c r="I1503">
        <v>41</v>
      </c>
      <c r="J1503" s="3">
        <v>268.94</v>
      </c>
      <c r="K1503" s="3">
        <v>11026.54</v>
      </c>
      <c r="L1503" t="s">
        <v>34</v>
      </c>
      <c r="M1503" s="2">
        <v>45685</v>
      </c>
      <c r="N1503" s="2">
        <v>45685</v>
      </c>
      <c r="O1503" t="s">
        <v>60</v>
      </c>
      <c r="P1503" t="s">
        <v>115</v>
      </c>
      <c r="Q1503" t="s">
        <v>28</v>
      </c>
      <c r="R1503" t="s">
        <v>29</v>
      </c>
    </row>
    <row r="1504" spans="1:18">
      <c r="A1504" t="s">
        <v>1636</v>
      </c>
      <c r="B1504" s="2">
        <v>46112</v>
      </c>
      <c r="C1504" t="s">
        <v>37</v>
      </c>
      <c r="D1504" t="s">
        <v>38</v>
      </c>
      <c r="E1504" t="s">
        <v>73</v>
      </c>
      <c r="F1504" t="s">
        <v>22</v>
      </c>
      <c r="G1504" t="s">
        <v>160</v>
      </c>
      <c r="H1504" t="s">
        <v>161</v>
      </c>
      <c r="I1504">
        <v>14</v>
      </c>
      <c r="J1504" s="3">
        <v>3506.22</v>
      </c>
      <c r="K1504" s="3">
        <v>49087.08</v>
      </c>
      <c r="L1504" t="s">
        <v>25</v>
      </c>
      <c r="M1504" s="2">
        <v>46130</v>
      </c>
      <c r="N1504" s="2">
        <v>46141</v>
      </c>
      <c r="O1504" t="s">
        <v>26</v>
      </c>
      <c r="P1504" t="s">
        <v>77</v>
      </c>
      <c r="Q1504" t="s">
        <v>28</v>
      </c>
      <c r="R1504" t="s">
        <v>129</v>
      </c>
    </row>
    <row r="1505" spans="1:18">
      <c r="A1505" t="s">
        <v>1637</v>
      </c>
      <c r="B1505" s="2">
        <v>45726</v>
      </c>
      <c r="C1505" t="s">
        <v>19</v>
      </c>
      <c r="D1505" t="s">
        <v>20</v>
      </c>
      <c r="E1505" t="s">
        <v>21</v>
      </c>
      <c r="F1505" t="s">
        <v>22</v>
      </c>
      <c r="G1505" t="s">
        <v>23</v>
      </c>
      <c r="H1505" t="s">
        <v>24</v>
      </c>
      <c r="I1505">
        <v>8</v>
      </c>
      <c r="J1505" s="3">
        <v>231.34</v>
      </c>
      <c r="K1505" s="3">
        <v>1850.72</v>
      </c>
      <c r="L1505" t="s">
        <v>25</v>
      </c>
      <c r="M1505" s="2">
        <v>45742</v>
      </c>
      <c r="N1505" s="2">
        <v>45741</v>
      </c>
      <c r="O1505" t="s">
        <v>26</v>
      </c>
      <c r="P1505" t="s">
        <v>27</v>
      </c>
      <c r="Q1505" t="s">
        <v>28</v>
      </c>
      <c r="R1505" t="s">
        <v>29</v>
      </c>
    </row>
    <row r="1506" spans="1:18">
      <c r="A1506" t="s">
        <v>1638</v>
      </c>
      <c r="B1506" s="2">
        <v>45795</v>
      </c>
      <c r="C1506" t="s">
        <v>131</v>
      </c>
      <c r="D1506" t="s">
        <v>132</v>
      </c>
      <c r="E1506" t="s">
        <v>48</v>
      </c>
      <c r="F1506" t="s">
        <v>57</v>
      </c>
      <c r="G1506" t="s">
        <v>101</v>
      </c>
      <c r="H1506" t="s">
        <v>102</v>
      </c>
      <c r="I1506">
        <v>59</v>
      </c>
      <c r="J1506" s="3">
        <v>1849.26</v>
      </c>
      <c r="K1506" s="3">
        <v>109106.34</v>
      </c>
      <c r="L1506" t="s">
        <v>52</v>
      </c>
      <c r="M1506" s="2">
        <v>45800</v>
      </c>
      <c r="N1506" s="2">
        <v>45797</v>
      </c>
      <c r="O1506" t="s">
        <v>26</v>
      </c>
      <c r="P1506" t="s">
        <v>53</v>
      </c>
      <c r="Q1506" t="s">
        <v>28</v>
      </c>
      <c r="R1506" t="s">
        <v>29</v>
      </c>
    </row>
    <row r="1507" spans="1:18">
      <c r="A1507" t="s">
        <v>1639</v>
      </c>
      <c r="B1507" s="2">
        <v>45986</v>
      </c>
      <c r="C1507" t="s">
        <v>71</v>
      </c>
      <c r="D1507" t="s">
        <v>72</v>
      </c>
      <c r="E1507" t="s">
        <v>73</v>
      </c>
      <c r="F1507" t="s">
        <v>57</v>
      </c>
      <c r="G1507" t="s">
        <v>120</v>
      </c>
      <c r="H1507" t="s">
        <v>121</v>
      </c>
      <c r="I1507">
        <v>8</v>
      </c>
      <c r="J1507" s="3">
        <v>21204.91</v>
      </c>
      <c r="K1507" s="3">
        <v>169639.28</v>
      </c>
      <c r="L1507" t="s">
        <v>25</v>
      </c>
      <c r="M1507" s="2">
        <v>45997</v>
      </c>
      <c r="N1507" s="2">
        <v>45994</v>
      </c>
      <c r="O1507" t="s">
        <v>76</v>
      </c>
      <c r="P1507" t="s">
        <v>77</v>
      </c>
      <c r="Q1507" t="s">
        <v>28</v>
      </c>
      <c r="R1507" t="s">
        <v>29</v>
      </c>
    </row>
    <row r="1508" spans="1:18">
      <c r="A1508" t="s">
        <v>1640</v>
      </c>
      <c r="B1508" s="2">
        <v>45673</v>
      </c>
      <c r="C1508" t="s">
        <v>142</v>
      </c>
      <c r="D1508" t="s">
        <v>143</v>
      </c>
      <c r="E1508" t="s">
        <v>39</v>
      </c>
      <c r="F1508" t="s">
        <v>22</v>
      </c>
      <c r="G1508" t="s">
        <v>23</v>
      </c>
      <c r="H1508" t="s">
        <v>24</v>
      </c>
      <c r="I1508">
        <v>57</v>
      </c>
      <c r="J1508" s="3">
        <v>237.19</v>
      </c>
      <c r="K1508" s="3">
        <v>13519.83</v>
      </c>
      <c r="L1508" t="s">
        <v>34</v>
      </c>
      <c r="M1508" s="2">
        <v>45684</v>
      </c>
      <c r="N1508" s="2">
        <v>45683</v>
      </c>
      <c r="O1508" t="s">
        <v>26</v>
      </c>
      <c r="P1508" t="s">
        <v>64</v>
      </c>
      <c r="Q1508" t="s">
        <v>28</v>
      </c>
      <c r="R1508" t="s">
        <v>29</v>
      </c>
    </row>
    <row r="1509" spans="1:18">
      <c r="A1509" t="s">
        <v>1641</v>
      </c>
      <c r="B1509" s="2">
        <v>46078</v>
      </c>
      <c r="C1509" t="s">
        <v>142</v>
      </c>
      <c r="D1509" t="s">
        <v>143</v>
      </c>
      <c r="E1509" t="s">
        <v>31</v>
      </c>
      <c r="F1509" t="s">
        <v>22</v>
      </c>
      <c r="G1509" t="s">
        <v>160</v>
      </c>
      <c r="H1509" t="s">
        <v>161</v>
      </c>
      <c r="I1509">
        <v>7</v>
      </c>
      <c r="J1509" s="3">
        <v>3050.41</v>
      </c>
      <c r="K1509" s="3">
        <v>21352.87</v>
      </c>
      <c r="L1509" t="s">
        <v>34</v>
      </c>
      <c r="M1509" s="2">
        <v>46087</v>
      </c>
      <c r="N1509" s="2">
        <v>46086</v>
      </c>
      <c r="O1509" t="s">
        <v>60</v>
      </c>
      <c r="P1509" t="s">
        <v>35</v>
      </c>
      <c r="Q1509" t="s">
        <v>28</v>
      </c>
      <c r="R1509" t="s">
        <v>29</v>
      </c>
    </row>
    <row r="1510" spans="1:18">
      <c r="A1510" t="s">
        <v>1642</v>
      </c>
      <c r="B1510" s="2">
        <v>45952</v>
      </c>
      <c r="C1510" t="s">
        <v>104</v>
      </c>
      <c r="D1510" t="s">
        <v>105</v>
      </c>
      <c r="E1510" t="s">
        <v>48</v>
      </c>
      <c r="F1510" t="s">
        <v>49</v>
      </c>
      <c r="G1510" t="s">
        <v>50</v>
      </c>
      <c r="H1510" t="s">
        <v>51</v>
      </c>
      <c r="I1510">
        <v>2</v>
      </c>
      <c r="J1510" s="3">
        <v>53001.74</v>
      </c>
      <c r="K1510" s="3">
        <v>106003.48</v>
      </c>
      <c r="L1510" t="s">
        <v>52</v>
      </c>
      <c r="M1510" s="2">
        <v>45965</v>
      </c>
      <c r="N1510" s="2">
        <v>45962</v>
      </c>
      <c r="O1510" t="s">
        <v>43</v>
      </c>
      <c r="P1510" t="s">
        <v>53</v>
      </c>
      <c r="Q1510" t="s">
        <v>28</v>
      </c>
      <c r="R1510" t="s">
        <v>29</v>
      </c>
    </row>
    <row r="1511" spans="1:18">
      <c r="A1511" t="s">
        <v>1643</v>
      </c>
      <c r="B1511" s="2">
        <v>45957</v>
      </c>
      <c r="C1511" t="s">
        <v>147</v>
      </c>
      <c r="D1511" t="s">
        <v>148</v>
      </c>
      <c r="E1511" t="s">
        <v>112</v>
      </c>
      <c r="F1511" t="s">
        <v>40</v>
      </c>
      <c r="G1511" t="s">
        <v>62</v>
      </c>
      <c r="H1511" t="s">
        <v>63</v>
      </c>
      <c r="I1511">
        <v>6</v>
      </c>
      <c r="J1511" s="3">
        <v>17806.25</v>
      </c>
      <c r="K1511" s="3">
        <v>106837.5</v>
      </c>
      <c r="L1511" t="s">
        <v>25</v>
      </c>
      <c r="M1511" s="2">
        <v>45963</v>
      </c>
      <c r="N1511" s="2">
        <v>45960</v>
      </c>
      <c r="O1511" t="s">
        <v>43</v>
      </c>
      <c r="P1511" t="s">
        <v>115</v>
      </c>
      <c r="Q1511" t="s">
        <v>28</v>
      </c>
      <c r="R1511" t="s">
        <v>29</v>
      </c>
    </row>
    <row r="1512" spans="1:18">
      <c r="A1512" t="s">
        <v>1644</v>
      </c>
      <c r="B1512" s="2">
        <v>45851</v>
      </c>
      <c r="C1512" t="s">
        <v>55</v>
      </c>
      <c r="D1512" t="s">
        <v>56</v>
      </c>
      <c r="E1512" t="s">
        <v>48</v>
      </c>
      <c r="F1512" t="s">
        <v>57</v>
      </c>
      <c r="G1512" t="s">
        <v>86</v>
      </c>
      <c r="H1512" t="s">
        <v>87</v>
      </c>
      <c r="I1512">
        <v>5</v>
      </c>
      <c r="J1512" s="3">
        <v>11850.78</v>
      </c>
      <c r="K1512" s="3">
        <v>59253.9</v>
      </c>
      <c r="L1512" t="s">
        <v>34</v>
      </c>
      <c r="M1512" s="2">
        <v>45860</v>
      </c>
      <c r="N1512" s="2">
        <v>45860</v>
      </c>
      <c r="O1512" t="s">
        <v>26</v>
      </c>
      <c r="P1512" t="s">
        <v>53</v>
      </c>
      <c r="Q1512" t="s">
        <v>28</v>
      </c>
      <c r="R1512" t="s">
        <v>29</v>
      </c>
    </row>
    <row r="1513" spans="1:18">
      <c r="A1513" t="s">
        <v>1645</v>
      </c>
      <c r="B1513" s="2">
        <v>45933</v>
      </c>
      <c r="C1513" t="s">
        <v>71</v>
      </c>
      <c r="D1513" t="s">
        <v>72</v>
      </c>
      <c r="E1513" t="s">
        <v>48</v>
      </c>
      <c r="F1513" t="s">
        <v>57</v>
      </c>
      <c r="G1513" t="s">
        <v>127</v>
      </c>
      <c r="H1513" t="s">
        <v>128</v>
      </c>
      <c r="I1513">
        <v>8</v>
      </c>
      <c r="J1513" s="3">
        <v>15464.33</v>
      </c>
      <c r="K1513" s="3">
        <v>123714.64</v>
      </c>
      <c r="L1513" t="s">
        <v>25</v>
      </c>
      <c r="M1513" s="2">
        <v>45947</v>
      </c>
      <c r="N1513" s="2">
        <v>45947</v>
      </c>
      <c r="O1513" t="s">
        <v>76</v>
      </c>
      <c r="P1513" t="s">
        <v>53</v>
      </c>
      <c r="Q1513" t="s">
        <v>28</v>
      </c>
      <c r="R1513" t="s">
        <v>29</v>
      </c>
    </row>
    <row r="1514" spans="1:18">
      <c r="A1514" t="s">
        <v>1646</v>
      </c>
      <c r="B1514" s="2">
        <v>45888</v>
      </c>
      <c r="C1514" t="s">
        <v>104</v>
      </c>
      <c r="D1514" t="s">
        <v>105</v>
      </c>
      <c r="E1514" t="s">
        <v>48</v>
      </c>
      <c r="F1514" t="s">
        <v>49</v>
      </c>
      <c r="G1514" t="s">
        <v>113</v>
      </c>
      <c r="H1514" t="s">
        <v>114</v>
      </c>
      <c r="I1514">
        <v>1</v>
      </c>
      <c r="J1514" s="3">
        <v>38079.230000000003</v>
      </c>
      <c r="K1514" s="3">
        <v>38079.230000000003</v>
      </c>
      <c r="L1514" t="s">
        <v>25</v>
      </c>
      <c r="M1514" s="2">
        <v>45901</v>
      </c>
      <c r="N1514" s="2">
        <v>45899</v>
      </c>
      <c r="O1514" t="s">
        <v>43</v>
      </c>
      <c r="P1514" t="s">
        <v>53</v>
      </c>
      <c r="Q1514" t="s">
        <v>28</v>
      </c>
      <c r="R1514" t="s">
        <v>29</v>
      </c>
    </row>
    <row r="1515" spans="1:18">
      <c r="A1515" t="s">
        <v>1647</v>
      </c>
      <c r="B1515" s="2">
        <v>46005</v>
      </c>
      <c r="C1515" t="s">
        <v>104</v>
      </c>
      <c r="D1515" t="s">
        <v>105</v>
      </c>
      <c r="E1515" t="s">
        <v>112</v>
      </c>
      <c r="F1515" t="s">
        <v>49</v>
      </c>
      <c r="G1515" t="s">
        <v>165</v>
      </c>
      <c r="H1515" t="s">
        <v>166</v>
      </c>
      <c r="I1515">
        <v>1</v>
      </c>
      <c r="J1515" s="3">
        <v>47021.61</v>
      </c>
      <c r="K1515" s="3">
        <v>47021.61</v>
      </c>
      <c r="L1515" t="s">
        <v>25</v>
      </c>
      <c r="M1515" s="2">
        <v>46011</v>
      </c>
      <c r="N1515" s="2">
        <v>46009</v>
      </c>
      <c r="O1515" t="s">
        <v>43</v>
      </c>
      <c r="P1515" t="s">
        <v>115</v>
      </c>
      <c r="Q1515" t="s">
        <v>28</v>
      </c>
      <c r="R1515" t="s">
        <v>29</v>
      </c>
    </row>
    <row r="1516" spans="1:18">
      <c r="A1516" t="s">
        <v>1648</v>
      </c>
      <c r="B1516" s="2">
        <v>45883</v>
      </c>
      <c r="C1516" t="s">
        <v>96</v>
      </c>
      <c r="D1516" t="s">
        <v>97</v>
      </c>
      <c r="E1516" t="s">
        <v>39</v>
      </c>
      <c r="F1516" t="s">
        <v>82</v>
      </c>
      <c r="G1516" t="s">
        <v>98</v>
      </c>
      <c r="H1516" t="s">
        <v>99</v>
      </c>
      <c r="I1516">
        <v>46</v>
      </c>
      <c r="J1516" s="3">
        <v>1166.1300000000001</v>
      </c>
      <c r="K1516" s="3">
        <v>53641.98</v>
      </c>
      <c r="L1516" t="s">
        <v>25</v>
      </c>
      <c r="M1516" s="2">
        <v>45898</v>
      </c>
      <c r="N1516" s="2">
        <v>45898</v>
      </c>
      <c r="O1516" t="s">
        <v>60</v>
      </c>
      <c r="P1516" t="s">
        <v>44</v>
      </c>
      <c r="Q1516" t="s">
        <v>28</v>
      </c>
      <c r="R1516" t="s">
        <v>29</v>
      </c>
    </row>
    <row r="1517" spans="1:18">
      <c r="A1517" t="s">
        <v>1649</v>
      </c>
      <c r="B1517" s="2">
        <v>45940</v>
      </c>
      <c r="C1517" t="s">
        <v>96</v>
      </c>
      <c r="D1517" t="s">
        <v>97</v>
      </c>
      <c r="E1517" t="s">
        <v>39</v>
      </c>
      <c r="F1517" t="s">
        <v>82</v>
      </c>
      <c r="G1517" t="s">
        <v>98</v>
      </c>
      <c r="H1517" t="s">
        <v>99</v>
      </c>
      <c r="I1517">
        <v>58</v>
      </c>
      <c r="J1517" s="3">
        <v>1193.7</v>
      </c>
      <c r="K1517" s="3">
        <v>69234.600000000006</v>
      </c>
      <c r="L1517" t="s">
        <v>52</v>
      </c>
      <c r="M1517" s="2">
        <v>45955</v>
      </c>
      <c r="N1517" s="2">
        <v>45953</v>
      </c>
      <c r="O1517" t="s">
        <v>76</v>
      </c>
      <c r="P1517" t="s">
        <v>44</v>
      </c>
      <c r="Q1517" t="s">
        <v>28</v>
      </c>
      <c r="R1517" t="s">
        <v>29</v>
      </c>
    </row>
    <row r="1518" spans="1:18">
      <c r="A1518" t="s">
        <v>1650</v>
      </c>
      <c r="B1518" s="2">
        <v>46136</v>
      </c>
      <c r="C1518" t="s">
        <v>19</v>
      </c>
      <c r="D1518" t="s">
        <v>20</v>
      </c>
      <c r="E1518" t="s">
        <v>112</v>
      </c>
      <c r="F1518" t="s">
        <v>22</v>
      </c>
      <c r="G1518" t="s">
        <v>160</v>
      </c>
      <c r="H1518" t="s">
        <v>161</v>
      </c>
      <c r="I1518">
        <v>13</v>
      </c>
      <c r="J1518" s="3">
        <v>3207.19</v>
      </c>
      <c r="K1518" s="3">
        <v>41693.47</v>
      </c>
      <c r="L1518" t="s">
        <v>52</v>
      </c>
      <c r="M1518" s="2">
        <v>46142</v>
      </c>
      <c r="N1518" s="2">
        <v>46140</v>
      </c>
      <c r="O1518" t="s">
        <v>43</v>
      </c>
      <c r="P1518" t="s">
        <v>115</v>
      </c>
      <c r="Q1518" t="s">
        <v>28</v>
      </c>
      <c r="R1518" t="s">
        <v>29</v>
      </c>
    </row>
    <row r="1519" spans="1:18">
      <c r="A1519" t="s">
        <v>1651</v>
      </c>
      <c r="B1519" s="2">
        <v>45810</v>
      </c>
      <c r="C1519" t="s">
        <v>37</v>
      </c>
      <c r="D1519" t="s">
        <v>38</v>
      </c>
      <c r="E1519" t="s">
        <v>112</v>
      </c>
      <c r="F1519" t="s">
        <v>22</v>
      </c>
      <c r="G1519" t="s">
        <v>32</v>
      </c>
      <c r="H1519" t="s">
        <v>33</v>
      </c>
      <c r="I1519">
        <v>9</v>
      </c>
      <c r="J1519" s="3">
        <v>8501.7199999999993</v>
      </c>
      <c r="K1519" s="3">
        <v>76515.48</v>
      </c>
      <c r="L1519" t="s">
        <v>34</v>
      </c>
      <c r="M1519" s="2">
        <v>45819</v>
      </c>
      <c r="N1519" s="2">
        <v>45816</v>
      </c>
      <c r="O1519" t="s">
        <v>60</v>
      </c>
      <c r="P1519" t="s">
        <v>115</v>
      </c>
      <c r="Q1519" t="s">
        <v>28</v>
      </c>
      <c r="R1519" t="s">
        <v>29</v>
      </c>
    </row>
    <row r="1520" spans="1:18">
      <c r="A1520" t="s">
        <v>1652</v>
      </c>
      <c r="B1520" s="2">
        <v>46030</v>
      </c>
      <c r="C1520" t="s">
        <v>37</v>
      </c>
      <c r="D1520" t="s">
        <v>38</v>
      </c>
      <c r="E1520" t="s">
        <v>112</v>
      </c>
      <c r="F1520" t="s">
        <v>22</v>
      </c>
      <c r="G1520" t="s">
        <v>160</v>
      </c>
      <c r="H1520" t="s">
        <v>161</v>
      </c>
      <c r="I1520">
        <v>4</v>
      </c>
      <c r="J1520" s="3">
        <v>3503.1</v>
      </c>
      <c r="K1520" s="3">
        <v>14012.4</v>
      </c>
      <c r="L1520" t="s">
        <v>34</v>
      </c>
      <c r="M1520" s="2">
        <v>46042</v>
      </c>
      <c r="N1520" s="2">
        <v>46039</v>
      </c>
      <c r="O1520" t="s">
        <v>26</v>
      </c>
      <c r="P1520" t="s">
        <v>115</v>
      </c>
      <c r="Q1520" t="s">
        <v>28</v>
      </c>
      <c r="R1520" t="s">
        <v>29</v>
      </c>
    </row>
    <row r="1521" spans="1:18">
      <c r="A1521" t="s">
        <v>1653</v>
      </c>
      <c r="B1521" s="2">
        <v>45685</v>
      </c>
      <c r="C1521" t="s">
        <v>142</v>
      </c>
      <c r="D1521" t="s">
        <v>143</v>
      </c>
      <c r="E1521" t="s">
        <v>31</v>
      </c>
      <c r="F1521" t="s">
        <v>22</v>
      </c>
      <c r="G1521" t="s">
        <v>23</v>
      </c>
      <c r="H1521" t="s">
        <v>24</v>
      </c>
      <c r="I1521">
        <v>49</v>
      </c>
      <c r="J1521" s="3">
        <v>244.12</v>
      </c>
      <c r="K1521" s="3">
        <v>11961.88</v>
      </c>
      <c r="L1521" t="s">
        <v>25</v>
      </c>
      <c r="M1521" s="2">
        <v>45702</v>
      </c>
      <c r="N1521" s="2">
        <v>45702</v>
      </c>
      <c r="O1521" t="s">
        <v>26</v>
      </c>
      <c r="P1521" t="s">
        <v>94</v>
      </c>
      <c r="Q1521" t="s">
        <v>28</v>
      </c>
      <c r="R1521" t="s">
        <v>29</v>
      </c>
    </row>
    <row r="1522" spans="1:18">
      <c r="A1522" t="s">
        <v>1654</v>
      </c>
      <c r="B1522" s="2">
        <v>45845</v>
      </c>
      <c r="C1522" t="s">
        <v>147</v>
      </c>
      <c r="D1522" t="s">
        <v>148</v>
      </c>
      <c r="E1522" t="s">
        <v>112</v>
      </c>
      <c r="F1522" t="s">
        <v>40</v>
      </c>
      <c r="G1522" t="s">
        <v>136</v>
      </c>
      <c r="H1522" t="s">
        <v>137</v>
      </c>
      <c r="I1522">
        <v>54</v>
      </c>
      <c r="J1522" s="3">
        <v>1608.22</v>
      </c>
      <c r="K1522" s="3">
        <v>86843.88</v>
      </c>
      <c r="L1522" t="s">
        <v>25</v>
      </c>
      <c r="M1522" s="2">
        <v>45858</v>
      </c>
      <c r="N1522" s="2">
        <v>45855</v>
      </c>
      <c r="O1522" t="s">
        <v>76</v>
      </c>
      <c r="P1522" t="s">
        <v>115</v>
      </c>
      <c r="Q1522" t="s">
        <v>28</v>
      </c>
      <c r="R1522" t="s">
        <v>29</v>
      </c>
    </row>
    <row r="1523" spans="1:18">
      <c r="A1523" t="s">
        <v>1655</v>
      </c>
      <c r="B1523" s="2">
        <v>46054</v>
      </c>
      <c r="C1523" t="s">
        <v>37</v>
      </c>
      <c r="D1523" t="s">
        <v>38</v>
      </c>
      <c r="E1523" t="s">
        <v>39</v>
      </c>
      <c r="F1523" t="s">
        <v>40</v>
      </c>
      <c r="G1523" t="s">
        <v>149</v>
      </c>
      <c r="H1523" t="s">
        <v>150</v>
      </c>
      <c r="I1523">
        <v>49</v>
      </c>
      <c r="J1523" s="3">
        <v>1492.44</v>
      </c>
      <c r="K1523" s="3">
        <v>73129.56</v>
      </c>
      <c r="L1523" t="s">
        <v>52</v>
      </c>
      <c r="M1523" s="2">
        <v>46067</v>
      </c>
      <c r="N1523" s="2">
        <v>46064</v>
      </c>
      <c r="O1523" t="s">
        <v>43</v>
      </c>
      <c r="P1523" t="s">
        <v>44</v>
      </c>
      <c r="Q1523" t="s">
        <v>28</v>
      </c>
      <c r="R1523" t="s">
        <v>29</v>
      </c>
    </row>
    <row r="1524" spans="1:18">
      <c r="A1524" t="s">
        <v>1656</v>
      </c>
      <c r="B1524" s="2">
        <v>45967</v>
      </c>
      <c r="C1524" t="s">
        <v>142</v>
      </c>
      <c r="D1524" t="s">
        <v>143</v>
      </c>
      <c r="E1524" t="s">
        <v>39</v>
      </c>
      <c r="F1524" t="s">
        <v>22</v>
      </c>
      <c r="G1524" t="s">
        <v>32</v>
      </c>
      <c r="H1524" t="s">
        <v>33</v>
      </c>
      <c r="I1524">
        <v>14</v>
      </c>
      <c r="J1524" s="3">
        <v>7672.18</v>
      </c>
      <c r="K1524" s="3">
        <v>107410.52</v>
      </c>
      <c r="L1524" t="s">
        <v>25</v>
      </c>
      <c r="M1524" s="2">
        <v>45980</v>
      </c>
      <c r="N1524" s="2">
        <v>45980</v>
      </c>
      <c r="O1524" t="s">
        <v>60</v>
      </c>
      <c r="P1524" t="s">
        <v>44</v>
      </c>
      <c r="Q1524" t="s">
        <v>28</v>
      </c>
      <c r="R1524" t="s">
        <v>29</v>
      </c>
    </row>
    <row r="1525" spans="1:18">
      <c r="A1525" t="s">
        <v>1657</v>
      </c>
      <c r="B1525" s="2">
        <v>45688</v>
      </c>
      <c r="C1525" t="s">
        <v>142</v>
      </c>
      <c r="D1525" t="s">
        <v>143</v>
      </c>
      <c r="E1525" t="s">
        <v>39</v>
      </c>
      <c r="F1525" t="s">
        <v>22</v>
      </c>
      <c r="G1525" t="s">
        <v>23</v>
      </c>
      <c r="H1525" t="s">
        <v>24</v>
      </c>
      <c r="I1525">
        <v>48</v>
      </c>
      <c r="J1525" s="3">
        <v>238.79</v>
      </c>
      <c r="K1525" s="3">
        <v>11461.92</v>
      </c>
      <c r="L1525" t="s">
        <v>34</v>
      </c>
      <c r="M1525" s="2">
        <v>45693</v>
      </c>
      <c r="N1525" s="2">
        <v>45692</v>
      </c>
      <c r="O1525" t="s">
        <v>43</v>
      </c>
      <c r="P1525" t="s">
        <v>64</v>
      </c>
      <c r="Q1525" t="s">
        <v>28</v>
      </c>
      <c r="R1525" t="s">
        <v>29</v>
      </c>
    </row>
    <row r="1526" spans="1:18">
      <c r="A1526" t="s">
        <v>1658</v>
      </c>
      <c r="B1526" s="2">
        <v>46160</v>
      </c>
      <c r="C1526" t="s">
        <v>80</v>
      </c>
      <c r="D1526" t="s">
        <v>81</v>
      </c>
      <c r="E1526" t="s">
        <v>39</v>
      </c>
      <c r="F1526" t="s">
        <v>82</v>
      </c>
      <c r="G1526" t="s">
        <v>98</v>
      </c>
      <c r="H1526" t="s">
        <v>99</v>
      </c>
      <c r="I1526">
        <v>54</v>
      </c>
      <c r="J1526" s="3">
        <v>1124.46</v>
      </c>
      <c r="K1526" s="3">
        <v>60720.84</v>
      </c>
      <c r="L1526" t="s">
        <v>25</v>
      </c>
      <c r="M1526" s="2">
        <v>46177</v>
      </c>
      <c r="N1526" s="2">
        <v>46177</v>
      </c>
      <c r="O1526" t="s">
        <v>43</v>
      </c>
      <c r="P1526" t="s">
        <v>44</v>
      </c>
      <c r="Q1526" t="s">
        <v>28</v>
      </c>
      <c r="R1526" t="s">
        <v>29</v>
      </c>
    </row>
    <row r="1527" spans="1:18">
      <c r="A1527" t="s">
        <v>1659</v>
      </c>
      <c r="B1527" s="2">
        <v>45973</v>
      </c>
      <c r="C1527" t="s">
        <v>96</v>
      </c>
      <c r="D1527" t="s">
        <v>97</v>
      </c>
      <c r="E1527" t="s">
        <v>39</v>
      </c>
      <c r="F1527" t="s">
        <v>82</v>
      </c>
      <c r="G1527" t="s">
        <v>98</v>
      </c>
      <c r="H1527" t="s">
        <v>99</v>
      </c>
      <c r="I1527">
        <v>49</v>
      </c>
      <c r="J1527" s="3">
        <v>1136.5999999999999</v>
      </c>
      <c r="K1527" s="3">
        <v>55693.4</v>
      </c>
      <c r="L1527" t="s">
        <v>52</v>
      </c>
      <c r="M1527" s="2">
        <v>45987</v>
      </c>
      <c r="N1527" s="2">
        <v>45986</v>
      </c>
      <c r="O1527" t="s">
        <v>43</v>
      </c>
      <c r="P1527" t="s">
        <v>64</v>
      </c>
      <c r="Q1527" t="s">
        <v>28</v>
      </c>
      <c r="R1527" t="s">
        <v>29</v>
      </c>
    </row>
    <row r="1528" spans="1:18">
      <c r="A1528" t="s">
        <v>1660</v>
      </c>
      <c r="B1528" s="2">
        <v>45992</v>
      </c>
      <c r="C1528" t="s">
        <v>104</v>
      </c>
      <c r="D1528" t="s">
        <v>105</v>
      </c>
      <c r="E1528" t="s">
        <v>112</v>
      </c>
      <c r="F1528" t="s">
        <v>49</v>
      </c>
      <c r="G1528" t="s">
        <v>113</v>
      </c>
      <c r="H1528" t="s">
        <v>114</v>
      </c>
      <c r="I1528">
        <v>3</v>
      </c>
      <c r="J1528" s="3">
        <v>37707.07</v>
      </c>
      <c r="K1528" s="3">
        <v>113121.21</v>
      </c>
      <c r="L1528" t="s">
        <v>25</v>
      </c>
      <c r="M1528" s="2">
        <v>46006</v>
      </c>
      <c r="N1528" s="2">
        <v>46003</v>
      </c>
      <c r="O1528" t="s">
        <v>60</v>
      </c>
      <c r="P1528" t="s">
        <v>115</v>
      </c>
      <c r="Q1528" t="s">
        <v>28</v>
      </c>
      <c r="R1528" t="s">
        <v>29</v>
      </c>
    </row>
    <row r="1529" spans="1:18">
      <c r="A1529" t="s">
        <v>1661</v>
      </c>
      <c r="B1529" s="2">
        <v>45723</v>
      </c>
      <c r="C1529" t="s">
        <v>104</v>
      </c>
      <c r="D1529" t="s">
        <v>105</v>
      </c>
      <c r="E1529" t="s">
        <v>48</v>
      </c>
      <c r="F1529" t="s">
        <v>49</v>
      </c>
      <c r="G1529" t="s">
        <v>50</v>
      </c>
      <c r="H1529" t="s">
        <v>51</v>
      </c>
      <c r="I1529">
        <v>3</v>
      </c>
      <c r="J1529" s="3">
        <v>51129.61</v>
      </c>
      <c r="K1529" s="3">
        <v>153388.82999999999</v>
      </c>
      <c r="L1529" t="s">
        <v>25</v>
      </c>
      <c r="M1529" s="2">
        <v>45736</v>
      </c>
      <c r="N1529" s="2">
        <v>45734</v>
      </c>
      <c r="O1529" t="s">
        <v>76</v>
      </c>
      <c r="P1529" t="s">
        <v>53</v>
      </c>
      <c r="Q1529" t="s">
        <v>28</v>
      </c>
      <c r="R1529" t="s">
        <v>29</v>
      </c>
    </row>
    <row r="1530" spans="1:18">
      <c r="A1530" t="s">
        <v>1662</v>
      </c>
      <c r="B1530" s="2">
        <v>45735</v>
      </c>
      <c r="C1530" t="s">
        <v>71</v>
      </c>
      <c r="D1530" t="s">
        <v>72</v>
      </c>
      <c r="E1530" t="s">
        <v>31</v>
      </c>
      <c r="F1530" t="s">
        <v>57</v>
      </c>
      <c r="G1530" t="s">
        <v>74</v>
      </c>
      <c r="H1530" t="s">
        <v>75</v>
      </c>
      <c r="I1530">
        <v>7</v>
      </c>
      <c r="J1530" s="3">
        <v>8451.0499999999993</v>
      </c>
      <c r="K1530" s="3">
        <v>59157.35</v>
      </c>
      <c r="L1530" t="s">
        <v>34</v>
      </c>
      <c r="M1530" s="2">
        <v>45750</v>
      </c>
      <c r="N1530" s="2">
        <v>45748</v>
      </c>
      <c r="O1530" t="s">
        <v>43</v>
      </c>
      <c r="P1530" t="s">
        <v>35</v>
      </c>
      <c r="Q1530" t="s">
        <v>28</v>
      </c>
      <c r="R1530" t="s">
        <v>29</v>
      </c>
    </row>
    <row r="1531" spans="1:18">
      <c r="A1531" t="s">
        <v>1663</v>
      </c>
      <c r="B1531" s="2">
        <v>46198</v>
      </c>
      <c r="C1531" t="s">
        <v>71</v>
      </c>
      <c r="D1531" t="s">
        <v>72</v>
      </c>
      <c r="E1531" t="s">
        <v>48</v>
      </c>
      <c r="F1531" t="s">
        <v>57</v>
      </c>
      <c r="G1531" t="s">
        <v>101</v>
      </c>
      <c r="H1531" t="s">
        <v>102</v>
      </c>
      <c r="I1531">
        <v>54</v>
      </c>
      <c r="J1531" s="3">
        <v>1745.09</v>
      </c>
      <c r="K1531" s="3">
        <v>94234.86</v>
      </c>
      <c r="L1531" t="s">
        <v>34</v>
      </c>
      <c r="M1531" s="2">
        <v>46212</v>
      </c>
      <c r="N1531" s="2">
        <v>46211</v>
      </c>
      <c r="O1531" t="s">
        <v>43</v>
      </c>
      <c r="P1531" t="s">
        <v>53</v>
      </c>
      <c r="Q1531" t="s">
        <v>28</v>
      </c>
      <c r="R1531" t="s">
        <v>29</v>
      </c>
    </row>
    <row r="1532" spans="1:18">
      <c r="A1532" t="s">
        <v>1664</v>
      </c>
      <c r="B1532" s="2">
        <v>45659</v>
      </c>
      <c r="C1532" t="s">
        <v>142</v>
      </c>
      <c r="D1532" t="s">
        <v>143</v>
      </c>
      <c r="E1532" t="s">
        <v>73</v>
      </c>
      <c r="F1532" t="s">
        <v>22</v>
      </c>
      <c r="G1532" t="s">
        <v>23</v>
      </c>
      <c r="H1532" t="s">
        <v>24</v>
      </c>
      <c r="I1532">
        <v>14</v>
      </c>
      <c r="J1532" s="3">
        <v>255.86</v>
      </c>
      <c r="K1532" s="3">
        <v>3582.04</v>
      </c>
      <c r="L1532" t="s">
        <v>25</v>
      </c>
      <c r="M1532" s="2">
        <v>45670</v>
      </c>
      <c r="N1532" s="2">
        <v>45670</v>
      </c>
      <c r="O1532" t="s">
        <v>43</v>
      </c>
      <c r="P1532" t="s">
        <v>77</v>
      </c>
      <c r="Q1532" t="s">
        <v>28</v>
      </c>
      <c r="R1532" t="s">
        <v>29</v>
      </c>
    </row>
    <row r="1533" spans="1:18">
      <c r="A1533" t="s">
        <v>1665</v>
      </c>
      <c r="B1533" s="2">
        <v>45689</v>
      </c>
      <c r="C1533" t="s">
        <v>37</v>
      </c>
      <c r="D1533" t="s">
        <v>38</v>
      </c>
      <c r="E1533" t="s">
        <v>31</v>
      </c>
      <c r="F1533" t="s">
        <v>22</v>
      </c>
      <c r="G1533" t="s">
        <v>32</v>
      </c>
      <c r="H1533" t="s">
        <v>33</v>
      </c>
      <c r="I1533">
        <v>2</v>
      </c>
      <c r="J1533" s="3">
        <v>8733.9599999999991</v>
      </c>
      <c r="K1533" s="3">
        <v>17467.919999999998</v>
      </c>
      <c r="L1533" t="s">
        <v>25</v>
      </c>
      <c r="M1533" s="2">
        <v>45701</v>
      </c>
      <c r="N1533" s="2">
        <v>45700</v>
      </c>
      <c r="O1533" t="s">
        <v>60</v>
      </c>
      <c r="P1533" t="s">
        <v>94</v>
      </c>
      <c r="Q1533" t="s">
        <v>28</v>
      </c>
      <c r="R1533" t="s">
        <v>29</v>
      </c>
    </row>
    <row r="1534" spans="1:18">
      <c r="A1534" t="s">
        <v>1666</v>
      </c>
      <c r="B1534" s="2">
        <v>46197</v>
      </c>
      <c r="C1534" t="s">
        <v>104</v>
      </c>
      <c r="D1534" t="s">
        <v>105</v>
      </c>
      <c r="E1534" t="s">
        <v>112</v>
      </c>
      <c r="F1534" t="s">
        <v>49</v>
      </c>
      <c r="G1534" t="s">
        <v>113</v>
      </c>
      <c r="H1534" t="s">
        <v>114</v>
      </c>
      <c r="I1534">
        <v>3</v>
      </c>
      <c r="J1534" s="3">
        <v>38245.879999999997</v>
      </c>
      <c r="K1534" s="3">
        <v>114737.64</v>
      </c>
      <c r="L1534" t="s">
        <v>25</v>
      </c>
      <c r="M1534" s="2">
        <v>46207</v>
      </c>
      <c r="N1534" s="2">
        <v>46206</v>
      </c>
      <c r="O1534" t="s">
        <v>76</v>
      </c>
      <c r="P1534" t="s">
        <v>115</v>
      </c>
      <c r="Q1534" t="s">
        <v>28</v>
      </c>
      <c r="R1534" t="s">
        <v>29</v>
      </c>
    </row>
    <row r="1535" spans="1:18">
      <c r="A1535" t="s">
        <v>1667</v>
      </c>
      <c r="B1535" s="2">
        <v>45735</v>
      </c>
      <c r="C1535" t="s">
        <v>96</v>
      </c>
      <c r="D1535" t="s">
        <v>97</v>
      </c>
      <c r="E1535" t="s">
        <v>39</v>
      </c>
      <c r="F1535" t="s">
        <v>82</v>
      </c>
      <c r="G1535" t="s">
        <v>197</v>
      </c>
      <c r="H1535" t="s">
        <v>198</v>
      </c>
      <c r="I1535">
        <v>29</v>
      </c>
      <c r="J1535" s="3">
        <v>2150.66</v>
      </c>
      <c r="K1535" s="3">
        <v>62369.14</v>
      </c>
      <c r="L1535" t="s">
        <v>25</v>
      </c>
      <c r="M1535" s="2">
        <v>45753</v>
      </c>
      <c r="N1535" s="2">
        <v>45750</v>
      </c>
      <c r="O1535" t="s">
        <v>26</v>
      </c>
      <c r="P1535" t="s">
        <v>64</v>
      </c>
      <c r="Q1535" t="s">
        <v>28</v>
      </c>
      <c r="R1535" t="s">
        <v>29</v>
      </c>
    </row>
    <row r="1536" spans="1:18">
      <c r="A1536" t="s">
        <v>1668</v>
      </c>
      <c r="B1536" s="2">
        <v>45691</v>
      </c>
      <c r="C1536" t="s">
        <v>117</v>
      </c>
      <c r="D1536" t="s">
        <v>118</v>
      </c>
      <c r="E1536" t="s">
        <v>48</v>
      </c>
      <c r="F1536" t="s">
        <v>57</v>
      </c>
      <c r="G1536" t="s">
        <v>127</v>
      </c>
      <c r="H1536" t="s">
        <v>128</v>
      </c>
      <c r="I1536">
        <v>3</v>
      </c>
      <c r="J1536" s="3">
        <v>15889.63</v>
      </c>
      <c r="K1536" s="3">
        <v>47668.89</v>
      </c>
      <c r="L1536" t="s">
        <v>25</v>
      </c>
      <c r="M1536" s="2">
        <v>45702</v>
      </c>
      <c r="N1536" s="2">
        <v>45700</v>
      </c>
      <c r="O1536" t="s">
        <v>26</v>
      </c>
      <c r="P1536" t="s">
        <v>53</v>
      </c>
      <c r="Q1536" t="s">
        <v>28</v>
      </c>
      <c r="R1536" t="s">
        <v>29</v>
      </c>
    </row>
    <row r="1537" spans="1:18">
      <c r="A1537" t="s">
        <v>1669</v>
      </c>
      <c r="B1537" s="2">
        <v>46048</v>
      </c>
      <c r="C1537" t="s">
        <v>147</v>
      </c>
      <c r="D1537" t="s">
        <v>148</v>
      </c>
      <c r="E1537" t="s">
        <v>39</v>
      </c>
      <c r="F1537" t="s">
        <v>40</v>
      </c>
      <c r="G1537" t="s">
        <v>136</v>
      </c>
      <c r="H1537" t="s">
        <v>137</v>
      </c>
      <c r="I1537">
        <v>36</v>
      </c>
      <c r="J1537" s="3">
        <v>1617.65</v>
      </c>
      <c r="K1537" s="3">
        <v>58235.4</v>
      </c>
      <c r="L1537" t="s">
        <v>34</v>
      </c>
      <c r="M1537" s="2">
        <v>46053</v>
      </c>
      <c r="N1537" s="2">
        <v>46055</v>
      </c>
      <c r="O1537" t="s">
        <v>76</v>
      </c>
      <c r="P1537" t="s">
        <v>64</v>
      </c>
      <c r="Q1537" t="s">
        <v>28</v>
      </c>
      <c r="R1537" t="s">
        <v>129</v>
      </c>
    </row>
    <row r="1538" spans="1:18">
      <c r="A1538" t="s">
        <v>1670</v>
      </c>
      <c r="B1538" s="2">
        <v>45963</v>
      </c>
      <c r="C1538" t="s">
        <v>19</v>
      </c>
      <c r="D1538" t="s">
        <v>20</v>
      </c>
      <c r="E1538" t="s">
        <v>112</v>
      </c>
      <c r="F1538" t="s">
        <v>22</v>
      </c>
      <c r="G1538" t="s">
        <v>160</v>
      </c>
      <c r="H1538" t="s">
        <v>161</v>
      </c>
      <c r="I1538">
        <v>15</v>
      </c>
      <c r="J1538" s="3">
        <v>3144.71</v>
      </c>
      <c r="K1538" s="3">
        <v>47170.65</v>
      </c>
      <c r="L1538" t="s">
        <v>25</v>
      </c>
      <c r="M1538" s="2">
        <v>45970</v>
      </c>
      <c r="N1538" s="2">
        <v>45967</v>
      </c>
      <c r="O1538" t="s">
        <v>43</v>
      </c>
      <c r="P1538" t="s">
        <v>115</v>
      </c>
      <c r="Q1538" t="s">
        <v>28</v>
      </c>
      <c r="R1538" t="s">
        <v>29</v>
      </c>
    </row>
    <row r="1539" spans="1:18">
      <c r="A1539" t="s">
        <v>1671</v>
      </c>
      <c r="B1539" s="2">
        <v>45930</v>
      </c>
      <c r="C1539" t="s">
        <v>55</v>
      </c>
      <c r="D1539" t="s">
        <v>56</v>
      </c>
      <c r="E1539" t="s">
        <v>73</v>
      </c>
      <c r="F1539" t="s">
        <v>57</v>
      </c>
      <c r="G1539" t="s">
        <v>101</v>
      </c>
      <c r="H1539" t="s">
        <v>102</v>
      </c>
      <c r="I1539">
        <v>53</v>
      </c>
      <c r="J1539" s="3">
        <v>1985.82</v>
      </c>
      <c r="K1539" s="3">
        <v>105248.46</v>
      </c>
      <c r="L1539" t="s">
        <v>531</v>
      </c>
      <c r="M1539" s="2">
        <v>45942</v>
      </c>
      <c r="N1539" s="2">
        <v>45956</v>
      </c>
      <c r="O1539" t="s">
        <v>60</v>
      </c>
      <c r="P1539" t="s">
        <v>77</v>
      </c>
      <c r="Q1539" t="s">
        <v>28</v>
      </c>
      <c r="R1539" t="s">
        <v>129</v>
      </c>
    </row>
    <row r="1540" spans="1:18">
      <c r="A1540" t="s">
        <v>1672</v>
      </c>
      <c r="B1540" s="2">
        <v>45973</v>
      </c>
      <c r="C1540" t="s">
        <v>55</v>
      </c>
      <c r="D1540" t="s">
        <v>56</v>
      </c>
      <c r="E1540" t="s">
        <v>21</v>
      </c>
      <c r="F1540" t="s">
        <v>57</v>
      </c>
      <c r="G1540" t="s">
        <v>74</v>
      </c>
      <c r="H1540" t="s">
        <v>75</v>
      </c>
      <c r="I1540">
        <v>12</v>
      </c>
      <c r="J1540" s="3">
        <v>9879.7000000000007</v>
      </c>
      <c r="K1540" s="3">
        <v>118556.4</v>
      </c>
      <c r="L1540" t="s">
        <v>34</v>
      </c>
      <c r="M1540" s="2">
        <v>45986</v>
      </c>
      <c r="N1540" s="2">
        <v>45984</v>
      </c>
      <c r="O1540" t="s">
        <v>76</v>
      </c>
      <c r="P1540" t="s">
        <v>27</v>
      </c>
      <c r="Q1540" t="s">
        <v>28</v>
      </c>
      <c r="R1540" t="s">
        <v>29</v>
      </c>
    </row>
    <row r="1541" spans="1:18">
      <c r="A1541" t="s">
        <v>1673</v>
      </c>
      <c r="B1541" s="2">
        <v>46180</v>
      </c>
      <c r="C1541" t="s">
        <v>96</v>
      </c>
      <c r="D1541" t="s">
        <v>97</v>
      </c>
      <c r="E1541" t="s">
        <v>39</v>
      </c>
      <c r="F1541" t="s">
        <v>82</v>
      </c>
      <c r="G1541" t="s">
        <v>197</v>
      </c>
      <c r="H1541" t="s">
        <v>198</v>
      </c>
      <c r="I1541">
        <v>38</v>
      </c>
      <c r="J1541" s="3">
        <v>2131.3000000000002</v>
      </c>
      <c r="K1541" s="3">
        <v>80989.399999999994</v>
      </c>
      <c r="L1541" t="s">
        <v>25</v>
      </c>
      <c r="M1541" s="2">
        <v>46190</v>
      </c>
      <c r="N1541" s="2">
        <v>46187</v>
      </c>
      <c r="O1541" t="s">
        <v>26</v>
      </c>
      <c r="P1541" t="s">
        <v>64</v>
      </c>
      <c r="Q1541" t="s">
        <v>28</v>
      </c>
      <c r="R1541" t="s">
        <v>29</v>
      </c>
    </row>
    <row r="1542" spans="1:18">
      <c r="A1542" t="s">
        <v>1674</v>
      </c>
      <c r="B1542" s="2">
        <v>45894</v>
      </c>
      <c r="C1542" t="s">
        <v>104</v>
      </c>
      <c r="D1542" t="s">
        <v>105</v>
      </c>
      <c r="E1542" t="s">
        <v>73</v>
      </c>
      <c r="F1542" t="s">
        <v>49</v>
      </c>
      <c r="G1542" t="s">
        <v>68</v>
      </c>
      <c r="H1542" t="s">
        <v>69</v>
      </c>
      <c r="I1542">
        <v>1</v>
      </c>
      <c r="J1542" s="3">
        <v>46398.34</v>
      </c>
      <c r="K1542" s="3">
        <v>46398.34</v>
      </c>
      <c r="L1542" t="s">
        <v>52</v>
      </c>
      <c r="M1542" s="2">
        <v>45908</v>
      </c>
      <c r="N1542" s="2">
        <v>45905</v>
      </c>
      <c r="O1542" t="s">
        <v>26</v>
      </c>
      <c r="P1542" t="s">
        <v>77</v>
      </c>
      <c r="Q1542" t="s">
        <v>28</v>
      </c>
      <c r="R1542" t="s">
        <v>29</v>
      </c>
    </row>
    <row r="1543" spans="1:18">
      <c r="A1543" t="s">
        <v>1675</v>
      </c>
      <c r="B1543" s="2">
        <v>45848</v>
      </c>
      <c r="C1543" t="s">
        <v>19</v>
      </c>
      <c r="D1543" t="s">
        <v>20</v>
      </c>
      <c r="E1543" t="s">
        <v>73</v>
      </c>
      <c r="F1543" t="s">
        <v>22</v>
      </c>
      <c r="G1543" t="s">
        <v>160</v>
      </c>
      <c r="H1543" t="s">
        <v>161</v>
      </c>
      <c r="I1543">
        <v>7</v>
      </c>
      <c r="J1543" s="3">
        <v>2846.28</v>
      </c>
      <c r="K1543" s="3">
        <v>19923.96</v>
      </c>
      <c r="L1543" t="s">
        <v>52</v>
      </c>
      <c r="M1543" s="2">
        <v>45859</v>
      </c>
      <c r="N1543" s="2">
        <v>45856</v>
      </c>
      <c r="O1543" t="s">
        <v>60</v>
      </c>
      <c r="P1543" t="s">
        <v>77</v>
      </c>
      <c r="Q1543" t="s">
        <v>28</v>
      </c>
      <c r="R1543" t="s">
        <v>29</v>
      </c>
    </row>
    <row r="1544" spans="1:18">
      <c r="A1544" t="s">
        <v>1676</v>
      </c>
      <c r="B1544" s="2">
        <v>46044</v>
      </c>
      <c r="C1544" t="s">
        <v>37</v>
      </c>
      <c r="D1544" t="s">
        <v>38</v>
      </c>
      <c r="E1544" t="s">
        <v>31</v>
      </c>
      <c r="F1544" t="s">
        <v>22</v>
      </c>
      <c r="G1544" t="s">
        <v>32</v>
      </c>
      <c r="H1544" t="s">
        <v>33</v>
      </c>
      <c r="I1544">
        <v>12</v>
      </c>
      <c r="J1544" s="3">
        <v>8453.82</v>
      </c>
      <c r="K1544" s="3">
        <v>101445.84</v>
      </c>
      <c r="L1544" t="s">
        <v>25</v>
      </c>
      <c r="M1544" s="2">
        <v>46058</v>
      </c>
      <c r="N1544" s="2">
        <v>46057</v>
      </c>
      <c r="O1544" t="s">
        <v>60</v>
      </c>
      <c r="P1544" t="s">
        <v>35</v>
      </c>
      <c r="Q1544" t="s">
        <v>28</v>
      </c>
      <c r="R1544" t="s">
        <v>29</v>
      </c>
    </row>
    <row r="1545" spans="1:18">
      <c r="A1545" t="s">
        <v>1677</v>
      </c>
      <c r="B1545" s="2">
        <v>46185</v>
      </c>
      <c r="C1545" t="s">
        <v>142</v>
      </c>
      <c r="D1545" t="s">
        <v>143</v>
      </c>
      <c r="E1545" t="s">
        <v>31</v>
      </c>
      <c r="F1545" t="s">
        <v>22</v>
      </c>
      <c r="G1545" t="s">
        <v>23</v>
      </c>
      <c r="H1545" t="s">
        <v>24</v>
      </c>
      <c r="I1545">
        <v>5</v>
      </c>
      <c r="J1545" s="3">
        <v>252.42</v>
      </c>
      <c r="K1545" s="3">
        <v>1262.0999999999999</v>
      </c>
      <c r="L1545" t="s">
        <v>25</v>
      </c>
      <c r="M1545" s="2">
        <v>46194</v>
      </c>
      <c r="N1545" s="2">
        <v>46192</v>
      </c>
      <c r="O1545" t="s">
        <v>43</v>
      </c>
      <c r="P1545" t="s">
        <v>35</v>
      </c>
      <c r="Q1545" t="s">
        <v>28</v>
      </c>
      <c r="R1545" t="s">
        <v>29</v>
      </c>
    </row>
    <row r="1546" spans="1:18">
      <c r="A1546" t="s">
        <v>1678</v>
      </c>
      <c r="B1546" s="2">
        <v>45910</v>
      </c>
      <c r="C1546" t="s">
        <v>96</v>
      </c>
      <c r="D1546" t="s">
        <v>97</v>
      </c>
      <c r="E1546" t="s">
        <v>39</v>
      </c>
      <c r="F1546" t="s">
        <v>82</v>
      </c>
      <c r="G1546" t="s">
        <v>197</v>
      </c>
      <c r="H1546" t="s">
        <v>198</v>
      </c>
      <c r="I1546">
        <v>10</v>
      </c>
      <c r="J1546" s="3">
        <v>2182.08</v>
      </c>
      <c r="K1546" s="3">
        <v>21820.799999999999</v>
      </c>
      <c r="L1546" t="s">
        <v>25</v>
      </c>
      <c r="M1546" s="2">
        <v>45917</v>
      </c>
      <c r="N1546" s="2">
        <v>45914</v>
      </c>
      <c r="O1546" t="s">
        <v>43</v>
      </c>
      <c r="P1546" t="s">
        <v>64</v>
      </c>
      <c r="Q1546" t="s">
        <v>28</v>
      </c>
      <c r="R1546" t="s">
        <v>29</v>
      </c>
    </row>
    <row r="1547" spans="1:18">
      <c r="A1547" t="s">
        <v>1679</v>
      </c>
      <c r="B1547" s="2">
        <v>45954</v>
      </c>
      <c r="C1547" t="s">
        <v>104</v>
      </c>
      <c r="D1547" t="s">
        <v>105</v>
      </c>
      <c r="E1547" t="s">
        <v>48</v>
      </c>
      <c r="F1547" t="s">
        <v>49</v>
      </c>
      <c r="G1547" t="s">
        <v>68</v>
      </c>
      <c r="H1547" t="s">
        <v>69</v>
      </c>
      <c r="I1547">
        <v>1</v>
      </c>
      <c r="J1547" s="3">
        <v>48745.18</v>
      </c>
      <c r="K1547" s="3">
        <v>48745.18</v>
      </c>
      <c r="L1547" t="s">
        <v>52</v>
      </c>
      <c r="M1547" s="2">
        <v>45971</v>
      </c>
      <c r="N1547" s="2">
        <v>45970</v>
      </c>
      <c r="O1547" t="s">
        <v>76</v>
      </c>
      <c r="P1547" t="s">
        <v>53</v>
      </c>
      <c r="Q1547" t="s">
        <v>28</v>
      </c>
      <c r="R1547" t="s">
        <v>29</v>
      </c>
    </row>
    <row r="1548" spans="1:18">
      <c r="A1548" t="s">
        <v>1680</v>
      </c>
      <c r="B1548" s="2">
        <v>45880</v>
      </c>
      <c r="C1548" t="s">
        <v>96</v>
      </c>
      <c r="D1548" t="s">
        <v>97</v>
      </c>
      <c r="E1548" t="s">
        <v>39</v>
      </c>
      <c r="F1548" t="s">
        <v>82</v>
      </c>
      <c r="G1548" t="s">
        <v>197</v>
      </c>
      <c r="H1548" t="s">
        <v>198</v>
      </c>
      <c r="I1548">
        <v>45</v>
      </c>
      <c r="J1548" s="3">
        <v>2065.23</v>
      </c>
      <c r="K1548" s="3">
        <v>92935.35</v>
      </c>
      <c r="L1548" t="s">
        <v>25</v>
      </c>
      <c r="M1548" s="2">
        <v>45898</v>
      </c>
      <c r="N1548" s="2">
        <v>45897</v>
      </c>
      <c r="O1548" t="s">
        <v>60</v>
      </c>
      <c r="P1548" t="s">
        <v>44</v>
      </c>
      <c r="Q1548" t="s">
        <v>28</v>
      </c>
      <c r="R1548" t="s">
        <v>29</v>
      </c>
    </row>
    <row r="1549" spans="1:18">
      <c r="A1549" t="s">
        <v>1681</v>
      </c>
      <c r="B1549" s="2">
        <v>46050</v>
      </c>
      <c r="C1549" t="s">
        <v>131</v>
      </c>
      <c r="D1549" t="s">
        <v>132</v>
      </c>
      <c r="E1549" t="s">
        <v>48</v>
      </c>
      <c r="F1549" t="s">
        <v>57</v>
      </c>
      <c r="G1549" t="s">
        <v>58</v>
      </c>
      <c r="H1549" t="s">
        <v>59</v>
      </c>
      <c r="I1549">
        <v>3</v>
      </c>
      <c r="J1549" s="3">
        <v>59052.75</v>
      </c>
      <c r="K1549" s="3">
        <v>177158.25</v>
      </c>
      <c r="L1549" t="s">
        <v>25</v>
      </c>
      <c r="M1549" s="2">
        <v>46055</v>
      </c>
      <c r="N1549" s="2">
        <v>46054</v>
      </c>
      <c r="O1549" t="s">
        <v>26</v>
      </c>
      <c r="P1549" t="s">
        <v>53</v>
      </c>
      <c r="Q1549" t="s">
        <v>28</v>
      </c>
      <c r="R1549" t="s">
        <v>29</v>
      </c>
    </row>
    <row r="1550" spans="1:18">
      <c r="A1550" t="s">
        <v>1682</v>
      </c>
      <c r="B1550" s="2">
        <v>46096</v>
      </c>
      <c r="C1550" t="s">
        <v>104</v>
      </c>
      <c r="D1550" t="s">
        <v>105</v>
      </c>
      <c r="E1550" t="s">
        <v>48</v>
      </c>
      <c r="F1550" t="s">
        <v>49</v>
      </c>
      <c r="G1550" t="s">
        <v>68</v>
      </c>
      <c r="H1550" t="s">
        <v>69</v>
      </c>
      <c r="I1550">
        <v>3</v>
      </c>
      <c r="J1550" s="3">
        <v>50130.83</v>
      </c>
      <c r="K1550" s="3">
        <v>150392.49</v>
      </c>
      <c r="L1550" t="s">
        <v>25</v>
      </c>
      <c r="M1550" s="2">
        <v>46114</v>
      </c>
      <c r="N1550" s="2">
        <v>46129</v>
      </c>
      <c r="O1550" t="s">
        <v>26</v>
      </c>
      <c r="P1550" t="s">
        <v>53</v>
      </c>
      <c r="Q1550" t="s">
        <v>28</v>
      </c>
      <c r="R1550" t="s">
        <v>129</v>
      </c>
    </row>
    <row r="1551" spans="1:18">
      <c r="A1551" t="s">
        <v>1683</v>
      </c>
      <c r="B1551" s="2">
        <v>45745</v>
      </c>
      <c r="C1551" t="s">
        <v>71</v>
      </c>
      <c r="D1551" t="s">
        <v>72</v>
      </c>
      <c r="E1551" t="s">
        <v>73</v>
      </c>
      <c r="F1551" t="s">
        <v>57</v>
      </c>
      <c r="G1551" t="s">
        <v>101</v>
      </c>
      <c r="H1551" t="s">
        <v>102</v>
      </c>
      <c r="I1551">
        <v>11</v>
      </c>
      <c r="J1551" s="3">
        <v>1678.05</v>
      </c>
      <c r="K1551" s="3">
        <v>18458.55</v>
      </c>
      <c r="L1551" t="s">
        <v>52</v>
      </c>
      <c r="M1551" s="2">
        <v>45758</v>
      </c>
      <c r="N1551" s="2">
        <v>45756</v>
      </c>
      <c r="O1551" t="s">
        <v>26</v>
      </c>
      <c r="P1551" t="s">
        <v>77</v>
      </c>
      <c r="Q1551" t="s">
        <v>28</v>
      </c>
      <c r="R1551" t="s">
        <v>29</v>
      </c>
    </row>
    <row r="1552" spans="1:18">
      <c r="A1552" t="s">
        <v>1684</v>
      </c>
      <c r="B1552" s="2">
        <v>45664</v>
      </c>
      <c r="C1552" t="s">
        <v>104</v>
      </c>
      <c r="D1552" t="s">
        <v>105</v>
      </c>
      <c r="E1552" t="s">
        <v>48</v>
      </c>
      <c r="F1552" t="s">
        <v>49</v>
      </c>
      <c r="G1552" t="s">
        <v>68</v>
      </c>
      <c r="H1552" t="s">
        <v>69</v>
      </c>
      <c r="I1552">
        <v>1</v>
      </c>
      <c r="J1552" s="3">
        <v>49150.75</v>
      </c>
      <c r="K1552" s="3">
        <v>49150.75</v>
      </c>
      <c r="L1552" t="s">
        <v>25</v>
      </c>
      <c r="M1552" s="2">
        <v>45672</v>
      </c>
      <c r="N1552" s="2">
        <v>45671</v>
      </c>
      <c r="O1552" t="s">
        <v>76</v>
      </c>
      <c r="P1552" t="s">
        <v>53</v>
      </c>
      <c r="Q1552" t="s">
        <v>28</v>
      </c>
      <c r="R1552" t="s">
        <v>29</v>
      </c>
    </row>
    <row r="1553" spans="1:18">
      <c r="A1553" t="s">
        <v>1685</v>
      </c>
      <c r="B1553" s="2">
        <v>45757</v>
      </c>
      <c r="C1553" t="s">
        <v>71</v>
      </c>
      <c r="D1553" t="s">
        <v>72</v>
      </c>
      <c r="E1553" t="s">
        <v>31</v>
      </c>
      <c r="F1553" t="s">
        <v>57</v>
      </c>
      <c r="G1553" t="s">
        <v>86</v>
      </c>
      <c r="H1553" t="s">
        <v>87</v>
      </c>
      <c r="I1553">
        <v>6</v>
      </c>
      <c r="J1553" s="3">
        <v>9851.5300000000007</v>
      </c>
      <c r="K1553" s="3">
        <v>59109.18</v>
      </c>
      <c r="L1553" t="s">
        <v>34</v>
      </c>
      <c r="M1553" s="2">
        <v>45762</v>
      </c>
      <c r="N1553" s="2">
        <v>45765</v>
      </c>
      <c r="O1553" t="s">
        <v>26</v>
      </c>
      <c r="P1553" t="s">
        <v>94</v>
      </c>
      <c r="Q1553" t="s">
        <v>28</v>
      </c>
      <c r="R1553" t="s">
        <v>129</v>
      </c>
    </row>
    <row r="1554" spans="1:18">
      <c r="A1554" t="s">
        <v>1686</v>
      </c>
      <c r="B1554" s="2">
        <v>45730</v>
      </c>
      <c r="C1554" t="s">
        <v>89</v>
      </c>
      <c r="D1554" t="s">
        <v>90</v>
      </c>
      <c r="E1554" t="s">
        <v>31</v>
      </c>
      <c r="F1554" t="s">
        <v>91</v>
      </c>
      <c r="G1554" t="s">
        <v>92</v>
      </c>
      <c r="H1554" t="s">
        <v>93</v>
      </c>
      <c r="I1554">
        <v>1</v>
      </c>
      <c r="J1554" s="3">
        <v>41037.74</v>
      </c>
      <c r="K1554" s="3">
        <v>41037.74</v>
      </c>
      <c r="L1554" t="s">
        <v>25</v>
      </c>
      <c r="M1554" s="2">
        <v>45747</v>
      </c>
      <c r="N1554" s="2">
        <v>45745</v>
      </c>
      <c r="O1554" t="s">
        <v>60</v>
      </c>
      <c r="P1554" t="s">
        <v>35</v>
      </c>
      <c r="Q1554" t="s">
        <v>28</v>
      </c>
      <c r="R1554" t="s">
        <v>29</v>
      </c>
    </row>
    <row r="1555" spans="1:18">
      <c r="A1555" t="s">
        <v>1687</v>
      </c>
      <c r="B1555" s="2">
        <v>46163</v>
      </c>
      <c r="C1555" t="s">
        <v>131</v>
      </c>
      <c r="D1555" t="s">
        <v>132</v>
      </c>
      <c r="E1555" t="s">
        <v>73</v>
      </c>
      <c r="F1555" t="s">
        <v>57</v>
      </c>
      <c r="G1555" t="s">
        <v>74</v>
      </c>
      <c r="H1555" t="s">
        <v>75</v>
      </c>
      <c r="I1555">
        <v>6</v>
      </c>
      <c r="J1555" s="3">
        <v>9347.6299999999992</v>
      </c>
      <c r="K1555" s="3">
        <v>56085.78</v>
      </c>
      <c r="L1555" t="s">
        <v>34</v>
      </c>
      <c r="M1555" s="2">
        <v>46169</v>
      </c>
      <c r="N1555" s="2">
        <v>46169</v>
      </c>
      <c r="O1555" t="s">
        <v>60</v>
      </c>
      <c r="P1555" t="s">
        <v>77</v>
      </c>
      <c r="Q1555" t="s">
        <v>28</v>
      </c>
      <c r="R1555" t="s">
        <v>29</v>
      </c>
    </row>
    <row r="1556" spans="1:18">
      <c r="A1556" t="s">
        <v>1688</v>
      </c>
      <c r="B1556" s="2">
        <v>45987</v>
      </c>
      <c r="C1556" t="s">
        <v>71</v>
      </c>
      <c r="D1556" t="s">
        <v>72</v>
      </c>
      <c r="E1556" t="s">
        <v>48</v>
      </c>
      <c r="F1556" t="s">
        <v>57</v>
      </c>
      <c r="G1556" t="s">
        <v>74</v>
      </c>
      <c r="H1556" t="s">
        <v>75</v>
      </c>
      <c r="I1556">
        <v>12</v>
      </c>
      <c r="J1556" s="3">
        <v>8487.52</v>
      </c>
      <c r="K1556" s="3">
        <v>101850.24000000001</v>
      </c>
      <c r="L1556" t="s">
        <v>25</v>
      </c>
      <c r="M1556" s="2">
        <v>46000</v>
      </c>
      <c r="N1556" s="2">
        <v>45998</v>
      </c>
      <c r="O1556" t="s">
        <v>26</v>
      </c>
      <c r="P1556" t="s">
        <v>53</v>
      </c>
      <c r="Q1556" t="s">
        <v>28</v>
      </c>
      <c r="R1556" t="s">
        <v>29</v>
      </c>
    </row>
    <row r="1557" spans="1:18">
      <c r="A1557" t="s">
        <v>1689</v>
      </c>
      <c r="B1557" s="2">
        <v>46013</v>
      </c>
      <c r="C1557" t="s">
        <v>142</v>
      </c>
      <c r="D1557" t="s">
        <v>143</v>
      </c>
      <c r="E1557" t="s">
        <v>21</v>
      </c>
      <c r="F1557" t="s">
        <v>22</v>
      </c>
      <c r="G1557" t="s">
        <v>160</v>
      </c>
      <c r="H1557" t="s">
        <v>161</v>
      </c>
      <c r="I1557">
        <v>9</v>
      </c>
      <c r="J1557" s="3">
        <v>3254.75</v>
      </c>
      <c r="K1557" s="3">
        <v>29292.75</v>
      </c>
      <c r="L1557" t="s">
        <v>25</v>
      </c>
      <c r="M1557" s="2">
        <v>46030</v>
      </c>
      <c r="N1557" s="2">
        <v>46030</v>
      </c>
      <c r="O1557" t="s">
        <v>43</v>
      </c>
      <c r="P1557" t="s">
        <v>27</v>
      </c>
      <c r="Q1557" t="s">
        <v>28</v>
      </c>
      <c r="R1557" t="s">
        <v>29</v>
      </c>
    </row>
    <row r="1558" spans="1:18">
      <c r="A1558" t="s">
        <v>1690</v>
      </c>
      <c r="B1558" s="2">
        <v>46120</v>
      </c>
      <c r="C1558" t="s">
        <v>104</v>
      </c>
      <c r="D1558" t="s">
        <v>105</v>
      </c>
      <c r="E1558" t="s">
        <v>48</v>
      </c>
      <c r="F1558" t="s">
        <v>49</v>
      </c>
      <c r="G1558" t="s">
        <v>165</v>
      </c>
      <c r="H1558" t="s">
        <v>166</v>
      </c>
      <c r="I1558">
        <v>2</v>
      </c>
      <c r="J1558" s="3">
        <v>45898.94</v>
      </c>
      <c r="K1558" s="3">
        <v>91797.88</v>
      </c>
      <c r="L1558" t="s">
        <v>25</v>
      </c>
      <c r="M1558" s="2">
        <v>46125</v>
      </c>
      <c r="N1558" s="2">
        <v>46122</v>
      </c>
      <c r="O1558" t="s">
        <v>76</v>
      </c>
      <c r="P1558" t="s">
        <v>53</v>
      </c>
      <c r="Q1558" t="s">
        <v>28</v>
      </c>
      <c r="R1558" t="s">
        <v>29</v>
      </c>
    </row>
    <row r="1559" spans="1:18">
      <c r="A1559" t="s">
        <v>1691</v>
      </c>
      <c r="B1559" s="2">
        <v>45778</v>
      </c>
      <c r="C1559" t="s">
        <v>37</v>
      </c>
      <c r="D1559" t="s">
        <v>38</v>
      </c>
      <c r="E1559" t="s">
        <v>112</v>
      </c>
      <c r="F1559" t="s">
        <v>22</v>
      </c>
      <c r="G1559" t="s">
        <v>32</v>
      </c>
      <c r="H1559" t="s">
        <v>33</v>
      </c>
      <c r="I1559">
        <v>3</v>
      </c>
      <c r="J1559" s="3">
        <v>9059.67</v>
      </c>
      <c r="K1559" s="3">
        <v>27179.01</v>
      </c>
      <c r="L1559" t="s">
        <v>34</v>
      </c>
      <c r="M1559" s="2">
        <v>45785</v>
      </c>
      <c r="N1559" s="2">
        <v>45785</v>
      </c>
      <c r="O1559" t="s">
        <v>60</v>
      </c>
      <c r="P1559" t="s">
        <v>115</v>
      </c>
      <c r="Q1559" t="s">
        <v>28</v>
      </c>
      <c r="R1559" t="s">
        <v>29</v>
      </c>
    </row>
    <row r="1560" spans="1:18">
      <c r="A1560" t="s">
        <v>1692</v>
      </c>
      <c r="B1560" s="2">
        <v>45698</v>
      </c>
      <c r="C1560" t="s">
        <v>71</v>
      </c>
      <c r="D1560" t="s">
        <v>72</v>
      </c>
      <c r="E1560" t="s">
        <v>73</v>
      </c>
      <c r="F1560" t="s">
        <v>57</v>
      </c>
      <c r="G1560" t="s">
        <v>127</v>
      </c>
      <c r="H1560" t="s">
        <v>128</v>
      </c>
      <c r="I1560">
        <v>1</v>
      </c>
      <c r="J1560" s="3">
        <v>15981.57</v>
      </c>
      <c r="K1560" s="3">
        <v>15981.57</v>
      </c>
      <c r="L1560" t="s">
        <v>25</v>
      </c>
      <c r="M1560" s="2">
        <v>45713</v>
      </c>
      <c r="N1560" s="2">
        <v>45713</v>
      </c>
      <c r="O1560" t="s">
        <v>76</v>
      </c>
      <c r="P1560" t="s">
        <v>77</v>
      </c>
      <c r="Q1560" t="s">
        <v>28</v>
      </c>
      <c r="R1560" t="s">
        <v>29</v>
      </c>
    </row>
    <row r="1561" spans="1:18">
      <c r="A1561" t="s">
        <v>1693</v>
      </c>
      <c r="B1561" s="2">
        <v>46004</v>
      </c>
      <c r="C1561" t="s">
        <v>147</v>
      </c>
      <c r="D1561" t="s">
        <v>148</v>
      </c>
      <c r="E1561" t="s">
        <v>112</v>
      </c>
      <c r="F1561" t="s">
        <v>40</v>
      </c>
      <c r="G1561" t="s">
        <v>62</v>
      </c>
      <c r="H1561" t="s">
        <v>63</v>
      </c>
      <c r="I1561">
        <v>4</v>
      </c>
      <c r="J1561" s="3">
        <v>17379.900000000001</v>
      </c>
      <c r="K1561" s="3">
        <v>69519.600000000006</v>
      </c>
      <c r="L1561" t="s">
        <v>25</v>
      </c>
      <c r="M1561" s="2">
        <v>46020</v>
      </c>
      <c r="N1561" s="2">
        <v>46017</v>
      </c>
      <c r="O1561" t="s">
        <v>43</v>
      </c>
      <c r="P1561" t="s">
        <v>115</v>
      </c>
      <c r="Q1561" t="s">
        <v>28</v>
      </c>
      <c r="R1561" t="s">
        <v>29</v>
      </c>
    </row>
    <row r="1562" spans="1:18">
      <c r="A1562" t="s">
        <v>1694</v>
      </c>
      <c r="B1562" s="2">
        <v>46137</v>
      </c>
      <c r="C1562" t="s">
        <v>66</v>
      </c>
      <c r="D1562" t="s">
        <v>67</v>
      </c>
      <c r="E1562" t="s">
        <v>112</v>
      </c>
      <c r="F1562" t="s">
        <v>49</v>
      </c>
      <c r="G1562" t="s">
        <v>113</v>
      </c>
      <c r="H1562" t="s">
        <v>114</v>
      </c>
      <c r="I1562">
        <v>2</v>
      </c>
      <c r="J1562" s="3">
        <v>38173.65</v>
      </c>
      <c r="K1562" s="3">
        <v>76347.3</v>
      </c>
      <c r="L1562" t="s">
        <v>52</v>
      </c>
      <c r="M1562" s="2">
        <v>46142</v>
      </c>
      <c r="N1562" s="2">
        <v>46139</v>
      </c>
      <c r="O1562" t="s">
        <v>43</v>
      </c>
      <c r="P1562" t="s">
        <v>115</v>
      </c>
      <c r="Q1562" t="s">
        <v>28</v>
      </c>
      <c r="R1562" t="s">
        <v>29</v>
      </c>
    </row>
    <row r="1563" spans="1:18">
      <c r="A1563" t="s">
        <v>1695</v>
      </c>
      <c r="B1563" s="2">
        <v>45778</v>
      </c>
      <c r="C1563" t="s">
        <v>37</v>
      </c>
      <c r="D1563" t="s">
        <v>38</v>
      </c>
      <c r="E1563" t="s">
        <v>31</v>
      </c>
      <c r="F1563" t="s">
        <v>22</v>
      </c>
      <c r="G1563" t="s">
        <v>32</v>
      </c>
      <c r="H1563" t="s">
        <v>33</v>
      </c>
      <c r="I1563">
        <v>5</v>
      </c>
      <c r="J1563" s="3">
        <v>8484.7800000000007</v>
      </c>
      <c r="K1563" s="3">
        <v>42423.9</v>
      </c>
      <c r="L1563" t="s">
        <v>25</v>
      </c>
      <c r="M1563" s="2">
        <v>45796</v>
      </c>
      <c r="N1563" s="2">
        <v>45796</v>
      </c>
      <c r="O1563" t="s">
        <v>26</v>
      </c>
      <c r="P1563" t="s">
        <v>35</v>
      </c>
      <c r="Q1563" t="s">
        <v>28</v>
      </c>
      <c r="R1563" t="s">
        <v>29</v>
      </c>
    </row>
    <row r="1564" spans="1:18">
      <c r="A1564" t="s">
        <v>1696</v>
      </c>
      <c r="B1564" s="2">
        <v>46045</v>
      </c>
      <c r="C1564" t="s">
        <v>46</v>
      </c>
      <c r="D1564" t="s">
        <v>47</v>
      </c>
      <c r="E1564" t="s">
        <v>21</v>
      </c>
      <c r="F1564" t="s">
        <v>49</v>
      </c>
      <c r="G1564" t="s">
        <v>165</v>
      </c>
      <c r="H1564" t="s">
        <v>166</v>
      </c>
      <c r="I1564">
        <v>2</v>
      </c>
      <c r="J1564" s="3">
        <v>47264.11</v>
      </c>
      <c r="K1564" s="3">
        <v>94528.22</v>
      </c>
      <c r="L1564" t="s">
        <v>25</v>
      </c>
      <c r="M1564" s="2">
        <v>46053</v>
      </c>
      <c r="N1564" s="2">
        <v>46053</v>
      </c>
      <c r="O1564" t="s">
        <v>60</v>
      </c>
      <c r="P1564" t="s">
        <v>27</v>
      </c>
      <c r="Q1564" t="s">
        <v>28</v>
      </c>
      <c r="R1564" t="s">
        <v>29</v>
      </c>
    </row>
    <row r="1565" spans="1:18">
      <c r="A1565" t="s">
        <v>1697</v>
      </c>
      <c r="B1565" s="2">
        <v>45820</v>
      </c>
      <c r="C1565" t="s">
        <v>71</v>
      </c>
      <c r="D1565" t="s">
        <v>72</v>
      </c>
      <c r="E1565" t="s">
        <v>21</v>
      </c>
      <c r="F1565" t="s">
        <v>57</v>
      </c>
      <c r="G1565" t="s">
        <v>74</v>
      </c>
      <c r="H1565" t="s">
        <v>75</v>
      </c>
      <c r="I1565">
        <v>5</v>
      </c>
      <c r="J1565" s="3">
        <v>8122.04</v>
      </c>
      <c r="K1565" s="3">
        <v>40610.199999999997</v>
      </c>
      <c r="L1565" t="s">
        <v>25</v>
      </c>
      <c r="M1565" s="2">
        <v>45830</v>
      </c>
      <c r="N1565" s="2">
        <v>45828</v>
      </c>
      <c r="O1565" t="s">
        <v>43</v>
      </c>
      <c r="P1565" t="s">
        <v>27</v>
      </c>
      <c r="Q1565" t="s">
        <v>28</v>
      </c>
      <c r="R1565" t="s">
        <v>29</v>
      </c>
    </row>
    <row r="1566" spans="1:18">
      <c r="A1566" t="s">
        <v>1698</v>
      </c>
      <c r="B1566" s="2">
        <v>45859</v>
      </c>
      <c r="C1566" t="s">
        <v>46</v>
      </c>
      <c r="D1566" t="s">
        <v>47</v>
      </c>
      <c r="E1566" t="s">
        <v>48</v>
      </c>
      <c r="F1566" t="s">
        <v>49</v>
      </c>
      <c r="G1566" t="s">
        <v>68</v>
      </c>
      <c r="H1566" t="s">
        <v>69</v>
      </c>
      <c r="I1566">
        <v>3</v>
      </c>
      <c r="J1566" s="3">
        <v>52612.91</v>
      </c>
      <c r="K1566" s="3">
        <v>157838.73000000001</v>
      </c>
      <c r="L1566" t="s">
        <v>25</v>
      </c>
      <c r="M1566" s="2">
        <v>45869</v>
      </c>
      <c r="N1566" s="2">
        <v>45867</v>
      </c>
      <c r="O1566" t="s">
        <v>60</v>
      </c>
      <c r="P1566" t="s">
        <v>53</v>
      </c>
      <c r="Q1566" t="s">
        <v>28</v>
      </c>
      <c r="R1566" t="s">
        <v>29</v>
      </c>
    </row>
    <row r="1567" spans="1:18">
      <c r="A1567" t="s">
        <v>1699</v>
      </c>
      <c r="B1567" s="2">
        <v>46075</v>
      </c>
      <c r="C1567" t="s">
        <v>19</v>
      </c>
      <c r="D1567" t="s">
        <v>20</v>
      </c>
      <c r="E1567" t="s">
        <v>73</v>
      </c>
      <c r="F1567" t="s">
        <v>22</v>
      </c>
      <c r="G1567" t="s">
        <v>160</v>
      </c>
      <c r="H1567" t="s">
        <v>161</v>
      </c>
      <c r="I1567">
        <v>15</v>
      </c>
      <c r="J1567" s="3">
        <v>2964.24</v>
      </c>
      <c r="K1567" s="3">
        <v>44463.6</v>
      </c>
      <c r="L1567" t="s">
        <v>25</v>
      </c>
      <c r="M1567" s="2">
        <v>46080</v>
      </c>
      <c r="N1567" s="2">
        <v>46080</v>
      </c>
      <c r="O1567" t="s">
        <v>60</v>
      </c>
      <c r="P1567" t="s">
        <v>77</v>
      </c>
      <c r="Q1567" t="s">
        <v>28</v>
      </c>
      <c r="R1567" t="s">
        <v>29</v>
      </c>
    </row>
    <row r="1568" spans="1:18">
      <c r="A1568" t="s">
        <v>1700</v>
      </c>
      <c r="B1568" s="2">
        <v>45966</v>
      </c>
      <c r="C1568" t="s">
        <v>117</v>
      </c>
      <c r="D1568" t="s">
        <v>118</v>
      </c>
      <c r="E1568" t="s">
        <v>73</v>
      </c>
      <c r="F1568" t="s">
        <v>57</v>
      </c>
      <c r="G1568" t="s">
        <v>74</v>
      </c>
      <c r="H1568" t="s">
        <v>75</v>
      </c>
      <c r="I1568">
        <v>9</v>
      </c>
      <c r="J1568" s="3">
        <v>9084.98</v>
      </c>
      <c r="K1568" s="3">
        <v>81764.820000000007</v>
      </c>
      <c r="L1568" t="s">
        <v>25</v>
      </c>
      <c r="M1568" s="2">
        <v>45977</v>
      </c>
      <c r="N1568" s="2">
        <v>45992</v>
      </c>
      <c r="O1568" t="s">
        <v>26</v>
      </c>
      <c r="P1568" t="s">
        <v>77</v>
      </c>
      <c r="Q1568" t="s">
        <v>28</v>
      </c>
      <c r="R1568" t="s">
        <v>129</v>
      </c>
    </row>
    <row r="1569" spans="1:18">
      <c r="A1569" t="s">
        <v>1701</v>
      </c>
      <c r="B1569" s="2">
        <v>46063</v>
      </c>
      <c r="C1569" t="s">
        <v>142</v>
      </c>
      <c r="D1569" t="s">
        <v>143</v>
      </c>
      <c r="E1569" t="s">
        <v>73</v>
      </c>
      <c r="F1569" t="s">
        <v>22</v>
      </c>
      <c r="G1569" t="s">
        <v>160</v>
      </c>
      <c r="H1569" t="s">
        <v>161</v>
      </c>
      <c r="I1569">
        <v>15</v>
      </c>
      <c r="J1569" s="3">
        <v>3231.22</v>
      </c>
      <c r="K1569" s="3">
        <v>48468.3</v>
      </c>
      <c r="L1569" t="s">
        <v>25</v>
      </c>
      <c r="M1569" s="2">
        <v>46078</v>
      </c>
      <c r="N1569" s="2">
        <v>46075</v>
      </c>
      <c r="O1569" t="s">
        <v>43</v>
      </c>
      <c r="P1569" t="s">
        <v>77</v>
      </c>
      <c r="Q1569" t="s">
        <v>28</v>
      </c>
      <c r="R1569" t="s">
        <v>29</v>
      </c>
    </row>
    <row r="1570" spans="1:18">
      <c r="A1570" t="s">
        <v>1702</v>
      </c>
      <c r="B1570" s="2">
        <v>45702</v>
      </c>
      <c r="C1570" t="s">
        <v>142</v>
      </c>
      <c r="D1570" t="s">
        <v>143</v>
      </c>
      <c r="E1570" t="s">
        <v>112</v>
      </c>
      <c r="F1570" t="s">
        <v>22</v>
      </c>
      <c r="G1570" t="s">
        <v>32</v>
      </c>
      <c r="H1570" t="s">
        <v>33</v>
      </c>
      <c r="I1570">
        <v>6</v>
      </c>
      <c r="J1570" s="3">
        <v>7958.72</v>
      </c>
      <c r="K1570" s="3">
        <v>47752.32</v>
      </c>
      <c r="L1570" t="s">
        <v>25</v>
      </c>
      <c r="M1570" s="2">
        <v>45709</v>
      </c>
      <c r="N1570" s="2">
        <v>45715</v>
      </c>
      <c r="O1570" t="s">
        <v>26</v>
      </c>
      <c r="P1570" t="s">
        <v>115</v>
      </c>
      <c r="Q1570" t="s">
        <v>28</v>
      </c>
      <c r="R1570" t="s">
        <v>129</v>
      </c>
    </row>
    <row r="1571" spans="1:18">
      <c r="A1571" t="s">
        <v>1703</v>
      </c>
      <c r="B1571" s="2">
        <v>46037</v>
      </c>
      <c r="C1571" t="s">
        <v>66</v>
      </c>
      <c r="D1571" t="s">
        <v>67</v>
      </c>
      <c r="E1571" t="s">
        <v>48</v>
      </c>
      <c r="F1571" t="s">
        <v>49</v>
      </c>
      <c r="G1571" t="s">
        <v>50</v>
      </c>
      <c r="H1571" t="s">
        <v>51</v>
      </c>
      <c r="I1571">
        <v>1</v>
      </c>
      <c r="J1571" s="3">
        <v>51030.3</v>
      </c>
      <c r="K1571" s="3">
        <v>51030.3</v>
      </c>
      <c r="L1571" t="s">
        <v>34</v>
      </c>
      <c r="M1571" s="2">
        <v>46048</v>
      </c>
      <c r="N1571" s="2">
        <v>46059</v>
      </c>
      <c r="O1571" t="s">
        <v>60</v>
      </c>
      <c r="P1571" t="s">
        <v>53</v>
      </c>
      <c r="Q1571" t="s">
        <v>28</v>
      </c>
      <c r="R1571" t="s">
        <v>129</v>
      </c>
    </row>
    <row r="1572" spans="1:18">
      <c r="A1572" t="s">
        <v>1704</v>
      </c>
      <c r="B1572" s="2">
        <v>46132</v>
      </c>
      <c r="C1572" t="s">
        <v>46</v>
      </c>
      <c r="D1572" t="s">
        <v>47</v>
      </c>
      <c r="E1572" t="s">
        <v>48</v>
      </c>
      <c r="F1572" t="s">
        <v>49</v>
      </c>
      <c r="G1572" t="s">
        <v>165</v>
      </c>
      <c r="H1572" t="s">
        <v>166</v>
      </c>
      <c r="I1572">
        <v>1</v>
      </c>
      <c r="J1572" s="3">
        <v>46898.69</v>
      </c>
      <c r="K1572" s="3">
        <v>46898.69</v>
      </c>
      <c r="L1572" t="s">
        <v>25</v>
      </c>
      <c r="M1572" s="2">
        <v>46147</v>
      </c>
      <c r="N1572" s="2">
        <v>46146</v>
      </c>
      <c r="O1572" t="s">
        <v>76</v>
      </c>
      <c r="P1572" t="s">
        <v>53</v>
      </c>
      <c r="Q1572" t="s">
        <v>28</v>
      </c>
      <c r="R1572" t="s">
        <v>29</v>
      </c>
    </row>
    <row r="1573" spans="1:18">
      <c r="A1573" t="s">
        <v>1705</v>
      </c>
      <c r="B1573" s="2">
        <v>45888</v>
      </c>
      <c r="C1573" t="s">
        <v>19</v>
      </c>
      <c r="D1573" t="s">
        <v>20</v>
      </c>
      <c r="E1573" t="s">
        <v>39</v>
      </c>
      <c r="F1573" t="s">
        <v>22</v>
      </c>
      <c r="G1573" t="s">
        <v>32</v>
      </c>
      <c r="H1573" t="s">
        <v>33</v>
      </c>
      <c r="I1573">
        <v>10</v>
      </c>
      <c r="J1573" s="3">
        <v>7432.83</v>
      </c>
      <c r="K1573" s="3">
        <v>74328.3</v>
      </c>
      <c r="L1573" t="s">
        <v>25</v>
      </c>
      <c r="M1573" s="2">
        <v>45899</v>
      </c>
      <c r="N1573" s="2">
        <v>45897</v>
      </c>
      <c r="O1573" t="s">
        <v>76</v>
      </c>
      <c r="P1573" t="s">
        <v>44</v>
      </c>
      <c r="Q1573" t="s">
        <v>28</v>
      </c>
      <c r="R1573" t="s">
        <v>29</v>
      </c>
    </row>
    <row r="1574" spans="1:18">
      <c r="A1574" t="s">
        <v>1706</v>
      </c>
      <c r="B1574" s="2">
        <v>45996</v>
      </c>
      <c r="C1574" t="s">
        <v>37</v>
      </c>
      <c r="D1574" t="s">
        <v>38</v>
      </c>
      <c r="E1574" t="s">
        <v>73</v>
      </c>
      <c r="F1574" t="s">
        <v>22</v>
      </c>
      <c r="G1574" t="s">
        <v>32</v>
      </c>
      <c r="H1574" t="s">
        <v>33</v>
      </c>
      <c r="I1574">
        <v>2</v>
      </c>
      <c r="J1574" s="3">
        <v>8290.83</v>
      </c>
      <c r="K1574" s="3">
        <v>16581.66</v>
      </c>
      <c r="L1574" t="s">
        <v>25</v>
      </c>
      <c r="M1574" s="2">
        <v>46008</v>
      </c>
      <c r="N1574" s="2">
        <v>46008</v>
      </c>
      <c r="O1574" t="s">
        <v>60</v>
      </c>
      <c r="P1574" t="s">
        <v>77</v>
      </c>
      <c r="Q1574" t="s">
        <v>28</v>
      </c>
      <c r="R1574" t="s">
        <v>29</v>
      </c>
    </row>
    <row r="1575" spans="1:18">
      <c r="A1575" t="s">
        <v>1707</v>
      </c>
      <c r="B1575" s="2">
        <v>45670</v>
      </c>
      <c r="C1575" t="s">
        <v>71</v>
      </c>
      <c r="D1575" t="s">
        <v>72</v>
      </c>
      <c r="E1575" t="s">
        <v>48</v>
      </c>
      <c r="F1575" t="s">
        <v>57</v>
      </c>
      <c r="G1575" t="s">
        <v>74</v>
      </c>
      <c r="H1575" t="s">
        <v>75</v>
      </c>
      <c r="I1575">
        <v>7</v>
      </c>
      <c r="J1575" s="3">
        <v>8000.71</v>
      </c>
      <c r="K1575" s="3">
        <v>56004.97</v>
      </c>
      <c r="L1575" t="s">
        <v>25</v>
      </c>
      <c r="M1575" s="2">
        <v>45675</v>
      </c>
      <c r="N1575" s="2">
        <v>45673</v>
      </c>
      <c r="O1575" t="s">
        <v>26</v>
      </c>
      <c r="P1575" t="s">
        <v>53</v>
      </c>
      <c r="Q1575" t="s">
        <v>28</v>
      </c>
      <c r="R1575" t="s">
        <v>29</v>
      </c>
    </row>
    <row r="1576" spans="1:18">
      <c r="A1576" t="s">
        <v>1708</v>
      </c>
      <c r="B1576" s="2">
        <v>46073</v>
      </c>
      <c r="C1576" t="s">
        <v>19</v>
      </c>
      <c r="D1576" t="s">
        <v>20</v>
      </c>
      <c r="E1576" t="s">
        <v>39</v>
      </c>
      <c r="F1576" t="s">
        <v>22</v>
      </c>
      <c r="G1576" t="s">
        <v>160</v>
      </c>
      <c r="H1576" t="s">
        <v>161</v>
      </c>
      <c r="I1576">
        <v>6</v>
      </c>
      <c r="J1576" s="3">
        <v>2819.48</v>
      </c>
      <c r="K1576" s="3">
        <v>16916.88</v>
      </c>
      <c r="L1576" t="s">
        <v>25</v>
      </c>
      <c r="M1576" s="2">
        <v>46081</v>
      </c>
      <c r="N1576" s="2">
        <v>46081</v>
      </c>
      <c r="O1576" t="s">
        <v>43</v>
      </c>
      <c r="P1576" t="s">
        <v>44</v>
      </c>
      <c r="Q1576" t="s">
        <v>28</v>
      </c>
      <c r="R1576" t="s">
        <v>29</v>
      </c>
    </row>
    <row r="1577" spans="1:18">
      <c r="A1577" t="s">
        <v>1709</v>
      </c>
      <c r="B1577" s="2">
        <v>45981</v>
      </c>
      <c r="C1577" t="s">
        <v>104</v>
      </c>
      <c r="D1577" t="s">
        <v>105</v>
      </c>
      <c r="E1577" t="s">
        <v>21</v>
      </c>
      <c r="F1577" t="s">
        <v>49</v>
      </c>
      <c r="G1577" t="s">
        <v>113</v>
      </c>
      <c r="H1577" t="s">
        <v>114</v>
      </c>
      <c r="I1577">
        <v>1</v>
      </c>
      <c r="J1577" s="3">
        <v>37093.01</v>
      </c>
      <c r="K1577" s="3">
        <v>37093.01</v>
      </c>
      <c r="L1577" t="s">
        <v>25</v>
      </c>
      <c r="M1577" s="2">
        <v>45987</v>
      </c>
      <c r="N1577" s="2">
        <v>45985</v>
      </c>
      <c r="O1577" t="s">
        <v>76</v>
      </c>
      <c r="P1577" t="s">
        <v>27</v>
      </c>
      <c r="Q1577" t="s">
        <v>28</v>
      </c>
      <c r="R1577" t="s">
        <v>29</v>
      </c>
    </row>
    <row r="1578" spans="1:18">
      <c r="A1578" t="s">
        <v>1710</v>
      </c>
      <c r="B1578" s="2">
        <v>46032</v>
      </c>
      <c r="C1578" t="s">
        <v>46</v>
      </c>
      <c r="D1578" t="s">
        <v>47</v>
      </c>
      <c r="E1578" t="s">
        <v>48</v>
      </c>
      <c r="F1578" t="s">
        <v>49</v>
      </c>
      <c r="G1578" t="s">
        <v>68</v>
      </c>
      <c r="H1578" t="s">
        <v>69</v>
      </c>
      <c r="I1578">
        <v>2</v>
      </c>
      <c r="J1578" s="3">
        <v>50307.02</v>
      </c>
      <c r="K1578" s="3">
        <v>100614.04</v>
      </c>
      <c r="L1578" t="s">
        <v>34</v>
      </c>
      <c r="M1578" s="2">
        <v>46038</v>
      </c>
      <c r="N1578" s="2">
        <v>46038</v>
      </c>
      <c r="O1578" t="s">
        <v>60</v>
      </c>
      <c r="P1578" t="s">
        <v>53</v>
      </c>
      <c r="Q1578" t="s">
        <v>28</v>
      </c>
      <c r="R1578" t="s">
        <v>29</v>
      </c>
    </row>
    <row r="1579" spans="1:18">
      <c r="A1579" t="s">
        <v>1711</v>
      </c>
      <c r="B1579" s="2">
        <v>46072</v>
      </c>
      <c r="C1579" t="s">
        <v>46</v>
      </c>
      <c r="D1579" t="s">
        <v>47</v>
      </c>
      <c r="E1579" t="s">
        <v>73</v>
      </c>
      <c r="F1579" t="s">
        <v>49</v>
      </c>
      <c r="G1579" t="s">
        <v>113</v>
      </c>
      <c r="H1579" t="s">
        <v>114</v>
      </c>
      <c r="I1579">
        <v>1</v>
      </c>
      <c r="J1579" s="3">
        <v>39375.019999999997</v>
      </c>
      <c r="K1579" s="3">
        <v>39375.019999999997</v>
      </c>
      <c r="L1579" t="s">
        <v>34</v>
      </c>
      <c r="M1579" s="2">
        <v>46088</v>
      </c>
      <c r="N1579" s="2">
        <v>46086</v>
      </c>
      <c r="O1579" t="s">
        <v>60</v>
      </c>
      <c r="P1579" t="s">
        <v>77</v>
      </c>
      <c r="Q1579" t="s">
        <v>28</v>
      </c>
      <c r="R1579" t="s">
        <v>29</v>
      </c>
    </row>
    <row r="1580" spans="1:18">
      <c r="A1580" t="s">
        <v>1712</v>
      </c>
      <c r="B1580" s="2">
        <v>45665</v>
      </c>
      <c r="C1580" t="s">
        <v>37</v>
      </c>
      <c r="D1580" t="s">
        <v>38</v>
      </c>
      <c r="E1580" t="s">
        <v>73</v>
      </c>
      <c r="F1580" t="s">
        <v>22</v>
      </c>
      <c r="G1580" t="s">
        <v>23</v>
      </c>
      <c r="H1580" t="s">
        <v>24</v>
      </c>
      <c r="I1580">
        <v>59</v>
      </c>
      <c r="J1580" s="3">
        <v>268.04000000000002</v>
      </c>
      <c r="K1580" s="3">
        <v>15814.36</v>
      </c>
      <c r="L1580" t="s">
        <v>25</v>
      </c>
      <c r="M1580" s="2">
        <v>45677</v>
      </c>
      <c r="N1580" s="2">
        <v>45677</v>
      </c>
      <c r="O1580" t="s">
        <v>26</v>
      </c>
      <c r="P1580" t="s">
        <v>77</v>
      </c>
      <c r="Q1580" t="s">
        <v>28</v>
      </c>
      <c r="R1580" t="s">
        <v>29</v>
      </c>
    </row>
    <row r="1581" spans="1:18">
      <c r="A1581" t="s">
        <v>1713</v>
      </c>
      <c r="B1581" s="2">
        <v>45760</v>
      </c>
      <c r="C1581" t="s">
        <v>96</v>
      </c>
      <c r="D1581" t="s">
        <v>97</v>
      </c>
      <c r="E1581" t="s">
        <v>39</v>
      </c>
      <c r="F1581" t="s">
        <v>82</v>
      </c>
      <c r="G1581" t="s">
        <v>98</v>
      </c>
      <c r="H1581" t="s">
        <v>99</v>
      </c>
      <c r="I1581">
        <v>17</v>
      </c>
      <c r="J1581" s="3">
        <v>1140.33</v>
      </c>
      <c r="K1581" s="3">
        <v>19385.61</v>
      </c>
      <c r="L1581" t="s">
        <v>25</v>
      </c>
      <c r="M1581" s="2">
        <v>45778</v>
      </c>
      <c r="N1581" s="2">
        <v>45775</v>
      </c>
      <c r="O1581" t="s">
        <v>26</v>
      </c>
      <c r="P1581" t="s">
        <v>64</v>
      </c>
      <c r="Q1581" t="s">
        <v>28</v>
      </c>
      <c r="R1581" t="s">
        <v>29</v>
      </c>
    </row>
    <row r="1582" spans="1:18">
      <c r="A1582" t="s">
        <v>1714</v>
      </c>
      <c r="B1582" s="2">
        <v>46072</v>
      </c>
      <c r="C1582" t="s">
        <v>96</v>
      </c>
      <c r="D1582" t="s">
        <v>97</v>
      </c>
      <c r="E1582" t="s">
        <v>39</v>
      </c>
      <c r="F1582" t="s">
        <v>82</v>
      </c>
      <c r="G1582" t="s">
        <v>83</v>
      </c>
      <c r="H1582" t="s">
        <v>84</v>
      </c>
      <c r="I1582">
        <v>57</v>
      </c>
      <c r="J1582" s="3">
        <v>748.05</v>
      </c>
      <c r="K1582" s="3">
        <v>42638.85</v>
      </c>
      <c r="L1582" t="s">
        <v>25</v>
      </c>
      <c r="M1582" s="2">
        <v>46083</v>
      </c>
      <c r="N1582" s="2">
        <v>46080</v>
      </c>
      <c r="O1582" t="s">
        <v>26</v>
      </c>
      <c r="P1582" t="s">
        <v>44</v>
      </c>
      <c r="Q1582" t="s">
        <v>28</v>
      </c>
      <c r="R1582" t="s">
        <v>29</v>
      </c>
    </row>
    <row r="1583" spans="1:18">
      <c r="A1583" t="s">
        <v>1715</v>
      </c>
      <c r="B1583" s="2">
        <v>45827</v>
      </c>
      <c r="C1583" t="s">
        <v>104</v>
      </c>
      <c r="D1583" t="s">
        <v>105</v>
      </c>
      <c r="E1583" t="s">
        <v>112</v>
      </c>
      <c r="F1583" t="s">
        <v>49</v>
      </c>
      <c r="G1583" t="s">
        <v>50</v>
      </c>
      <c r="H1583" t="s">
        <v>51</v>
      </c>
      <c r="I1583">
        <v>1</v>
      </c>
      <c r="J1583" s="3">
        <v>52423.41</v>
      </c>
      <c r="K1583" s="3">
        <v>52423.41</v>
      </c>
      <c r="L1583" t="s">
        <v>25</v>
      </c>
      <c r="M1583" s="2">
        <v>45842</v>
      </c>
      <c r="N1583" s="2">
        <v>45841</v>
      </c>
      <c r="O1583" t="s">
        <v>26</v>
      </c>
      <c r="P1583" t="s">
        <v>115</v>
      </c>
      <c r="Q1583" t="s">
        <v>28</v>
      </c>
      <c r="R1583" t="s">
        <v>29</v>
      </c>
    </row>
    <row r="1584" spans="1:18">
      <c r="A1584" t="s">
        <v>1716</v>
      </c>
      <c r="B1584" s="2">
        <v>45754</v>
      </c>
      <c r="C1584" t="s">
        <v>19</v>
      </c>
      <c r="D1584" t="s">
        <v>20</v>
      </c>
      <c r="E1584" t="s">
        <v>112</v>
      </c>
      <c r="F1584" t="s">
        <v>22</v>
      </c>
      <c r="G1584" t="s">
        <v>160</v>
      </c>
      <c r="H1584" t="s">
        <v>161</v>
      </c>
      <c r="I1584">
        <v>13</v>
      </c>
      <c r="J1584" s="3">
        <v>3044.77</v>
      </c>
      <c r="K1584" s="3">
        <v>39582.01</v>
      </c>
      <c r="L1584" t="s">
        <v>25</v>
      </c>
      <c r="M1584" s="2">
        <v>45761</v>
      </c>
      <c r="N1584" s="2">
        <v>45759</v>
      </c>
      <c r="O1584" t="s">
        <v>76</v>
      </c>
      <c r="P1584" t="s">
        <v>115</v>
      </c>
      <c r="Q1584" t="s">
        <v>28</v>
      </c>
      <c r="R1584" t="s">
        <v>29</v>
      </c>
    </row>
    <row r="1585" spans="1:18">
      <c r="A1585" t="s">
        <v>1717</v>
      </c>
      <c r="B1585" s="2">
        <v>45730</v>
      </c>
      <c r="C1585" t="s">
        <v>37</v>
      </c>
      <c r="D1585" t="s">
        <v>38</v>
      </c>
      <c r="E1585" t="s">
        <v>31</v>
      </c>
      <c r="F1585" t="s">
        <v>22</v>
      </c>
      <c r="G1585" t="s">
        <v>23</v>
      </c>
      <c r="H1585" t="s">
        <v>24</v>
      </c>
      <c r="I1585">
        <v>57</v>
      </c>
      <c r="J1585" s="3">
        <v>263.07</v>
      </c>
      <c r="K1585" s="3">
        <v>14994.99</v>
      </c>
      <c r="L1585" t="s">
        <v>34</v>
      </c>
      <c r="M1585" s="2">
        <v>45740</v>
      </c>
      <c r="N1585" s="2">
        <v>45738</v>
      </c>
      <c r="O1585" t="s">
        <v>76</v>
      </c>
      <c r="P1585" t="s">
        <v>94</v>
      </c>
      <c r="Q1585" t="s">
        <v>28</v>
      </c>
      <c r="R1585" t="s">
        <v>29</v>
      </c>
    </row>
    <row r="1586" spans="1:18">
      <c r="A1586" t="s">
        <v>1718</v>
      </c>
      <c r="B1586" s="2">
        <v>46056</v>
      </c>
      <c r="C1586" t="s">
        <v>134</v>
      </c>
      <c r="D1586" t="s">
        <v>135</v>
      </c>
      <c r="E1586" t="s">
        <v>112</v>
      </c>
      <c r="F1586" t="s">
        <v>40</v>
      </c>
      <c r="G1586" t="s">
        <v>62</v>
      </c>
      <c r="H1586" t="s">
        <v>63</v>
      </c>
      <c r="I1586">
        <v>2</v>
      </c>
      <c r="J1586" s="3">
        <v>18774.57</v>
      </c>
      <c r="K1586" s="3">
        <v>37549.14</v>
      </c>
      <c r="L1586" t="s">
        <v>25</v>
      </c>
      <c r="M1586" s="2">
        <v>46064</v>
      </c>
      <c r="N1586" s="2">
        <v>46063</v>
      </c>
      <c r="O1586" t="s">
        <v>43</v>
      </c>
      <c r="P1586" t="s">
        <v>115</v>
      </c>
      <c r="Q1586" t="s">
        <v>28</v>
      </c>
      <c r="R1586" t="s">
        <v>29</v>
      </c>
    </row>
    <row r="1587" spans="1:18">
      <c r="A1587" t="s">
        <v>1719</v>
      </c>
      <c r="B1587" s="2">
        <v>46162</v>
      </c>
      <c r="C1587" t="s">
        <v>142</v>
      </c>
      <c r="D1587" t="s">
        <v>143</v>
      </c>
      <c r="E1587" t="s">
        <v>73</v>
      </c>
      <c r="F1587" t="s">
        <v>22</v>
      </c>
      <c r="G1587" t="s">
        <v>23</v>
      </c>
      <c r="H1587" t="s">
        <v>24</v>
      </c>
      <c r="I1587">
        <v>49</v>
      </c>
      <c r="J1587" s="3">
        <v>251.21</v>
      </c>
      <c r="K1587" s="3">
        <v>12309.29</v>
      </c>
      <c r="L1587" t="s">
        <v>52</v>
      </c>
      <c r="M1587" s="2">
        <v>46167</v>
      </c>
      <c r="N1587" s="2">
        <v>46164</v>
      </c>
      <c r="O1587" t="s">
        <v>60</v>
      </c>
      <c r="P1587" t="s">
        <v>77</v>
      </c>
      <c r="Q1587" t="s">
        <v>28</v>
      </c>
      <c r="R1587" t="s">
        <v>29</v>
      </c>
    </row>
    <row r="1588" spans="1:18">
      <c r="A1588" t="s">
        <v>1720</v>
      </c>
      <c r="B1588" s="2">
        <v>46111</v>
      </c>
      <c r="C1588" t="s">
        <v>89</v>
      </c>
      <c r="D1588" t="s">
        <v>90</v>
      </c>
      <c r="E1588" t="s">
        <v>31</v>
      </c>
      <c r="F1588" t="s">
        <v>91</v>
      </c>
      <c r="G1588" t="s">
        <v>92</v>
      </c>
      <c r="H1588" t="s">
        <v>93</v>
      </c>
      <c r="I1588">
        <v>3</v>
      </c>
      <c r="J1588" s="3">
        <v>40450.61</v>
      </c>
      <c r="K1588" s="3">
        <v>121351.83</v>
      </c>
      <c r="L1588" t="s">
        <v>25</v>
      </c>
      <c r="M1588" s="2">
        <v>46121</v>
      </c>
      <c r="N1588" s="2">
        <v>46119</v>
      </c>
      <c r="O1588" t="s">
        <v>76</v>
      </c>
      <c r="P1588" t="s">
        <v>94</v>
      </c>
      <c r="Q1588" t="s">
        <v>28</v>
      </c>
      <c r="R1588" t="s">
        <v>29</v>
      </c>
    </row>
    <row r="1589" spans="1:18">
      <c r="A1589" t="s">
        <v>1721</v>
      </c>
      <c r="B1589" s="2">
        <v>45962</v>
      </c>
      <c r="C1589" t="s">
        <v>37</v>
      </c>
      <c r="D1589" t="s">
        <v>38</v>
      </c>
      <c r="E1589" t="s">
        <v>39</v>
      </c>
      <c r="F1589" t="s">
        <v>40</v>
      </c>
      <c r="G1589" t="s">
        <v>136</v>
      </c>
      <c r="H1589" t="s">
        <v>137</v>
      </c>
      <c r="I1589">
        <v>32</v>
      </c>
      <c r="J1589" s="3">
        <v>1797.84</v>
      </c>
      <c r="K1589" s="3">
        <v>57530.879999999997</v>
      </c>
      <c r="L1589" t="s">
        <v>25</v>
      </c>
      <c r="M1589" s="2">
        <v>45974</v>
      </c>
      <c r="N1589" s="2">
        <v>45972</v>
      </c>
      <c r="O1589" t="s">
        <v>60</v>
      </c>
      <c r="P1589" t="s">
        <v>44</v>
      </c>
      <c r="Q1589" t="s">
        <v>28</v>
      </c>
      <c r="R1589" t="s">
        <v>29</v>
      </c>
    </row>
    <row r="1590" spans="1:18">
      <c r="A1590" t="s">
        <v>1722</v>
      </c>
      <c r="B1590" s="2">
        <v>46088</v>
      </c>
      <c r="C1590" t="s">
        <v>107</v>
      </c>
      <c r="D1590" t="s">
        <v>108</v>
      </c>
      <c r="E1590" t="s">
        <v>31</v>
      </c>
      <c r="F1590" t="s">
        <v>91</v>
      </c>
      <c r="G1590" t="s">
        <v>109</v>
      </c>
      <c r="H1590" t="s">
        <v>110</v>
      </c>
      <c r="I1590">
        <v>1</v>
      </c>
      <c r="J1590" s="3">
        <v>13217.07</v>
      </c>
      <c r="K1590" s="3">
        <v>13217.07</v>
      </c>
      <c r="L1590" t="s">
        <v>34</v>
      </c>
      <c r="M1590" s="2">
        <v>46096</v>
      </c>
      <c r="N1590" s="2">
        <v>46095</v>
      </c>
      <c r="O1590" t="s">
        <v>76</v>
      </c>
      <c r="P1590" t="s">
        <v>35</v>
      </c>
      <c r="Q1590" t="s">
        <v>28</v>
      </c>
      <c r="R1590" t="s">
        <v>29</v>
      </c>
    </row>
    <row r="1591" spans="1:18">
      <c r="A1591" t="s">
        <v>1723</v>
      </c>
      <c r="B1591" s="2">
        <v>45730</v>
      </c>
      <c r="C1591" t="s">
        <v>46</v>
      </c>
      <c r="D1591" t="s">
        <v>47</v>
      </c>
      <c r="E1591" t="s">
        <v>73</v>
      </c>
      <c r="F1591" t="s">
        <v>49</v>
      </c>
      <c r="G1591" t="s">
        <v>68</v>
      </c>
      <c r="H1591" t="s">
        <v>69</v>
      </c>
      <c r="I1591">
        <v>3</v>
      </c>
      <c r="J1591" s="3">
        <v>49801.24</v>
      </c>
      <c r="K1591" s="3">
        <v>149403.72</v>
      </c>
      <c r="L1591" t="s">
        <v>34</v>
      </c>
      <c r="M1591" s="2">
        <v>45738</v>
      </c>
      <c r="N1591" s="2">
        <v>45735</v>
      </c>
      <c r="O1591" t="s">
        <v>76</v>
      </c>
      <c r="P1591" t="s">
        <v>77</v>
      </c>
      <c r="Q1591" t="s">
        <v>28</v>
      </c>
      <c r="R1591" t="s">
        <v>29</v>
      </c>
    </row>
    <row r="1592" spans="1:18">
      <c r="A1592" t="s">
        <v>1724</v>
      </c>
      <c r="B1592" s="2">
        <v>45921</v>
      </c>
      <c r="C1592" t="s">
        <v>46</v>
      </c>
      <c r="D1592" t="s">
        <v>47</v>
      </c>
      <c r="E1592" t="s">
        <v>48</v>
      </c>
      <c r="F1592" t="s">
        <v>49</v>
      </c>
      <c r="G1592" t="s">
        <v>113</v>
      </c>
      <c r="H1592" t="s">
        <v>114</v>
      </c>
      <c r="I1592">
        <v>1</v>
      </c>
      <c r="J1592" s="3">
        <v>40917.22</v>
      </c>
      <c r="K1592" s="3">
        <v>40917.22</v>
      </c>
      <c r="L1592" t="s">
        <v>377</v>
      </c>
      <c r="M1592" s="2">
        <v>45939</v>
      </c>
      <c r="N1592" s="2">
        <v>45937</v>
      </c>
      <c r="O1592" t="s">
        <v>26</v>
      </c>
      <c r="P1592" t="s">
        <v>53</v>
      </c>
      <c r="Q1592" t="s">
        <v>28</v>
      </c>
      <c r="R1592" t="s">
        <v>29</v>
      </c>
    </row>
    <row r="1593" spans="1:18">
      <c r="A1593" t="s">
        <v>1725</v>
      </c>
      <c r="B1593" s="2">
        <v>46084</v>
      </c>
      <c r="C1593" t="s">
        <v>142</v>
      </c>
      <c r="D1593" t="s">
        <v>143</v>
      </c>
      <c r="E1593" t="s">
        <v>73</v>
      </c>
      <c r="F1593" t="s">
        <v>22</v>
      </c>
      <c r="G1593" t="s">
        <v>23</v>
      </c>
      <c r="H1593" t="s">
        <v>24</v>
      </c>
      <c r="I1593">
        <v>42</v>
      </c>
      <c r="J1593" s="3">
        <v>240.1</v>
      </c>
      <c r="K1593" s="3">
        <v>10084.200000000001</v>
      </c>
      <c r="L1593" t="s">
        <v>25</v>
      </c>
      <c r="M1593" s="2">
        <v>46093</v>
      </c>
      <c r="N1593" s="2">
        <v>46093</v>
      </c>
      <c r="O1593" t="s">
        <v>26</v>
      </c>
      <c r="P1593" t="s">
        <v>77</v>
      </c>
      <c r="Q1593" t="s">
        <v>28</v>
      </c>
      <c r="R1593" t="s">
        <v>29</v>
      </c>
    </row>
    <row r="1594" spans="1:18">
      <c r="A1594" t="s">
        <v>1726</v>
      </c>
      <c r="B1594" s="2">
        <v>45764</v>
      </c>
      <c r="C1594" t="s">
        <v>104</v>
      </c>
      <c r="D1594" t="s">
        <v>105</v>
      </c>
      <c r="E1594" t="s">
        <v>21</v>
      </c>
      <c r="F1594" t="s">
        <v>49</v>
      </c>
      <c r="G1594" t="s">
        <v>50</v>
      </c>
      <c r="H1594" t="s">
        <v>51</v>
      </c>
      <c r="I1594">
        <v>1</v>
      </c>
      <c r="J1594" s="3">
        <v>49939.11</v>
      </c>
      <c r="K1594" s="3">
        <v>49939.11</v>
      </c>
      <c r="L1594" t="s">
        <v>34</v>
      </c>
      <c r="M1594" s="2">
        <v>45771</v>
      </c>
      <c r="N1594" s="2">
        <v>45768</v>
      </c>
      <c r="O1594" t="s">
        <v>26</v>
      </c>
      <c r="P1594" t="s">
        <v>27</v>
      </c>
      <c r="Q1594" t="s">
        <v>28</v>
      </c>
      <c r="R1594" t="s">
        <v>29</v>
      </c>
    </row>
    <row r="1595" spans="1:18">
      <c r="A1595" t="s">
        <v>1727</v>
      </c>
      <c r="B1595" s="2">
        <v>45965</v>
      </c>
      <c r="C1595" t="s">
        <v>104</v>
      </c>
      <c r="D1595" t="s">
        <v>105</v>
      </c>
      <c r="E1595" t="s">
        <v>112</v>
      </c>
      <c r="F1595" t="s">
        <v>49</v>
      </c>
      <c r="G1595" t="s">
        <v>50</v>
      </c>
      <c r="H1595" t="s">
        <v>51</v>
      </c>
      <c r="I1595">
        <v>3</v>
      </c>
      <c r="J1595" s="3">
        <v>53266.82</v>
      </c>
      <c r="K1595" s="3">
        <v>159800.46</v>
      </c>
      <c r="L1595" t="s">
        <v>52</v>
      </c>
      <c r="M1595" s="2">
        <v>45981</v>
      </c>
      <c r="N1595" s="2">
        <v>45980</v>
      </c>
      <c r="O1595" t="s">
        <v>26</v>
      </c>
      <c r="P1595" t="s">
        <v>115</v>
      </c>
      <c r="Q1595" t="s">
        <v>28</v>
      </c>
      <c r="R1595" t="s">
        <v>29</v>
      </c>
    </row>
    <row r="1596" spans="1:18">
      <c r="A1596" t="s">
        <v>1728</v>
      </c>
      <c r="B1596" s="2">
        <v>46119</v>
      </c>
      <c r="C1596" t="s">
        <v>55</v>
      </c>
      <c r="D1596" t="s">
        <v>56</v>
      </c>
      <c r="E1596" t="s">
        <v>31</v>
      </c>
      <c r="F1596" t="s">
        <v>57</v>
      </c>
      <c r="G1596" t="s">
        <v>101</v>
      </c>
      <c r="H1596" t="s">
        <v>102</v>
      </c>
      <c r="I1596">
        <v>59</v>
      </c>
      <c r="J1596" s="3">
        <v>2016.38</v>
      </c>
      <c r="K1596" s="3">
        <v>118966.42</v>
      </c>
      <c r="L1596" t="s">
        <v>25</v>
      </c>
      <c r="M1596" s="2">
        <v>46128</v>
      </c>
      <c r="N1596" s="2">
        <v>46128</v>
      </c>
      <c r="O1596" t="s">
        <v>43</v>
      </c>
      <c r="P1596" t="s">
        <v>94</v>
      </c>
      <c r="Q1596" t="s">
        <v>28</v>
      </c>
      <c r="R1596" t="s">
        <v>29</v>
      </c>
    </row>
    <row r="1597" spans="1:18">
      <c r="A1597" t="s">
        <v>1729</v>
      </c>
      <c r="B1597" s="2">
        <v>45919</v>
      </c>
      <c r="C1597" t="s">
        <v>46</v>
      </c>
      <c r="D1597" t="s">
        <v>47</v>
      </c>
      <c r="E1597" t="s">
        <v>73</v>
      </c>
      <c r="F1597" t="s">
        <v>49</v>
      </c>
      <c r="G1597" t="s">
        <v>68</v>
      </c>
      <c r="H1597" t="s">
        <v>69</v>
      </c>
      <c r="I1597">
        <v>3</v>
      </c>
      <c r="J1597" s="3">
        <v>51477.63</v>
      </c>
      <c r="K1597" s="3">
        <v>154432.89000000001</v>
      </c>
      <c r="L1597" t="s">
        <v>25</v>
      </c>
      <c r="M1597" s="2">
        <v>45937</v>
      </c>
      <c r="N1597" s="2">
        <v>45934</v>
      </c>
      <c r="O1597" t="s">
        <v>76</v>
      </c>
      <c r="P1597" t="s">
        <v>77</v>
      </c>
      <c r="Q1597" t="s">
        <v>28</v>
      </c>
      <c r="R1597" t="s">
        <v>29</v>
      </c>
    </row>
    <row r="1598" spans="1:18">
      <c r="A1598" t="s">
        <v>1730</v>
      </c>
      <c r="B1598" s="2">
        <v>46112</v>
      </c>
      <c r="C1598" t="s">
        <v>131</v>
      </c>
      <c r="D1598" t="s">
        <v>132</v>
      </c>
      <c r="E1598" t="s">
        <v>31</v>
      </c>
      <c r="F1598" t="s">
        <v>57</v>
      </c>
      <c r="G1598" t="s">
        <v>86</v>
      </c>
      <c r="H1598" t="s">
        <v>87</v>
      </c>
      <c r="I1598">
        <v>1</v>
      </c>
      <c r="J1598" s="3">
        <v>11523.87</v>
      </c>
      <c r="K1598" s="3">
        <v>11523.87</v>
      </c>
      <c r="L1598" t="s">
        <v>25</v>
      </c>
      <c r="M1598" s="2">
        <v>46130</v>
      </c>
      <c r="N1598" s="2">
        <v>46127</v>
      </c>
      <c r="O1598" t="s">
        <v>60</v>
      </c>
      <c r="P1598" t="s">
        <v>94</v>
      </c>
      <c r="Q1598" t="s">
        <v>28</v>
      </c>
      <c r="R1598" t="s">
        <v>29</v>
      </c>
    </row>
    <row r="1599" spans="1:18">
      <c r="A1599" t="s">
        <v>1731</v>
      </c>
      <c r="B1599" s="2">
        <v>45718</v>
      </c>
      <c r="C1599" t="s">
        <v>142</v>
      </c>
      <c r="D1599" t="s">
        <v>143</v>
      </c>
      <c r="E1599" t="s">
        <v>39</v>
      </c>
      <c r="F1599" t="s">
        <v>22</v>
      </c>
      <c r="G1599" t="s">
        <v>160</v>
      </c>
      <c r="H1599" t="s">
        <v>161</v>
      </c>
      <c r="I1599">
        <v>7</v>
      </c>
      <c r="J1599" s="3">
        <v>3026.1</v>
      </c>
      <c r="K1599" s="3">
        <v>21182.7</v>
      </c>
      <c r="L1599" t="s">
        <v>34</v>
      </c>
      <c r="M1599" s="2">
        <v>45728</v>
      </c>
      <c r="N1599" s="2">
        <v>45726</v>
      </c>
      <c r="O1599" t="s">
        <v>60</v>
      </c>
      <c r="P1599" t="s">
        <v>44</v>
      </c>
      <c r="Q1599" t="s">
        <v>28</v>
      </c>
      <c r="R1599" t="s">
        <v>29</v>
      </c>
    </row>
    <row r="1600" spans="1:18">
      <c r="A1600" t="s">
        <v>1732</v>
      </c>
      <c r="B1600" s="2">
        <v>45996</v>
      </c>
      <c r="C1600" t="s">
        <v>37</v>
      </c>
      <c r="D1600" t="s">
        <v>38</v>
      </c>
      <c r="E1600" t="s">
        <v>112</v>
      </c>
      <c r="F1600" t="s">
        <v>40</v>
      </c>
      <c r="G1600" t="s">
        <v>136</v>
      </c>
      <c r="H1600" t="s">
        <v>137</v>
      </c>
      <c r="I1600">
        <v>36</v>
      </c>
      <c r="J1600" s="3">
        <v>1815.43</v>
      </c>
      <c r="K1600" s="3">
        <v>65355.48</v>
      </c>
      <c r="L1600" t="s">
        <v>25</v>
      </c>
      <c r="M1600" s="2">
        <v>46006</v>
      </c>
      <c r="N1600" s="2">
        <v>46005</v>
      </c>
      <c r="O1600" t="s">
        <v>60</v>
      </c>
      <c r="P1600" t="s">
        <v>115</v>
      </c>
      <c r="Q1600" t="s">
        <v>28</v>
      </c>
      <c r="R1600" t="s">
        <v>29</v>
      </c>
    </row>
    <row r="1601" spans="1:18">
      <c r="A1601" t="s">
        <v>1733</v>
      </c>
      <c r="B1601" s="2">
        <v>45663</v>
      </c>
      <c r="C1601" t="s">
        <v>46</v>
      </c>
      <c r="D1601" t="s">
        <v>47</v>
      </c>
      <c r="E1601" t="s">
        <v>73</v>
      </c>
      <c r="F1601" t="s">
        <v>49</v>
      </c>
      <c r="G1601" t="s">
        <v>165</v>
      </c>
      <c r="H1601" t="s">
        <v>166</v>
      </c>
      <c r="I1601">
        <v>3</v>
      </c>
      <c r="J1601" s="3">
        <v>49266.3</v>
      </c>
      <c r="K1601" s="3">
        <v>147798.9</v>
      </c>
      <c r="L1601" t="s">
        <v>25</v>
      </c>
      <c r="M1601" s="2">
        <v>45681</v>
      </c>
      <c r="N1601" s="2">
        <v>45681</v>
      </c>
      <c r="O1601" t="s">
        <v>60</v>
      </c>
      <c r="P1601" t="s">
        <v>77</v>
      </c>
      <c r="Q1601" t="s">
        <v>28</v>
      </c>
      <c r="R1601" t="s">
        <v>29</v>
      </c>
    </row>
    <row r="1602" spans="1:18">
      <c r="A1602" t="s">
        <v>1734</v>
      </c>
      <c r="B1602" s="2">
        <v>46019</v>
      </c>
      <c r="C1602" t="s">
        <v>37</v>
      </c>
      <c r="D1602" t="s">
        <v>38</v>
      </c>
      <c r="E1602" t="s">
        <v>39</v>
      </c>
      <c r="F1602" t="s">
        <v>22</v>
      </c>
      <c r="G1602" t="s">
        <v>160</v>
      </c>
      <c r="H1602" t="s">
        <v>161</v>
      </c>
      <c r="I1602">
        <v>13</v>
      </c>
      <c r="J1602" s="3">
        <v>3314.55</v>
      </c>
      <c r="K1602" s="3">
        <v>43089.15</v>
      </c>
      <c r="L1602" t="s">
        <v>52</v>
      </c>
      <c r="M1602" s="2">
        <v>46032</v>
      </c>
      <c r="N1602" s="2">
        <v>46029</v>
      </c>
      <c r="O1602" t="s">
        <v>43</v>
      </c>
      <c r="P1602" t="s">
        <v>64</v>
      </c>
      <c r="Q1602" t="s">
        <v>28</v>
      </c>
      <c r="R1602" t="s">
        <v>29</v>
      </c>
    </row>
    <row r="1603" spans="1:18">
      <c r="A1603" t="s">
        <v>1735</v>
      </c>
      <c r="B1603" s="2">
        <v>45864</v>
      </c>
      <c r="C1603" t="s">
        <v>117</v>
      </c>
      <c r="D1603" t="s">
        <v>118</v>
      </c>
      <c r="E1603" t="s">
        <v>73</v>
      </c>
      <c r="F1603" t="s">
        <v>57</v>
      </c>
      <c r="G1603" t="s">
        <v>74</v>
      </c>
      <c r="H1603" t="s">
        <v>75</v>
      </c>
      <c r="I1603">
        <v>14</v>
      </c>
      <c r="J1603" s="3">
        <v>8981.9</v>
      </c>
      <c r="K1603" s="3">
        <v>125746.6</v>
      </c>
      <c r="L1603" t="s">
        <v>34</v>
      </c>
      <c r="M1603" s="2">
        <v>45874</v>
      </c>
      <c r="N1603" s="2">
        <v>45874</v>
      </c>
      <c r="O1603" t="s">
        <v>60</v>
      </c>
      <c r="P1603" t="s">
        <v>77</v>
      </c>
      <c r="Q1603" t="s">
        <v>28</v>
      </c>
      <c r="R1603" t="s">
        <v>29</v>
      </c>
    </row>
    <row r="1604" spans="1:18">
      <c r="A1604" t="s">
        <v>1736</v>
      </c>
      <c r="B1604" s="2">
        <v>45909</v>
      </c>
      <c r="C1604" t="s">
        <v>80</v>
      </c>
      <c r="D1604" t="s">
        <v>81</v>
      </c>
      <c r="E1604" t="s">
        <v>39</v>
      </c>
      <c r="F1604" t="s">
        <v>82</v>
      </c>
      <c r="G1604" t="s">
        <v>98</v>
      </c>
      <c r="H1604" t="s">
        <v>99</v>
      </c>
      <c r="I1604">
        <v>18</v>
      </c>
      <c r="J1604" s="3">
        <v>1075.1300000000001</v>
      </c>
      <c r="K1604" s="3">
        <v>19352.34</v>
      </c>
      <c r="L1604" t="s">
        <v>25</v>
      </c>
      <c r="M1604" s="2">
        <v>45922</v>
      </c>
      <c r="N1604" s="2">
        <v>45922</v>
      </c>
      <c r="O1604" t="s">
        <v>76</v>
      </c>
      <c r="P1604" t="s">
        <v>64</v>
      </c>
      <c r="Q1604" t="s">
        <v>28</v>
      </c>
      <c r="R1604" t="s">
        <v>29</v>
      </c>
    </row>
    <row r="1605" spans="1:18">
      <c r="A1605" t="s">
        <v>1737</v>
      </c>
      <c r="B1605" s="2">
        <v>45886</v>
      </c>
      <c r="C1605" t="s">
        <v>117</v>
      </c>
      <c r="D1605" t="s">
        <v>118</v>
      </c>
      <c r="E1605" t="s">
        <v>31</v>
      </c>
      <c r="F1605" t="s">
        <v>57</v>
      </c>
      <c r="G1605" t="s">
        <v>120</v>
      </c>
      <c r="H1605" t="s">
        <v>121</v>
      </c>
      <c r="I1605">
        <v>1</v>
      </c>
      <c r="J1605" s="3">
        <v>21702.06</v>
      </c>
      <c r="K1605" s="3">
        <v>21702.06</v>
      </c>
      <c r="L1605" t="s">
        <v>34</v>
      </c>
      <c r="M1605" s="2">
        <v>45900</v>
      </c>
      <c r="N1605" s="2">
        <v>45900</v>
      </c>
      <c r="O1605" t="s">
        <v>60</v>
      </c>
      <c r="P1605" t="s">
        <v>35</v>
      </c>
      <c r="Q1605" t="s">
        <v>28</v>
      </c>
      <c r="R1605" t="s">
        <v>29</v>
      </c>
    </row>
    <row r="1606" spans="1:18">
      <c r="A1606" t="s">
        <v>1738</v>
      </c>
      <c r="B1606" s="2">
        <v>46156</v>
      </c>
      <c r="C1606" t="s">
        <v>142</v>
      </c>
      <c r="D1606" t="s">
        <v>143</v>
      </c>
      <c r="E1606" t="s">
        <v>21</v>
      </c>
      <c r="F1606" t="s">
        <v>22</v>
      </c>
      <c r="G1606" t="s">
        <v>32</v>
      </c>
      <c r="H1606" t="s">
        <v>33</v>
      </c>
      <c r="I1606">
        <v>7</v>
      </c>
      <c r="J1606" s="3">
        <v>7635.24</v>
      </c>
      <c r="K1606" s="3">
        <v>53446.68</v>
      </c>
      <c r="L1606" t="s">
        <v>25</v>
      </c>
      <c r="M1606" s="2">
        <v>46170</v>
      </c>
      <c r="N1606" s="2">
        <v>46170</v>
      </c>
      <c r="O1606" t="s">
        <v>43</v>
      </c>
      <c r="P1606" t="s">
        <v>27</v>
      </c>
      <c r="Q1606" t="s">
        <v>28</v>
      </c>
      <c r="R1606" t="s">
        <v>29</v>
      </c>
    </row>
    <row r="1607" spans="1:18">
      <c r="A1607" t="s">
        <v>1739</v>
      </c>
      <c r="B1607" s="2">
        <v>45867</v>
      </c>
      <c r="C1607" t="s">
        <v>66</v>
      </c>
      <c r="D1607" t="s">
        <v>67</v>
      </c>
      <c r="E1607" t="s">
        <v>48</v>
      </c>
      <c r="F1607" t="s">
        <v>49</v>
      </c>
      <c r="G1607" t="s">
        <v>165</v>
      </c>
      <c r="H1607" t="s">
        <v>166</v>
      </c>
      <c r="I1607">
        <v>1</v>
      </c>
      <c r="J1607" s="3">
        <v>45729.11</v>
      </c>
      <c r="K1607" s="3">
        <v>45729.11</v>
      </c>
      <c r="L1607" t="s">
        <v>34</v>
      </c>
      <c r="M1607" s="2">
        <v>45881</v>
      </c>
      <c r="N1607" s="2">
        <v>45880</v>
      </c>
      <c r="O1607" t="s">
        <v>43</v>
      </c>
      <c r="P1607" t="s">
        <v>53</v>
      </c>
      <c r="Q1607" t="s">
        <v>28</v>
      </c>
      <c r="R1607" t="s">
        <v>29</v>
      </c>
    </row>
    <row r="1608" spans="1:18">
      <c r="A1608" t="s">
        <v>1740</v>
      </c>
      <c r="B1608" s="2">
        <v>45704</v>
      </c>
      <c r="C1608" t="s">
        <v>19</v>
      </c>
      <c r="D1608" t="s">
        <v>20</v>
      </c>
      <c r="E1608" t="s">
        <v>112</v>
      </c>
      <c r="F1608" t="s">
        <v>22</v>
      </c>
      <c r="G1608" t="s">
        <v>23</v>
      </c>
      <c r="H1608" t="s">
        <v>24</v>
      </c>
      <c r="I1608">
        <v>14</v>
      </c>
      <c r="J1608" s="3">
        <v>237.32</v>
      </c>
      <c r="K1608" s="3">
        <v>3322.48</v>
      </c>
      <c r="L1608" t="s">
        <v>34</v>
      </c>
      <c r="M1608" s="2">
        <v>45719</v>
      </c>
      <c r="N1608" s="2">
        <v>45719</v>
      </c>
      <c r="O1608" t="s">
        <v>43</v>
      </c>
      <c r="P1608" t="s">
        <v>115</v>
      </c>
      <c r="Q1608" t="s">
        <v>28</v>
      </c>
      <c r="R1608" t="s">
        <v>29</v>
      </c>
    </row>
    <row r="1609" spans="1:18">
      <c r="A1609" t="s">
        <v>1741</v>
      </c>
      <c r="B1609" s="2">
        <v>46201</v>
      </c>
      <c r="C1609" t="s">
        <v>46</v>
      </c>
      <c r="D1609" t="s">
        <v>47</v>
      </c>
      <c r="E1609" t="s">
        <v>48</v>
      </c>
      <c r="F1609" t="s">
        <v>49</v>
      </c>
      <c r="G1609" t="s">
        <v>165</v>
      </c>
      <c r="H1609" t="s">
        <v>166</v>
      </c>
      <c r="I1609">
        <v>2</v>
      </c>
      <c r="J1609" s="3">
        <v>49531.22</v>
      </c>
      <c r="K1609" s="3">
        <v>99062.44</v>
      </c>
      <c r="L1609" t="s">
        <v>25</v>
      </c>
      <c r="M1609" s="2">
        <v>46209</v>
      </c>
      <c r="N1609" s="2"/>
      <c r="O1609" t="s">
        <v>60</v>
      </c>
      <c r="P1609" t="s">
        <v>53</v>
      </c>
      <c r="Q1609" t="s">
        <v>167</v>
      </c>
      <c r="R1609" t="s">
        <v>167</v>
      </c>
    </row>
    <row r="1610" spans="1:18">
      <c r="A1610" t="s">
        <v>1742</v>
      </c>
      <c r="B1610" s="2">
        <v>46140</v>
      </c>
      <c r="C1610" t="s">
        <v>66</v>
      </c>
      <c r="D1610" t="s">
        <v>67</v>
      </c>
      <c r="E1610" t="s">
        <v>73</v>
      </c>
      <c r="F1610" t="s">
        <v>49</v>
      </c>
      <c r="G1610" t="s">
        <v>165</v>
      </c>
      <c r="H1610" t="s">
        <v>166</v>
      </c>
      <c r="I1610">
        <v>1</v>
      </c>
      <c r="J1610" s="3">
        <v>42350.59</v>
      </c>
      <c r="K1610" s="3">
        <v>42350.59</v>
      </c>
      <c r="L1610" t="s">
        <v>34</v>
      </c>
      <c r="M1610" s="2">
        <v>46146</v>
      </c>
      <c r="N1610" s="2">
        <v>46143</v>
      </c>
      <c r="O1610" t="s">
        <v>26</v>
      </c>
      <c r="P1610" t="s">
        <v>77</v>
      </c>
      <c r="Q1610" t="s">
        <v>28</v>
      </c>
      <c r="R1610" t="s">
        <v>29</v>
      </c>
    </row>
    <row r="1611" spans="1:18">
      <c r="A1611" t="s">
        <v>1743</v>
      </c>
      <c r="B1611" s="2">
        <v>45661</v>
      </c>
      <c r="C1611" t="s">
        <v>55</v>
      </c>
      <c r="D1611" t="s">
        <v>56</v>
      </c>
      <c r="E1611" t="s">
        <v>48</v>
      </c>
      <c r="F1611" t="s">
        <v>57</v>
      </c>
      <c r="G1611" t="s">
        <v>127</v>
      </c>
      <c r="H1611" t="s">
        <v>128</v>
      </c>
      <c r="I1611">
        <v>7</v>
      </c>
      <c r="J1611" s="3">
        <v>18465.599999999999</v>
      </c>
      <c r="K1611" s="3">
        <v>129259.2</v>
      </c>
      <c r="L1611" t="s">
        <v>25</v>
      </c>
      <c r="M1611" s="2">
        <v>45677</v>
      </c>
      <c r="N1611" s="2">
        <v>45675</v>
      </c>
      <c r="O1611" t="s">
        <v>60</v>
      </c>
      <c r="P1611" t="s">
        <v>53</v>
      </c>
      <c r="Q1611" t="s">
        <v>28</v>
      </c>
      <c r="R1611" t="s">
        <v>29</v>
      </c>
    </row>
    <row r="1612" spans="1:18">
      <c r="A1612" t="s">
        <v>1744</v>
      </c>
      <c r="B1612" s="2">
        <v>45883</v>
      </c>
      <c r="C1612" t="s">
        <v>19</v>
      </c>
      <c r="D1612" t="s">
        <v>20</v>
      </c>
      <c r="E1612" t="s">
        <v>112</v>
      </c>
      <c r="F1612" t="s">
        <v>22</v>
      </c>
      <c r="G1612" t="s">
        <v>32</v>
      </c>
      <c r="H1612" t="s">
        <v>33</v>
      </c>
      <c r="I1612">
        <v>7</v>
      </c>
      <c r="J1612" s="3">
        <v>7881.71</v>
      </c>
      <c r="K1612" s="3">
        <v>55171.97</v>
      </c>
      <c r="L1612" t="s">
        <v>25</v>
      </c>
      <c r="M1612" s="2">
        <v>45899</v>
      </c>
      <c r="N1612" s="2">
        <v>45897</v>
      </c>
      <c r="O1612" t="s">
        <v>60</v>
      </c>
      <c r="P1612" t="s">
        <v>115</v>
      </c>
      <c r="Q1612" t="s">
        <v>28</v>
      </c>
      <c r="R1612" t="s">
        <v>29</v>
      </c>
    </row>
    <row r="1613" spans="1:18">
      <c r="A1613" t="s">
        <v>1745</v>
      </c>
      <c r="B1613" s="2">
        <v>45872</v>
      </c>
      <c r="C1613" t="s">
        <v>142</v>
      </c>
      <c r="D1613" t="s">
        <v>143</v>
      </c>
      <c r="E1613" t="s">
        <v>112</v>
      </c>
      <c r="F1613" t="s">
        <v>22</v>
      </c>
      <c r="G1613" t="s">
        <v>32</v>
      </c>
      <c r="H1613" t="s">
        <v>33</v>
      </c>
      <c r="I1613">
        <v>14</v>
      </c>
      <c r="J1613" s="3">
        <v>8237.0499999999993</v>
      </c>
      <c r="K1613" s="3">
        <v>115318.7</v>
      </c>
      <c r="L1613" t="s">
        <v>25</v>
      </c>
      <c r="M1613" s="2">
        <v>45886</v>
      </c>
      <c r="N1613" s="2">
        <v>45886</v>
      </c>
      <c r="O1613" t="s">
        <v>43</v>
      </c>
      <c r="P1613" t="s">
        <v>115</v>
      </c>
      <c r="Q1613" t="s">
        <v>28</v>
      </c>
      <c r="R1613" t="s">
        <v>29</v>
      </c>
    </row>
    <row r="1614" spans="1:18">
      <c r="A1614" t="s">
        <v>1746</v>
      </c>
      <c r="B1614" s="2">
        <v>46170</v>
      </c>
      <c r="C1614" t="s">
        <v>66</v>
      </c>
      <c r="D1614" t="s">
        <v>67</v>
      </c>
      <c r="E1614" t="s">
        <v>48</v>
      </c>
      <c r="F1614" t="s">
        <v>49</v>
      </c>
      <c r="G1614" t="s">
        <v>165</v>
      </c>
      <c r="H1614" t="s">
        <v>166</v>
      </c>
      <c r="I1614">
        <v>2</v>
      </c>
      <c r="J1614" s="3">
        <v>44116.24</v>
      </c>
      <c r="K1614" s="3">
        <v>88232.48</v>
      </c>
      <c r="L1614" t="s">
        <v>52</v>
      </c>
      <c r="M1614" s="2">
        <v>46184</v>
      </c>
      <c r="N1614" s="2">
        <v>46184</v>
      </c>
      <c r="O1614" t="s">
        <v>26</v>
      </c>
      <c r="P1614" t="s">
        <v>53</v>
      </c>
      <c r="Q1614" t="s">
        <v>28</v>
      </c>
      <c r="R1614" t="s">
        <v>29</v>
      </c>
    </row>
    <row r="1615" spans="1:18">
      <c r="A1615" t="s">
        <v>1747</v>
      </c>
      <c r="B1615" s="2">
        <v>45794</v>
      </c>
      <c r="C1615" t="s">
        <v>96</v>
      </c>
      <c r="D1615" t="s">
        <v>97</v>
      </c>
      <c r="E1615" t="s">
        <v>39</v>
      </c>
      <c r="F1615" t="s">
        <v>82</v>
      </c>
      <c r="G1615" t="s">
        <v>98</v>
      </c>
      <c r="H1615" t="s">
        <v>99</v>
      </c>
      <c r="I1615">
        <v>42</v>
      </c>
      <c r="J1615" s="3">
        <v>1180.3399999999999</v>
      </c>
      <c r="K1615" s="3">
        <v>49574.28</v>
      </c>
      <c r="L1615" t="s">
        <v>25</v>
      </c>
      <c r="M1615" s="2">
        <v>45799</v>
      </c>
      <c r="N1615" s="2">
        <v>45798</v>
      </c>
      <c r="O1615" t="s">
        <v>43</v>
      </c>
      <c r="P1615" t="s">
        <v>64</v>
      </c>
      <c r="Q1615" t="s">
        <v>28</v>
      </c>
      <c r="R1615" t="s">
        <v>29</v>
      </c>
    </row>
    <row r="1616" spans="1:18">
      <c r="A1616" t="s">
        <v>1748</v>
      </c>
      <c r="B1616" s="2">
        <v>46096</v>
      </c>
      <c r="C1616" t="s">
        <v>71</v>
      </c>
      <c r="D1616" t="s">
        <v>72</v>
      </c>
      <c r="E1616" t="s">
        <v>21</v>
      </c>
      <c r="F1616" t="s">
        <v>57</v>
      </c>
      <c r="G1616" t="s">
        <v>127</v>
      </c>
      <c r="H1616" t="s">
        <v>128</v>
      </c>
      <c r="I1616">
        <v>5</v>
      </c>
      <c r="J1616" s="3">
        <v>15292.92</v>
      </c>
      <c r="K1616" s="3">
        <v>76464.600000000006</v>
      </c>
      <c r="L1616" t="s">
        <v>34</v>
      </c>
      <c r="M1616" s="2">
        <v>46113</v>
      </c>
      <c r="N1616" s="2">
        <v>46110</v>
      </c>
      <c r="O1616" t="s">
        <v>76</v>
      </c>
      <c r="P1616" t="s">
        <v>27</v>
      </c>
      <c r="Q1616" t="s">
        <v>28</v>
      </c>
      <c r="R1616" t="s">
        <v>29</v>
      </c>
    </row>
    <row r="1617" spans="1:18">
      <c r="A1617" t="s">
        <v>1749</v>
      </c>
      <c r="B1617" s="2">
        <v>46113</v>
      </c>
      <c r="C1617" t="s">
        <v>19</v>
      </c>
      <c r="D1617" t="s">
        <v>20</v>
      </c>
      <c r="E1617" t="s">
        <v>21</v>
      </c>
      <c r="F1617" t="s">
        <v>22</v>
      </c>
      <c r="G1617" t="s">
        <v>32</v>
      </c>
      <c r="H1617" t="s">
        <v>33</v>
      </c>
      <c r="I1617">
        <v>15</v>
      </c>
      <c r="J1617" s="3">
        <v>7609.41</v>
      </c>
      <c r="K1617" s="3">
        <v>114141.15</v>
      </c>
      <c r="L1617" t="s">
        <v>34</v>
      </c>
      <c r="M1617" s="2">
        <v>46131</v>
      </c>
      <c r="N1617" s="2">
        <v>46131</v>
      </c>
      <c r="O1617" t="s">
        <v>26</v>
      </c>
      <c r="P1617" t="s">
        <v>27</v>
      </c>
      <c r="Q1617" t="s">
        <v>28</v>
      </c>
      <c r="R1617" t="s">
        <v>29</v>
      </c>
    </row>
    <row r="1618" spans="1:18">
      <c r="A1618" t="s">
        <v>1750</v>
      </c>
      <c r="B1618" s="2">
        <v>46184</v>
      </c>
      <c r="C1618" t="s">
        <v>71</v>
      </c>
      <c r="D1618" t="s">
        <v>72</v>
      </c>
      <c r="E1618" t="s">
        <v>31</v>
      </c>
      <c r="F1618" t="s">
        <v>57</v>
      </c>
      <c r="G1618" t="s">
        <v>74</v>
      </c>
      <c r="H1618" t="s">
        <v>75</v>
      </c>
      <c r="I1618">
        <v>5</v>
      </c>
      <c r="J1618" s="3">
        <v>8181.65</v>
      </c>
      <c r="K1618" s="3">
        <v>40908.25</v>
      </c>
      <c r="L1618" t="s">
        <v>25</v>
      </c>
      <c r="M1618" s="2">
        <v>46194</v>
      </c>
      <c r="N1618" s="2">
        <v>46191</v>
      </c>
      <c r="O1618" t="s">
        <v>26</v>
      </c>
      <c r="P1618" t="s">
        <v>35</v>
      </c>
      <c r="Q1618" t="s">
        <v>28</v>
      </c>
      <c r="R1618" t="s">
        <v>29</v>
      </c>
    </row>
    <row r="1619" spans="1:18">
      <c r="A1619" t="s">
        <v>1751</v>
      </c>
      <c r="B1619" s="2">
        <v>46182</v>
      </c>
      <c r="C1619" t="s">
        <v>37</v>
      </c>
      <c r="D1619" t="s">
        <v>38</v>
      </c>
      <c r="E1619" t="s">
        <v>39</v>
      </c>
      <c r="F1619" t="s">
        <v>22</v>
      </c>
      <c r="G1619" t="s">
        <v>23</v>
      </c>
      <c r="H1619" t="s">
        <v>24</v>
      </c>
      <c r="I1619">
        <v>30</v>
      </c>
      <c r="J1619" s="3">
        <v>267.83</v>
      </c>
      <c r="K1619" s="3">
        <v>8034.9</v>
      </c>
      <c r="L1619" t="s">
        <v>34</v>
      </c>
      <c r="M1619" s="2">
        <v>46188</v>
      </c>
      <c r="N1619" s="2">
        <v>46185</v>
      </c>
      <c r="O1619" t="s">
        <v>26</v>
      </c>
      <c r="P1619" t="s">
        <v>64</v>
      </c>
      <c r="Q1619" t="s">
        <v>28</v>
      </c>
      <c r="R1619" t="s">
        <v>29</v>
      </c>
    </row>
    <row r="1620" spans="1:18">
      <c r="A1620" t="s">
        <v>1752</v>
      </c>
      <c r="B1620" s="2">
        <v>45686</v>
      </c>
      <c r="C1620" t="s">
        <v>37</v>
      </c>
      <c r="D1620" t="s">
        <v>38</v>
      </c>
      <c r="E1620" t="s">
        <v>21</v>
      </c>
      <c r="F1620" t="s">
        <v>22</v>
      </c>
      <c r="G1620" t="s">
        <v>32</v>
      </c>
      <c r="H1620" t="s">
        <v>33</v>
      </c>
      <c r="I1620">
        <v>3</v>
      </c>
      <c r="J1620" s="3">
        <v>8422.9</v>
      </c>
      <c r="K1620" s="3">
        <v>25268.7</v>
      </c>
      <c r="L1620" t="s">
        <v>34</v>
      </c>
      <c r="M1620" s="2">
        <v>45700</v>
      </c>
      <c r="N1620" s="2">
        <v>45697</v>
      </c>
      <c r="O1620" t="s">
        <v>43</v>
      </c>
      <c r="P1620" t="s">
        <v>27</v>
      </c>
      <c r="Q1620" t="s">
        <v>28</v>
      </c>
      <c r="R1620" t="s">
        <v>29</v>
      </c>
    </row>
    <row r="1621" spans="1:18">
      <c r="A1621" t="s">
        <v>1753</v>
      </c>
      <c r="B1621" s="2">
        <v>46158</v>
      </c>
      <c r="C1621" t="s">
        <v>117</v>
      </c>
      <c r="D1621" t="s">
        <v>118</v>
      </c>
      <c r="E1621" t="s">
        <v>73</v>
      </c>
      <c r="F1621" t="s">
        <v>57</v>
      </c>
      <c r="G1621" t="s">
        <v>127</v>
      </c>
      <c r="H1621" t="s">
        <v>128</v>
      </c>
      <c r="I1621">
        <v>8</v>
      </c>
      <c r="J1621" s="3">
        <v>15980.91</v>
      </c>
      <c r="K1621" s="3">
        <v>127847.28</v>
      </c>
      <c r="L1621" t="s">
        <v>34</v>
      </c>
      <c r="M1621" s="2">
        <v>46172</v>
      </c>
      <c r="N1621" s="2">
        <v>46169</v>
      </c>
      <c r="O1621" t="s">
        <v>26</v>
      </c>
      <c r="P1621" t="s">
        <v>77</v>
      </c>
      <c r="Q1621" t="s">
        <v>28</v>
      </c>
      <c r="R1621" t="s">
        <v>29</v>
      </c>
    </row>
    <row r="1622" spans="1:18">
      <c r="A1622" t="s">
        <v>1754</v>
      </c>
      <c r="B1622" s="2">
        <v>45894</v>
      </c>
      <c r="C1622" t="s">
        <v>46</v>
      </c>
      <c r="D1622" t="s">
        <v>47</v>
      </c>
      <c r="E1622" t="s">
        <v>112</v>
      </c>
      <c r="F1622" t="s">
        <v>49</v>
      </c>
      <c r="G1622" t="s">
        <v>68</v>
      </c>
      <c r="H1622" t="s">
        <v>69</v>
      </c>
      <c r="I1622">
        <v>2</v>
      </c>
      <c r="J1622" s="3">
        <v>51626.54</v>
      </c>
      <c r="K1622" s="3">
        <v>103253.08</v>
      </c>
      <c r="L1622" t="s">
        <v>25</v>
      </c>
      <c r="M1622" s="2">
        <v>45899</v>
      </c>
      <c r="N1622" s="2">
        <v>45897</v>
      </c>
      <c r="O1622" t="s">
        <v>60</v>
      </c>
      <c r="P1622" t="s">
        <v>115</v>
      </c>
      <c r="Q1622" t="s">
        <v>28</v>
      </c>
      <c r="R1622" t="s">
        <v>29</v>
      </c>
    </row>
    <row r="1623" spans="1:18">
      <c r="A1623" t="s">
        <v>1755</v>
      </c>
      <c r="B1623" s="2">
        <v>46129</v>
      </c>
      <c r="C1623" t="s">
        <v>131</v>
      </c>
      <c r="D1623" t="s">
        <v>132</v>
      </c>
      <c r="E1623" t="s">
        <v>73</v>
      </c>
      <c r="F1623" t="s">
        <v>57</v>
      </c>
      <c r="G1623" t="s">
        <v>120</v>
      </c>
      <c r="H1623" t="s">
        <v>121</v>
      </c>
      <c r="I1623">
        <v>4</v>
      </c>
      <c r="J1623" s="3">
        <v>24090.36</v>
      </c>
      <c r="K1623" s="3">
        <v>96361.44</v>
      </c>
      <c r="L1623" t="s">
        <v>25</v>
      </c>
      <c r="M1623" s="2">
        <v>46139</v>
      </c>
      <c r="N1623" s="2">
        <v>46136</v>
      </c>
      <c r="O1623" t="s">
        <v>60</v>
      </c>
      <c r="P1623" t="s">
        <v>77</v>
      </c>
      <c r="Q1623" t="s">
        <v>28</v>
      </c>
      <c r="R1623" t="s">
        <v>29</v>
      </c>
    </row>
    <row r="1624" spans="1:18">
      <c r="A1624" t="s">
        <v>1756</v>
      </c>
      <c r="B1624" s="2">
        <v>45881</v>
      </c>
      <c r="C1624" t="s">
        <v>71</v>
      </c>
      <c r="D1624" t="s">
        <v>72</v>
      </c>
      <c r="E1624" t="s">
        <v>21</v>
      </c>
      <c r="F1624" t="s">
        <v>57</v>
      </c>
      <c r="G1624" t="s">
        <v>101</v>
      </c>
      <c r="H1624" t="s">
        <v>102</v>
      </c>
      <c r="I1624">
        <v>33</v>
      </c>
      <c r="J1624" s="3">
        <v>1732.47</v>
      </c>
      <c r="K1624" s="3">
        <v>57171.51</v>
      </c>
      <c r="L1624" t="s">
        <v>25</v>
      </c>
      <c r="M1624" s="2">
        <v>45896</v>
      </c>
      <c r="N1624" s="2">
        <v>45894</v>
      </c>
      <c r="O1624" t="s">
        <v>43</v>
      </c>
      <c r="P1624" t="s">
        <v>27</v>
      </c>
      <c r="Q1624" t="s">
        <v>28</v>
      </c>
      <c r="R1624" t="s">
        <v>29</v>
      </c>
    </row>
    <row r="1625" spans="1:18">
      <c r="A1625" t="s">
        <v>1757</v>
      </c>
      <c r="B1625" s="2">
        <v>45885</v>
      </c>
      <c r="C1625" t="s">
        <v>104</v>
      </c>
      <c r="D1625" t="s">
        <v>105</v>
      </c>
      <c r="E1625" t="s">
        <v>48</v>
      </c>
      <c r="F1625" t="s">
        <v>49</v>
      </c>
      <c r="G1625" t="s">
        <v>165</v>
      </c>
      <c r="H1625" t="s">
        <v>166</v>
      </c>
      <c r="I1625">
        <v>3</v>
      </c>
      <c r="J1625" s="3">
        <v>44688.959999999999</v>
      </c>
      <c r="K1625" s="3">
        <v>134066.88</v>
      </c>
      <c r="L1625" t="s">
        <v>25</v>
      </c>
      <c r="M1625" s="2">
        <v>45898</v>
      </c>
      <c r="N1625" s="2">
        <v>45898</v>
      </c>
      <c r="O1625" t="s">
        <v>76</v>
      </c>
      <c r="P1625" t="s">
        <v>53</v>
      </c>
      <c r="Q1625" t="s">
        <v>28</v>
      </c>
      <c r="R1625" t="s">
        <v>29</v>
      </c>
    </row>
    <row r="1626" spans="1:18">
      <c r="A1626" t="s">
        <v>1758</v>
      </c>
      <c r="B1626" s="2">
        <v>45861</v>
      </c>
      <c r="C1626" t="s">
        <v>19</v>
      </c>
      <c r="D1626" t="s">
        <v>20</v>
      </c>
      <c r="E1626" t="s">
        <v>112</v>
      </c>
      <c r="F1626" t="s">
        <v>22</v>
      </c>
      <c r="G1626" t="s">
        <v>160</v>
      </c>
      <c r="H1626" t="s">
        <v>161</v>
      </c>
      <c r="I1626">
        <v>15</v>
      </c>
      <c r="J1626" s="3">
        <v>3091.04</v>
      </c>
      <c r="K1626" s="3">
        <v>46365.599999999999</v>
      </c>
      <c r="L1626" t="s">
        <v>34</v>
      </c>
      <c r="M1626" s="2">
        <v>45878</v>
      </c>
      <c r="N1626" s="2">
        <v>45878</v>
      </c>
      <c r="O1626" t="s">
        <v>60</v>
      </c>
      <c r="P1626" t="s">
        <v>115</v>
      </c>
      <c r="Q1626" t="s">
        <v>28</v>
      </c>
      <c r="R1626" t="s">
        <v>29</v>
      </c>
    </row>
    <row r="1627" spans="1:18">
      <c r="A1627" t="s">
        <v>1759</v>
      </c>
      <c r="B1627" s="2">
        <v>46115</v>
      </c>
      <c r="C1627" t="s">
        <v>19</v>
      </c>
      <c r="D1627" t="s">
        <v>20</v>
      </c>
      <c r="E1627" t="s">
        <v>112</v>
      </c>
      <c r="F1627" t="s">
        <v>22</v>
      </c>
      <c r="G1627" t="s">
        <v>23</v>
      </c>
      <c r="H1627" t="s">
        <v>24</v>
      </c>
      <c r="I1627">
        <v>54</v>
      </c>
      <c r="J1627" s="3">
        <v>238.44</v>
      </c>
      <c r="K1627" s="3">
        <v>12875.76</v>
      </c>
      <c r="L1627" t="s">
        <v>25</v>
      </c>
      <c r="M1627" s="2">
        <v>46130</v>
      </c>
      <c r="N1627" s="2">
        <v>46127</v>
      </c>
      <c r="O1627" t="s">
        <v>76</v>
      </c>
      <c r="P1627" t="s">
        <v>115</v>
      </c>
      <c r="Q1627" t="s">
        <v>28</v>
      </c>
      <c r="R1627" t="s">
        <v>29</v>
      </c>
    </row>
    <row r="1628" spans="1:18">
      <c r="A1628" t="s">
        <v>1760</v>
      </c>
      <c r="B1628" s="2">
        <v>46142</v>
      </c>
      <c r="C1628" t="s">
        <v>19</v>
      </c>
      <c r="D1628" t="s">
        <v>20</v>
      </c>
      <c r="E1628" t="s">
        <v>21</v>
      </c>
      <c r="F1628" t="s">
        <v>22</v>
      </c>
      <c r="G1628" t="s">
        <v>160</v>
      </c>
      <c r="H1628" t="s">
        <v>161</v>
      </c>
      <c r="I1628">
        <v>5</v>
      </c>
      <c r="J1628" s="3">
        <v>2924.97</v>
      </c>
      <c r="K1628" s="3">
        <v>14624.85</v>
      </c>
      <c r="L1628" t="s">
        <v>25</v>
      </c>
      <c r="M1628" s="2">
        <v>46160</v>
      </c>
      <c r="N1628" s="2">
        <v>46168</v>
      </c>
      <c r="O1628" t="s">
        <v>26</v>
      </c>
      <c r="P1628" t="s">
        <v>27</v>
      </c>
      <c r="Q1628" t="s">
        <v>28</v>
      </c>
      <c r="R1628" t="s">
        <v>129</v>
      </c>
    </row>
    <row r="1629" spans="1:18">
      <c r="A1629" t="s">
        <v>1761</v>
      </c>
      <c r="B1629" s="2">
        <v>46149</v>
      </c>
      <c r="C1629" t="s">
        <v>37</v>
      </c>
      <c r="D1629" t="s">
        <v>38</v>
      </c>
      <c r="E1629" t="s">
        <v>31</v>
      </c>
      <c r="F1629" t="s">
        <v>22</v>
      </c>
      <c r="G1629" t="s">
        <v>23</v>
      </c>
      <c r="H1629" t="s">
        <v>24</v>
      </c>
      <c r="I1629">
        <v>36</v>
      </c>
      <c r="J1629" s="3">
        <v>260.04000000000002</v>
      </c>
      <c r="K1629" s="3">
        <v>9361.44</v>
      </c>
      <c r="L1629" t="s">
        <v>34</v>
      </c>
      <c r="M1629" s="2">
        <v>46159</v>
      </c>
      <c r="N1629" s="2">
        <v>46158</v>
      </c>
      <c r="O1629" t="s">
        <v>26</v>
      </c>
      <c r="P1629" t="s">
        <v>35</v>
      </c>
      <c r="Q1629" t="s">
        <v>28</v>
      </c>
      <c r="R1629" t="s">
        <v>29</v>
      </c>
    </row>
    <row r="1630" spans="1:18">
      <c r="A1630" t="s">
        <v>1762</v>
      </c>
      <c r="B1630" s="2">
        <v>45897</v>
      </c>
      <c r="C1630" t="s">
        <v>117</v>
      </c>
      <c r="D1630" t="s">
        <v>118</v>
      </c>
      <c r="E1630" t="s">
        <v>73</v>
      </c>
      <c r="F1630" t="s">
        <v>57</v>
      </c>
      <c r="G1630" t="s">
        <v>120</v>
      </c>
      <c r="H1630" t="s">
        <v>121</v>
      </c>
      <c r="I1630">
        <v>2</v>
      </c>
      <c r="J1630" s="3">
        <v>21242.91</v>
      </c>
      <c r="K1630" s="3">
        <v>42485.82</v>
      </c>
      <c r="L1630" t="s">
        <v>34</v>
      </c>
      <c r="M1630" s="2">
        <v>45907</v>
      </c>
      <c r="N1630" s="2">
        <v>45905</v>
      </c>
      <c r="O1630" t="s">
        <v>26</v>
      </c>
      <c r="P1630" t="s">
        <v>77</v>
      </c>
      <c r="Q1630" t="s">
        <v>28</v>
      </c>
      <c r="R1630" t="s">
        <v>29</v>
      </c>
    </row>
    <row r="1631" spans="1:18">
      <c r="A1631" t="s">
        <v>1763</v>
      </c>
      <c r="B1631" s="2">
        <v>45837</v>
      </c>
      <c r="C1631" t="s">
        <v>117</v>
      </c>
      <c r="D1631" t="s">
        <v>118</v>
      </c>
      <c r="E1631" t="s">
        <v>73</v>
      </c>
      <c r="F1631" t="s">
        <v>57</v>
      </c>
      <c r="G1631" t="s">
        <v>58</v>
      </c>
      <c r="H1631" t="s">
        <v>59</v>
      </c>
      <c r="I1631">
        <v>5</v>
      </c>
      <c r="J1631" s="3">
        <v>56827.01</v>
      </c>
      <c r="K1631" s="3">
        <v>284135.05</v>
      </c>
      <c r="L1631" t="s">
        <v>34</v>
      </c>
      <c r="M1631" s="2">
        <v>45850</v>
      </c>
      <c r="N1631" s="2">
        <v>45847</v>
      </c>
      <c r="O1631" t="s">
        <v>43</v>
      </c>
      <c r="P1631" t="s">
        <v>77</v>
      </c>
      <c r="Q1631" t="s">
        <v>28</v>
      </c>
      <c r="R1631" t="s">
        <v>29</v>
      </c>
    </row>
    <row r="1632" spans="1:18">
      <c r="A1632" t="s">
        <v>1764</v>
      </c>
      <c r="B1632" s="2">
        <v>45870</v>
      </c>
      <c r="C1632" t="s">
        <v>104</v>
      </c>
      <c r="D1632" t="s">
        <v>105</v>
      </c>
      <c r="E1632" t="s">
        <v>48</v>
      </c>
      <c r="F1632" t="s">
        <v>49</v>
      </c>
      <c r="G1632" t="s">
        <v>165</v>
      </c>
      <c r="H1632" t="s">
        <v>166</v>
      </c>
      <c r="I1632">
        <v>1</v>
      </c>
      <c r="J1632" s="3">
        <v>46144.98</v>
      </c>
      <c r="K1632" s="3">
        <v>46144.98</v>
      </c>
      <c r="L1632" t="s">
        <v>25</v>
      </c>
      <c r="M1632" s="2">
        <v>45886</v>
      </c>
      <c r="N1632" s="2">
        <v>45884</v>
      </c>
      <c r="O1632" t="s">
        <v>43</v>
      </c>
      <c r="P1632" t="s">
        <v>53</v>
      </c>
      <c r="Q1632" t="s">
        <v>28</v>
      </c>
      <c r="R1632" t="s">
        <v>29</v>
      </c>
    </row>
    <row r="1633" spans="1:18">
      <c r="A1633" t="s">
        <v>1765</v>
      </c>
      <c r="B1633" s="2">
        <v>45932</v>
      </c>
      <c r="C1633" t="s">
        <v>104</v>
      </c>
      <c r="D1633" t="s">
        <v>105</v>
      </c>
      <c r="E1633" t="s">
        <v>112</v>
      </c>
      <c r="F1633" t="s">
        <v>49</v>
      </c>
      <c r="G1633" t="s">
        <v>113</v>
      </c>
      <c r="H1633" t="s">
        <v>114</v>
      </c>
      <c r="I1633">
        <v>1</v>
      </c>
      <c r="J1633" s="3">
        <v>37991.480000000003</v>
      </c>
      <c r="K1633" s="3">
        <v>37991.480000000003</v>
      </c>
      <c r="L1633" t="s">
        <v>25</v>
      </c>
      <c r="M1633" s="2">
        <v>45937</v>
      </c>
      <c r="N1633" s="2">
        <v>45936</v>
      </c>
      <c r="O1633" t="s">
        <v>43</v>
      </c>
      <c r="P1633" t="s">
        <v>115</v>
      </c>
      <c r="Q1633" t="s">
        <v>28</v>
      </c>
      <c r="R1633" t="s">
        <v>29</v>
      </c>
    </row>
    <row r="1634" spans="1:18">
      <c r="A1634" t="s">
        <v>1766</v>
      </c>
      <c r="B1634" s="2">
        <v>45731</v>
      </c>
      <c r="C1634" t="s">
        <v>37</v>
      </c>
      <c r="D1634" t="s">
        <v>38</v>
      </c>
      <c r="E1634" t="s">
        <v>112</v>
      </c>
      <c r="F1634" t="s">
        <v>22</v>
      </c>
      <c r="G1634" t="s">
        <v>23</v>
      </c>
      <c r="H1634" t="s">
        <v>24</v>
      </c>
      <c r="I1634">
        <v>22</v>
      </c>
      <c r="J1634" s="3">
        <v>274.26</v>
      </c>
      <c r="K1634" s="3">
        <v>6033.72</v>
      </c>
      <c r="L1634" t="s">
        <v>34</v>
      </c>
      <c r="M1634" s="2">
        <v>45746</v>
      </c>
      <c r="N1634" s="2">
        <v>45746</v>
      </c>
      <c r="O1634" t="s">
        <v>76</v>
      </c>
      <c r="P1634" t="s">
        <v>115</v>
      </c>
      <c r="Q1634" t="s">
        <v>28</v>
      </c>
      <c r="R1634" t="s">
        <v>29</v>
      </c>
    </row>
    <row r="1635" spans="1:18">
      <c r="A1635" t="s">
        <v>1767</v>
      </c>
      <c r="B1635" s="2">
        <v>45952</v>
      </c>
      <c r="C1635" t="s">
        <v>46</v>
      </c>
      <c r="D1635" t="s">
        <v>47</v>
      </c>
      <c r="E1635" t="s">
        <v>112</v>
      </c>
      <c r="F1635" t="s">
        <v>49</v>
      </c>
      <c r="G1635" t="s">
        <v>50</v>
      </c>
      <c r="H1635" t="s">
        <v>51</v>
      </c>
      <c r="I1635">
        <v>1</v>
      </c>
      <c r="J1635" s="3">
        <v>54346.96</v>
      </c>
      <c r="K1635" s="3">
        <v>54346.96</v>
      </c>
      <c r="L1635" t="s">
        <v>34</v>
      </c>
      <c r="M1635" s="2">
        <v>45960</v>
      </c>
      <c r="N1635" s="2">
        <v>45960</v>
      </c>
      <c r="O1635" t="s">
        <v>60</v>
      </c>
      <c r="P1635" t="s">
        <v>115</v>
      </c>
      <c r="Q1635" t="s">
        <v>28</v>
      </c>
      <c r="R1635" t="s">
        <v>29</v>
      </c>
    </row>
    <row r="1636" spans="1:18">
      <c r="A1636" t="s">
        <v>1768</v>
      </c>
      <c r="B1636" s="2">
        <v>45688</v>
      </c>
      <c r="C1636" t="s">
        <v>71</v>
      </c>
      <c r="D1636" t="s">
        <v>72</v>
      </c>
      <c r="E1636" t="s">
        <v>31</v>
      </c>
      <c r="F1636" t="s">
        <v>57</v>
      </c>
      <c r="G1636" t="s">
        <v>120</v>
      </c>
      <c r="H1636" t="s">
        <v>121</v>
      </c>
      <c r="I1636">
        <v>4</v>
      </c>
      <c r="J1636" s="3">
        <v>19870.82</v>
      </c>
      <c r="K1636" s="3">
        <v>79483.28</v>
      </c>
      <c r="L1636" t="s">
        <v>25</v>
      </c>
      <c r="M1636" s="2">
        <v>45699</v>
      </c>
      <c r="N1636" s="2">
        <v>45696</v>
      </c>
      <c r="O1636" t="s">
        <v>60</v>
      </c>
      <c r="P1636" t="s">
        <v>35</v>
      </c>
      <c r="Q1636" t="s">
        <v>28</v>
      </c>
      <c r="R1636" t="s">
        <v>29</v>
      </c>
    </row>
    <row r="1637" spans="1:18">
      <c r="A1637" t="s">
        <v>1769</v>
      </c>
      <c r="B1637" s="2">
        <v>46081</v>
      </c>
      <c r="C1637" t="s">
        <v>19</v>
      </c>
      <c r="D1637" t="s">
        <v>20</v>
      </c>
      <c r="E1637" t="s">
        <v>39</v>
      </c>
      <c r="F1637" t="s">
        <v>22</v>
      </c>
      <c r="G1637" t="s">
        <v>160</v>
      </c>
      <c r="H1637" t="s">
        <v>161</v>
      </c>
      <c r="I1637">
        <v>5</v>
      </c>
      <c r="J1637" s="3">
        <v>3053.64</v>
      </c>
      <c r="K1637" s="3">
        <v>15268.2</v>
      </c>
      <c r="L1637" t="s">
        <v>25</v>
      </c>
      <c r="M1637" s="2">
        <v>46088</v>
      </c>
      <c r="N1637" s="2">
        <v>46088</v>
      </c>
      <c r="O1637" t="s">
        <v>26</v>
      </c>
      <c r="P1637" t="s">
        <v>64</v>
      </c>
      <c r="Q1637" t="s">
        <v>28</v>
      </c>
      <c r="R1637" t="s">
        <v>29</v>
      </c>
    </row>
    <row r="1638" spans="1:18">
      <c r="A1638" t="s">
        <v>1770</v>
      </c>
      <c r="B1638" s="2">
        <v>45883</v>
      </c>
      <c r="C1638" t="s">
        <v>107</v>
      </c>
      <c r="D1638" t="s">
        <v>108</v>
      </c>
      <c r="E1638" t="s">
        <v>31</v>
      </c>
      <c r="F1638" t="s">
        <v>91</v>
      </c>
      <c r="G1638" t="s">
        <v>92</v>
      </c>
      <c r="H1638" t="s">
        <v>93</v>
      </c>
      <c r="I1638">
        <v>2</v>
      </c>
      <c r="J1638" s="3">
        <v>45220.01</v>
      </c>
      <c r="K1638" s="3">
        <v>90440.02</v>
      </c>
      <c r="L1638" t="s">
        <v>25</v>
      </c>
      <c r="M1638" s="2">
        <v>45894</v>
      </c>
      <c r="N1638" s="2">
        <v>45891</v>
      </c>
      <c r="O1638" t="s">
        <v>43</v>
      </c>
      <c r="P1638" t="s">
        <v>94</v>
      </c>
      <c r="Q1638" t="s">
        <v>28</v>
      </c>
      <c r="R1638" t="s">
        <v>29</v>
      </c>
    </row>
    <row r="1639" spans="1:18">
      <c r="A1639" t="s">
        <v>1771</v>
      </c>
      <c r="B1639" s="2">
        <v>45731</v>
      </c>
      <c r="C1639" t="s">
        <v>117</v>
      </c>
      <c r="D1639" t="s">
        <v>118</v>
      </c>
      <c r="E1639" t="s">
        <v>31</v>
      </c>
      <c r="F1639" t="s">
        <v>57</v>
      </c>
      <c r="G1639" t="s">
        <v>74</v>
      </c>
      <c r="H1639" t="s">
        <v>75</v>
      </c>
      <c r="I1639">
        <v>10</v>
      </c>
      <c r="J1639" s="3">
        <v>8603.7199999999993</v>
      </c>
      <c r="K1639" s="3">
        <v>86037.2</v>
      </c>
      <c r="L1639" t="s">
        <v>25</v>
      </c>
      <c r="M1639" s="2">
        <v>45738</v>
      </c>
      <c r="N1639" s="2">
        <v>45736</v>
      </c>
      <c r="O1639" t="s">
        <v>76</v>
      </c>
      <c r="P1639" t="s">
        <v>35</v>
      </c>
      <c r="Q1639" t="s">
        <v>28</v>
      </c>
      <c r="R1639" t="s">
        <v>29</v>
      </c>
    </row>
    <row r="1640" spans="1:18">
      <c r="A1640" t="s">
        <v>1772</v>
      </c>
      <c r="B1640" s="2">
        <v>46027</v>
      </c>
      <c r="C1640" t="s">
        <v>104</v>
      </c>
      <c r="D1640" t="s">
        <v>105</v>
      </c>
      <c r="E1640" t="s">
        <v>21</v>
      </c>
      <c r="F1640" t="s">
        <v>49</v>
      </c>
      <c r="G1640" t="s">
        <v>113</v>
      </c>
      <c r="H1640" t="s">
        <v>114</v>
      </c>
      <c r="I1640">
        <v>2</v>
      </c>
      <c r="J1640" s="3">
        <v>37792.36</v>
      </c>
      <c r="K1640" s="3">
        <v>75584.72</v>
      </c>
      <c r="L1640" t="s">
        <v>25</v>
      </c>
      <c r="M1640" s="2">
        <v>46044</v>
      </c>
      <c r="N1640" s="2">
        <v>46043</v>
      </c>
      <c r="O1640" t="s">
        <v>76</v>
      </c>
      <c r="P1640" t="s">
        <v>27</v>
      </c>
      <c r="Q1640" t="s">
        <v>28</v>
      </c>
      <c r="R1640" t="s">
        <v>29</v>
      </c>
    </row>
    <row r="1641" spans="1:18">
      <c r="A1641" t="s">
        <v>1773</v>
      </c>
      <c r="B1641" s="2">
        <v>46000</v>
      </c>
      <c r="C1641" t="s">
        <v>71</v>
      </c>
      <c r="D1641" t="s">
        <v>72</v>
      </c>
      <c r="E1641" t="s">
        <v>48</v>
      </c>
      <c r="F1641" t="s">
        <v>57</v>
      </c>
      <c r="G1641" t="s">
        <v>74</v>
      </c>
      <c r="H1641" t="s">
        <v>75</v>
      </c>
      <c r="I1641">
        <v>15</v>
      </c>
      <c r="J1641" s="3">
        <v>8048.84</v>
      </c>
      <c r="K1641" s="3">
        <v>120732.6</v>
      </c>
      <c r="L1641" t="s">
        <v>34</v>
      </c>
      <c r="M1641" s="2">
        <v>46009</v>
      </c>
      <c r="N1641" s="2">
        <v>46007</v>
      </c>
      <c r="O1641" t="s">
        <v>43</v>
      </c>
      <c r="P1641" t="s">
        <v>53</v>
      </c>
      <c r="Q1641" t="s">
        <v>28</v>
      </c>
      <c r="R1641" t="s">
        <v>29</v>
      </c>
    </row>
    <row r="1642" spans="1:18">
      <c r="A1642" t="s">
        <v>1774</v>
      </c>
      <c r="B1642" s="2">
        <v>45989</v>
      </c>
      <c r="C1642" t="s">
        <v>37</v>
      </c>
      <c r="D1642" t="s">
        <v>38</v>
      </c>
      <c r="E1642" t="s">
        <v>39</v>
      </c>
      <c r="F1642" t="s">
        <v>40</v>
      </c>
      <c r="G1642" t="s">
        <v>136</v>
      </c>
      <c r="H1642" t="s">
        <v>137</v>
      </c>
      <c r="I1642">
        <v>18</v>
      </c>
      <c r="J1642" s="3">
        <v>1809.6</v>
      </c>
      <c r="K1642" s="3">
        <v>32572.799999999999</v>
      </c>
      <c r="L1642" t="s">
        <v>34</v>
      </c>
      <c r="M1642" s="2">
        <v>46007</v>
      </c>
      <c r="N1642" s="2">
        <v>46005</v>
      </c>
      <c r="O1642" t="s">
        <v>76</v>
      </c>
      <c r="P1642" t="s">
        <v>44</v>
      </c>
      <c r="Q1642" t="s">
        <v>28</v>
      </c>
      <c r="R1642" t="s">
        <v>29</v>
      </c>
    </row>
    <row r="1643" spans="1:18">
      <c r="A1643" t="s">
        <v>1775</v>
      </c>
      <c r="B1643" s="2">
        <v>46150</v>
      </c>
      <c r="C1643" t="s">
        <v>19</v>
      </c>
      <c r="D1643" t="s">
        <v>20</v>
      </c>
      <c r="E1643" t="s">
        <v>31</v>
      </c>
      <c r="F1643" t="s">
        <v>22</v>
      </c>
      <c r="G1643" t="s">
        <v>23</v>
      </c>
      <c r="H1643" t="s">
        <v>24</v>
      </c>
      <c r="I1643">
        <v>53</v>
      </c>
      <c r="J1643" s="3">
        <v>224.9</v>
      </c>
      <c r="K1643" s="3">
        <v>11919.7</v>
      </c>
      <c r="L1643" t="s">
        <v>25</v>
      </c>
      <c r="M1643" s="2">
        <v>46158</v>
      </c>
      <c r="N1643" s="2">
        <v>46158</v>
      </c>
      <c r="O1643" t="s">
        <v>76</v>
      </c>
      <c r="P1643" t="s">
        <v>35</v>
      </c>
      <c r="Q1643" t="s">
        <v>28</v>
      </c>
      <c r="R1643" t="s">
        <v>29</v>
      </c>
    </row>
    <row r="1644" spans="1:18">
      <c r="A1644" t="s">
        <v>1776</v>
      </c>
      <c r="B1644" s="2">
        <v>45743</v>
      </c>
      <c r="C1644" t="s">
        <v>142</v>
      </c>
      <c r="D1644" t="s">
        <v>143</v>
      </c>
      <c r="E1644" t="s">
        <v>31</v>
      </c>
      <c r="F1644" t="s">
        <v>22</v>
      </c>
      <c r="G1644" t="s">
        <v>23</v>
      </c>
      <c r="H1644" t="s">
        <v>24</v>
      </c>
      <c r="I1644">
        <v>21</v>
      </c>
      <c r="J1644" s="3">
        <v>237.25</v>
      </c>
      <c r="K1644" s="3">
        <v>4982.25</v>
      </c>
      <c r="L1644" t="s">
        <v>25</v>
      </c>
      <c r="M1644" s="2">
        <v>45759</v>
      </c>
      <c r="N1644" s="2">
        <v>45756</v>
      </c>
      <c r="O1644" t="s">
        <v>60</v>
      </c>
      <c r="P1644" t="s">
        <v>35</v>
      </c>
      <c r="Q1644" t="s">
        <v>28</v>
      </c>
      <c r="R1644" t="s">
        <v>29</v>
      </c>
    </row>
    <row r="1645" spans="1:18">
      <c r="A1645" t="s">
        <v>1777</v>
      </c>
      <c r="B1645" s="2">
        <v>45876</v>
      </c>
      <c r="C1645" t="s">
        <v>142</v>
      </c>
      <c r="D1645" t="s">
        <v>143</v>
      </c>
      <c r="E1645" t="s">
        <v>112</v>
      </c>
      <c r="F1645" t="s">
        <v>22</v>
      </c>
      <c r="G1645" t="s">
        <v>160</v>
      </c>
      <c r="H1645" t="s">
        <v>161</v>
      </c>
      <c r="I1645">
        <v>4</v>
      </c>
      <c r="J1645" s="3">
        <v>3302.27</v>
      </c>
      <c r="K1645" s="3">
        <v>13209.08</v>
      </c>
      <c r="L1645" t="s">
        <v>25</v>
      </c>
      <c r="M1645" s="2">
        <v>45888</v>
      </c>
      <c r="N1645" s="2">
        <v>45885</v>
      </c>
      <c r="O1645" t="s">
        <v>26</v>
      </c>
      <c r="P1645" t="s">
        <v>115</v>
      </c>
      <c r="Q1645" t="s">
        <v>28</v>
      </c>
      <c r="R1645" t="s">
        <v>29</v>
      </c>
    </row>
    <row r="1646" spans="1:18">
      <c r="A1646" t="s">
        <v>1778</v>
      </c>
      <c r="B1646" s="2">
        <v>46172</v>
      </c>
      <c r="C1646" t="s">
        <v>96</v>
      </c>
      <c r="D1646" t="s">
        <v>97</v>
      </c>
      <c r="E1646" t="s">
        <v>39</v>
      </c>
      <c r="F1646" t="s">
        <v>82</v>
      </c>
      <c r="G1646" t="s">
        <v>197</v>
      </c>
      <c r="H1646" t="s">
        <v>198</v>
      </c>
      <c r="I1646">
        <v>24</v>
      </c>
      <c r="J1646" s="3">
        <v>2082.59</v>
      </c>
      <c r="K1646" s="3">
        <v>49982.16</v>
      </c>
      <c r="L1646" t="s">
        <v>25</v>
      </c>
      <c r="M1646" s="2">
        <v>46180</v>
      </c>
      <c r="N1646" s="2">
        <v>46178</v>
      </c>
      <c r="O1646" t="s">
        <v>43</v>
      </c>
      <c r="P1646" t="s">
        <v>44</v>
      </c>
      <c r="Q1646" t="s">
        <v>28</v>
      </c>
      <c r="R1646" t="s">
        <v>29</v>
      </c>
    </row>
    <row r="1647" spans="1:18">
      <c r="A1647" t="s">
        <v>1779</v>
      </c>
      <c r="B1647" s="2">
        <v>45892</v>
      </c>
      <c r="C1647" t="s">
        <v>107</v>
      </c>
      <c r="D1647" t="s">
        <v>108</v>
      </c>
      <c r="E1647" t="s">
        <v>31</v>
      </c>
      <c r="F1647" t="s">
        <v>91</v>
      </c>
      <c r="G1647" t="s">
        <v>92</v>
      </c>
      <c r="H1647" t="s">
        <v>93</v>
      </c>
      <c r="I1647">
        <v>3</v>
      </c>
      <c r="J1647" s="3">
        <v>44413.46</v>
      </c>
      <c r="K1647" s="3">
        <v>133240.38</v>
      </c>
      <c r="L1647" t="s">
        <v>25</v>
      </c>
      <c r="M1647" s="2">
        <v>45898</v>
      </c>
      <c r="N1647" s="2">
        <v>45898</v>
      </c>
      <c r="O1647" t="s">
        <v>60</v>
      </c>
      <c r="P1647" t="s">
        <v>35</v>
      </c>
      <c r="Q1647" t="s">
        <v>28</v>
      </c>
      <c r="R1647" t="s">
        <v>29</v>
      </c>
    </row>
    <row r="1648" spans="1:18">
      <c r="A1648" t="s">
        <v>1780</v>
      </c>
      <c r="B1648" s="2">
        <v>46091</v>
      </c>
      <c r="C1648" t="s">
        <v>104</v>
      </c>
      <c r="D1648" t="s">
        <v>105</v>
      </c>
      <c r="E1648" t="s">
        <v>21</v>
      </c>
      <c r="F1648" t="s">
        <v>49</v>
      </c>
      <c r="G1648" t="s">
        <v>113</v>
      </c>
      <c r="H1648" t="s">
        <v>114</v>
      </c>
      <c r="I1648">
        <v>1</v>
      </c>
      <c r="J1648" s="3">
        <v>38353.870000000003</v>
      </c>
      <c r="K1648" s="3">
        <v>38353.870000000003</v>
      </c>
      <c r="L1648" t="s">
        <v>25</v>
      </c>
      <c r="M1648" s="2">
        <v>46098</v>
      </c>
      <c r="N1648" s="2">
        <v>46097</v>
      </c>
      <c r="O1648" t="s">
        <v>43</v>
      </c>
      <c r="P1648" t="s">
        <v>27</v>
      </c>
      <c r="Q1648" t="s">
        <v>28</v>
      </c>
      <c r="R1648" t="s">
        <v>29</v>
      </c>
    </row>
    <row r="1649" spans="1:18">
      <c r="A1649" t="s">
        <v>1781</v>
      </c>
      <c r="B1649" s="2">
        <v>45927</v>
      </c>
      <c r="C1649" t="s">
        <v>117</v>
      </c>
      <c r="D1649" t="s">
        <v>118</v>
      </c>
      <c r="E1649" t="s">
        <v>48</v>
      </c>
      <c r="F1649" t="s">
        <v>57</v>
      </c>
      <c r="G1649" t="s">
        <v>74</v>
      </c>
      <c r="H1649" t="s">
        <v>75</v>
      </c>
      <c r="I1649">
        <v>1</v>
      </c>
      <c r="J1649" s="3">
        <v>8518.09</v>
      </c>
      <c r="K1649" s="3">
        <v>8518.09</v>
      </c>
      <c r="L1649" t="s">
        <v>52</v>
      </c>
      <c r="M1649" s="2">
        <v>45934</v>
      </c>
      <c r="N1649" s="2">
        <v>45931</v>
      </c>
      <c r="O1649" t="s">
        <v>76</v>
      </c>
      <c r="P1649" t="s">
        <v>53</v>
      </c>
      <c r="Q1649" t="s">
        <v>28</v>
      </c>
      <c r="R1649" t="s">
        <v>29</v>
      </c>
    </row>
    <row r="1650" spans="1:18">
      <c r="A1650" t="s">
        <v>1782</v>
      </c>
      <c r="B1650" s="2">
        <v>45799</v>
      </c>
      <c r="C1650" t="s">
        <v>71</v>
      </c>
      <c r="D1650" t="s">
        <v>72</v>
      </c>
      <c r="E1650" t="s">
        <v>48</v>
      </c>
      <c r="F1650" t="s">
        <v>57</v>
      </c>
      <c r="G1650" t="s">
        <v>58</v>
      </c>
      <c r="H1650" t="s">
        <v>59</v>
      </c>
      <c r="I1650">
        <v>7</v>
      </c>
      <c r="J1650" s="3">
        <v>51236.44</v>
      </c>
      <c r="K1650" s="3">
        <v>358655.08</v>
      </c>
      <c r="L1650" t="s">
        <v>25</v>
      </c>
      <c r="M1650" s="2">
        <v>45811</v>
      </c>
      <c r="N1650" s="2">
        <v>45818</v>
      </c>
      <c r="O1650" t="s">
        <v>76</v>
      </c>
      <c r="P1650" t="s">
        <v>53</v>
      </c>
      <c r="Q1650" t="s">
        <v>28</v>
      </c>
      <c r="R1650" t="s">
        <v>129</v>
      </c>
    </row>
    <row r="1651" spans="1:18">
      <c r="A1651" t="s">
        <v>1783</v>
      </c>
      <c r="B1651" s="2">
        <v>45677</v>
      </c>
      <c r="C1651" t="s">
        <v>37</v>
      </c>
      <c r="D1651" t="s">
        <v>38</v>
      </c>
      <c r="E1651" t="s">
        <v>112</v>
      </c>
      <c r="F1651" t="s">
        <v>40</v>
      </c>
      <c r="G1651" t="s">
        <v>149</v>
      </c>
      <c r="H1651" t="s">
        <v>150</v>
      </c>
      <c r="I1651">
        <v>14</v>
      </c>
      <c r="J1651" s="3">
        <v>1482.95</v>
      </c>
      <c r="K1651" s="3">
        <v>20761.3</v>
      </c>
      <c r="L1651" t="s">
        <v>25</v>
      </c>
      <c r="M1651" s="2">
        <v>45684</v>
      </c>
      <c r="N1651" s="2">
        <v>45683</v>
      </c>
      <c r="O1651" t="s">
        <v>43</v>
      </c>
      <c r="P1651" t="s">
        <v>115</v>
      </c>
      <c r="Q1651" t="s">
        <v>28</v>
      </c>
      <c r="R1651" t="s">
        <v>29</v>
      </c>
    </row>
    <row r="1652" spans="1:18">
      <c r="A1652" t="s">
        <v>1784</v>
      </c>
      <c r="B1652" s="2">
        <v>45791</v>
      </c>
      <c r="C1652" t="s">
        <v>37</v>
      </c>
      <c r="D1652" t="s">
        <v>38</v>
      </c>
      <c r="E1652" t="s">
        <v>39</v>
      </c>
      <c r="F1652" t="s">
        <v>40</v>
      </c>
      <c r="G1652" t="s">
        <v>62</v>
      </c>
      <c r="H1652" t="s">
        <v>63</v>
      </c>
      <c r="I1652">
        <v>1</v>
      </c>
      <c r="J1652" s="3">
        <v>19052.25</v>
      </c>
      <c r="K1652" s="3">
        <v>19052.25</v>
      </c>
      <c r="L1652" t="s">
        <v>25</v>
      </c>
      <c r="M1652" s="2">
        <v>45809</v>
      </c>
      <c r="N1652" s="2">
        <v>45808</v>
      </c>
      <c r="O1652" t="s">
        <v>76</v>
      </c>
      <c r="P1652" t="s">
        <v>64</v>
      </c>
      <c r="Q1652" t="s">
        <v>28</v>
      </c>
      <c r="R1652" t="s">
        <v>29</v>
      </c>
    </row>
    <row r="1653" spans="1:18">
      <c r="A1653" t="s">
        <v>1785</v>
      </c>
      <c r="B1653" s="2">
        <v>45886</v>
      </c>
      <c r="C1653" t="s">
        <v>96</v>
      </c>
      <c r="D1653" t="s">
        <v>97</v>
      </c>
      <c r="E1653" t="s">
        <v>39</v>
      </c>
      <c r="F1653" t="s">
        <v>82</v>
      </c>
      <c r="G1653" t="s">
        <v>83</v>
      </c>
      <c r="H1653" t="s">
        <v>84</v>
      </c>
      <c r="I1653">
        <v>12</v>
      </c>
      <c r="J1653" s="3">
        <v>731.95</v>
      </c>
      <c r="K1653" s="3">
        <v>8783.4</v>
      </c>
      <c r="L1653" t="s">
        <v>34</v>
      </c>
      <c r="M1653" s="2">
        <v>45903</v>
      </c>
      <c r="N1653" s="2">
        <v>45902</v>
      </c>
      <c r="O1653" t="s">
        <v>76</v>
      </c>
      <c r="P1653" t="s">
        <v>44</v>
      </c>
      <c r="Q1653" t="s">
        <v>28</v>
      </c>
      <c r="R1653" t="s">
        <v>29</v>
      </c>
    </row>
    <row r="1654" spans="1:18">
      <c r="A1654" t="s">
        <v>1786</v>
      </c>
      <c r="B1654" s="2">
        <v>45999</v>
      </c>
      <c r="C1654" t="s">
        <v>55</v>
      </c>
      <c r="D1654" t="s">
        <v>56</v>
      </c>
      <c r="E1654" t="s">
        <v>21</v>
      </c>
      <c r="F1654" t="s">
        <v>57</v>
      </c>
      <c r="G1654" t="s">
        <v>74</v>
      </c>
      <c r="H1654" t="s">
        <v>75</v>
      </c>
      <c r="I1654">
        <v>10</v>
      </c>
      <c r="J1654" s="3">
        <v>9923.18</v>
      </c>
      <c r="K1654" s="3">
        <v>99231.8</v>
      </c>
      <c r="L1654" t="s">
        <v>25</v>
      </c>
      <c r="M1654" s="2">
        <v>46011</v>
      </c>
      <c r="N1654" s="2">
        <v>46011</v>
      </c>
      <c r="O1654" t="s">
        <v>60</v>
      </c>
      <c r="P1654" t="s">
        <v>27</v>
      </c>
      <c r="Q1654" t="s">
        <v>28</v>
      </c>
      <c r="R1654" t="s">
        <v>29</v>
      </c>
    </row>
    <row r="1655" spans="1:18">
      <c r="A1655" t="s">
        <v>1787</v>
      </c>
      <c r="B1655" s="2">
        <v>45855</v>
      </c>
      <c r="C1655" t="s">
        <v>104</v>
      </c>
      <c r="D1655" t="s">
        <v>105</v>
      </c>
      <c r="E1655" t="s">
        <v>48</v>
      </c>
      <c r="F1655" t="s">
        <v>49</v>
      </c>
      <c r="G1655" t="s">
        <v>50</v>
      </c>
      <c r="H1655" t="s">
        <v>51</v>
      </c>
      <c r="I1655">
        <v>2</v>
      </c>
      <c r="J1655" s="3">
        <v>52043.86</v>
      </c>
      <c r="K1655" s="3">
        <v>104087.72</v>
      </c>
      <c r="L1655" t="s">
        <v>25</v>
      </c>
      <c r="M1655" s="2">
        <v>45870</v>
      </c>
      <c r="N1655" s="2">
        <v>45869</v>
      </c>
      <c r="O1655" t="s">
        <v>76</v>
      </c>
      <c r="P1655" t="s">
        <v>53</v>
      </c>
      <c r="Q1655" t="s">
        <v>28</v>
      </c>
      <c r="R1655" t="s">
        <v>29</v>
      </c>
    </row>
    <row r="1656" spans="1:18">
      <c r="A1656" t="s">
        <v>1788</v>
      </c>
      <c r="B1656" s="2">
        <v>46022</v>
      </c>
      <c r="C1656" t="s">
        <v>66</v>
      </c>
      <c r="D1656" t="s">
        <v>67</v>
      </c>
      <c r="E1656" t="s">
        <v>48</v>
      </c>
      <c r="F1656" t="s">
        <v>49</v>
      </c>
      <c r="G1656" t="s">
        <v>50</v>
      </c>
      <c r="H1656" t="s">
        <v>51</v>
      </c>
      <c r="I1656">
        <v>2</v>
      </c>
      <c r="J1656" s="3">
        <v>52879.54</v>
      </c>
      <c r="K1656" s="3">
        <v>105759.08</v>
      </c>
      <c r="L1656" t="s">
        <v>25</v>
      </c>
      <c r="M1656" s="2">
        <v>46032</v>
      </c>
      <c r="N1656" s="2">
        <v>46032</v>
      </c>
      <c r="O1656" t="s">
        <v>60</v>
      </c>
      <c r="P1656" t="s">
        <v>53</v>
      </c>
      <c r="Q1656" t="s">
        <v>28</v>
      </c>
      <c r="R1656" t="s">
        <v>29</v>
      </c>
    </row>
    <row r="1657" spans="1:18">
      <c r="A1657" t="s">
        <v>1789</v>
      </c>
      <c r="B1657" s="2">
        <v>46181</v>
      </c>
      <c r="C1657" t="s">
        <v>37</v>
      </c>
      <c r="D1657" t="s">
        <v>38</v>
      </c>
      <c r="E1657" t="s">
        <v>112</v>
      </c>
      <c r="F1657" t="s">
        <v>40</v>
      </c>
      <c r="G1657" t="s">
        <v>136</v>
      </c>
      <c r="H1657" t="s">
        <v>137</v>
      </c>
      <c r="I1657">
        <v>28</v>
      </c>
      <c r="J1657" s="3">
        <v>1769.99</v>
      </c>
      <c r="K1657" s="3">
        <v>49559.72</v>
      </c>
      <c r="L1657" t="s">
        <v>25</v>
      </c>
      <c r="M1657" s="2">
        <v>46189</v>
      </c>
      <c r="N1657" s="2">
        <v>46187</v>
      </c>
      <c r="O1657" t="s">
        <v>60</v>
      </c>
      <c r="P1657" t="s">
        <v>115</v>
      </c>
      <c r="Q1657" t="s">
        <v>28</v>
      </c>
      <c r="R1657" t="s">
        <v>29</v>
      </c>
    </row>
    <row r="1658" spans="1:18">
      <c r="A1658" t="s">
        <v>1790</v>
      </c>
      <c r="B1658" s="2">
        <v>46061</v>
      </c>
      <c r="C1658" t="s">
        <v>142</v>
      </c>
      <c r="D1658" t="s">
        <v>143</v>
      </c>
      <c r="E1658" t="s">
        <v>21</v>
      </c>
      <c r="F1658" t="s">
        <v>22</v>
      </c>
      <c r="G1658" t="s">
        <v>160</v>
      </c>
      <c r="H1658" t="s">
        <v>161</v>
      </c>
      <c r="I1658">
        <v>12</v>
      </c>
      <c r="J1658" s="3">
        <v>3188.59</v>
      </c>
      <c r="K1658" s="3">
        <v>38263.08</v>
      </c>
      <c r="L1658" t="s">
        <v>34</v>
      </c>
      <c r="M1658" s="2">
        <v>46077</v>
      </c>
      <c r="N1658" s="2">
        <v>46076</v>
      </c>
      <c r="O1658" t="s">
        <v>76</v>
      </c>
      <c r="P1658" t="s">
        <v>27</v>
      </c>
      <c r="Q1658" t="s">
        <v>28</v>
      </c>
      <c r="R1658" t="s">
        <v>29</v>
      </c>
    </row>
    <row r="1659" spans="1:18">
      <c r="A1659" t="s">
        <v>1791</v>
      </c>
      <c r="B1659" s="2">
        <v>45815</v>
      </c>
      <c r="C1659" t="s">
        <v>104</v>
      </c>
      <c r="D1659" t="s">
        <v>105</v>
      </c>
      <c r="E1659" t="s">
        <v>112</v>
      </c>
      <c r="F1659" t="s">
        <v>49</v>
      </c>
      <c r="G1659" t="s">
        <v>68</v>
      </c>
      <c r="H1659" t="s">
        <v>69</v>
      </c>
      <c r="I1659">
        <v>1</v>
      </c>
      <c r="J1659" s="3">
        <v>48639.13</v>
      </c>
      <c r="K1659" s="3">
        <v>48639.13</v>
      </c>
      <c r="L1659" t="s">
        <v>25</v>
      </c>
      <c r="M1659" s="2">
        <v>45821</v>
      </c>
      <c r="N1659" s="2">
        <v>45821</v>
      </c>
      <c r="O1659" t="s">
        <v>60</v>
      </c>
      <c r="P1659" t="s">
        <v>115</v>
      </c>
      <c r="Q1659" t="s">
        <v>28</v>
      </c>
      <c r="R1659" t="s">
        <v>29</v>
      </c>
    </row>
    <row r="1660" spans="1:18">
      <c r="A1660" t="s">
        <v>1792</v>
      </c>
      <c r="B1660" s="2">
        <v>45887</v>
      </c>
      <c r="C1660" t="s">
        <v>96</v>
      </c>
      <c r="D1660" t="s">
        <v>97</v>
      </c>
      <c r="E1660" t="s">
        <v>39</v>
      </c>
      <c r="F1660" t="s">
        <v>82</v>
      </c>
      <c r="G1660" t="s">
        <v>98</v>
      </c>
      <c r="H1660" t="s">
        <v>99</v>
      </c>
      <c r="I1660">
        <v>52</v>
      </c>
      <c r="J1660" s="3">
        <v>1149.3800000000001</v>
      </c>
      <c r="K1660" s="3">
        <v>59767.76</v>
      </c>
      <c r="L1660" t="s">
        <v>25</v>
      </c>
      <c r="M1660" s="2">
        <v>45898</v>
      </c>
      <c r="N1660" s="2">
        <v>45898</v>
      </c>
      <c r="O1660" t="s">
        <v>43</v>
      </c>
      <c r="P1660" t="s">
        <v>44</v>
      </c>
      <c r="Q1660" t="s">
        <v>28</v>
      </c>
      <c r="R1660" t="s">
        <v>29</v>
      </c>
    </row>
    <row r="1661" spans="1:18">
      <c r="A1661" t="s">
        <v>1793</v>
      </c>
      <c r="B1661" s="2">
        <v>45808</v>
      </c>
      <c r="C1661" t="s">
        <v>19</v>
      </c>
      <c r="D1661" t="s">
        <v>20</v>
      </c>
      <c r="E1661" t="s">
        <v>31</v>
      </c>
      <c r="F1661" t="s">
        <v>22</v>
      </c>
      <c r="G1661" t="s">
        <v>23</v>
      </c>
      <c r="H1661" t="s">
        <v>24</v>
      </c>
      <c r="I1661">
        <v>53</v>
      </c>
      <c r="J1661" s="3">
        <v>234.16</v>
      </c>
      <c r="K1661" s="3">
        <v>12410.48</v>
      </c>
      <c r="L1661" t="s">
        <v>25</v>
      </c>
      <c r="M1661" s="2">
        <v>45821</v>
      </c>
      <c r="N1661" s="2">
        <v>45821</v>
      </c>
      <c r="O1661" t="s">
        <v>76</v>
      </c>
      <c r="P1661" t="s">
        <v>94</v>
      </c>
      <c r="Q1661" t="s">
        <v>28</v>
      </c>
      <c r="R1661" t="s">
        <v>29</v>
      </c>
    </row>
    <row r="1662" spans="1:18">
      <c r="A1662" t="s">
        <v>1794</v>
      </c>
      <c r="B1662" s="2">
        <v>46170</v>
      </c>
      <c r="C1662" t="s">
        <v>117</v>
      </c>
      <c r="D1662" t="s">
        <v>118</v>
      </c>
      <c r="E1662" t="s">
        <v>73</v>
      </c>
      <c r="F1662" t="s">
        <v>57</v>
      </c>
      <c r="G1662" t="s">
        <v>120</v>
      </c>
      <c r="H1662" t="s">
        <v>121</v>
      </c>
      <c r="I1662">
        <v>1</v>
      </c>
      <c r="J1662" s="3">
        <v>22084.65</v>
      </c>
      <c r="K1662" s="3">
        <v>22084.65</v>
      </c>
      <c r="L1662" t="s">
        <v>25</v>
      </c>
      <c r="M1662" s="2">
        <v>46178</v>
      </c>
      <c r="N1662" s="2">
        <v>46192</v>
      </c>
      <c r="O1662" t="s">
        <v>26</v>
      </c>
      <c r="P1662" t="s">
        <v>77</v>
      </c>
      <c r="Q1662" t="s">
        <v>28</v>
      </c>
      <c r="R1662" t="s">
        <v>129</v>
      </c>
    </row>
    <row r="1663" spans="1:18">
      <c r="A1663" t="s">
        <v>1795</v>
      </c>
      <c r="B1663" s="2">
        <v>45718</v>
      </c>
      <c r="C1663" t="s">
        <v>142</v>
      </c>
      <c r="D1663" t="s">
        <v>143</v>
      </c>
      <c r="E1663" t="s">
        <v>39</v>
      </c>
      <c r="F1663" t="s">
        <v>22</v>
      </c>
      <c r="G1663" t="s">
        <v>23</v>
      </c>
      <c r="H1663" t="s">
        <v>24</v>
      </c>
      <c r="I1663">
        <v>57</v>
      </c>
      <c r="J1663" s="3">
        <v>248.73</v>
      </c>
      <c r="K1663" s="3">
        <v>14177.61</v>
      </c>
      <c r="L1663" t="s">
        <v>34</v>
      </c>
      <c r="M1663" s="2">
        <v>45730</v>
      </c>
      <c r="N1663" s="2">
        <v>45730</v>
      </c>
      <c r="O1663" t="s">
        <v>26</v>
      </c>
      <c r="P1663" t="s">
        <v>44</v>
      </c>
      <c r="Q1663" t="s">
        <v>28</v>
      </c>
      <c r="R1663" t="s">
        <v>29</v>
      </c>
    </row>
    <row r="1664" spans="1:18">
      <c r="A1664" t="s">
        <v>1796</v>
      </c>
      <c r="B1664" s="2">
        <v>45939</v>
      </c>
      <c r="C1664" t="s">
        <v>142</v>
      </c>
      <c r="D1664" t="s">
        <v>143</v>
      </c>
      <c r="E1664" t="s">
        <v>39</v>
      </c>
      <c r="F1664" t="s">
        <v>22</v>
      </c>
      <c r="G1664" t="s">
        <v>160</v>
      </c>
      <c r="H1664" t="s">
        <v>161</v>
      </c>
      <c r="I1664">
        <v>13</v>
      </c>
      <c r="J1664" s="3">
        <v>3079.7</v>
      </c>
      <c r="K1664" s="3">
        <v>40036.1</v>
      </c>
      <c r="L1664" t="s">
        <v>25</v>
      </c>
      <c r="M1664" s="2">
        <v>45948</v>
      </c>
      <c r="N1664" s="2">
        <v>45945</v>
      </c>
      <c r="O1664" t="s">
        <v>76</v>
      </c>
      <c r="P1664" t="s">
        <v>44</v>
      </c>
      <c r="Q1664" t="s">
        <v>28</v>
      </c>
      <c r="R1664" t="s">
        <v>29</v>
      </c>
    </row>
    <row r="1665" spans="1:18">
      <c r="A1665" t="s">
        <v>1797</v>
      </c>
      <c r="B1665" s="2">
        <v>45826</v>
      </c>
      <c r="C1665" t="s">
        <v>104</v>
      </c>
      <c r="D1665" t="s">
        <v>105</v>
      </c>
      <c r="E1665" t="s">
        <v>48</v>
      </c>
      <c r="F1665" t="s">
        <v>49</v>
      </c>
      <c r="G1665" t="s">
        <v>68</v>
      </c>
      <c r="H1665" t="s">
        <v>69</v>
      </c>
      <c r="I1665">
        <v>3</v>
      </c>
      <c r="J1665" s="3">
        <v>49604.88</v>
      </c>
      <c r="K1665" s="3">
        <v>148814.64000000001</v>
      </c>
      <c r="L1665" t="s">
        <v>25</v>
      </c>
      <c r="M1665" s="2">
        <v>45832</v>
      </c>
      <c r="N1665" s="2">
        <v>45830</v>
      </c>
      <c r="O1665" t="s">
        <v>60</v>
      </c>
      <c r="P1665" t="s">
        <v>53</v>
      </c>
      <c r="Q1665" t="s">
        <v>28</v>
      </c>
      <c r="R1665" t="s">
        <v>29</v>
      </c>
    </row>
    <row r="1666" spans="1:18">
      <c r="A1666" t="s">
        <v>1798</v>
      </c>
      <c r="B1666" s="2">
        <v>45770</v>
      </c>
      <c r="C1666" t="s">
        <v>46</v>
      </c>
      <c r="D1666" t="s">
        <v>47</v>
      </c>
      <c r="E1666" t="s">
        <v>73</v>
      </c>
      <c r="F1666" t="s">
        <v>49</v>
      </c>
      <c r="G1666" t="s">
        <v>165</v>
      </c>
      <c r="H1666" t="s">
        <v>166</v>
      </c>
      <c r="I1666">
        <v>2</v>
      </c>
      <c r="J1666" s="3">
        <v>46171.64</v>
      </c>
      <c r="K1666" s="3">
        <v>92343.28</v>
      </c>
      <c r="L1666" t="s">
        <v>25</v>
      </c>
      <c r="M1666" s="2">
        <v>45782</v>
      </c>
      <c r="N1666" s="2">
        <v>45782</v>
      </c>
      <c r="O1666" t="s">
        <v>26</v>
      </c>
      <c r="P1666" t="s">
        <v>77</v>
      </c>
      <c r="Q1666" t="s">
        <v>28</v>
      </c>
      <c r="R1666" t="s">
        <v>29</v>
      </c>
    </row>
    <row r="1667" spans="1:18">
      <c r="A1667" t="s">
        <v>1799</v>
      </c>
      <c r="B1667" s="2">
        <v>45994</v>
      </c>
      <c r="C1667" t="s">
        <v>142</v>
      </c>
      <c r="D1667" t="s">
        <v>143</v>
      </c>
      <c r="E1667" t="s">
        <v>39</v>
      </c>
      <c r="F1667" t="s">
        <v>22</v>
      </c>
      <c r="G1667" t="s">
        <v>160</v>
      </c>
      <c r="H1667" t="s">
        <v>161</v>
      </c>
      <c r="I1667">
        <v>13</v>
      </c>
      <c r="J1667" s="3">
        <v>3123.2</v>
      </c>
      <c r="K1667" s="3">
        <v>40601.599999999999</v>
      </c>
      <c r="L1667" t="s">
        <v>34</v>
      </c>
      <c r="M1667" s="2">
        <v>46008</v>
      </c>
      <c r="N1667" s="2">
        <v>46016</v>
      </c>
      <c r="O1667" t="s">
        <v>26</v>
      </c>
      <c r="P1667" t="s">
        <v>44</v>
      </c>
      <c r="Q1667" t="s">
        <v>28</v>
      </c>
      <c r="R1667" t="s">
        <v>129</v>
      </c>
    </row>
    <row r="1668" spans="1:18">
      <c r="A1668" t="s">
        <v>1800</v>
      </c>
      <c r="B1668" s="2">
        <v>45741</v>
      </c>
      <c r="C1668" t="s">
        <v>134</v>
      </c>
      <c r="D1668" t="s">
        <v>135</v>
      </c>
      <c r="E1668" t="s">
        <v>39</v>
      </c>
      <c r="F1668" t="s">
        <v>40</v>
      </c>
      <c r="G1668" t="s">
        <v>149</v>
      </c>
      <c r="H1668" t="s">
        <v>150</v>
      </c>
      <c r="I1668">
        <v>58</v>
      </c>
      <c r="J1668" s="3">
        <v>1376.9</v>
      </c>
      <c r="K1668" s="3">
        <v>79860.2</v>
      </c>
      <c r="L1668" t="s">
        <v>52</v>
      </c>
      <c r="M1668" s="2">
        <v>45753</v>
      </c>
      <c r="N1668" s="2">
        <v>45752</v>
      </c>
      <c r="O1668" t="s">
        <v>76</v>
      </c>
      <c r="P1668" t="s">
        <v>64</v>
      </c>
      <c r="Q1668" t="s">
        <v>28</v>
      </c>
      <c r="R1668" t="s">
        <v>29</v>
      </c>
    </row>
    <row r="1669" spans="1:18">
      <c r="A1669" t="s">
        <v>1801</v>
      </c>
      <c r="B1669" s="2">
        <v>45946</v>
      </c>
      <c r="C1669" t="s">
        <v>142</v>
      </c>
      <c r="D1669" t="s">
        <v>143</v>
      </c>
      <c r="E1669" t="s">
        <v>31</v>
      </c>
      <c r="F1669" t="s">
        <v>22</v>
      </c>
      <c r="G1669" t="s">
        <v>160</v>
      </c>
      <c r="H1669" t="s">
        <v>161</v>
      </c>
      <c r="I1669">
        <v>2</v>
      </c>
      <c r="J1669" s="3">
        <v>3041.6</v>
      </c>
      <c r="K1669" s="3">
        <v>6083.2</v>
      </c>
      <c r="L1669" t="s">
        <v>25</v>
      </c>
      <c r="M1669" s="2">
        <v>45964</v>
      </c>
      <c r="N1669" s="2">
        <v>45963</v>
      </c>
      <c r="O1669" t="s">
        <v>76</v>
      </c>
      <c r="P1669" t="s">
        <v>94</v>
      </c>
      <c r="Q1669" t="s">
        <v>28</v>
      </c>
      <c r="R1669" t="s">
        <v>29</v>
      </c>
    </row>
    <row r="1670" spans="1:18">
      <c r="A1670" t="s">
        <v>1802</v>
      </c>
      <c r="B1670" s="2">
        <v>45764</v>
      </c>
      <c r="C1670" t="s">
        <v>66</v>
      </c>
      <c r="D1670" t="s">
        <v>67</v>
      </c>
      <c r="E1670" t="s">
        <v>112</v>
      </c>
      <c r="F1670" t="s">
        <v>49</v>
      </c>
      <c r="G1670" t="s">
        <v>113</v>
      </c>
      <c r="H1670" t="s">
        <v>114</v>
      </c>
      <c r="I1670">
        <v>1</v>
      </c>
      <c r="J1670" s="3">
        <v>35543.379999999997</v>
      </c>
      <c r="K1670" s="3">
        <v>35543.379999999997</v>
      </c>
      <c r="L1670" t="s">
        <v>52</v>
      </c>
      <c r="M1670" s="2">
        <v>45779</v>
      </c>
      <c r="N1670" s="2">
        <v>45778</v>
      </c>
      <c r="O1670" t="s">
        <v>43</v>
      </c>
      <c r="P1670" t="s">
        <v>115</v>
      </c>
      <c r="Q1670" t="s">
        <v>28</v>
      </c>
      <c r="R1670" t="s">
        <v>29</v>
      </c>
    </row>
    <row r="1671" spans="1:18">
      <c r="A1671" t="s">
        <v>1803</v>
      </c>
      <c r="B1671" s="2">
        <v>46200</v>
      </c>
      <c r="C1671" t="s">
        <v>134</v>
      </c>
      <c r="D1671" t="s">
        <v>135</v>
      </c>
      <c r="E1671" t="s">
        <v>112</v>
      </c>
      <c r="F1671" t="s">
        <v>40</v>
      </c>
      <c r="G1671" t="s">
        <v>41</v>
      </c>
      <c r="H1671" t="s">
        <v>42</v>
      </c>
      <c r="I1671">
        <v>1</v>
      </c>
      <c r="J1671" s="3">
        <v>5448.53</v>
      </c>
      <c r="K1671" s="3">
        <v>5448.53</v>
      </c>
      <c r="L1671" t="s">
        <v>25</v>
      </c>
      <c r="M1671" s="2">
        <v>46216</v>
      </c>
      <c r="N1671" s="2"/>
      <c r="O1671" t="s">
        <v>26</v>
      </c>
      <c r="P1671" t="s">
        <v>115</v>
      </c>
      <c r="Q1671" t="s">
        <v>167</v>
      </c>
      <c r="R1671" t="s">
        <v>167</v>
      </c>
    </row>
    <row r="1672" spans="1:18">
      <c r="A1672" t="s">
        <v>1804</v>
      </c>
      <c r="B1672" s="2">
        <v>45995</v>
      </c>
      <c r="C1672" t="s">
        <v>142</v>
      </c>
      <c r="D1672" t="s">
        <v>143</v>
      </c>
      <c r="E1672" t="s">
        <v>21</v>
      </c>
      <c r="F1672" t="s">
        <v>22</v>
      </c>
      <c r="G1672" t="s">
        <v>23</v>
      </c>
      <c r="H1672" t="s">
        <v>24</v>
      </c>
      <c r="I1672">
        <v>32</v>
      </c>
      <c r="J1672" s="3">
        <v>239.55</v>
      </c>
      <c r="K1672" s="3">
        <v>7665.6</v>
      </c>
      <c r="L1672" t="s">
        <v>25</v>
      </c>
      <c r="M1672" s="2">
        <v>46000</v>
      </c>
      <c r="N1672" s="2">
        <v>46000</v>
      </c>
      <c r="O1672" t="s">
        <v>43</v>
      </c>
      <c r="P1672" t="s">
        <v>27</v>
      </c>
      <c r="Q1672" t="s">
        <v>28</v>
      </c>
      <c r="R1672" t="s">
        <v>29</v>
      </c>
    </row>
    <row r="1673" spans="1:18">
      <c r="A1673" t="s">
        <v>1805</v>
      </c>
      <c r="B1673" s="2">
        <v>46049</v>
      </c>
      <c r="C1673" t="s">
        <v>66</v>
      </c>
      <c r="D1673" t="s">
        <v>67</v>
      </c>
      <c r="E1673" t="s">
        <v>21</v>
      </c>
      <c r="F1673" t="s">
        <v>49</v>
      </c>
      <c r="G1673" t="s">
        <v>113</v>
      </c>
      <c r="H1673" t="s">
        <v>114</v>
      </c>
      <c r="I1673">
        <v>2</v>
      </c>
      <c r="J1673" s="3">
        <v>38317.379999999997</v>
      </c>
      <c r="K1673" s="3">
        <v>76634.759999999995</v>
      </c>
      <c r="L1673" t="s">
        <v>34</v>
      </c>
      <c r="M1673" s="2">
        <v>46055</v>
      </c>
      <c r="N1673" s="2">
        <v>46054</v>
      </c>
      <c r="O1673" t="s">
        <v>43</v>
      </c>
      <c r="P1673" t="s">
        <v>27</v>
      </c>
      <c r="Q1673" t="s">
        <v>28</v>
      </c>
      <c r="R1673" t="s">
        <v>29</v>
      </c>
    </row>
    <row r="1674" spans="1:18">
      <c r="A1674" t="s">
        <v>1806</v>
      </c>
      <c r="B1674" s="2">
        <v>45662</v>
      </c>
      <c r="C1674" t="s">
        <v>104</v>
      </c>
      <c r="D1674" t="s">
        <v>105</v>
      </c>
      <c r="E1674" t="s">
        <v>112</v>
      </c>
      <c r="F1674" t="s">
        <v>49</v>
      </c>
      <c r="G1674" t="s">
        <v>113</v>
      </c>
      <c r="H1674" t="s">
        <v>114</v>
      </c>
      <c r="I1674">
        <v>3</v>
      </c>
      <c r="J1674" s="3">
        <v>36887.769999999997</v>
      </c>
      <c r="K1674" s="3">
        <v>110663.31</v>
      </c>
      <c r="L1674" t="s">
        <v>25</v>
      </c>
      <c r="M1674" s="2">
        <v>45674</v>
      </c>
      <c r="N1674" s="2">
        <v>45672</v>
      </c>
      <c r="O1674" t="s">
        <v>60</v>
      </c>
      <c r="P1674" t="s">
        <v>115</v>
      </c>
      <c r="Q1674" t="s">
        <v>28</v>
      </c>
      <c r="R1674" t="s">
        <v>29</v>
      </c>
    </row>
    <row r="1675" spans="1:18">
      <c r="A1675" t="s">
        <v>1807</v>
      </c>
      <c r="B1675" s="2">
        <v>46035</v>
      </c>
      <c r="C1675" t="s">
        <v>46</v>
      </c>
      <c r="D1675" t="s">
        <v>47</v>
      </c>
      <c r="E1675" t="s">
        <v>21</v>
      </c>
      <c r="F1675" t="s">
        <v>49</v>
      </c>
      <c r="G1675" t="s">
        <v>50</v>
      </c>
      <c r="H1675" t="s">
        <v>51</v>
      </c>
      <c r="I1675">
        <v>1</v>
      </c>
      <c r="J1675" s="3">
        <v>54100.05</v>
      </c>
      <c r="K1675" s="3">
        <v>54100.05</v>
      </c>
      <c r="L1675" t="s">
        <v>25</v>
      </c>
      <c r="M1675" s="2">
        <v>46040</v>
      </c>
      <c r="N1675" s="2">
        <v>46037</v>
      </c>
      <c r="O1675" t="s">
        <v>43</v>
      </c>
      <c r="P1675" t="s">
        <v>27</v>
      </c>
      <c r="Q1675" t="s">
        <v>28</v>
      </c>
      <c r="R1675" t="s">
        <v>29</v>
      </c>
    </row>
    <row r="1676" spans="1:18">
      <c r="A1676" t="s">
        <v>1808</v>
      </c>
      <c r="B1676" s="2">
        <v>45951</v>
      </c>
      <c r="C1676" t="s">
        <v>89</v>
      </c>
      <c r="D1676" t="s">
        <v>90</v>
      </c>
      <c r="E1676" t="s">
        <v>31</v>
      </c>
      <c r="F1676" t="s">
        <v>91</v>
      </c>
      <c r="G1676" t="s">
        <v>109</v>
      </c>
      <c r="H1676" t="s">
        <v>110</v>
      </c>
      <c r="I1676">
        <v>1</v>
      </c>
      <c r="J1676" s="3">
        <v>12053.87</v>
      </c>
      <c r="K1676" s="3">
        <v>12053.87</v>
      </c>
      <c r="L1676" t="s">
        <v>25</v>
      </c>
      <c r="M1676" s="2">
        <v>45957</v>
      </c>
      <c r="N1676" s="2">
        <v>45956</v>
      </c>
      <c r="O1676" t="s">
        <v>60</v>
      </c>
      <c r="P1676" t="s">
        <v>35</v>
      </c>
      <c r="Q1676" t="s">
        <v>28</v>
      </c>
      <c r="R1676" t="s">
        <v>29</v>
      </c>
    </row>
    <row r="1677" spans="1:18">
      <c r="A1677" t="s">
        <v>1809</v>
      </c>
      <c r="B1677" s="2">
        <v>45847</v>
      </c>
      <c r="C1677" t="s">
        <v>104</v>
      </c>
      <c r="D1677" t="s">
        <v>105</v>
      </c>
      <c r="E1677" t="s">
        <v>73</v>
      </c>
      <c r="F1677" t="s">
        <v>49</v>
      </c>
      <c r="G1677" t="s">
        <v>165</v>
      </c>
      <c r="H1677" t="s">
        <v>166</v>
      </c>
      <c r="I1677">
        <v>1</v>
      </c>
      <c r="J1677" s="3">
        <v>47243.28</v>
      </c>
      <c r="K1677" s="3">
        <v>47243.28</v>
      </c>
      <c r="L1677" t="s">
        <v>52</v>
      </c>
      <c r="M1677" s="2">
        <v>45864</v>
      </c>
      <c r="N1677" s="2">
        <v>45862</v>
      </c>
      <c r="O1677" t="s">
        <v>43</v>
      </c>
      <c r="P1677" t="s">
        <v>77</v>
      </c>
      <c r="Q1677" t="s">
        <v>28</v>
      </c>
      <c r="R1677" t="s">
        <v>29</v>
      </c>
    </row>
    <row r="1678" spans="1:18">
      <c r="A1678" t="s">
        <v>1810</v>
      </c>
      <c r="B1678" s="2">
        <v>46030</v>
      </c>
      <c r="C1678" t="s">
        <v>71</v>
      </c>
      <c r="D1678" t="s">
        <v>72</v>
      </c>
      <c r="E1678" t="s">
        <v>48</v>
      </c>
      <c r="F1678" t="s">
        <v>57</v>
      </c>
      <c r="G1678" t="s">
        <v>120</v>
      </c>
      <c r="H1678" t="s">
        <v>121</v>
      </c>
      <c r="I1678">
        <v>5</v>
      </c>
      <c r="J1678" s="3">
        <v>20656.25</v>
      </c>
      <c r="K1678" s="3">
        <v>103281.25</v>
      </c>
      <c r="L1678" t="s">
        <v>25</v>
      </c>
      <c r="M1678" s="2">
        <v>46043</v>
      </c>
      <c r="N1678" s="2">
        <v>46041</v>
      </c>
      <c r="O1678" t="s">
        <v>76</v>
      </c>
      <c r="P1678" t="s">
        <v>53</v>
      </c>
      <c r="Q1678" t="s">
        <v>28</v>
      </c>
      <c r="R1678" t="s">
        <v>29</v>
      </c>
    </row>
    <row r="1679" spans="1:18">
      <c r="A1679" t="s">
        <v>1811</v>
      </c>
      <c r="B1679" s="2">
        <v>45717</v>
      </c>
      <c r="C1679" t="s">
        <v>80</v>
      </c>
      <c r="D1679" t="s">
        <v>81</v>
      </c>
      <c r="E1679" t="s">
        <v>39</v>
      </c>
      <c r="F1679" t="s">
        <v>82</v>
      </c>
      <c r="G1679" t="s">
        <v>197</v>
      </c>
      <c r="H1679" t="s">
        <v>198</v>
      </c>
      <c r="I1679">
        <v>27</v>
      </c>
      <c r="J1679" s="3">
        <v>1992.89</v>
      </c>
      <c r="K1679" s="3">
        <v>53808.03</v>
      </c>
      <c r="L1679" t="s">
        <v>25</v>
      </c>
      <c r="M1679" s="2">
        <v>45732</v>
      </c>
      <c r="N1679" s="2">
        <v>45731</v>
      </c>
      <c r="O1679" t="s">
        <v>76</v>
      </c>
      <c r="P1679" t="s">
        <v>64</v>
      </c>
      <c r="Q1679" t="s">
        <v>28</v>
      </c>
      <c r="R1679" t="s">
        <v>29</v>
      </c>
    </row>
    <row r="1680" spans="1:18">
      <c r="A1680" t="s">
        <v>1812</v>
      </c>
      <c r="B1680" s="2">
        <v>45846</v>
      </c>
      <c r="C1680" t="s">
        <v>104</v>
      </c>
      <c r="D1680" t="s">
        <v>105</v>
      </c>
      <c r="E1680" t="s">
        <v>48</v>
      </c>
      <c r="F1680" t="s">
        <v>49</v>
      </c>
      <c r="G1680" t="s">
        <v>50</v>
      </c>
      <c r="H1680" t="s">
        <v>51</v>
      </c>
      <c r="I1680">
        <v>1</v>
      </c>
      <c r="J1680" s="3">
        <v>50543.7</v>
      </c>
      <c r="K1680" s="3">
        <v>50543.7</v>
      </c>
      <c r="L1680" t="s">
        <v>25</v>
      </c>
      <c r="M1680" s="2">
        <v>45857</v>
      </c>
      <c r="N1680" s="2">
        <v>45855</v>
      </c>
      <c r="O1680" t="s">
        <v>43</v>
      </c>
      <c r="P1680" t="s">
        <v>53</v>
      </c>
      <c r="Q1680" t="s">
        <v>28</v>
      </c>
      <c r="R1680" t="s">
        <v>29</v>
      </c>
    </row>
    <row r="1681" spans="1:18">
      <c r="A1681" t="s">
        <v>1813</v>
      </c>
      <c r="B1681" s="2">
        <v>45742</v>
      </c>
      <c r="C1681" t="s">
        <v>147</v>
      </c>
      <c r="D1681" t="s">
        <v>148</v>
      </c>
      <c r="E1681" t="s">
        <v>112</v>
      </c>
      <c r="F1681" t="s">
        <v>40</v>
      </c>
      <c r="G1681" t="s">
        <v>41</v>
      </c>
      <c r="H1681" t="s">
        <v>42</v>
      </c>
      <c r="I1681">
        <v>14</v>
      </c>
      <c r="J1681" s="3">
        <v>4979.0200000000004</v>
      </c>
      <c r="K1681" s="3">
        <v>69706.28</v>
      </c>
      <c r="L1681" t="s">
        <v>52</v>
      </c>
      <c r="M1681" s="2">
        <v>45753</v>
      </c>
      <c r="N1681" s="2">
        <v>45750</v>
      </c>
      <c r="O1681" t="s">
        <v>76</v>
      </c>
      <c r="P1681" t="s">
        <v>115</v>
      </c>
      <c r="Q1681" t="s">
        <v>28</v>
      </c>
      <c r="R1681" t="s">
        <v>29</v>
      </c>
    </row>
    <row r="1682" spans="1:18">
      <c r="A1682" t="s">
        <v>1814</v>
      </c>
      <c r="B1682" s="2">
        <v>46182</v>
      </c>
      <c r="C1682" t="s">
        <v>131</v>
      </c>
      <c r="D1682" t="s">
        <v>132</v>
      </c>
      <c r="E1682" t="s">
        <v>48</v>
      </c>
      <c r="F1682" t="s">
        <v>57</v>
      </c>
      <c r="G1682" t="s">
        <v>101</v>
      </c>
      <c r="H1682" t="s">
        <v>102</v>
      </c>
      <c r="I1682">
        <v>31</v>
      </c>
      <c r="J1682" s="3">
        <v>1978.03</v>
      </c>
      <c r="K1682" s="3">
        <v>61318.93</v>
      </c>
      <c r="L1682" t="s">
        <v>34</v>
      </c>
      <c r="M1682" s="2">
        <v>46193</v>
      </c>
      <c r="N1682" s="2">
        <v>46193</v>
      </c>
      <c r="O1682" t="s">
        <v>43</v>
      </c>
      <c r="P1682" t="s">
        <v>53</v>
      </c>
      <c r="Q1682" t="s">
        <v>28</v>
      </c>
      <c r="R1682" t="s">
        <v>29</v>
      </c>
    </row>
    <row r="1683" spans="1:18">
      <c r="A1683" t="s">
        <v>1815</v>
      </c>
      <c r="B1683" s="2">
        <v>45796</v>
      </c>
      <c r="C1683" t="s">
        <v>37</v>
      </c>
      <c r="D1683" t="s">
        <v>38</v>
      </c>
      <c r="E1683" t="s">
        <v>39</v>
      </c>
      <c r="F1683" t="s">
        <v>40</v>
      </c>
      <c r="G1683" t="s">
        <v>149</v>
      </c>
      <c r="H1683" t="s">
        <v>150</v>
      </c>
      <c r="I1683">
        <v>12</v>
      </c>
      <c r="J1683" s="3">
        <v>1480.34</v>
      </c>
      <c r="K1683" s="3">
        <v>17764.080000000002</v>
      </c>
      <c r="L1683" t="s">
        <v>25</v>
      </c>
      <c r="M1683" s="2">
        <v>45806</v>
      </c>
      <c r="N1683" s="2">
        <v>45805</v>
      </c>
      <c r="O1683" t="s">
        <v>26</v>
      </c>
      <c r="P1683" t="s">
        <v>64</v>
      </c>
      <c r="Q1683" t="s">
        <v>28</v>
      </c>
      <c r="R1683" t="s">
        <v>29</v>
      </c>
    </row>
    <row r="1684" spans="1:18">
      <c r="A1684" t="s">
        <v>1816</v>
      </c>
      <c r="B1684" s="2">
        <v>45843</v>
      </c>
      <c r="C1684" t="s">
        <v>142</v>
      </c>
      <c r="D1684" t="s">
        <v>143</v>
      </c>
      <c r="E1684" t="s">
        <v>39</v>
      </c>
      <c r="F1684" t="s">
        <v>22</v>
      </c>
      <c r="G1684" t="s">
        <v>32</v>
      </c>
      <c r="H1684" t="s">
        <v>33</v>
      </c>
      <c r="I1684">
        <v>3</v>
      </c>
      <c r="J1684" s="3">
        <v>7717.37</v>
      </c>
      <c r="K1684" s="3">
        <v>23152.11</v>
      </c>
      <c r="L1684" t="s">
        <v>25</v>
      </c>
      <c r="M1684" s="2">
        <v>45856</v>
      </c>
      <c r="N1684" s="2">
        <v>45854</v>
      </c>
      <c r="O1684" t="s">
        <v>76</v>
      </c>
      <c r="P1684" t="s">
        <v>64</v>
      </c>
      <c r="Q1684" t="s">
        <v>28</v>
      </c>
      <c r="R1684" t="s">
        <v>29</v>
      </c>
    </row>
    <row r="1685" spans="1:18">
      <c r="A1685" t="s">
        <v>1817</v>
      </c>
      <c r="B1685" s="2">
        <v>45932</v>
      </c>
      <c r="C1685" t="s">
        <v>131</v>
      </c>
      <c r="D1685" t="s">
        <v>132</v>
      </c>
      <c r="E1685" t="s">
        <v>48</v>
      </c>
      <c r="F1685" t="s">
        <v>57</v>
      </c>
      <c r="G1685" t="s">
        <v>58</v>
      </c>
      <c r="H1685" t="s">
        <v>59</v>
      </c>
      <c r="I1685">
        <v>2</v>
      </c>
      <c r="J1685" s="3">
        <v>57829.79</v>
      </c>
      <c r="K1685" s="3">
        <v>115659.58</v>
      </c>
      <c r="L1685" t="s">
        <v>34</v>
      </c>
      <c r="M1685" s="2">
        <v>45940</v>
      </c>
      <c r="N1685" s="2">
        <v>45940</v>
      </c>
      <c r="O1685" t="s">
        <v>76</v>
      </c>
      <c r="P1685" t="s">
        <v>53</v>
      </c>
      <c r="Q1685" t="s">
        <v>28</v>
      </c>
      <c r="R1685" t="s">
        <v>29</v>
      </c>
    </row>
    <row r="1686" spans="1:18">
      <c r="A1686" t="s">
        <v>1818</v>
      </c>
      <c r="B1686" s="2">
        <v>46201</v>
      </c>
      <c r="C1686" t="s">
        <v>142</v>
      </c>
      <c r="D1686" t="s">
        <v>143</v>
      </c>
      <c r="E1686" t="s">
        <v>112</v>
      </c>
      <c r="F1686" t="s">
        <v>22</v>
      </c>
      <c r="G1686" t="s">
        <v>160</v>
      </c>
      <c r="H1686" t="s">
        <v>161</v>
      </c>
      <c r="I1686">
        <v>15</v>
      </c>
      <c r="J1686" s="3">
        <v>3397.63</v>
      </c>
      <c r="K1686" s="3">
        <v>50964.45</v>
      </c>
      <c r="L1686" t="s">
        <v>25</v>
      </c>
      <c r="M1686" s="2">
        <v>46216</v>
      </c>
      <c r="N1686" s="2">
        <v>46213</v>
      </c>
      <c r="O1686" t="s">
        <v>60</v>
      </c>
      <c r="P1686" t="s">
        <v>115</v>
      </c>
      <c r="Q1686" t="s">
        <v>28</v>
      </c>
      <c r="R1686" t="s">
        <v>29</v>
      </c>
    </row>
    <row r="1687" spans="1:18">
      <c r="A1687" t="s">
        <v>1819</v>
      </c>
      <c r="B1687" s="2">
        <v>45687</v>
      </c>
      <c r="C1687" t="s">
        <v>107</v>
      </c>
      <c r="D1687" t="s">
        <v>108</v>
      </c>
      <c r="E1687" t="s">
        <v>31</v>
      </c>
      <c r="F1687" t="s">
        <v>91</v>
      </c>
      <c r="G1687" t="s">
        <v>92</v>
      </c>
      <c r="H1687" t="s">
        <v>93</v>
      </c>
      <c r="I1687">
        <v>1</v>
      </c>
      <c r="J1687" s="3">
        <v>44777.47</v>
      </c>
      <c r="K1687" s="3">
        <v>44777.47</v>
      </c>
      <c r="L1687" t="s">
        <v>25</v>
      </c>
      <c r="M1687" s="2">
        <v>45705</v>
      </c>
      <c r="N1687" s="2">
        <v>45703</v>
      </c>
      <c r="O1687" t="s">
        <v>43</v>
      </c>
      <c r="P1687" t="s">
        <v>35</v>
      </c>
      <c r="Q1687" t="s">
        <v>28</v>
      </c>
      <c r="R1687" t="s">
        <v>29</v>
      </c>
    </row>
    <row r="1688" spans="1:18">
      <c r="A1688" t="s">
        <v>1820</v>
      </c>
      <c r="B1688" s="2">
        <v>45926</v>
      </c>
      <c r="C1688" t="s">
        <v>71</v>
      </c>
      <c r="D1688" t="s">
        <v>72</v>
      </c>
      <c r="E1688" t="s">
        <v>31</v>
      </c>
      <c r="F1688" t="s">
        <v>57</v>
      </c>
      <c r="G1688" t="s">
        <v>58</v>
      </c>
      <c r="H1688" t="s">
        <v>59</v>
      </c>
      <c r="I1688">
        <v>1</v>
      </c>
      <c r="J1688" s="3">
        <v>54118.31</v>
      </c>
      <c r="K1688" s="3">
        <v>54118.31</v>
      </c>
      <c r="L1688" t="s">
        <v>34</v>
      </c>
      <c r="M1688" s="2">
        <v>45933</v>
      </c>
      <c r="N1688" s="2">
        <v>45943</v>
      </c>
      <c r="O1688" t="s">
        <v>26</v>
      </c>
      <c r="P1688" t="s">
        <v>94</v>
      </c>
      <c r="Q1688" t="s">
        <v>28</v>
      </c>
      <c r="R1688" t="s">
        <v>129</v>
      </c>
    </row>
    <row r="1689" spans="1:18">
      <c r="A1689" t="s">
        <v>1821</v>
      </c>
      <c r="B1689" s="2">
        <v>46052</v>
      </c>
      <c r="C1689" t="s">
        <v>71</v>
      </c>
      <c r="D1689" t="s">
        <v>72</v>
      </c>
      <c r="E1689" t="s">
        <v>21</v>
      </c>
      <c r="F1689" t="s">
        <v>57</v>
      </c>
      <c r="G1689" t="s">
        <v>120</v>
      </c>
      <c r="H1689" t="s">
        <v>121</v>
      </c>
      <c r="I1689">
        <v>4</v>
      </c>
      <c r="J1689" s="3">
        <v>19701.95</v>
      </c>
      <c r="K1689" s="3">
        <v>78807.8</v>
      </c>
      <c r="L1689" t="s">
        <v>377</v>
      </c>
      <c r="M1689" s="2">
        <v>46064</v>
      </c>
      <c r="N1689" s="2">
        <v>46064</v>
      </c>
      <c r="O1689" t="s">
        <v>43</v>
      </c>
      <c r="P1689" t="s">
        <v>27</v>
      </c>
      <c r="Q1689" t="s">
        <v>28</v>
      </c>
      <c r="R1689" t="s">
        <v>29</v>
      </c>
    </row>
    <row r="1690" spans="1:18">
      <c r="A1690" t="s">
        <v>1822</v>
      </c>
      <c r="B1690" s="2">
        <v>46113</v>
      </c>
      <c r="C1690" t="s">
        <v>142</v>
      </c>
      <c r="D1690" t="s">
        <v>143</v>
      </c>
      <c r="E1690" t="s">
        <v>112</v>
      </c>
      <c r="F1690" t="s">
        <v>22</v>
      </c>
      <c r="G1690" t="s">
        <v>32</v>
      </c>
      <c r="H1690" t="s">
        <v>33</v>
      </c>
      <c r="I1690">
        <v>6</v>
      </c>
      <c r="J1690" s="3">
        <v>8365.68</v>
      </c>
      <c r="K1690" s="3">
        <v>50194.080000000002</v>
      </c>
      <c r="L1690" t="s">
        <v>52</v>
      </c>
      <c r="M1690" s="2">
        <v>46131</v>
      </c>
      <c r="N1690" s="2">
        <v>46129</v>
      </c>
      <c r="O1690" t="s">
        <v>60</v>
      </c>
      <c r="P1690" t="s">
        <v>115</v>
      </c>
      <c r="Q1690" t="s">
        <v>28</v>
      </c>
      <c r="R1690" t="s">
        <v>29</v>
      </c>
    </row>
    <row r="1691" spans="1:18">
      <c r="A1691" t="s">
        <v>1823</v>
      </c>
      <c r="B1691" s="2">
        <v>45971</v>
      </c>
      <c r="C1691" t="s">
        <v>134</v>
      </c>
      <c r="D1691" t="s">
        <v>135</v>
      </c>
      <c r="E1691" t="s">
        <v>39</v>
      </c>
      <c r="F1691" t="s">
        <v>40</v>
      </c>
      <c r="G1691" t="s">
        <v>149</v>
      </c>
      <c r="H1691" t="s">
        <v>150</v>
      </c>
      <c r="I1691">
        <v>58</v>
      </c>
      <c r="J1691" s="3">
        <v>1385.49</v>
      </c>
      <c r="K1691" s="3">
        <v>80358.42</v>
      </c>
      <c r="L1691" t="s">
        <v>34</v>
      </c>
      <c r="M1691" s="2">
        <v>45982</v>
      </c>
      <c r="N1691" s="2">
        <v>45979</v>
      </c>
      <c r="O1691" t="s">
        <v>43</v>
      </c>
      <c r="P1691" t="s">
        <v>44</v>
      </c>
      <c r="Q1691" t="s">
        <v>28</v>
      </c>
      <c r="R1691" t="s">
        <v>29</v>
      </c>
    </row>
    <row r="1692" spans="1:18">
      <c r="A1692" t="s">
        <v>1824</v>
      </c>
      <c r="B1692" s="2">
        <v>46190</v>
      </c>
      <c r="C1692" t="s">
        <v>89</v>
      </c>
      <c r="D1692" t="s">
        <v>90</v>
      </c>
      <c r="E1692" t="s">
        <v>31</v>
      </c>
      <c r="F1692" t="s">
        <v>91</v>
      </c>
      <c r="G1692" t="s">
        <v>109</v>
      </c>
      <c r="H1692" t="s">
        <v>110</v>
      </c>
      <c r="I1692">
        <v>1</v>
      </c>
      <c r="J1692" s="3">
        <v>12054.53</v>
      </c>
      <c r="K1692" s="3">
        <v>12054.53</v>
      </c>
      <c r="L1692" t="s">
        <v>25</v>
      </c>
      <c r="M1692" s="2">
        <v>46201</v>
      </c>
      <c r="N1692" s="2">
        <v>46200</v>
      </c>
      <c r="O1692" t="s">
        <v>60</v>
      </c>
      <c r="P1692" t="s">
        <v>94</v>
      </c>
      <c r="Q1692" t="s">
        <v>28</v>
      </c>
      <c r="R1692" t="s">
        <v>29</v>
      </c>
    </row>
    <row r="1693" spans="1:18">
      <c r="A1693" t="s">
        <v>1825</v>
      </c>
      <c r="B1693" s="2">
        <v>45742</v>
      </c>
      <c r="C1693" t="s">
        <v>147</v>
      </c>
      <c r="D1693" t="s">
        <v>148</v>
      </c>
      <c r="E1693" t="s">
        <v>39</v>
      </c>
      <c r="F1693" t="s">
        <v>40</v>
      </c>
      <c r="G1693" t="s">
        <v>41</v>
      </c>
      <c r="H1693" t="s">
        <v>42</v>
      </c>
      <c r="I1693">
        <v>9</v>
      </c>
      <c r="J1693" s="3">
        <v>5171.78</v>
      </c>
      <c r="K1693" s="3">
        <v>46546.02</v>
      </c>
      <c r="L1693" t="s">
        <v>25</v>
      </c>
      <c r="M1693" s="2">
        <v>45748</v>
      </c>
      <c r="N1693" s="2">
        <v>45748</v>
      </c>
      <c r="O1693" t="s">
        <v>26</v>
      </c>
      <c r="P1693" t="s">
        <v>64</v>
      </c>
      <c r="Q1693" t="s">
        <v>28</v>
      </c>
      <c r="R1693" t="s">
        <v>29</v>
      </c>
    </row>
    <row r="1694" spans="1:18">
      <c r="A1694" t="s">
        <v>1826</v>
      </c>
      <c r="B1694" s="2">
        <v>46182</v>
      </c>
      <c r="C1694" t="s">
        <v>71</v>
      </c>
      <c r="D1694" t="s">
        <v>72</v>
      </c>
      <c r="E1694" t="s">
        <v>31</v>
      </c>
      <c r="F1694" t="s">
        <v>57</v>
      </c>
      <c r="G1694" t="s">
        <v>127</v>
      </c>
      <c r="H1694" t="s">
        <v>128</v>
      </c>
      <c r="I1694">
        <v>7</v>
      </c>
      <c r="J1694" s="3">
        <v>15557.27</v>
      </c>
      <c r="K1694" s="3">
        <v>108900.89</v>
      </c>
      <c r="L1694" t="s">
        <v>34</v>
      </c>
      <c r="M1694" s="2">
        <v>46191</v>
      </c>
      <c r="N1694" s="2">
        <v>46188</v>
      </c>
      <c r="O1694" t="s">
        <v>60</v>
      </c>
      <c r="P1694" t="s">
        <v>94</v>
      </c>
      <c r="Q1694" t="s">
        <v>28</v>
      </c>
      <c r="R1694" t="s">
        <v>29</v>
      </c>
    </row>
    <row r="1695" spans="1:18">
      <c r="A1695" t="s">
        <v>1827</v>
      </c>
      <c r="B1695" s="2">
        <v>45988</v>
      </c>
      <c r="C1695" t="s">
        <v>104</v>
      </c>
      <c r="D1695" t="s">
        <v>105</v>
      </c>
      <c r="E1695" t="s">
        <v>48</v>
      </c>
      <c r="F1695" t="s">
        <v>49</v>
      </c>
      <c r="G1695" t="s">
        <v>50</v>
      </c>
      <c r="H1695" t="s">
        <v>51</v>
      </c>
      <c r="I1695">
        <v>1</v>
      </c>
      <c r="J1695" s="3">
        <v>50579.12</v>
      </c>
      <c r="K1695" s="3">
        <v>50579.12</v>
      </c>
      <c r="L1695" t="s">
        <v>34</v>
      </c>
      <c r="M1695" s="2">
        <v>45995</v>
      </c>
      <c r="N1695" s="2">
        <v>45995</v>
      </c>
      <c r="O1695" t="s">
        <v>76</v>
      </c>
      <c r="P1695" t="s">
        <v>53</v>
      </c>
      <c r="Q1695" t="s">
        <v>28</v>
      </c>
      <c r="R1695" t="s">
        <v>29</v>
      </c>
    </row>
    <row r="1696" spans="1:18">
      <c r="A1696" t="s">
        <v>1828</v>
      </c>
      <c r="B1696" s="2">
        <v>45973</v>
      </c>
      <c r="C1696" t="s">
        <v>19</v>
      </c>
      <c r="D1696" t="s">
        <v>20</v>
      </c>
      <c r="E1696" t="s">
        <v>21</v>
      </c>
      <c r="F1696" t="s">
        <v>22</v>
      </c>
      <c r="G1696" t="s">
        <v>160</v>
      </c>
      <c r="H1696" t="s">
        <v>161</v>
      </c>
      <c r="I1696">
        <v>6</v>
      </c>
      <c r="J1696" s="3">
        <v>2898.7</v>
      </c>
      <c r="K1696" s="3">
        <v>17392.2</v>
      </c>
      <c r="L1696" t="s">
        <v>25</v>
      </c>
      <c r="M1696" s="2">
        <v>45983</v>
      </c>
      <c r="N1696" s="2">
        <v>45983</v>
      </c>
      <c r="O1696" t="s">
        <v>60</v>
      </c>
      <c r="P1696" t="s">
        <v>27</v>
      </c>
      <c r="Q1696" t="s">
        <v>28</v>
      </c>
      <c r="R1696" t="s">
        <v>29</v>
      </c>
    </row>
    <row r="1697" spans="1:18">
      <c r="A1697" t="s">
        <v>1829</v>
      </c>
      <c r="B1697" s="2">
        <v>45673</v>
      </c>
      <c r="C1697" t="s">
        <v>37</v>
      </c>
      <c r="D1697" t="s">
        <v>38</v>
      </c>
      <c r="E1697" t="s">
        <v>39</v>
      </c>
      <c r="F1697" t="s">
        <v>40</v>
      </c>
      <c r="G1697" t="s">
        <v>41</v>
      </c>
      <c r="H1697" t="s">
        <v>42</v>
      </c>
      <c r="I1697">
        <v>4</v>
      </c>
      <c r="J1697" s="3">
        <v>5943.6</v>
      </c>
      <c r="K1697" s="3">
        <v>23774.400000000001</v>
      </c>
      <c r="L1697" t="s">
        <v>34</v>
      </c>
      <c r="M1697" s="2">
        <v>45688</v>
      </c>
      <c r="N1697" s="2">
        <v>45686</v>
      </c>
      <c r="O1697" t="s">
        <v>76</v>
      </c>
      <c r="P1697" t="s">
        <v>44</v>
      </c>
      <c r="Q1697" t="s">
        <v>28</v>
      </c>
      <c r="R1697" t="s">
        <v>29</v>
      </c>
    </row>
    <row r="1698" spans="1:18">
      <c r="A1698" t="s">
        <v>1830</v>
      </c>
      <c r="B1698" s="2">
        <v>45742</v>
      </c>
      <c r="C1698" t="s">
        <v>89</v>
      </c>
      <c r="D1698" t="s">
        <v>90</v>
      </c>
      <c r="E1698" t="s">
        <v>31</v>
      </c>
      <c r="F1698" t="s">
        <v>91</v>
      </c>
      <c r="G1698" t="s">
        <v>109</v>
      </c>
      <c r="H1698" t="s">
        <v>110</v>
      </c>
      <c r="I1698">
        <v>1</v>
      </c>
      <c r="J1698" s="3">
        <v>12314.48</v>
      </c>
      <c r="K1698" s="3">
        <v>12314.48</v>
      </c>
      <c r="L1698" t="s">
        <v>52</v>
      </c>
      <c r="M1698" s="2">
        <v>45756</v>
      </c>
      <c r="N1698" s="2">
        <v>45755</v>
      </c>
      <c r="O1698" t="s">
        <v>43</v>
      </c>
      <c r="P1698" t="s">
        <v>35</v>
      </c>
      <c r="Q1698" t="s">
        <v>28</v>
      </c>
      <c r="R1698" t="s">
        <v>29</v>
      </c>
    </row>
    <row r="1699" spans="1:18">
      <c r="A1699" t="s">
        <v>1831</v>
      </c>
      <c r="B1699" s="2">
        <v>45819</v>
      </c>
      <c r="C1699" t="s">
        <v>142</v>
      </c>
      <c r="D1699" t="s">
        <v>143</v>
      </c>
      <c r="E1699" t="s">
        <v>21</v>
      </c>
      <c r="F1699" t="s">
        <v>22</v>
      </c>
      <c r="G1699" t="s">
        <v>32</v>
      </c>
      <c r="H1699" t="s">
        <v>33</v>
      </c>
      <c r="I1699">
        <v>5</v>
      </c>
      <c r="J1699" s="3">
        <v>7579.98</v>
      </c>
      <c r="K1699" s="3">
        <v>37899.9</v>
      </c>
      <c r="L1699" t="s">
        <v>52</v>
      </c>
      <c r="M1699" s="2">
        <v>45825</v>
      </c>
      <c r="N1699" s="2">
        <v>45824</v>
      </c>
      <c r="O1699" t="s">
        <v>76</v>
      </c>
      <c r="P1699" t="s">
        <v>27</v>
      </c>
      <c r="Q1699" t="s">
        <v>28</v>
      </c>
      <c r="R1699" t="s">
        <v>29</v>
      </c>
    </row>
    <row r="1700" spans="1:18">
      <c r="A1700" t="s">
        <v>1832</v>
      </c>
      <c r="B1700" s="2">
        <v>46049</v>
      </c>
      <c r="C1700" t="s">
        <v>89</v>
      </c>
      <c r="D1700" t="s">
        <v>90</v>
      </c>
      <c r="E1700" t="s">
        <v>31</v>
      </c>
      <c r="F1700" t="s">
        <v>91</v>
      </c>
      <c r="G1700" t="s">
        <v>109</v>
      </c>
      <c r="H1700" t="s">
        <v>110</v>
      </c>
      <c r="I1700">
        <v>1</v>
      </c>
      <c r="J1700" s="3">
        <v>12141.98</v>
      </c>
      <c r="K1700" s="3">
        <v>12141.98</v>
      </c>
      <c r="L1700" t="s">
        <v>25</v>
      </c>
      <c r="M1700" s="2">
        <v>46066</v>
      </c>
      <c r="N1700" s="2">
        <v>46071</v>
      </c>
      <c r="O1700" t="s">
        <v>26</v>
      </c>
      <c r="P1700" t="s">
        <v>94</v>
      </c>
      <c r="Q1700" t="s">
        <v>28</v>
      </c>
      <c r="R1700" t="s">
        <v>129</v>
      </c>
    </row>
    <row r="1701" spans="1:18">
      <c r="A1701" t="s">
        <v>1833</v>
      </c>
      <c r="B1701" s="2">
        <v>46170</v>
      </c>
      <c r="C1701" t="s">
        <v>117</v>
      </c>
      <c r="D1701" t="s">
        <v>118</v>
      </c>
      <c r="E1701" t="s">
        <v>31</v>
      </c>
      <c r="F1701" t="s">
        <v>57</v>
      </c>
      <c r="G1701" t="s">
        <v>101</v>
      </c>
      <c r="H1701" t="s">
        <v>102</v>
      </c>
      <c r="I1701">
        <v>11</v>
      </c>
      <c r="J1701" s="3">
        <v>1747.84</v>
      </c>
      <c r="K1701" s="3">
        <v>19226.240000000002</v>
      </c>
      <c r="L1701" t="s">
        <v>34</v>
      </c>
      <c r="M1701" s="2">
        <v>46185</v>
      </c>
      <c r="N1701" s="2">
        <v>46185</v>
      </c>
      <c r="O1701" t="s">
        <v>26</v>
      </c>
      <c r="P1701" t="s">
        <v>94</v>
      </c>
      <c r="Q1701" t="s">
        <v>28</v>
      </c>
      <c r="R1701" t="s">
        <v>29</v>
      </c>
    </row>
    <row r="1702" spans="1:18">
      <c r="A1702" t="s">
        <v>1834</v>
      </c>
      <c r="B1702" s="2">
        <v>46040</v>
      </c>
      <c r="C1702" t="s">
        <v>71</v>
      </c>
      <c r="D1702" t="s">
        <v>72</v>
      </c>
      <c r="E1702" t="s">
        <v>31</v>
      </c>
      <c r="F1702" t="s">
        <v>57</v>
      </c>
      <c r="G1702" t="s">
        <v>101</v>
      </c>
      <c r="H1702" t="s">
        <v>102</v>
      </c>
      <c r="I1702">
        <v>46</v>
      </c>
      <c r="J1702" s="3">
        <v>1616.47</v>
      </c>
      <c r="K1702" s="3">
        <v>74357.62</v>
      </c>
      <c r="L1702" t="s">
        <v>34</v>
      </c>
      <c r="M1702" s="2">
        <v>46045</v>
      </c>
      <c r="N1702" s="2">
        <v>46056</v>
      </c>
      <c r="O1702" t="s">
        <v>60</v>
      </c>
      <c r="P1702" t="s">
        <v>94</v>
      </c>
      <c r="Q1702" t="s">
        <v>28</v>
      </c>
      <c r="R1702" t="s">
        <v>129</v>
      </c>
    </row>
    <row r="1703" spans="1:18">
      <c r="A1703" t="s">
        <v>1835</v>
      </c>
      <c r="B1703" s="2">
        <v>46043</v>
      </c>
      <c r="C1703" t="s">
        <v>46</v>
      </c>
      <c r="D1703" t="s">
        <v>47</v>
      </c>
      <c r="E1703" t="s">
        <v>48</v>
      </c>
      <c r="F1703" t="s">
        <v>49</v>
      </c>
      <c r="G1703" t="s">
        <v>165</v>
      </c>
      <c r="H1703" t="s">
        <v>166</v>
      </c>
      <c r="I1703">
        <v>1</v>
      </c>
      <c r="J1703" s="3">
        <v>46066.71</v>
      </c>
      <c r="K1703" s="3">
        <v>46066.71</v>
      </c>
      <c r="L1703" t="s">
        <v>25</v>
      </c>
      <c r="M1703" s="2">
        <v>46053</v>
      </c>
      <c r="N1703" s="2">
        <v>46051</v>
      </c>
      <c r="O1703" t="s">
        <v>60</v>
      </c>
      <c r="P1703" t="s">
        <v>53</v>
      </c>
      <c r="Q1703" t="s">
        <v>28</v>
      </c>
      <c r="R1703" t="s">
        <v>29</v>
      </c>
    </row>
    <row r="1704" spans="1:18">
      <c r="A1704" t="s">
        <v>1836</v>
      </c>
      <c r="B1704" s="2">
        <v>45890</v>
      </c>
      <c r="C1704" t="s">
        <v>104</v>
      </c>
      <c r="D1704" t="s">
        <v>105</v>
      </c>
      <c r="E1704" t="s">
        <v>48</v>
      </c>
      <c r="F1704" t="s">
        <v>49</v>
      </c>
      <c r="G1704" t="s">
        <v>50</v>
      </c>
      <c r="H1704" t="s">
        <v>51</v>
      </c>
      <c r="I1704">
        <v>2</v>
      </c>
      <c r="J1704" s="3">
        <v>51016.68</v>
      </c>
      <c r="K1704" s="3">
        <v>102033.36</v>
      </c>
      <c r="L1704" t="s">
        <v>52</v>
      </c>
      <c r="M1704" s="2">
        <v>45905</v>
      </c>
      <c r="N1704" s="2">
        <v>45902</v>
      </c>
      <c r="O1704" t="s">
        <v>43</v>
      </c>
      <c r="P1704" t="s">
        <v>53</v>
      </c>
      <c r="Q1704" t="s">
        <v>28</v>
      </c>
      <c r="R1704" t="s">
        <v>29</v>
      </c>
    </row>
    <row r="1705" spans="1:18">
      <c r="A1705" t="s">
        <v>1837</v>
      </c>
      <c r="B1705" s="2">
        <v>45997</v>
      </c>
      <c r="C1705" t="s">
        <v>104</v>
      </c>
      <c r="D1705" t="s">
        <v>105</v>
      </c>
      <c r="E1705" t="s">
        <v>73</v>
      </c>
      <c r="F1705" t="s">
        <v>49</v>
      </c>
      <c r="G1705" t="s">
        <v>50</v>
      </c>
      <c r="H1705" t="s">
        <v>51</v>
      </c>
      <c r="I1705">
        <v>1</v>
      </c>
      <c r="J1705" s="3">
        <v>53581.5</v>
      </c>
      <c r="K1705" s="3">
        <v>53581.5</v>
      </c>
      <c r="L1705" t="s">
        <v>25</v>
      </c>
      <c r="M1705" s="2">
        <v>46011</v>
      </c>
      <c r="N1705" s="2">
        <v>46009</v>
      </c>
      <c r="O1705" t="s">
        <v>43</v>
      </c>
      <c r="P1705" t="s">
        <v>77</v>
      </c>
      <c r="Q1705" t="s">
        <v>28</v>
      </c>
      <c r="R1705" t="s">
        <v>29</v>
      </c>
    </row>
    <row r="1706" spans="1:18">
      <c r="A1706" t="s">
        <v>1838</v>
      </c>
      <c r="B1706" s="2">
        <v>46096</v>
      </c>
      <c r="C1706" t="s">
        <v>71</v>
      </c>
      <c r="D1706" t="s">
        <v>72</v>
      </c>
      <c r="E1706" t="s">
        <v>21</v>
      </c>
      <c r="F1706" t="s">
        <v>57</v>
      </c>
      <c r="G1706" t="s">
        <v>74</v>
      </c>
      <c r="H1706" t="s">
        <v>75</v>
      </c>
      <c r="I1706">
        <v>2</v>
      </c>
      <c r="J1706" s="3">
        <v>8328.77</v>
      </c>
      <c r="K1706" s="3">
        <v>16657.54</v>
      </c>
      <c r="L1706" t="s">
        <v>25</v>
      </c>
      <c r="M1706" s="2">
        <v>46103</v>
      </c>
      <c r="N1706" s="2">
        <v>46114</v>
      </c>
      <c r="O1706" t="s">
        <v>43</v>
      </c>
      <c r="P1706" t="s">
        <v>27</v>
      </c>
      <c r="Q1706" t="s">
        <v>28</v>
      </c>
      <c r="R1706" t="s">
        <v>129</v>
      </c>
    </row>
    <row r="1707" spans="1:18">
      <c r="A1707" t="s">
        <v>1839</v>
      </c>
      <c r="B1707" s="2">
        <v>46146</v>
      </c>
      <c r="C1707" t="s">
        <v>19</v>
      </c>
      <c r="D1707" t="s">
        <v>20</v>
      </c>
      <c r="E1707" t="s">
        <v>73</v>
      </c>
      <c r="F1707" t="s">
        <v>22</v>
      </c>
      <c r="G1707" t="s">
        <v>32</v>
      </c>
      <c r="H1707" t="s">
        <v>33</v>
      </c>
      <c r="I1707">
        <v>4</v>
      </c>
      <c r="J1707" s="3">
        <v>7065.61</v>
      </c>
      <c r="K1707" s="3">
        <v>28262.44</v>
      </c>
      <c r="L1707" t="s">
        <v>25</v>
      </c>
      <c r="M1707" s="2">
        <v>46152</v>
      </c>
      <c r="N1707" s="2">
        <v>46149</v>
      </c>
      <c r="O1707" t="s">
        <v>60</v>
      </c>
      <c r="P1707" t="s">
        <v>77</v>
      </c>
      <c r="Q1707" t="s">
        <v>28</v>
      </c>
      <c r="R1707" t="s">
        <v>29</v>
      </c>
    </row>
    <row r="1708" spans="1:18">
      <c r="A1708" t="s">
        <v>1840</v>
      </c>
      <c r="B1708" s="2">
        <v>46053</v>
      </c>
      <c r="C1708" t="s">
        <v>55</v>
      </c>
      <c r="D1708" t="s">
        <v>56</v>
      </c>
      <c r="E1708" t="s">
        <v>31</v>
      </c>
      <c r="F1708" t="s">
        <v>57</v>
      </c>
      <c r="G1708" t="s">
        <v>86</v>
      </c>
      <c r="H1708" t="s">
        <v>87</v>
      </c>
      <c r="I1708">
        <v>4</v>
      </c>
      <c r="J1708" s="3">
        <v>11759.65</v>
      </c>
      <c r="K1708" s="3">
        <v>47038.6</v>
      </c>
      <c r="L1708" t="s">
        <v>34</v>
      </c>
      <c r="M1708" s="2">
        <v>46068</v>
      </c>
      <c r="N1708" s="2">
        <v>46066</v>
      </c>
      <c r="O1708" t="s">
        <v>43</v>
      </c>
      <c r="P1708" t="s">
        <v>94</v>
      </c>
      <c r="Q1708" t="s">
        <v>28</v>
      </c>
      <c r="R1708" t="s">
        <v>29</v>
      </c>
    </row>
    <row r="1709" spans="1:18">
      <c r="A1709" t="s">
        <v>1841</v>
      </c>
      <c r="B1709" s="2">
        <v>46182</v>
      </c>
      <c r="C1709" t="s">
        <v>37</v>
      </c>
      <c r="D1709" t="s">
        <v>38</v>
      </c>
      <c r="E1709" t="s">
        <v>39</v>
      </c>
      <c r="F1709" t="s">
        <v>40</v>
      </c>
      <c r="G1709" t="s">
        <v>41</v>
      </c>
      <c r="H1709" t="s">
        <v>42</v>
      </c>
      <c r="I1709">
        <v>10</v>
      </c>
      <c r="J1709" s="3">
        <v>5986.71</v>
      </c>
      <c r="K1709" s="3">
        <v>59867.1</v>
      </c>
      <c r="L1709" t="s">
        <v>25</v>
      </c>
      <c r="M1709" s="2">
        <v>46191</v>
      </c>
      <c r="N1709" s="2">
        <v>46191</v>
      </c>
      <c r="O1709" t="s">
        <v>26</v>
      </c>
      <c r="P1709" t="s">
        <v>44</v>
      </c>
      <c r="Q1709" t="s">
        <v>28</v>
      </c>
      <c r="R1709" t="s">
        <v>29</v>
      </c>
    </row>
    <row r="1710" spans="1:18">
      <c r="A1710" t="s">
        <v>1842</v>
      </c>
      <c r="B1710" s="2">
        <v>45909</v>
      </c>
      <c r="C1710" t="s">
        <v>37</v>
      </c>
      <c r="D1710" t="s">
        <v>38</v>
      </c>
      <c r="E1710" t="s">
        <v>31</v>
      </c>
      <c r="F1710" t="s">
        <v>22</v>
      </c>
      <c r="G1710" t="s">
        <v>23</v>
      </c>
      <c r="H1710" t="s">
        <v>24</v>
      </c>
      <c r="I1710">
        <v>9</v>
      </c>
      <c r="J1710" s="3">
        <v>268.25</v>
      </c>
      <c r="K1710" s="3">
        <v>2414.25</v>
      </c>
      <c r="L1710" t="s">
        <v>25</v>
      </c>
      <c r="M1710" s="2">
        <v>45917</v>
      </c>
      <c r="N1710" s="2">
        <v>45914</v>
      </c>
      <c r="O1710" t="s">
        <v>60</v>
      </c>
      <c r="P1710" t="s">
        <v>35</v>
      </c>
      <c r="Q1710" t="s">
        <v>28</v>
      </c>
      <c r="R1710" t="s">
        <v>29</v>
      </c>
    </row>
    <row r="1711" spans="1:18">
      <c r="A1711" t="s">
        <v>1843</v>
      </c>
      <c r="B1711" s="2">
        <v>45871</v>
      </c>
      <c r="C1711" t="s">
        <v>142</v>
      </c>
      <c r="D1711" t="s">
        <v>143</v>
      </c>
      <c r="E1711" t="s">
        <v>31</v>
      </c>
      <c r="F1711" t="s">
        <v>22</v>
      </c>
      <c r="G1711" t="s">
        <v>32</v>
      </c>
      <c r="H1711" t="s">
        <v>33</v>
      </c>
      <c r="I1711">
        <v>9</v>
      </c>
      <c r="J1711" s="3">
        <v>7832.6</v>
      </c>
      <c r="K1711" s="3">
        <v>70493.399999999994</v>
      </c>
      <c r="L1711" t="s">
        <v>25</v>
      </c>
      <c r="M1711" s="2">
        <v>45879</v>
      </c>
      <c r="N1711" s="2">
        <v>45876</v>
      </c>
      <c r="O1711" t="s">
        <v>43</v>
      </c>
      <c r="P1711" t="s">
        <v>35</v>
      </c>
      <c r="Q1711" t="s">
        <v>28</v>
      </c>
      <c r="R1711" t="s">
        <v>29</v>
      </c>
    </row>
    <row r="1712" spans="1:18">
      <c r="A1712" t="s">
        <v>1844</v>
      </c>
      <c r="B1712" s="2">
        <v>45800</v>
      </c>
      <c r="C1712" t="s">
        <v>147</v>
      </c>
      <c r="D1712" t="s">
        <v>148</v>
      </c>
      <c r="E1712" t="s">
        <v>39</v>
      </c>
      <c r="F1712" t="s">
        <v>40</v>
      </c>
      <c r="G1712" t="s">
        <v>41</v>
      </c>
      <c r="H1712" t="s">
        <v>42</v>
      </c>
      <c r="I1712">
        <v>3</v>
      </c>
      <c r="J1712" s="3">
        <v>5351.67</v>
      </c>
      <c r="K1712" s="3">
        <v>16055.01</v>
      </c>
      <c r="L1712" t="s">
        <v>25</v>
      </c>
      <c r="M1712" s="2">
        <v>45816</v>
      </c>
      <c r="N1712" s="2">
        <v>45814</v>
      </c>
      <c r="O1712" t="s">
        <v>60</v>
      </c>
      <c r="P1712" t="s">
        <v>64</v>
      </c>
      <c r="Q1712" t="s">
        <v>28</v>
      </c>
      <c r="R1712" t="s">
        <v>29</v>
      </c>
    </row>
    <row r="1713" spans="1:18">
      <c r="A1713" t="s">
        <v>1845</v>
      </c>
      <c r="B1713" s="2">
        <v>46035</v>
      </c>
      <c r="C1713" t="s">
        <v>142</v>
      </c>
      <c r="D1713" t="s">
        <v>143</v>
      </c>
      <c r="E1713" t="s">
        <v>39</v>
      </c>
      <c r="F1713" t="s">
        <v>22</v>
      </c>
      <c r="G1713" t="s">
        <v>160</v>
      </c>
      <c r="H1713" t="s">
        <v>161</v>
      </c>
      <c r="I1713">
        <v>13</v>
      </c>
      <c r="J1713" s="3">
        <v>3121.93</v>
      </c>
      <c r="K1713" s="3">
        <v>40585.089999999997</v>
      </c>
      <c r="L1713" t="s">
        <v>34</v>
      </c>
      <c r="M1713" s="2">
        <v>46043</v>
      </c>
      <c r="N1713" s="2">
        <v>46041</v>
      </c>
      <c r="O1713" t="s">
        <v>76</v>
      </c>
      <c r="P1713" t="s">
        <v>44</v>
      </c>
      <c r="Q1713" t="s">
        <v>28</v>
      </c>
      <c r="R1713" t="s">
        <v>29</v>
      </c>
    </row>
    <row r="1714" spans="1:18">
      <c r="A1714" t="s">
        <v>1846</v>
      </c>
      <c r="B1714" s="2">
        <v>45924</v>
      </c>
      <c r="C1714" t="s">
        <v>142</v>
      </c>
      <c r="D1714" t="s">
        <v>143</v>
      </c>
      <c r="E1714" t="s">
        <v>31</v>
      </c>
      <c r="F1714" t="s">
        <v>22</v>
      </c>
      <c r="G1714" t="s">
        <v>160</v>
      </c>
      <c r="H1714" t="s">
        <v>161</v>
      </c>
      <c r="I1714">
        <v>13</v>
      </c>
      <c r="J1714" s="3">
        <v>3103.01</v>
      </c>
      <c r="K1714" s="3">
        <v>40339.129999999997</v>
      </c>
      <c r="L1714" t="s">
        <v>34</v>
      </c>
      <c r="M1714" s="2">
        <v>45938</v>
      </c>
      <c r="N1714" s="2">
        <v>45936</v>
      </c>
      <c r="O1714" t="s">
        <v>43</v>
      </c>
      <c r="P1714" t="s">
        <v>35</v>
      </c>
      <c r="Q1714" t="s">
        <v>28</v>
      </c>
      <c r="R1714" t="s">
        <v>29</v>
      </c>
    </row>
    <row r="1715" spans="1:18">
      <c r="A1715" t="s">
        <v>1847</v>
      </c>
      <c r="B1715" s="2">
        <v>46074</v>
      </c>
      <c r="C1715" t="s">
        <v>66</v>
      </c>
      <c r="D1715" t="s">
        <v>67</v>
      </c>
      <c r="E1715" t="s">
        <v>21</v>
      </c>
      <c r="F1715" t="s">
        <v>49</v>
      </c>
      <c r="G1715" t="s">
        <v>50</v>
      </c>
      <c r="H1715" t="s">
        <v>51</v>
      </c>
      <c r="I1715">
        <v>2</v>
      </c>
      <c r="J1715" s="3">
        <v>50323.61</v>
      </c>
      <c r="K1715" s="3">
        <v>100647.22</v>
      </c>
      <c r="L1715" t="s">
        <v>25</v>
      </c>
      <c r="M1715" s="2">
        <v>46087</v>
      </c>
      <c r="N1715" s="2">
        <v>46087</v>
      </c>
      <c r="O1715" t="s">
        <v>43</v>
      </c>
      <c r="P1715" t="s">
        <v>27</v>
      </c>
      <c r="Q1715" t="s">
        <v>28</v>
      </c>
      <c r="R1715" t="s">
        <v>29</v>
      </c>
    </row>
    <row r="1716" spans="1:18">
      <c r="A1716" t="s">
        <v>1848</v>
      </c>
      <c r="B1716" s="2">
        <v>46085</v>
      </c>
      <c r="C1716" t="s">
        <v>142</v>
      </c>
      <c r="D1716" t="s">
        <v>143</v>
      </c>
      <c r="E1716" t="s">
        <v>39</v>
      </c>
      <c r="F1716" t="s">
        <v>22</v>
      </c>
      <c r="G1716" t="s">
        <v>32</v>
      </c>
      <c r="H1716" t="s">
        <v>33</v>
      </c>
      <c r="I1716">
        <v>8</v>
      </c>
      <c r="J1716" s="3">
        <v>7503.29</v>
      </c>
      <c r="K1716" s="3">
        <v>60026.32</v>
      </c>
      <c r="L1716" t="s">
        <v>34</v>
      </c>
      <c r="M1716" s="2">
        <v>46099</v>
      </c>
      <c r="N1716" s="2">
        <v>46097</v>
      </c>
      <c r="O1716" t="s">
        <v>76</v>
      </c>
      <c r="P1716" t="s">
        <v>64</v>
      </c>
      <c r="Q1716" t="s">
        <v>28</v>
      </c>
      <c r="R1716" t="s">
        <v>29</v>
      </c>
    </row>
    <row r="1717" spans="1:18">
      <c r="A1717" t="s">
        <v>1849</v>
      </c>
      <c r="B1717" s="2">
        <v>45732</v>
      </c>
      <c r="C1717" t="s">
        <v>147</v>
      </c>
      <c r="D1717" t="s">
        <v>148</v>
      </c>
      <c r="E1717" t="s">
        <v>39</v>
      </c>
      <c r="F1717" t="s">
        <v>40</v>
      </c>
      <c r="G1717" t="s">
        <v>136</v>
      </c>
      <c r="H1717" t="s">
        <v>137</v>
      </c>
      <c r="I1717">
        <v>55</v>
      </c>
      <c r="J1717" s="3">
        <v>1547.16</v>
      </c>
      <c r="K1717" s="3">
        <v>85093.8</v>
      </c>
      <c r="L1717" t="s">
        <v>25</v>
      </c>
      <c r="M1717" s="2">
        <v>45740</v>
      </c>
      <c r="N1717" s="2">
        <v>45737</v>
      </c>
      <c r="O1717" t="s">
        <v>43</v>
      </c>
      <c r="P1717" t="s">
        <v>44</v>
      </c>
      <c r="Q1717" t="s">
        <v>28</v>
      </c>
      <c r="R1717" t="s">
        <v>29</v>
      </c>
    </row>
    <row r="1718" spans="1:18">
      <c r="A1718" t="s">
        <v>1850</v>
      </c>
      <c r="B1718" s="2">
        <v>45798</v>
      </c>
      <c r="C1718" t="s">
        <v>134</v>
      </c>
      <c r="D1718" t="s">
        <v>135</v>
      </c>
      <c r="E1718" t="s">
        <v>112</v>
      </c>
      <c r="F1718" t="s">
        <v>40</v>
      </c>
      <c r="G1718" t="s">
        <v>41</v>
      </c>
      <c r="H1718" t="s">
        <v>42</v>
      </c>
      <c r="I1718">
        <v>11</v>
      </c>
      <c r="J1718" s="3">
        <v>5282.96</v>
      </c>
      <c r="K1718" s="3">
        <v>58112.56</v>
      </c>
      <c r="L1718" t="s">
        <v>25</v>
      </c>
      <c r="M1718" s="2">
        <v>45812</v>
      </c>
      <c r="N1718" s="2">
        <v>45812</v>
      </c>
      <c r="O1718" t="s">
        <v>26</v>
      </c>
      <c r="P1718" t="s">
        <v>115</v>
      </c>
      <c r="Q1718" t="s">
        <v>28</v>
      </c>
      <c r="R1718" t="s">
        <v>29</v>
      </c>
    </row>
    <row r="1719" spans="1:18">
      <c r="A1719" t="s">
        <v>1851</v>
      </c>
      <c r="B1719" s="2">
        <v>45855</v>
      </c>
      <c r="C1719" t="s">
        <v>117</v>
      </c>
      <c r="D1719" t="s">
        <v>118</v>
      </c>
      <c r="E1719" t="s">
        <v>48</v>
      </c>
      <c r="F1719" t="s">
        <v>57</v>
      </c>
      <c r="G1719" t="s">
        <v>120</v>
      </c>
      <c r="H1719" t="s">
        <v>121</v>
      </c>
      <c r="I1719">
        <v>5</v>
      </c>
      <c r="J1719" s="3">
        <v>22293.98</v>
      </c>
      <c r="K1719" s="3">
        <v>111469.9</v>
      </c>
      <c r="L1719" t="s">
        <v>25</v>
      </c>
      <c r="M1719" s="2">
        <v>45865</v>
      </c>
      <c r="N1719" s="2">
        <v>45873</v>
      </c>
      <c r="O1719" t="s">
        <v>60</v>
      </c>
      <c r="P1719" t="s">
        <v>53</v>
      </c>
      <c r="Q1719" t="s">
        <v>28</v>
      </c>
      <c r="R1719" t="s">
        <v>129</v>
      </c>
    </row>
    <row r="1720" spans="1:18">
      <c r="A1720" t="s">
        <v>1852</v>
      </c>
      <c r="B1720" s="2">
        <v>46062</v>
      </c>
      <c r="C1720" t="s">
        <v>37</v>
      </c>
      <c r="D1720" t="s">
        <v>38</v>
      </c>
      <c r="E1720" t="s">
        <v>31</v>
      </c>
      <c r="F1720" t="s">
        <v>22</v>
      </c>
      <c r="G1720" t="s">
        <v>23</v>
      </c>
      <c r="H1720" t="s">
        <v>24</v>
      </c>
      <c r="I1720">
        <v>56</v>
      </c>
      <c r="J1720" s="3">
        <v>270.16000000000003</v>
      </c>
      <c r="K1720" s="3">
        <v>15128.96</v>
      </c>
      <c r="L1720" t="s">
        <v>25</v>
      </c>
      <c r="M1720" s="2">
        <v>46075</v>
      </c>
      <c r="N1720" s="2">
        <v>46075</v>
      </c>
      <c r="O1720" t="s">
        <v>26</v>
      </c>
      <c r="P1720" t="s">
        <v>94</v>
      </c>
      <c r="Q1720" t="s">
        <v>28</v>
      </c>
      <c r="R1720" t="s">
        <v>29</v>
      </c>
    </row>
    <row r="1721" spans="1:18">
      <c r="A1721" t="s">
        <v>1853</v>
      </c>
      <c r="B1721" s="2">
        <v>46188</v>
      </c>
      <c r="C1721" t="s">
        <v>37</v>
      </c>
      <c r="D1721" t="s">
        <v>38</v>
      </c>
      <c r="E1721" t="s">
        <v>112</v>
      </c>
      <c r="F1721" t="s">
        <v>22</v>
      </c>
      <c r="G1721" t="s">
        <v>160</v>
      </c>
      <c r="H1721" t="s">
        <v>161</v>
      </c>
      <c r="I1721">
        <v>14</v>
      </c>
      <c r="J1721" s="3">
        <v>3678.45</v>
      </c>
      <c r="K1721" s="3">
        <v>51498.3</v>
      </c>
      <c r="L1721" t="s">
        <v>25</v>
      </c>
      <c r="M1721" s="2">
        <v>46201</v>
      </c>
      <c r="N1721" s="2">
        <v>46200</v>
      </c>
      <c r="O1721" t="s">
        <v>60</v>
      </c>
      <c r="P1721" t="s">
        <v>115</v>
      </c>
      <c r="Q1721" t="s">
        <v>28</v>
      </c>
      <c r="R1721" t="s">
        <v>29</v>
      </c>
    </row>
    <row r="1722" spans="1:18">
      <c r="A1722" t="s">
        <v>1854</v>
      </c>
      <c r="B1722" s="2">
        <v>46179</v>
      </c>
      <c r="C1722" t="s">
        <v>104</v>
      </c>
      <c r="D1722" t="s">
        <v>105</v>
      </c>
      <c r="E1722" t="s">
        <v>112</v>
      </c>
      <c r="F1722" t="s">
        <v>49</v>
      </c>
      <c r="G1722" t="s">
        <v>68</v>
      </c>
      <c r="H1722" t="s">
        <v>69</v>
      </c>
      <c r="I1722">
        <v>1</v>
      </c>
      <c r="J1722" s="3">
        <v>49277.09</v>
      </c>
      <c r="K1722" s="3">
        <v>49277.09</v>
      </c>
      <c r="L1722" t="s">
        <v>52</v>
      </c>
      <c r="M1722" s="2">
        <v>46195</v>
      </c>
      <c r="N1722" s="2">
        <v>46195</v>
      </c>
      <c r="O1722" t="s">
        <v>76</v>
      </c>
      <c r="P1722" t="s">
        <v>115</v>
      </c>
      <c r="Q1722" t="s">
        <v>28</v>
      </c>
      <c r="R1722" t="s">
        <v>29</v>
      </c>
    </row>
    <row r="1723" spans="1:18">
      <c r="A1723" t="s">
        <v>1855</v>
      </c>
      <c r="B1723" s="2">
        <v>45794</v>
      </c>
      <c r="C1723" t="s">
        <v>134</v>
      </c>
      <c r="D1723" t="s">
        <v>135</v>
      </c>
      <c r="E1723" t="s">
        <v>112</v>
      </c>
      <c r="F1723" t="s">
        <v>40</v>
      </c>
      <c r="G1723" t="s">
        <v>136</v>
      </c>
      <c r="H1723" t="s">
        <v>137</v>
      </c>
      <c r="I1723">
        <v>12</v>
      </c>
      <c r="J1723" s="3">
        <v>1707.84</v>
      </c>
      <c r="K1723" s="3">
        <v>20494.080000000002</v>
      </c>
      <c r="L1723" t="s">
        <v>34</v>
      </c>
      <c r="M1723" s="2">
        <v>45812</v>
      </c>
      <c r="N1723" s="2">
        <v>45810</v>
      </c>
      <c r="O1723" t="s">
        <v>43</v>
      </c>
      <c r="P1723" t="s">
        <v>115</v>
      </c>
      <c r="Q1723" t="s">
        <v>28</v>
      </c>
      <c r="R1723" t="s">
        <v>29</v>
      </c>
    </row>
    <row r="1724" spans="1:18">
      <c r="A1724" t="s">
        <v>1856</v>
      </c>
      <c r="B1724" s="2">
        <v>46041</v>
      </c>
      <c r="C1724" t="s">
        <v>117</v>
      </c>
      <c r="D1724" t="s">
        <v>118</v>
      </c>
      <c r="E1724" t="s">
        <v>48</v>
      </c>
      <c r="F1724" t="s">
        <v>57</v>
      </c>
      <c r="G1724" t="s">
        <v>101</v>
      </c>
      <c r="H1724" t="s">
        <v>102</v>
      </c>
      <c r="I1724">
        <v>30</v>
      </c>
      <c r="J1724" s="3">
        <v>1794.62</v>
      </c>
      <c r="K1724" s="3">
        <v>53838.6</v>
      </c>
      <c r="L1724" t="s">
        <v>25</v>
      </c>
      <c r="M1724" s="2">
        <v>46047</v>
      </c>
      <c r="N1724" s="2">
        <v>46047</v>
      </c>
      <c r="O1724" t="s">
        <v>43</v>
      </c>
      <c r="P1724" t="s">
        <v>53</v>
      </c>
      <c r="Q1724" t="s">
        <v>28</v>
      </c>
      <c r="R1724" t="s">
        <v>29</v>
      </c>
    </row>
    <row r="1725" spans="1:18">
      <c r="A1725" t="s">
        <v>1857</v>
      </c>
      <c r="B1725" s="2">
        <v>45694</v>
      </c>
      <c r="C1725" t="s">
        <v>89</v>
      </c>
      <c r="D1725" t="s">
        <v>90</v>
      </c>
      <c r="E1725" t="s">
        <v>31</v>
      </c>
      <c r="F1725" t="s">
        <v>91</v>
      </c>
      <c r="G1725" t="s">
        <v>109</v>
      </c>
      <c r="H1725" t="s">
        <v>110</v>
      </c>
      <c r="I1725">
        <v>1</v>
      </c>
      <c r="J1725" s="3">
        <v>12272.24</v>
      </c>
      <c r="K1725" s="3">
        <v>12272.24</v>
      </c>
      <c r="L1725" t="s">
        <v>25</v>
      </c>
      <c r="M1725" s="2">
        <v>45705</v>
      </c>
      <c r="N1725" s="2">
        <v>45703</v>
      </c>
      <c r="O1725" t="s">
        <v>26</v>
      </c>
      <c r="P1725" t="s">
        <v>35</v>
      </c>
      <c r="Q1725" t="s">
        <v>28</v>
      </c>
      <c r="R1725" t="s">
        <v>29</v>
      </c>
    </row>
    <row r="1726" spans="1:18">
      <c r="A1726" t="s">
        <v>1858</v>
      </c>
      <c r="B1726" s="2">
        <v>45853</v>
      </c>
      <c r="C1726" t="s">
        <v>104</v>
      </c>
      <c r="D1726" t="s">
        <v>105</v>
      </c>
      <c r="E1726" t="s">
        <v>48</v>
      </c>
      <c r="F1726" t="s">
        <v>49</v>
      </c>
      <c r="G1726" t="s">
        <v>50</v>
      </c>
      <c r="H1726" t="s">
        <v>51</v>
      </c>
      <c r="I1726">
        <v>1</v>
      </c>
      <c r="J1726" s="3">
        <v>52063.82</v>
      </c>
      <c r="K1726" s="3">
        <v>52063.82</v>
      </c>
      <c r="L1726" t="s">
        <v>34</v>
      </c>
      <c r="M1726" s="2">
        <v>45866</v>
      </c>
      <c r="N1726" s="2">
        <v>45868</v>
      </c>
      <c r="O1726" t="s">
        <v>43</v>
      </c>
      <c r="P1726" t="s">
        <v>53</v>
      </c>
      <c r="Q1726" t="s">
        <v>28</v>
      </c>
      <c r="R1726" t="s">
        <v>129</v>
      </c>
    </row>
    <row r="1727" spans="1:18">
      <c r="A1727" t="s">
        <v>1859</v>
      </c>
      <c r="B1727" s="2">
        <v>46070</v>
      </c>
      <c r="C1727" t="s">
        <v>104</v>
      </c>
      <c r="D1727" t="s">
        <v>105</v>
      </c>
      <c r="E1727" t="s">
        <v>21</v>
      </c>
      <c r="F1727" t="s">
        <v>49</v>
      </c>
      <c r="G1727" t="s">
        <v>68</v>
      </c>
      <c r="H1727" t="s">
        <v>69</v>
      </c>
      <c r="I1727">
        <v>2</v>
      </c>
      <c r="J1727" s="3">
        <v>49712.23</v>
      </c>
      <c r="K1727" s="3">
        <v>99424.46</v>
      </c>
      <c r="L1727" t="s">
        <v>52</v>
      </c>
      <c r="M1727" s="2">
        <v>46083</v>
      </c>
      <c r="N1727" s="2">
        <v>46083</v>
      </c>
      <c r="O1727" t="s">
        <v>43</v>
      </c>
      <c r="P1727" t="s">
        <v>27</v>
      </c>
      <c r="Q1727" t="s">
        <v>28</v>
      </c>
      <c r="R1727" t="s">
        <v>29</v>
      </c>
    </row>
    <row r="1728" spans="1:18">
      <c r="A1728" t="s">
        <v>1860</v>
      </c>
      <c r="B1728" s="2">
        <v>45763</v>
      </c>
      <c r="C1728" t="s">
        <v>19</v>
      </c>
      <c r="D1728" t="s">
        <v>20</v>
      </c>
      <c r="E1728" t="s">
        <v>31</v>
      </c>
      <c r="F1728" t="s">
        <v>22</v>
      </c>
      <c r="G1728" t="s">
        <v>32</v>
      </c>
      <c r="H1728" t="s">
        <v>33</v>
      </c>
      <c r="I1728">
        <v>12</v>
      </c>
      <c r="J1728" s="3">
        <v>7097.16</v>
      </c>
      <c r="K1728" s="3">
        <v>85165.92</v>
      </c>
      <c r="L1728" t="s">
        <v>25</v>
      </c>
      <c r="M1728" s="2">
        <v>45769</v>
      </c>
      <c r="N1728" s="2">
        <v>45769</v>
      </c>
      <c r="O1728" t="s">
        <v>60</v>
      </c>
      <c r="P1728" t="s">
        <v>35</v>
      </c>
      <c r="Q1728" t="s">
        <v>28</v>
      </c>
      <c r="R1728" t="s">
        <v>29</v>
      </c>
    </row>
    <row r="1729" spans="1:18">
      <c r="A1729" t="s">
        <v>1861</v>
      </c>
      <c r="B1729" s="2">
        <v>45773</v>
      </c>
      <c r="C1729" t="s">
        <v>55</v>
      </c>
      <c r="D1729" t="s">
        <v>56</v>
      </c>
      <c r="E1729" t="s">
        <v>31</v>
      </c>
      <c r="F1729" t="s">
        <v>57</v>
      </c>
      <c r="G1729" t="s">
        <v>74</v>
      </c>
      <c r="H1729" t="s">
        <v>75</v>
      </c>
      <c r="I1729">
        <v>9</v>
      </c>
      <c r="J1729" s="3">
        <v>9864.08</v>
      </c>
      <c r="K1729" s="3">
        <v>88776.72</v>
      </c>
      <c r="L1729" t="s">
        <v>25</v>
      </c>
      <c r="M1729" s="2">
        <v>45781</v>
      </c>
      <c r="N1729" s="2">
        <v>45780</v>
      </c>
      <c r="O1729" t="s">
        <v>60</v>
      </c>
      <c r="P1729" t="s">
        <v>94</v>
      </c>
      <c r="Q1729" t="s">
        <v>28</v>
      </c>
      <c r="R1729" t="s">
        <v>29</v>
      </c>
    </row>
    <row r="1730" spans="1:18">
      <c r="A1730" t="s">
        <v>1862</v>
      </c>
      <c r="B1730" s="2">
        <v>45870</v>
      </c>
      <c r="C1730" t="s">
        <v>117</v>
      </c>
      <c r="D1730" t="s">
        <v>118</v>
      </c>
      <c r="E1730" t="s">
        <v>21</v>
      </c>
      <c r="F1730" t="s">
        <v>57</v>
      </c>
      <c r="G1730" t="s">
        <v>127</v>
      </c>
      <c r="H1730" t="s">
        <v>128</v>
      </c>
      <c r="I1730">
        <v>6</v>
      </c>
      <c r="J1730" s="3">
        <v>16320.76</v>
      </c>
      <c r="K1730" s="3">
        <v>97924.56</v>
      </c>
      <c r="L1730" t="s">
        <v>25</v>
      </c>
      <c r="M1730" s="2">
        <v>45882</v>
      </c>
      <c r="N1730" s="2">
        <v>45880</v>
      </c>
      <c r="O1730" t="s">
        <v>26</v>
      </c>
      <c r="P1730" t="s">
        <v>27</v>
      </c>
      <c r="Q1730" t="s">
        <v>28</v>
      </c>
      <c r="R1730" t="s">
        <v>29</v>
      </c>
    </row>
    <row r="1731" spans="1:18">
      <c r="A1731" t="s">
        <v>1863</v>
      </c>
      <c r="B1731" s="2">
        <v>46179</v>
      </c>
      <c r="C1731" t="s">
        <v>37</v>
      </c>
      <c r="D1731" t="s">
        <v>38</v>
      </c>
      <c r="E1731" t="s">
        <v>39</v>
      </c>
      <c r="F1731" t="s">
        <v>40</v>
      </c>
      <c r="G1731" t="s">
        <v>149</v>
      </c>
      <c r="H1731" t="s">
        <v>150</v>
      </c>
      <c r="I1731">
        <v>49</v>
      </c>
      <c r="J1731" s="3">
        <v>1504.43</v>
      </c>
      <c r="K1731" s="3">
        <v>73717.070000000007</v>
      </c>
      <c r="L1731" t="s">
        <v>25</v>
      </c>
      <c r="M1731" s="2">
        <v>46191</v>
      </c>
      <c r="N1731" s="2">
        <v>46191</v>
      </c>
      <c r="O1731" t="s">
        <v>76</v>
      </c>
      <c r="P1731" t="s">
        <v>44</v>
      </c>
      <c r="Q1731" t="s">
        <v>28</v>
      </c>
      <c r="R1731" t="s">
        <v>29</v>
      </c>
    </row>
    <row r="1732" spans="1:18">
      <c r="A1732" t="s">
        <v>1864</v>
      </c>
      <c r="B1732" s="2">
        <v>46093</v>
      </c>
      <c r="C1732" t="s">
        <v>107</v>
      </c>
      <c r="D1732" t="s">
        <v>108</v>
      </c>
      <c r="E1732" t="s">
        <v>31</v>
      </c>
      <c r="F1732" t="s">
        <v>91</v>
      </c>
      <c r="G1732" t="s">
        <v>92</v>
      </c>
      <c r="H1732" t="s">
        <v>93</v>
      </c>
      <c r="I1732">
        <v>1</v>
      </c>
      <c r="J1732" s="3">
        <v>47580.14</v>
      </c>
      <c r="K1732" s="3">
        <v>47580.14</v>
      </c>
      <c r="L1732" t="s">
        <v>25</v>
      </c>
      <c r="M1732" s="2">
        <v>46100</v>
      </c>
      <c r="N1732" s="2">
        <v>46098</v>
      </c>
      <c r="O1732" t="s">
        <v>60</v>
      </c>
      <c r="P1732" t="s">
        <v>94</v>
      </c>
      <c r="Q1732" t="s">
        <v>28</v>
      </c>
      <c r="R1732" t="s">
        <v>29</v>
      </c>
    </row>
    <row r="1733" spans="1:18">
      <c r="A1733" t="s">
        <v>1865</v>
      </c>
      <c r="B1733" s="2">
        <v>46098</v>
      </c>
      <c r="C1733" t="s">
        <v>55</v>
      </c>
      <c r="D1733" t="s">
        <v>56</v>
      </c>
      <c r="E1733" t="s">
        <v>48</v>
      </c>
      <c r="F1733" t="s">
        <v>57</v>
      </c>
      <c r="G1733" t="s">
        <v>58</v>
      </c>
      <c r="H1733" t="s">
        <v>59</v>
      </c>
      <c r="I1733">
        <v>1</v>
      </c>
      <c r="J1733" s="3">
        <v>64280.43</v>
      </c>
      <c r="K1733" s="3">
        <v>64280.43</v>
      </c>
      <c r="L1733" t="s">
        <v>52</v>
      </c>
      <c r="M1733" s="2">
        <v>46105</v>
      </c>
      <c r="N1733" s="2">
        <v>46103</v>
      </c>
      <c r="O1733" t="s">
        <v>60</v>
      </c>
      <c r="P1733" t="s">
        <v>53</v>
      </c>
      <c r="Q1733" t="s">
        <v>28</v>
      </c>
      <c r="R1733" t="s">
        <v>29</v>
      </c>
    </row>
    <row r="1734" spans="1:18">
      <c r="A1734" t="s">
        <v>1866</v>
      </c>
      <c r="B1734" s="2">
        <v>45902</v>
      </c>
      <c r="C1734" t="s">
        <v>107</v>
      </c>
      <c r="D1734" t="s">
        <v>108</v>
      </c>
      <c r="E1734" t="s">
        <v>31</v>
      </c>
      <c r="F1734" t="s">
        <v>91</v>
      </c>
      <c r="G1734" t="s">
        <v>92</v>
      </c>
      <c r="H1734" t="s">
        <v>93</v>
      </c>
      <c r="I1734">
        <v>2</v>
      </c>
      <c r="J1734" s="3">
        <v>46698.37</v>
      </c>
      <c r="K1734" s="3">
        <v>93396.74</v>
      </c>
      <c r="L1734" t="s">
        <v>34</v>
      </c>
      <c r="M1734" s="2">
        <v>45909</v>
      </c>
      <c r="N1734" s="2">
        <v>45909</v>
      </c>
      <c r="O1734" t="s">
        <v>26</v>
      </c>
      <c r="P1734" t="s">
        <v>94</v>
      </c>
      <c r="Q1734" t="s">
        <v>28</v>
      </c>
      <c r="R1734" t="s">
        <v>29</v>
      </c>
    </row>
    <row r="1735" spans="1:18">
      <c r="A1735" t="s">
        <v>1867</v>
      </c>
      <c r="B1735" s="2">
        <v>46138</v>
      </c>
      <c r="C1735" t="s">
        <v>131</v>
      </c>
      <c r="D1735" t="s">
        <v>132</v>
      </c>
      <c r="E1735" t="s">
        <v>48</v>
      </c>
      <c r="F1735" t="s">
        <v>57</v>
      </c>
      <c r="G1735" t="s">
        <v>101</v>
      </c>
      <c r="H1735" t="s">
        <v>102</v>
      </c>
      <c r="I1735">
        <v>13</v>
      </c>
      <c r="J1735" s="3">
        <v>1896.65</v>
      </c>
      <c r="K1735" s="3">
        <v>24656.45</v>
      </c>
      <c r="L1735" t="s">
        <v>34</v>
      </c>
      <c r="M1735" s="2">
        <v>46148</v>
      </c>
      <c r="N1735" s="2">
        <v>46145</v>
      </c>
      <c r="O1735" t="s">
        <v>60</v>
      </c>
      <c r="P1735" t="s">
        <v>53</v>
      </c>
      <c r="Q1735" t="s">
        <v>28</v>
      </c>
      <c r="R1735" t="s">
        <v>29</v>
      </c>
    </row>
    <row r="1736" spans="1:18">
      <c r="A1736" t="s">
        <v>1868</v>
      </c>
      <c r="B1736" s="2">
        <v>45720</v>
      </c>
      <c r="C1736" t="s">
        <v>142</v>
      </c>
      <c r="D1736" t="s">
        <v>143</v>
      </c>
      <c r="E1736" t="s">
        <v>112</v>
      </c>
      <c r="F1736" t="s">
        <v>22</v>
      </c>
      <c r="G1736" t="s">
        <v>23</v>
      </c>
      <c r="H1736" t="s">
        <v>24</v>
      </c>
      <c r="I1736">
        <v>59</v>
      </c>
      <c r="J1736" s="3">
        <v>252.62</v>
      </c>
      <c r="K1736" s="3">
        <v>14904.58</v>
      </c>
      <c r="L1736" t="s">
        <v>34</v>
      </c>
      <c r="M1736" s="2">
        <v>45729</v>
      </c>
      <c r="N1736" s="2">
        <v>45727</v>
      </c>
      <c r="O1736" t="s">
        <v>60</v>
      </c>
      <c r="P1736" t="s">
        <v>115</v>
      </c>
      <c r="Q1736" t="s">
        <v>28</v>
      </c>
      <c r="R1736" t="s">
        <v>29</v>
      </c>
    </row>
    <row r="1737" spans="1:18">
      <c r="A1737" t="s">
        <v>1869</v>
      </c>
      <c r="B1737" s="2">
        <v>45711</v>
      </c>
      <c r="C1737" t="s">
        <v>104</v>
      </c>
      <c r="D1737" t="s">
        <v>105</v>
      </c>
      <c r="E1737" t="s">
        <v>48</v>
      </c>
      <c r="F1737" t="s">
        <v>49</v>
      </c>
      <c r="G1737" t="s">
        <v>68</v>
      </c>
      <c r="H1737" t="s">
        <v>69</v>
      </c>
      <c r="I1737">
        <v>2</v>
      </c>
      <c r="J1737" s="3">
        <v>48754.27</v>
      </c>
      <c r="K1737" s="3">
        <v>97508.54</v>
      </c>
      <c r="L1737" t="s">
        <v>25</v>
      </c>
      <c r="M1737" s="2">
        <v>45717</v>
      </c>
      <c r="N1737" s="2">
        <v>45714</v>
      </c>
      <c r="O1737" t="s">
        <v>76</v>
      </c>
      <c r="P1737" t="s">
        <v>53</v>
      </c>
      <c r="Q1737" t="s">
        <v>28</v>
      </c>
      <c r="R1737" t="s">
        <v>29</v>
      </c>
    </row>
    <row r="1738" spans="1:18">
      <c r="A1738" t="s">
        <v>1870</v>
      </c>
      <c r="B1738" s="2">
        <v>46074</v>
      </c>
      <c r="C1738" t="s">
        <v>142</v>
      </c>
      <c r="D1738" t="s">
        <v>143</v>
      </c>
      <c r="E1738" t="s">
        <v>31</v>
      </c>
      <c r="F1738" t="s">
        <v>22</v>
      </c>
      <c r="G1738" t="s">
        <v>32</v>
      </c>
      <c r="H1738" t="s">
        <v>33</v>
      </c>
      <c r="I1738">
        <v>4</v>
      </c>
      <c r="J1738" s="3">
        <v>8088</v>
      </c>
      <c r="K1738" s="3">
        <v>32352</v>
      </c>
      <c r="L1738" t="s">
        <v>25</v>
      </c>
      <c r="M1738" s="2">
        <v>46083</v>
      </c>
      <c r="N1738" s="2">
        <v>46083</v>
      </c>
      <c r="O1738" t="s">
        <v>76</v>
      </c>
      <c r="P1738" t="s">
        <v>94</v>
      </c>
      <c r="Q1738" t="s">
        <v>28</v>
      </c>
      <c r="R1738" t="s">
        <v>29</v>
      </c>
    </row>
    <row r="1739" spans="1:18">
      <c r="A1739" t="s">
        <v>1871</v>
      </c>
      <c r="B1739" s="2">
        <v>46031</v>
      </c>
      <c r="C1739" t="s">
        <v>142</v>
      </c>
      <c r="D1739" t="s">
        <v>143</v>
      </c>
      <c r="E1739" t="s">
        <v>73</v>
      </c>
      <c r="F1739" t="s">
        <v>22</v>
      </c>
      <c r="G1739" t="s">
        <v>32</v>
      </c>
      <c r="H1739" t="s">
        <v>33</v>
      </c>
      <c r="I1739">
        <v>10</v>
      </c>
      <c r="J1739" s="3">
        <v>8076.13</v>
      </c>
      <c r="K1739" s="3">
        <v>80761.3</v>
      </c>
      <c r="L1739" t="s">
        <v>52</v>
      </c>
      <c r="M1739" s="2">
        <v>46037</v>
      </c>
      <c r="N1739" s="2">
        <v>46036</v>
      </c>
      <c r="O1739" t="s">
        <v>43</v>
      </c>
      <c r="P1739" t="s">
        <v>77</v>
      </c>
      <c r="Q1739" t="s">
        <v>28</v>
      </c>
      <c r="R1739" t="s">
        <v>29</v>
      </c>
    </row>
    <row r="1740" spans="1:18">
      <c r="A1740" t="s">
        <v>1872</v>
      </c>
      <c r="B1740" s="2">
        <v>45679</v>
      </c>
      <c r="C1740" t="s">
        <v>71</v>
      </c>
      <c r="D1740" t="s">
        <v>72</v>
      </c>
      <c r="E1740" t="s">
        <v>21</v>
      </c>
      <c r="F1740" t="s">
        <v>57</v>
      </c>
      <c r="G1740" t="s">
        <v>86</v>
      </c>
      <c r="H1740" t="s">
        <v>87</v>
      </c>
      <c r="I1740">
        <v>6</v>
      </c>
      <c r="J1740" s="3">
        <v>10483.530000000001</v>
      </c>
      <c r="K1740" s="3">
        <v>62901.18</v>
      </c>
      <c r="L1740" t="s">
        <v>25</v>
      </c>
      <c r="M1740" s="2">
        <v>45691</v>
      </c>
      <c r="N1740" s="2">
        <v>45691</v>
      </c>
      <c r="O1740" t="s">
        <v>76</v>
      </c>
      <c r="P1740" t="s">
        <v>27</v>
      </c>
      <c r="Q1740" t="s">
        <v>28</v>
      </c>
      <c r="R1740" t="s">
        <v>29</v>
      </c>
    </row>
    <row r="1741" spans="1:18">
      <c r="A1741" t="s">
        <v>1873</v>
      </c>
      <c r="B1741" s="2">
        <v>45756</v>
      </c>
      <c r="C1741" t="s">
        <v>142</v>
      </c>
      <c r="D1741" t="s">
        <v>143</v>
      </c>
      <c r="E1741" t="s">
        <v>73</v>
      </c>
      <c r="F1741" t="s">
        <v>22</v>
      </c>
      <c r="G1741" t="s">
        <v>160</v>
      </c>
      <c r="H1741" t="s">
        <v>161</v>
      </c>
      <c r="I1741">
        <v>3</v>
      </c>
      <c r="J1741" s="3">
        <v>3166.86</v>
      </c>
      <c r="K1741" s="3">
        <v>9500.58</v>
      </c>
      <c r="L1741" t="s">
        <v>34</v>
      </c>
      <c r="M1741" s="2">
        <v>45767</v>
      </c>
      <c r="N1741" s="2">
        <v>45766</v>
      </c>
      <c r="O1741" t="s">
        <v>60</v>
      </c>
      <c r="P1741" t="s">
        <v>77</v>
      </c>
      <c r="Q1741" t="s">
        <v>28</v>
      </c>
      <c r="R1741" t="s">
        <v>29</v>
      </c>
    </row>
    <row r="1742" spans="1:18">
      <c r="A1742" t="s">
        <v>1874</v>
      </c>
      <c r="B1742" s="2">
        <v>45866</v>
      </c>
      <c r="C1742" t="s">
        <v>117</v>
      </c>
      <c r="D1742" t="s">
        <v>118</v>
      </c>
      <c r="E1742" t="s">
        <v>21</v>
      </c>
      <c r="F1742" t="s">
        <v>57</v>
      </c>
      <c r="G1742" t="s">
        <v>120</v>
      </c>
      <c r="H1742" t="s">
        <v>121</v>
      </c>
      <c r="I1742">
        <v>2</v>
      </c>
      <c r="J1742" s="3">
        <v>22144.37</v>
      </c>
      <c r="K1742" s="3">
        <v>44288.74</v>
      </c>
      <c r="L1742" t="s">
        <v>34</v>
      </c>
      <c r="M1742" s="2">
        <v>45880</v>
      </c>
      <c r="N1742" s="2">
        <v>45878</v>
      </c>
      <c r="O1742" t="s">
        <v>60</v>
      </c>
      <c r="P1742" t="s">
        <v>27</v>
      </c>
      <c r="Q1742" t="s">
        <v>28</v>
      </c>
      <c r="R1742" t="s">
        <v>29</v>
      </c>
    </row>
    <row r="1743" spans="1:18">
      <c r="A1743" t="s">
        <v>1875</v>
      </c>
      <c r="B1743" s="2">
        <v>45916</v>
      </c>
      <c r="C1743" t="s">
        <v>66</v>
      </c>
      <c r="D1743" t="s">
        <v>67</v>
      </c>
      <c r="E1743" t="s">
        <v>112</v>
      </c>
      <c r="F1743" t="s">
        <v>49</v>
      </c>
      <c r="G1743" t="s">
        <v>68</v>
      </c>
      <c r="H1743" t="s">
        <v>69</v>
      </c>
      <c r="I1743">
        <v>1</v>
      </c>
      <c r="J1743" s="3">
        <v>46320.7</v>
      </c>
      <c r="K1743" s="3">
        <v>46320.7</v>
      </c>
      <c r="L1743" t="s">
        <v>25</v>
      </c>
      <c r="M1743" s="2">
        <v>45931</v>
      </c>
      <c r="N1743" s="2">
        <v>45930</v>
      </c>
      <c r="O1743" t="s">
        <v>26</v>
      </c>
      <c r="P1743" t="s">
        <v>115</v>
      </c>
      <c r="Q1743" t="s">
        <v>28</v>
      </c>
      <c r="R1743" t="s">
        <v>29</v>
      </c>
    </row>
    <row r="1744" spans="1:18">
      <c r="A1744" t="s">
        <v>1876</v>
      </c>
      <c r="B1744" s="2">
        <v>46075</v>
      </c>
      <c r="C1744" t="s">
        <v>96</v>
      </c>
      <c r="D1744" t="s">
        <v>97</v>
      </c>
      <c r="E1744" t="s">
        <v>39</v>
      </c>
      <c r="F1744" t="s">
        <v>82</v>
      </c>
      <c r="G1744" t="s">
        <v>83</v>
      </c>
      <c r="H1744" t="s">
        <v>84</v>
      </c>
      <c r="I1744">
        <v>21</v>
      </c>
      <c r="J1744" s="3">
        <v>733.37</v>
      </c>
      <c r="K1744" s="3">
        <v>15400.77</v>
      </c>
      <c r="L1744" t="s">
        <v>52</v>
      </c>
      <c r="M1744" s="2">
        <v>46093</v>
      </c>
      <c r="N1744" s="2">
        <v>46092</v>
      </c>
      <c r="O1744" t="s">
        <v>60</v>
      </c>
      <c r="P1744" t="s">
        <v>64</v>
      </c>
      <c r="Q1744" t="s">
        <v>28</v>
      </c>
      <c r="R1744" t="s">
        <v>29</v>
      </c>
    </row>
    <row r="1745" spans="1:18">
      <c r="A1745" t="s">
        <v>1877</v>
      </c>
      <c r="B1745" s="2">
        <v>45955</v>
      </c>
      <c r="C1745" t="s">
        <v>71</v>
      </c>
      <c r="D1745" t="s">
        <v>72</v>
      </c>
      <c r="E1745" t="s">
        <v>48</v>
      </c>
      <c r="F1745" t="s">
        <v>57</v>
      </c>
      <c r="G1745" t="s">
        <v>101</v>
      </c>
      <c r="H1745" t="s">
        <v>102</v>
      </c>
      <c r="I1745">
        <v>10</v>
      </c>
      <c r="J1745" s="3">
        <v>1716.78</v>
      </c>
      <c r="K1745" s="3">
        <v>17167.8</v>
      </c>
      <c r="L1745" t="s">
        <v>34</v>
      </c>
      <c r="M1745" s="2">
        <v>45964</v>
      </c>
      <c r="N1745" s="2">
        <v>45961</v>
      </c>
      <c r="O1745" t="s">
        <v>76</v>
      </c>
      <c r="P1745" t="s">
        <v>53</v>
      </c>
      <c r="Q1745" t="s">
        <v>28</v>
      </c>
      <c r="R1745" t="s">
        <v>29</v>
      </c>
    </row>
    <row r="1746" spans="1:18">
      <c r="A1746" t="s">
        <v>1878</v>
      </c>
      <c r="B1746" s="2">
        <v>45682</v>
      </c>
      <c r="C1746" t="s">
        <v>19</v>
      </c>
      <c r="D1746" t="s">
        <v>20</v>
      </c>
      <c r="E1746" t="s">
        <v>21</v>
      </c>
      <c r="F1746" t="s">
        <v>22</v>
      </c>
      <c r="G1746" t="s">
        <v>23</v>
      </c>
      <c r="H1746" t="s">
        <v>24</v>
      </c>
      <c r="I1746">
        <v>46</v>
      </c>
      <c r="J1746" s="3">
        <v>221.08</v>
      </c>
      <c r="K1746" s="3">
        <v>10169.68</v>
      </c>
      <c r="L1746" t="s">
        <v>52</v>
      </c>
      <c r="M1746" s="2">
        <v>45690</v>
      </c>
      <c r="N1746" s="2">
        <v>45689</v>
      </c>
      <c r="O1746" t="s">
        <v>76</v>
      </c>
      <c r="P1746" t="s">
        <v>27</v>
      </c>
      <c r="Q1746" t="s">
        <v>28</v>
      </c>
      <c r="R1746" t="s">
        <v>29</v>
      </c>
    </row>
    <row r="1747" spans="1:18">
      <c r="A1747" t="s">
        <v>1879</v>
      </c>
      <c r="B1747" s="2">
        <v>45880</v>
      </c>
      <c r="C1747" t="s">
        <v>117</v>
      </c>
      <c r="D1747" t="s">
        <v>118</v>
      </c>
      <c r="E1747" t="s">
        <v>48</v>
      </c>
      <c r="F1747" t="s">
        <v>57</v>
      </c>
      <c r="G1747" t="s">
        <v>101</v>
      </c>
      <c r="H1747" t="s">
        <v>102</v>
      </c>
      <c r="I1747">
        <v>51</v>
      </c>
      <c r="J1747" s="3">
        <v>1749.98</v>
      </c>
      <c r="K1747" s="3">
        <v>89248.98</v>
      </c>
      <c r="L1747" t="s">
        <v>25</v>
      </c>
      <c r="M1747" s="2">
        <v>45885</v>
      </c>
      <c r="N1747" s="2">
        <v>45884</v>
      </c>
      <c r="O1747" t="s">
        <v>60</v>
      </c>
      <c r="P1747" t="s">
        <v>53</v>
      </c>
      <c r="Q1747" t="s">
        <v>28</v>
      </c>
      <c r="R1747" t="s">
        <v>29</v>
      </c>
    </row>
    <row r="1748" spans="1:18">
      <c r="A1748" t="s">
        <v>1880</v>
      </c>
      <c r="B1748" s="2">
        <v>45835</v>
      </c>
      <c r="C1748" t="s">
        <v>19</v>
      </c>
      <c r="D1748" t="s">
        <v>20</v>
      </c>
      <c r="E1748" t="s">
        <v>112</v>
      </c>
      <c r="F1748" t="s">
        <v>22</v>
      </c>
      <c r="G1748" t="s">
        <v>160</v>
      </c>
      <c r="H1748" t="s">
        <v>161</v>
      </c>
      <c r="I1748">
        <v>6</v>
      </c>
      <c r="J1748" s="3">
        <v>3058.94</v>
      </c>
      <c r="K1748" s="3">
        <v>18353.64</v>
      </c>
      <c r="L1748" t="s">
        <v>34</v>
      </c>
      <c r="M1748" s="2">
        <v>45848</v>
      </c>
      <c r="N1748" s="2">
        <v>45847</v>
      </c>
      <c r="O1748" t="s">
        <v>43</v>
      </c>
      <c r="P1748" t="s">
        <v>115</v>
      </c>
      <c r="Q1748" t="s">
        <v>28</v>
      </c>
      <c r="R1748" t="s">
        <v>29</v>
      </c>
    </row>
    <row r="1749" spans="1:18">
      <c r="A1749" t="s">
        <v>1881</v>
      </c>
      <c r="B1749" s="2">
        <v>45883</v>
      </c>
      <c r="C1749" t="s">
        <v>19</v>
      </c>
      <c r="D1749" t="s">
        <v>20</v>
      </c>
      <c r="E1749" t="s">
        <v>73</v>
      </c>
      <c r="F1749" t="s">
        <v>22</v>
      </c>
      <c r="G1749" t="s">
        <v>23</v>
      </c>
      <c r="H1749" t="s">
        <v>24</v>
      </c>
      <c r="I1749">
        <v>39</v>
      </c>
      <c r="J1749" s="3">
        <v>226.81</v>
      </c>
      <c r="K1749" s="3">
        <v>8845.59</v>
      </c>
      <c r="L1749" t="s">
        <v>34</v>
      </c>
      <c r="M1749" s="2">
        <v>45898</v>
      </c>
      <c r="N1749" s="2">
        <v>45912</v>
      </c>
      <c r="O1749" t="s">
        <v>26</v>
      </c>
      <c r="P1749" t="s">
        <v>77</v>
      </c>
      <c r="Q1749" t="s">
        <v>28</v>
      </c>
      <c r="R1749" t="s">
        <v>129</v>
      </c>
    </row>
    <row r="1750" spans="1:18">
      <c r="A1750" t="s">
        <v>1882</v>
      </c>
      <c r="B1750" s="2">
        <v>46097</v>
      </c>
      <c r="C1750" t="s">
        <v>71</v>
      </c>
      <c r="D1750" t="s">
        <v>72</v>
      </c>
      <c r="E1750" t="s">
        <v>21</v>
      </c>
      <c r="F1750" t="s">
        <v>57</v>
      </c>
      <c r="G1750" t="s">
        <v>58</v>
      </c>
      <c r="H1750" t="s">
        <v>59</v>
      </c>
      <c r="I1750">
        <v>5</v>
      </c>
      <c r="J1750" s="3">
        <v>55389.51</v>
      </c>
      <c r="K1750" s="3">
        <v>276947.55</v>
      </c>
      <c r="L1750" t="s">
        <v>52</v>
      </c>
      <c r="M1750" s="2">
        <v>46114</v>
      </c>
      <c r="N1750" s="2">
        <v>46114</v>
      </c>
      <c r="O1750" t="s">
        <v>26</v>
      </c>
      <c r="P1750" t="s">
        <v>27</v>
      </c>
      <c r="Q1750" t="s">
        <v>28</v>
      </c>
      <c r="R1750" t="s">
        <v>29</v>
      </c>
    </row>
    <row r="1751" spans="1:18">
      <c r="A1751" t="s">
        <v>1883</v>
      </c>
      <c r="B1751" s="2">
        <v>45748</v>
      </c>
      <c r="C1751" t="s">
        <v>71</v>
      </c>
      <c r="D1751" t="s">
        <v>72</v>
      </c>
      <c r="E1751" t="s">
        <v>21</v>
      </c>
      <c r="F1751" t="s">
        <v>57</v>
      </c>
      <c r="G1751" t="s">
        <v>86</v>
      </c>
      <c r="H1751" t="s">
        <v>87</v>
      </c>
      <c r="I1751">
        <v>1</v>
      </c>
      <c r="J1751" s="3">
        <v>10464.65</v>
      </c>
      <c r="K1751" s="3">
        <v>10464.65</v>
      </c>
      <c r="L1751" t="s">
        <v>52</v>
      </c>
      <c r="M1751" s="2">
        <v>45766</v>
      </c>
      <c r="N1751" s="2">
        <v>45763</v>
      </c>
      <c r="O1751" t="s">
        <v>60</v>
      </c>
      <c r="P1751" t="s">
        <v>27</v>
      </c>
      <c r="Q1751" t="s">
        <v>28</v>
      </c>
      <c r="R1751" t="s">
        <v>29</v>
      </c>
    </row>
    <row r="1752" spans="1:18">
      <c r="A1752" t="s">
        <v>1884</v>
      </c>
      <c r="B1752" s="2">
        <v>45800</v>
      </c>
      <c r="C1752" t="s">
        <v>89</v>
      </c>
      <c r="D1752" t="s">
        <v>90</v>
      </c>
      <c r="E1752" t="s">
        <v>31</v>
      </c>
      <c r="F1752" t="s">
        <v>91</v>
      </c>
      <c r="G1752" t="s">
        <v>109</v>
      </c>
      <c r="H1752" t="s">
        <v>110</v>
      </c>
      <c r="I1752">
        <v>1</v>
      </c>
      <c r="J1752" s="3">
        <v>12474.96</v>
      </c>
      <c r="K1752" s="3">
        <v>12474.96</v>
      </c>
      <c r="L1752" t="s">
        <v>34</v>
      </c>
      <c r="M1752" s="2">
        <v>45812</v>
      </c>
      <c r="N1752" s="2">
        <v>45810</v>
      </c>
      <c r="O1752" t="s">
        <v>43</v>
      </c>
      <c r="P1752" t="s">
        <v>35</v>
      </c>
      <c r="Q1752" t="s">
        <v>28</v>
      </c>
      <c r="R1752" t="s">
        <v>29</v>
      </c>
    </row>
    <row r="1753" spans="1:18">
      <c r="A1753" t="s">
        <v>1885</v>
      </c>
      <c r="B1753" s="2">
        <v>46155</v>
      </c>
      <c r="C1753" t="s">
        <v>71</v>
      </c>
      <c r="D1753" t="s">
        <v>72</v>
      </c>
      <c r="E1753" t="s">
        <v>48</v>
      </c>
      <c r="F1753" t="s">
        <v>57</v>
      </c>
      <c r="G1753" t="s">
        <v>127</v>
      </c>
      <c r="H1753" t="s">
        <v>128</v>
      </c>
      <c r="I1753">
        <v>3</v>
      </c>
      <c r="J1753" s="3">
        <v>15224.27</v>
      </c>
      <c r="K1753" s="3">
        <v>45672.81</v>
      </c>
      <c r="L1753" t="s">
        <v>25</v>
      </c>
      <c r="M1753" s="2">
        <v>46170</v>
      </c>
      <c r="N1753" s="2">
        <v>46169</v>
      </c>
      <c r="O1753" t="s">
        <v>26</v>
      </c>
      <c r="P1753" t="s">
        <v>53</v>
      </c>
      <c r="Q1753" t="s">
        <v>28</v>
      </c>
      <c r="R1753" t="s">
        <v>29</v>
      </c>
    </row>
    <row r="1754" spans="1:18">
      <c r="A1754" t="s">
        <v>1886</v>
      </c>
      <c r="B1754" s="2">
        <v>46024</v>
      </c>
      <c r="C1754" t="s">
        <v>104</v>
      </c>
      <c r="D1754" t="s">
        <v>105</v>
      </c>
      <c r="E1754" t="s">
        <v>48</v>
      </c>
      <c r="F1754" t="s">
        <v>49</v>
      </c>
      <c r="G1754" t="s">
        <v>50</v>
      </c>
      <c r="H1754" t="s">
        <v>51</v>
      </c>
      <c r="I1754">
        <v>3</v>
      </c>
      <c r="J1754" s="3">
        <v>51799.1</v>
      </c>
      <c r="K1754" s="3">
        <v>155397.29999999999</v>
      </c>
      <c r="L1754" t="s">
        <v>25</v>
      </c>
      <c r="M1754" s="2">
        <v>46031</v>
      </c>
      <c r="N1754" s="2">
        <v>46028</v>
      </c>
      <c r="O1754" t="s">
        <v>43</v>
      </c>
      <c r="P1754" t="s">
        <v>53</v>
      </c>
      <c r="Q1754" t="s">
        <v>28</v>
      </c>
      <c r="R1754" t="s">
        <v>29</v>
      </c>
    </row>
    <row r="1755" spans="1:18">
      <c r="A1755" t="s">
        <v>1887</v>
      </c>
      <c r="B1755" s="2">
        <v>45990</v>
      </c>
      <c r="C1755" t="s">
        <v>19</v>
      </c>
      <c r="D1755" t="s">
        <v>20</v>
      </c>
      <c r="E1755" t="s">
        <v>31</v>
      </c>
      <c r="F1755" t="s">
        <v>22</v>
      </c>
      <c r="G1755" t="s">
        <v>32</v>
      </c>
      <c r="H1755" t="s">
        <v>33</v>
      </c>
      <c r="I1755">
        <v>10</v>
      </c>
      <c r="J1755" s="3">
        <v>7430.06</v>
      </c>
      <c r="K1755" s="3">
        <v>74300.600000000006</v>
      </c>
      <c r="L1755" t="s">
        <v>34</v>
      </c>
      <c r="M1755" s="2">
        <v>45995</v>
      </c>
      <c r="N1755" s="2">
        <v>45994</v>
      </c>
      <c r="O1755" t="s">
        <v>43</v>
      </c>
      <c r="P1755" t="s">
        <v>94</v>
      </c>
      <c r="Q1755" t="s">
        <v>28</v>
      </c>
      <c r="R1755" t="s">
        <v>29</v>
      </c>
    </row>
    <row r="1756" spans="1:18">
      <c r="A1756" t="s">
        <v>1888</v>
      </c>
      <c r="B1756" s="2">
        <v>45989</v>
      </c>
      <c r="C1756" t="s">
        <v>71</v>
      </c>
      <c r="D1756" t="s">
        <v>72</v>
      </c>
      <c r="E1756" t="s">
        <v>31</v>
      </c>
      <c r="F1756" t="s">
        <v>57</v>
      </c>
      <c r="G1756" t="s">
        <v>86</v>
      </c>
      <c r="H1756" t="s">
        <v>87</v>
      </c>
      <c r="I1756">
        <v>8</v>
      </c>
      <c r="J1756" s="3">
        <v>10678.24</v>
      </c>
      <c r="K1756" s="3">
        <v>85425.919999999998</v>
      </c>
      <c r="L1756" t="s">
        <v>52</v>
      </c>
      <c r="M1756" s="2">
        <v>46000</v>
      </c>
      <c r="N1756" s="2">
        <v>45999</v>
      </c>
      <c r="O1756" t="s">
        <v>76</v>
      </c>
      <c r="P1756" t="s">
        <v>94</v>
      </c>
      <c r="Q1756" t="s">
        <v>28</v>
      </c>
      <c r="R1756" t="s">
        <v>29</v>
      </c>
    </row>
    <row r="1757" spans="1:18">
      <c r="A1757" t="s">
        <v>1889</v>
      </c>
      <c r="B1757" s="2">
        <v>45982</v>
      </c>
      <c r="C1757" t="s">
        <v>96</v>
      </c>
      <c r="D1757" t="s">
        <v>97</v>
      </c>
      <c r="E1757" t="s">
        <v>39</v>
      </c>
      <c r="F1757" t="s">
        <v>82</v>
      </c>
      <c r="G1757" t="s">
        <v>98</v>
      </c>
      <c r="H1757" t="s">
        <v>99</v>
      </c>
      <c r="I1757">
        <v>54</v>
      </c>
      <c r="J1757" s="3">
        <v>1161.1199999999999</v>
      </c>
      <c r="K1757" s="3">
        <v>62700.480000000003</v>
      </c>
      <c r="L1757" t="s">
        <v>34</v>
      </c>
      <c r="M1757" s="2">
        <v>45993</v>
      </c>
      <c r="N1757" s="2">
        <v>45992</v>
      </c>
      <c r="O1757" t="s">
        <v>26</v>
      </c>
      <c r="P1757" t="s">
        <v>44</v>
      </c>
      <c r="Q1757" t="s">
        <v>28</v>
      </c>
      <c r="R1757" t="s">
        <v>29</v>
      </c>
    </row>
    <row r="1758" spans="1:18">
      <c r="A1758" t="s">
        <v>1890</v>
      </c>
      <c r="B1758" s="2">
        <v>46063</v>
      </c>
      <c r="C1758" t="s">
        <v>96</v>
      </c>
      <c r="D1758" t="s">
        <v>97</v>
      </c>
      <c r="E1758" t="s">
        <v>39</v>
      </c>
      <c r="F1758" t="s">
        <v>82</v>
      </c>
      <c r="G1758" t="s">
        <v>98</v>
      </c>
      <c r="H1758" t="s">
        <v>99</v>
      </c>
      <c r="I1758">
        <v>24</v>
      </c>
      <c r="J1758" s="3">
        <v>1126.97</v>
      </c>
      <c r="K1758" s="3">
        <v>27047.279999999999</v>
      </c>
      <c r="L1758" t="s">
        <v>52</v>
      </c>
      <c r="M1758" s="2">
        <v>46076</v>
      </c>
      <c r="N1758" s="2">
        <v>46076</v>
      </c>
      <c r="O1758" t="s">
        <v>76</v>
      </c>
      <c r="P1758" t="s">
        <v>64</v>
      </c>
      <c r="Q1758" t="s">
        <v>28</v>
      </c>
      <c r="R1758" t="s">
        <v>29</v>
      </c>
    </row>
    <row r="1759" spans="1:18">
      <c r="A1759" t="s">
        <v>1891</v>
      </c>
      <c r="B1759" s="2">
        <v>45846</v>
      </c>
      <c r="C1759" t="s">
        <v>19</v>
      </c>
      <c r="D1759" t="s">
        <v>20</v>
      </c>
      <c r="E1759" t="s">
        <v>31</v>
      </c>
      <c r="F1759" t="s">
        <v>22</v>
      </c>
      <c r="G1759" t="s">
        <v>23</v>
      </c>
      <c r="H1759" t="s">
        <v>24</v>
      </c>
      <c r="I1759">
        <v>58</v>
      </c>
      <c r="J1759" s="3">
        <v>227.91</v>
      </c>
      <c r="K1759" s="3">
        <v>13218.78</v>
      </c>
      <c r="L1759" t="s">
        <v>52</v>
      </c>
      <c r="M1759" s="2">
        <v>45858</v>
      </c>
      <c r="N1759" s="2">
        <v>45855</v>
      </c>
      <c r="O1759" t="s">
        <v>26</v>
      </c>
      <c r="P1759" t="s">
        <v>94</v>
      </c>
      <c r="Q1759" t="s">
        <v>28</v>
      </c>
      <c r="R1759" t="s">
        <v>29</v>
      </c>
    </row>
    <row r="1760" spans="1:18">
      <c r="A1760" t="s">
        <v>1892</v>
      </c>
      <c r="B1760" s="2">
        <v>45802</v>
      </c>
      <c r="C1760" t="s">
        <v>37</v>
      </c>
      <c r="D1760" t="s">
        <v>38</v>
      </c>
      <c r="E1760" t="s">
        <v>39</v>
      </c>
      <c r="F1760" t="s">
        <v>22</v>
      </c>
      <c r="G1760" t="s">
        <v>32</v>
      </c>
      <c r="H1760" t="s">
        <v>33</v>
      </c>
      <c r="I1760">
        <v>1</v>
      </c>
      <c r="J1760" s="3">
        <v>8267.4699999999993</v>
      </c>
      <c r="K1760" s="3">
        <v>8267.4699999999993</v>
      </c>
      <c r="L1760" t="s">
        <v>34</v>
      </c>
      <c r="M1760" s="2">
        <v>45808</v>
      </c>
      <c r="N1760" s="2">
        <v>45805</v>
      </c>
      <c r="O1760" t="s">
        <v>43</v>
      </c>
      <c r="P1760" t="s">
        <v>44</v>
      </c>
      <c r="Q1760" t="s">
        <v>28</v>
      </c>
      <c r="R1760" t="s">
        <v>29</v>
      </c>
    </row>
    <row r="1761" spans="1:18">
      <c r="A1761" t="s">
        <v>1893</v>
      </c>
      <c r="B1761" s="2">
        <v>45939</v>
      </c>
      <c r="C1761" t="s">
        <v>71</v>
      </c>
      <c r="D1761" t="s">
        <v>72</v>
      </c>
      <c r="E1761" t="s">
        <v>48</v>
      </c>
      <c r="F1761" t="s">
        <v>57</v>
      </c>
      <c r="G1761" t="s">
        <v>74</v>
      </c>
      <c r="H1761" t="s">
        <v>75</v>
      </c>
      <c r="I1761">
        <v>3</v>
      </c>
      <c r="J1761" s="3">
        <v>8212.92</v>
      </c>
      <c r="K1761" s="3">
        <v>24638.76</v>
      </c>
      <c r="L1761" t="s">
        <v>25</v>
      </c>
      <c r="M1761" s="2">
        <v>45946</v>
      </c>
      <c r="N1761" s="2">
        <v>45961</v>
      </c>
      <c r="O1761" t="s">
        <v>26</v>
      </c>
      <c r="P1761" t="s">
        <v>53</v>
      </c>
      <c r="Q1761" t="s">
        <v>28</v>
      </c>
      <c r="R1761" t="s">
        <v>129</v>
      </c>
    </row>
    <row r="1762" spans="1:18">
      <c r="A1762" t="s">
        <v>1894</v>
      </c>
      <c r="B1762" s="2">
        <v>45674</v>
      </c>
      <c r="C1762" t="s">
        <v>19</v>
      </c>
      <c r="D1762" t="s">
        <v>20</v>
      </c>
      <c r="E1762" t="s">
        <v>112</v>
      </c>
      <c r="F1762" t="s">
        <v>22</v>
      </c>
      <c r="G1762" t="s">
        <v>160</v>
      </c>
      <c r="H1762" t="s">
        <v>161</v>
      </c>
      <c r="I1762">
        <v>3</v>
      </c>
      <c r="J1762" s="3">
        <v>2986.6</v>
      </c>
      <c r="K1762" s="3">
        <v>8959.7999999999993</v>
      </c>
      <c r="L1762" t="s">
        <v>52</v>
      </c>
      <c r="M1762" s="2">
        <v>45691</v>
      </c>
      <c r="N1762" s="2">
        <v>45690</v>
      </c>
      <c r="O1762" t="s">
        <v>60</v>
      </c>
      <c r="P1762" t="s">
        <v>115</v>
      </c>
      <c r="Q1762" t="s">
        <v>28</v>
      </c>
      <c r="R1762" t="s">
        <v>29</v>
      </c>
    </row>
    <row r="1763" spans="1:18">
      <c r="A1763" t="s">
        <v>1895</v>
      </c>
      <c r="B1763" s="2">
        <v>46120</v>
      </c>
      <c r="C1763" t="s">
        <v>55</v>
      </c>
      <c r="D1763" t="s">
        <v>56</v>
      </c>
      <c r="E1763" t="s">
        <v>73</v>
      </c>
      <c r="F1763" t="s">
        <v>57</v>
      </c>
      <c r="G1763" t="s">
        <v>120</v>
      </c>
      <c r="H1763" t="s">
        <v>121</v>
      </c>
      <c r="I1763">
        <v>6</v>
      </c>
      <c r="J1763" s="3">
        <v>23382.42</v>
      </c>
      <c r="K1763" s="3">
        <v>140294.51999999999</v>
      </c>
      <c r="L1763" t="s">
        <v>34</v>
      </c>
      <c r="M1763" s="2">
        <v>46132</v>
      </c>
      <c r="N1763" s="2">
        <v>46132</v>
      </c>
      <c r="O1763" t="s">
        <v>76</v>
      </c>
      <c r="P1763" t="s">
        <v>77</v>
      </c>
      <c r="Q1763" t="s">
        <v>28</v>
      </c>
      <c r="R1763" t="s">
        <v>29</v>
      </c>
    </row>
    <row r="1764" spans="1:18">
      <c r="A1764" t="s">
        <v>1896</v>
      </c>
      <c r="B1764" s="2">
        <v>46165</v>
      </c>
      <c r="C1764" t="s">
        <v>104</v>
      </c>
      <c r="D1764" t="s">
        <v>105</v>
      </c>
      <c r="E1764" t="s">
        <v>48</v>
      </c>
      <c r="F1764" t="s">
        <v>49</v>
      </c>
      <c r="G1764" t="s">
        <v>50</v>
      </c>
      <c r="H1764" t="s">
        <v>51</v>
      </c>
      <c r="I1764">
        <v>1</v>
      </c>
      <c r="J1764" s="3">
        <v>51342.39</v>
      </c>
      <c r="K1764" s="3">
        <v>51342.39</v>
      </c>
      <c r="L1764" t="s">
        <v>25</v>
      </c>
      <c r="M1764" s="2">
        <v>46173</v>
      </c>
      <c r="N1764" s="2">
        <v>46173</v>
      </c>
      <c r="O1764" t="s">
        <v>60</v>
      </c>
      <c r="P1764" t="s">
        <v>53</v>
      </c>
      <c r="Q1764" t="s">
        <v>28</v>
      </c>
      <c r="R1764" t="s">
        <v>29</v>
      </c>
    </row>
    <row r="1765" spans="1:18">
      <c r="A1765" t="s">
        <v>1897</v>
      </c>
      <c r="B1765" s="2">
        <v>46184</v>
      </c>
      <c r="C1765" t="s">
        <v>66</v>
      </c>
      <c r="D1765" t="s">
        <v>67</v>
      </c>
      <c r="E1765" t="s">
        <v>48</v>
      </c>
      <c r="F1765" t="s">
        <v>49</v>
      </c>
      <c r="G1765" t="s">
        <v>50</v>
      </c>
      <c r="H1765" t="s">
        <v>51</v>
      </c>
      <c r="I1765">
        <v>1</v>
      </c>
      <c r="J1765" s="3">
        <v>50971.68</v>
      </c>
      <c r="K1765" s="3">
        <v>50971.68</v>
      </c>
      <c r="L1765" t="s">
        <v>34</v>
      </c>
      <c r="M1765" s="2">
        <v>46199</v>
      </c>
      <c r="N1765" s="2">
        <v>46197</v>
      </c>
      <c r="O1765" t="s">
        <v>60</v>
      </c>
      <c r="P1765" t="s">
        <v>53</v>
      </c>
      <c r="Q1765" t="s">
        <v>28</v>
      </c>
      <c r="R1765" t="s">
        <v>29</v>
      </c>
    </row>
    <row r="1766" spans="1:18">
      <c r="A1766" t="s">
        <v>1898</v>
      </c>
      <c r="B1766" s="2">
        <v>45879</v>
      </c>
      <c r="C1766" t="s">
        <v>104</v>
      </c>
      <c r="D1766" t="s">
        <v>105</v>
      </c>
      <c r="E1766" t="s">
        <v>73</v>
      </c>
      <c r="F1766" t="s">
        <v>49</v>
      </c>
      <c r="G1766" t="s">
        <v>165</v>
      </c>
      <c r="H1766" t="s">
        <v>166</v>
      </c>
      <c r="I1766">
        <v>2</v>
      </c>
      <c r="J1766" s="3">
        <v>43318.66</v>
      </c>
      <c r="K1766" s="3">
        <v>86637.32</v>
      </c>
      <c r="L1766" t="s">
        <v>25</v>
      </c>
      <c r="M1766" s="2">
        <v>45891</v>
      </c>
      <c r="N1766" s="2">
        <v>45888</v>
      </c>
      <c r="O1766" t="s">
        <v>76</v>
      </c>
      <c r="P1766" t="s">
        <v>77</v>
      </c>
      <c r="Q1766" t="s">
        <v>28</v>
      </c>
      <c r="R1766" t="s">
        <v>29</v>
      </c>
    </row>
    <row r="1767" spans="1:18">
      <c r="A1767" t="s">
        <v>1899</v>
      </c>
      <c r="B1767" s="2">
        <v>45915</v>
      </c>
      <c r="C1767" t="s">
        <v>66</v>
      </c>
      <c r="D1767" t="s">
        <v>67</v>
      </c>
      <c r="E1767" t="s">
        <v>112</v>
      </c>
      <c r="F1767" t="s">
        <v>49</v>
      </c>
      <c r="G1767" t="s">
        <v>68</v>
      </c>
      <c r="H1767" t="s">
        <v>69</v>
      </c>
      <c r="I1767">
        <v>3</v>
      </c>
      <c r="J1767" s="3">
        <v>47591.11</v>
      </c>
      <c r="K1767" s="3">
        <v>142773.32999999999</v>
      </c>
      <c r="L1767" t="s">
        <v>25</v>
      </c>
      <c r="M1767" s="2">
        <v>45920</v>
      </c>
      <c r="N1767" s="2">
        <v>45918</v>
      </c>
      <c r="O1767" t="s">
        <v>43</v>
      </c>
      <c r="P1767" t="s">
        <v>115</v>
      </c>
      <c r="Q1767" t="s">
        <v>28</v>
      </c>
      <c r="R1767" t="s">
        <v>29</v>
      </c>
    </row>
    <row r="1768" spans="1:18">
      <c r="A1768" t="s">
        <v>1900</v>
      </c>
      <c r="B1768" s="2">
        <v>45690</v>
      </c>
      <c r="C1768" t="s">
        <v>117</v>
      </c>
      <c r="D1768" t="s">
        <v>118</v>
      </c>
      <c r="E1768" t="s">
        <v>31</v>
      </c>
      <c r="F1768" t="s">
        <v>57</v>
      </c>
      <c r="G1768" t="s">
        <v>74</v>
      </c>
      <c r="H1768" t="s">
        <v>75</v>
      </c>
      <c r="I1768">
        <v>1</v>
      </c>
      <c r="J1768" s="3">
        <v>9018.9500000000007</v>
      </c>
      <c r="K1768" s="3">
        <v>9018.9500000000007</v>
      </c>
      <c r="L1768" t="s">
        <v>52</v>
      </c>
      <c r="M1768" s="2">
        <v>45702</v>
      </c>
      <c r="N1768" s="2">
        <v>45701</v>
      </c>
      <c r="O1768" t="s">
        <v>26</v>
      </c>
      <c r="P1768" t="s">
        <v>94</v>
      </c>
      <c r="Q1768" t="s">
        <v>28</v>
      </c>
      <c r="R1768" t="s">
        <v>29</v>
      </c>
    </row>
    <row r="1769" spans="1:18">
      <c r="A1769" t="s">
        <v>1901</v>
      </c>
      <c r="B1769" s="2">
        <v>46136</v>
      </c>
      <c r="C1769" t="s">
        <v>147</v>
      </c>
      <c r="D1769" t="s">
        <v>148</v>
      </c>
      <c r="E1769" t="s">
        <v>112</v>
      </c>
      <c r="F1769" t="s">
        <v>40</v>
      </c>
      <c r="G1769" t="s">
        <v>149</v>
      </c>
      <c r="H1769" t="s">
        <v>150</v>
      </c>
      <c r="I1769">
        <v>22</v>
      </c>
      <c r="J1769" s="3">
        <v>1313.01</v>
      </c>
      <c r="K1769" s="3">
        <v>28886.22</v>
      </c>
      <c r="L1769" t="s">
        <v>377</v>
      </c>
      <c r="M1769" s="2">
        <v>46151</v>
      </c>
      <c r="N1769" s="2">
        <v>46149</v>
      </c>
      <c r="O1769" t="s">
        <v>43</v>
      </c>
      <c r="P1769" t="s">
        <v>115</v>
      </c>
      <c r="Q1769" t="s">
        <v>28</v>
      </c>
      <c r="R1769" t="s">
        <v>29</v>
      </c>
    </row>
    <row r="1770" spans="1:18">
      <c r="A1770" t="s">
        <v>1902</v>
      </c>
      <c r="B1770" s="2">
        <v>45687</v>
      </c>
      <c r="C1770" t="s">
        <v>96</v>
      </c>
      <c r="D1770" t="s">
        <v>97</v>
      </c>
      <c r="E1770" t="s">
        <v>39</v>
      </c>
      <c r="F1770" t="s">
        <v>82</v>
      </c>
      <c r="G1770" t="s">
        <v>98</v>
      </c>
      <c r="H1770" t="s">
        <v>99</v>
      </c>
      <c r="I1770">
        <v>13</v>
      </c>
      <c r="J1770" s="3">
        <v>1119.06</v>
      </c>
      <c r="K1770" s="3">
        <v>14547.78</v>
      </c>
      <c r="L1770" t="s">
        <v>25</v>
      </c>
      <c r="M1770" s="2">
        <v>45703</v>
      </c>
      <c r="N1770" s="2">
        <v>45703</v>
      </c>
      <c r="O1770" t="s">
        <v>76</v>
      </c>
      <c r="P1770" t="s">
        <v>64</v>
      </c>
      <c r="Q1770" t="s">
        <v>28</v>
      </c>
      <c r="R1770" t="s">
        <v>29</v>
      </c>
    </row>
    <row r="1771" spans="1:18">
      <c r="A1771" t="s">
        <v>1903</v>
      </c>
      <c r="B1771" s="2">
        <v>45754</v>
      </c>
      <c r="C1771" t="s">
        <v>37</v>
      </c>
      <c r="D1771" t="s">
        <v>38</v>
      </c>
      <c r="E1771" t="s">
        <v>21</v>
      </c>
      <c r="F1771" t="s">
        <v>22</v>
      </c>
      <c r="G1771" t="s">
        <v>23</v>
      </c>
      <c r="H1771" t="s">
        <v>24</v>
      </c>
      <c r="I1771">
        <v>54</v>
      </c>
      <c r="J1771" s="3">
        <v>265.74</v>
      </c>
      <c r="K1771" s="3">
        <v>14349.96</v>
      </c>
      <c r="L1771" t="s">
        <v>34</v>
      </c>
      <c r="M1771" s="2">
        <v>45769</v>
      </c>
      <c r="N1771" s="2">
        <v>45768</v>
      </c>
      <c r="O1771" t="s">
        <v>60</v>
      </c>
      <c r="P1771" t="s">
        <v>27</v>
      </c>
      <c r="Q1771" t="s">
        <v>28</v>
      </c>
      <c r="R1771" t="s">
        <v>29</v>
      </c>
    </row>
    <row r="1772" spans="1:18">
      <c r="A1772" t="s">
        <v>1904</v>
      </c>
      <c r="B1772" s="2">
        <v>45850</v>
      </c>
      <c r="C1772" t="s">
        <v>117</v>
      </c>
      <c r="D1772" t="s">
        <v>118</v>
      </c>
      <c r="E1772" t="s">
        <v>48</v>
      </c>
      <c r="F1772" t="s">
        <v>57</v>
      </c>
      <c r="G1772" t="s">
        <v>101</v>
      </c>
      <c r="H1772" t="s">
        <v>102</v>
      </c>
      <c r="I1772">
        <v>41</v>
      </c>
      <c r="J1772" s="3">
        <v>1847.65</v>
      </c>
      <c r="K1772" s="3">
        <v>75753.649999999994</v>
      </c>
      <c r="L1772" t="s">
        <v>25</v>
      </c>
      <c r="M1772" s="2">
        <v>45855</v>
      </c>
      <c r="N1772" s="2">
        <v>45854</v>
      </c>
      <c r="O1772" t="s">
        <v>26</v>
      </c>
      <c r="P1772" t="s">
        <v>53</v>
      </c>
      <c r="Q1772" t="s">
        <v>28</v>
      </c>
      <c r="R1772" t="s">
        <v>29</v>
      </c>
    </row>
    <row r="1773" spans="1:18">
      <c r="A1773" t="s">
        <v>1905</v>
      </c>
      <c r="B1773" s="2">
        <v>45928</v>
      </c>
      <c r="C1773" t="s">
        <v>131</v>
      </c>
      <c r="D1773" t="s">
        <v>132</v>
      </c>
      <c r="E1773" t="s">
        <v>73</v>
      </c>
      <c r="F1773" t="s">
        <v>57</v>
      </c>
      <c r="G1773" t="s">
        <v>74</v>
      </c>
      <c r="H1773" t="s">
        <v>75</v>
      </c>
      <c r="I1773">
        <v>6</v>
      </c>
      <c r="J1773" s="3">
        <v>9373.5</v>
      </c>
      <c r="K1773" s="3">
        <v>56241</v>
      </c>
      <c r="L1773" t="s">
        <v>25</v>
      </c>
      <c r="M1773" s="2">
        <v>45934</v>
      </c>
      <c r="N1773" s="2">
        <v>45932</v>
      </c>
      <c r="O1773" t="s">
        <v>26</v>
      </c>
      <c r="P1773" t="s">
        <v>77</v>
      </c>
      <c r="Q1773" t="s">
        <v>28</v>
      </c>
      <c r="R1773" t="s">
        <v>29</v>
      </c>
    </row>
    <row r="1774" spans="1:18">
      <c r="A1774" t="s">
        <v>1906</v>
      </c>
      <c r="B1774" s="2">
        <v>46014</v>
      </c>
      <c r="C1774" t="s">
        <v>147</v>
      </c>
      <c r="D1774" t="s">
        <v>148</v>
      </c>
      <c r="E1774" t="s">
        <v>112</v>
      </c>
      <c r="F1774" t="s">
        <v>40</v>
      </c>
      <c r="G1774" t="s">
        <v>62</v>
      </c>
      <c r="H1774" t="s">
        <v>63</v>
      </c>
      <c r="I1774">
        <v>2</v>
      </c>
      <c r="J1774" s="3">
        <v>18325.419999999998</v>
      </c>
      <c r="K1774" s="3">
        <v>36650.839999999997</v>
      </c>
      <c r="L1774" t="s">
        <v>25</v>
      </c>
      <c r="M1774" s="2">
        <v>46028</v>
      </c>
      <c r="N1774" s="2">
        <v>46028</v>
      </c>
      <c r="O1774" t="s">
        <v>76</v>
      </c>
      <c r="P1774" t="s">
        <v>115</v>
      </c>
      <c r="Q1774" t="s">
        <v>28</v>
      </c>
      <c r="R1774" t="s">
        <v>29</v>
      </c>
    </row>
    <row r="1775" spans="1:18">
      <c r="A1775" t="s">
        <v>1907</v>
      </c>
      <c r="B1775" s="2">
        <v>46024</v>
      </c>
      <c r="C1775" t="s">
        <v>66</v>
      </c>
      <c r="D1775" t="s">
        <v>67</v>
      </c>
      <c r="E1775" t="s">
        <v>48</v>
      </c>
      <c r="F1775" t="s">
        <v>49</v>
      </c>
      <c r="G1775" t="s">
        <v>113</v>
      </c>
      <c r="H1775" t="s">
        <v>114</v>
      </c>
      <c r="I1775">
        <v>2</v>
      </c>
      <c r="J1775" s="3">
        <v>36771.870000000003</v>
      </c>
      <c r="K1775" s="3">
        <v>73543.740000000005</v>
      </c>
      <c r="L1775" t="s">
        <v>25</v>
      </c>
      <c r="M1775" s="2">
        <v>46031</v>
      </c>
      <c r="N1775" s="2">
        <v>46031</v>
      </c>
      <c r="O1775" t="s">
        <v>26</v>
      </c>
      <c r="P1775" t="s">
        <v>53</v>
      </c>
      <c r="Q1775" t="s">
        <v>28</v>
      </c>
      <c r="R1775" t="s">
        <v>29</v>
      </c>
    </row>
    <row r="1776" spans="1:18">
      <c r="A1776" t="s">
        <v>1908</v>
      </c>
      <c r="B1776" s="2">
        <v>46110</v>
      </c>
      <c r="C1776" t="s">
        <v>19</v>
      </c>
      <c r="D1776" t="s">
        <v>20</v>
      </c>
      <c r="E1776" t="s">
        <v>39</v>
      </c>
      <c r="F1776" t="s">
        <v>1043</v>
      </c>
      <c r="G1776" t="s">
        <v>23</v>
      </c>
      <c r="H1776" t="s">
        <v>24</v>
      </c>
      <c r="I1776">
        <v>28</v>
      </c>
      <c r="J1776" s="3">
        <v>235.77</v>
      </c>
      <c r="K1776" s="3">
        <v>6601.56</v>
      </c>
      <c r="L1776" t="s">
        <v>34</v>
      </c>
      <c r="M1776" s="2">
        <v>46121</v>
      </c>
      <c r="N1776" s="2">
        <v>46120</v>
      </c>
      <c r="O1776" t="s">
        <v>76</v>
      </c>
      <c r="P1776" t="s">
        <v>64</v>
      </c>
      <c r="Q1776" t="s">
        <v>28</v>
      </c>
      <c r="R1776" t="s">
        <v>29</v>
      </c>
    </row>
    <row r="1777" spans="1:18">
      <c r="A1777" t="s">
        <v>1909</v>
      </c>
      <c r="B1777" s="2">
        <v>45687</v>
      </c>
      <c r="C1777" t="s">
        <v>142</v>
      </c>
      <c r="D1777" t="s">
        <v>143</v>
      </c>
      <c r="E1777" t="s">
        <v>31</v>
      </c>
      <c r="F1777" t="s">
        <v>22</v>
      </c>
      <c r="G1777" t="s">
        <v>32</v>
      </c>
      <c r="H1777" t="s">
        <v>33</v>
      </c>
      <c r="I1777">
        <v>10</v>
      </c>
      <c r="J1777" s="3">
        <v>7600.17</v>
      </c>
      <c r="K1777" s="3">
        <v>76001.7</v>
      </c>
      <c r="L1777" t="s">
        <v>34</v>
      </c>
      <c r="M1777" s="2">
        <v>45701</v>
      </c>
      <c r="N1777" s="2">
        <v>45698</v>
      </c>
      <c r="O1777" t="s">
        <v>43</v>
      </c>
      <c r="P1777" t="s">
        <v>35</v>
      </c>
      <c r="Q1777" t="s">
        <v>28</v>
      </c>
      <c r="R1777" t="s">
        <v>29</v>
      </c>
    </row>
    <row r="1778" spans="1:18">
      <c r="A1778" t="s">
        <v>1910</v>
      </c>
      <c r="B1778" s="2">
        <v>45904</v>
      </c>
      <c r="C1778" t="s">
        <v>104</v>
      </c>
      <c r="D1778" t="s">
        <v>105</v>
      </c>
      <c r="E1778" t="s">
        <v>48</v>
      </c>
      <c r="F1778" t="s">
        <v>49</v>
      </c>
      <c r="G1778" t="s">
        <v>113</v>
      </c>
      <c r="H1778" t="s">
        <v>114</v>
      </c>
      <c r="I1778">
        <v>1</v>
      </c>
      <c r="J1778" s="3">
        <v>38169.730000000003</v>
      </c>
      <c r="K1778" s="3">
        <v>38169.730000000003</v>
      </c>
      <c r="L1778" t="s">
        <v>34</v>
      </c>
      <c r="M1778" s="2">
        <v>45913</v>
      </c>
      <c r="N1778" s="2">
        <v>45911</v>
      </c>
      <c r="O1778" t="s">
        <v>26</v>
      </c>
      <c r="P1778" t="s">
        <v>53</v>
      </c>
      <c r="Q1778" t="s">
        <v>28</v>
      </c>
      <c r="R1778" t="s">
        <v>29</v>
      </c>
    </row>
    <row r="1779" spans="1:18">
      <c r="A1779" t="s">
        <v>1911</v>
      </c>
      <c r="B1779" s="2">
        <v>46086</v>
      </c>
      <c r="C1779" t="s">
        <v>131</v>
      </c>
      <c r="D1779" t="s">
        <v>132</v>
      </c>
      <c r="E1779" t="s">
        <v>48</v>
      </c>
      <c r="F1779" t="s">
        <v>57</v>
      </c>
      <c r="G1779" t="s">
        <v>86</v>
      </c>
      <c r="H1779" t="s">
        <v>87</v>
      </c>
      <c r="I1779">
        <v>4</v>
      </c>
      <c r="J1779" s="3">
        <v>11188.42</v>
      </c>
      <c r="K1779" s="3">
        <v>44753.68</v>
      </c>
      <c r="L1779" t="s">
        <v>25</v>
      </c>
      <c r="M1779" s="2">
        <v>46104</v>
      </c>
      <c r="N1779" s="2">
        <v>46104</v>
      </c>
      <c r="O1779" t="s">
        <v>76</v>
      </c>
      <c r="P1779" t="s">
        <v>53</v>
      </c>
      <c r="Q1779" t="s">
        <v>28</v>
      </c>
      <c r="R1779" t="s">
        <v>29</v>
      </c>
    </row>
    <row r="1780" spans="1:18">
      <c r="A1780" t="s">
        <v>1912</v>
      </c>
      <c r="B1780" s="2">
        <v>45956</v>
      </c>
      <c r="C1780" t="s">
        <v>134</v>
      </c>
      <c r="D1780" t="s">
        <v>135</v>
      </c>
      <c r="E1780" t="s">
        <v>39</v>
      </c>
      <c r="F1780" t="s">
        <v>40</v>
      </c>
      <c r="G1780" t="s">
        <v>149</v>
      </c>
      <c r="H1780" t="s">
        <v>150</v>
      </c>
      <c r="I1780">
        <v>59</v>
      </c>
      <c r="J1780" s="3">
        <v>1340.5</v>
      </c>
      <c r="K1780" s="3">
        <v>79089.5</v>
      </c>
      <c r="L1780" t="s">
        <v>34</v>
      </c>
      <c r="M1780" s="2">
        <v>45971</v>
      </c>
      <c r="N1780" s="2">
        <v>45970</v>
      </c>
      <c r="O1780" t="s">
        <v>26</v>
      </c>
      <c r="P1780" t="s">
        <v>64</v>
      </c>
      <c r="Q1780" t="s">
        <v>28</v>
      </c>
      <c r="R1780" t="s">
        <v>29</v>
      </c>
    </row>
    <row r="1781" spans="1:18">
      <c r="A1781" t="s">
        <v>1913</v>
      </c>
      <c r="B1781" s="2">
        <v>45910</v>
      </c>
      <c r="C1781" t="s">
        <v>71</v>
      </c>
      <c r="D1781" t="s">
        <v>72</v>
      </c>
      <c r="E1781" t="s">
        <v>31</v>
      </c>
      <c r="F1781" t="s">
        <v>57</v>
      </c>
      <c r="G1781" t="s">
        <v>74</v>
      </c>
      <c r="H1781" t="s">
        <v>75</v>
      </c>
      <c r="I1781">
        <v>10</v>
      </c>
      <c r="J1781" s="3">
        <v>7909.75</v>
      </c>
      <c r="K1781" s="3">
        <v>79097.5</v>
      </c>
      <c r="L1781" t="s">
        <v>25</v>
      </c>
      <c r="M1781" s="2">
        <v>45916</v>
      </c>
      <c r="N1781" s="2">
        <v>45923</v>
      </c>
      <c r="O1781" t="s">
        <v>43</v>
      </c>
      <c r="P1781" t="s">
        <v>35</v>
      </c>
      <c r="Q1781" t="s">
        <v>28</v>
      </c>
      <c r="R1781" t="s">
        <v>129</v>
      </c>
    </row>
    <row r="1782" spans="1:18">
      <c r="A1782" t="s">
        <v>1914</v>
      </c>
      <c r="B1782" s="2">
        <v>45922</v>
      </c>
      <c r="C1782" t="s">
        <v>80</v>
      </c>
      <c r="D1782" t="s">
        <v>81</v>
      </c>
      <c r="E1782" t="s">
        <v>39</v>
      </c>
      <c r="F1782" t="s">
        <v>82</v>
      </c>
      <c r="G1782" t="s">
        <v>83</v>
      </c>
      <c r="H1782" t="s">
        <v>84</v>
      </c>
      <c r="I1782">
        <v>44</v>
      </c>
      <c r="J1782" s="3">
        <v>671.95</v>
      </c>
      <c r="K1782" s="3">
        <v>29565.8</v>
      </c>
      <c r="L1782" t="s">
        <v>52</v>
      </c>
      <c r="M1782" s="2">
        <v>45932</v>
      </c>
      <c r="N1782" s="2">
        <v>45932</v>
      </c>
      <c r="O1782" t="s">
        <v>26</v>
      </c>
      <c r="P1782" t="s">
        <v>44</v>
      </c>
      <c r="Q1782" t="s">
        <v>28</v>
      </c>
      <c r="R1782" t="s">
        <v>29</v>
      </c>
    </row>
    <row r="1783" spans="1:18">
      <c r="A1783" t="s">
        <v>1915</v>
      </c>
      <c r="B1783" s="2">
        <v>46153</v>
      </c>
      <c r="C1783" t="s">
        <v>71</v>
      </c>
      <c r="D1783" t="s">
        <v>72</v>
      </c>
      <c r="E1783" t="s">
        <v>31</v>
      </c>
      <c r="F1783" t="s">
        <v>57</v>
      </c>
      <c r="G1783" t="s">
        <v>101</v>
      </c>
      <c r="H1783" t="s">
        <v>102</v>
      </c>
      <c r="I1783">
        <v>12</v>
      </c>
      <c r="J1783" s="3">
        <v>1719.69</v>
      </c>
      <c r="K1783" s="3">
        <v>20636.28</v>
      </c>
      <c r="L1783" t="s">
        <v>25</v>
      </c>
      <c r="M1783" s="2">
        <v>46168</v>
      </c>
      <c r="N1783" s="2">
        <v>46167</v>
      </c>
      <c r="O1783" t="s">
        <v>76</v>
      </c>
      <c r="P1783" t="s">
        <v>94</v>
      </c>
      <c r="Q1783" t="s">
        <v>28</v>
      </c>
      <c r="R1783" t="s">
        <v>29</v>
      </c>
    </row>
    <row r="1784" spans="1:18">
      <c r="A1784" t="s">
        <v>1916</v>
      </c>
      <c r="B1784" s="2">
        <v>46120</v>
      </c>
      <c r="C1784" t="s">
        <v>142</v>
      </c>
      <c r="D1784" t="s">
        <v>143</v>
      </c>
      <c r="E1784" t="s">
        <v>39</v>
      </c>
      <c r="F1784" t="s">
        <v>22</v>
      </c>
      <c r="G1784" t="s">
        <v>160</v>
      </c>
      <c r="H1784" t="s">
        <v>161</v>
      </c>
      <c r="I1784">
        <v>12</v>
      </c>
      <c r="J1784" s="3">
        <v>3198.18</v>
      </c>
      <c r="K1784" s="3">
        <v>38378.160000000003</v>
      </c>
      <c r="L1784" t="s">
        <v>25</v>
      </c>
      <c r="M1784" s="2">
        <v>46125</v>
      </c>
      <c r="N1784" s="2">
        <v>46122</v>
      </c>
      <c r="O1784" t="s">
        <v>26</v>
      </c>
      <c r="P1784" t="s">
        <v>64</v>
      </c>
      <c r="Q1784" t="s">
        <v>28</v>
      </c>
      <c r="R1784" t="s">
        <v>29</v>
      </c>
    </row>
    <row r="1785" spans="1:18">
      <c r="A1785" t="s">
        <v>1917</v>
      </c>
      <c r="B1785" s="2">
        <v>45758</v>
      </c>
      <c r="C1785" t="s">
        <v>71</v>
      </c>
      <c r="D1785" t="s">
        <v>72</v>
      </c>
      <c r="E1785" t="s">
        <v>21</v>
      </c>
      <c r="F1785" t="s">
        <v>57</v>
      </c>
      <c r="G1785" t="s">
        <v>101</v>
      </c>
      <c r="H1785" t="s">
        <v>102</v>
      </c>
      <c r="I1785">
        <v>48</v>
      </c>
      <c r="J1785" s="3">
        <v>1683.23</v>
      </c>
      <c r="K1785" s="3">
        <v>80795.039999999994</v>
      </c>
      <c r="L1785" t="s">
        <v>25</v>
      </c>
      <c r="M1785" s="2">
        <v>45770</v>
      </c>
      <c r="N1785" s="2">
        <v>45767</v>
      </c>
      <c r="O1785" t="s">
        <v>43</v>
      </c>
      <c r="P1785" t="s">
        <v>27</v>
      </c>
      <c r="Q1785" t="s">
        <v>28</v>
      </c>
      <c r="R1785" t="s">
        <v>29</v>
      </c>
    </row>
    <row r="1786" spans="1:18">
      <c r="A1786" t="s">
        <v>1918</v>
      </c>
      <c r="B1786" s="2">
        <v>45798</v>
      </c>
      <c r="C1786" t="s">
        <v>104</v>
      </c>
      <c r="D1786" t="s">
        <v>105</v>
      </c>
      <c r="E1786" t="s">
        <v>48</v>
      </c>
      <c r="F1786" t="s">
        <v>49</v>
      </c>
      <c r="G1786" t="s">
        <v>113</v>
      </c>
      <c r="H1786" t="s">
        <v>114</v>
      </c>
      <c r="I1786">
        <v>3</v>
      </c>
      <c r="J1786" s="3">
        <v>37478.699999999997</v>
      </c>
      <c r="K1786" s="3">
        <v>112436.1</v>
      </c>
      <c r="L1786" t="s">
        <v>25</v>
      </c>
      <c r="M1786" s="2">
        <v>45814</v>
      </c>
      <c r="N1786" s="2">
        <v>45814</v>
      </c>
      <c r="O1786" t="s">
        <v>26</v>
      </c>
      <c r="P1786" t="s">
        <v>53</v>
      </c>
      <c r="Q1786" t="s">
        <v>28</v>
      </c>
      <c r="R1786" t="s">
        <v>29</v>
      </c>
    </row>
    <row r="1787" spans="1:18">
      <c r="A1787" t="s">
        <v>1919</v>
      </c>
      <c r="B1787" s="2">
        <v>45918</v>
      </c>
      <c r="C1787" t="s">
        <v>142</v>
      </c>
      <c r="D1787" t="s">
        <v>143</v>
      </c>
      <c r="E1787" t="s">
        <v>39</v>
      </c>
      <c r="F1787" t="s">
        <v>22</v>
      </c>
      <c r="G1787" t="s">
        <v>23</v>
      </c>
      <c r="H1787" t="s">
        <v>24</v>
      </c>
      <c r="I1787">
        <v>52</v>
      </c>
      <c r="J1787" s="3">
        <v>249.45</v>
      </c>
      <c r="K1787" s="3">
        <v>12971.4</v>
      </c>
      <c r="L1787" t="s">
        <v>34</v>
      </c>
      <c r="M1787" s="2">
        <v>45935</v>
      </c>
      <c r="N1787" s="2">
        <v>45932</v>
      </c>
      <c r="O1787" t="s">
        <v>43</v>
      </c>
      <c r="P1787" t="s">
        <v>64</v>
      </c>
      <c r="Q1787" t="s">
        <v>28</v>
      </c>
      <c r="R1787" t="s">
        <v>29</v>
      </c>
    </row>
    <row r="1788" spans="1:18">
      <c r="A1788" t="s">
        <v>1920</v>
      </c>
      <c r="B1788" s="2">
        <v>45975</v>
      </c>
      <c r="C1788" t="s">
        <v>142</v>
      </c>
      <c r="D1788" t="s">
        <v>143</v>
      </c>
      <c r="E1788" t="s">
        <v>112</v>
      </c>
      <c r="F1788" t="s">
        <v>22</v>
      </c>
      <c r="G1788" t="s">
        <v>32</v>
      </c>
      <c r="H1788" t="s">
        <v>33</v>
      </c>
      <c r="I1788">
        <v>13</v>
      </c>
      <c r="J1788" s="3">
        <v>8234.75</v>
      </c>
      <c r="K1788" s="3">
        <v>107051.75</v>
      </c>
      <c r="L1788" t="s">
        <v>34</v>
      </c>
      <c r="M1788" s="2">
        <v>45986</v>
      </c>
      <c r="N1788" s="2">
        <v>45998</v>
      </c>
      <c r="O1788" t="s">
        <v>76</v>
      </c>
      <c r="P1788" t="s">
        <v>115</v>
      </c>
      <c r="Q1788" t="s">
        <v>28</v>
      </c>
      <c r="R1788" t="s">
        <v>129</v>
      </c>
    </row>
    <row r="1789" spans="1:18">
      <c r="A1789" t="s">
        <v>1921</v>
      </c>
      <c r="B1789" s="2">
        <v>45868</v>
      </c>
      <c r="C1789" t="s">
        <v>104</v>
      </c>
      <c r="D1789" t="s">
        <v>105</v>
      </c>
      <c r="E1789" t="s">
        <v>48</v>
      </c>
      <c r="F1789" t="s">
        <v>49</v>
      </c>
      <c r="G1789" t="s">
        <v>165</v>
      </c>
      <c r="H1789" t="s">
        <v>166</v>
      </c>
      <c r="I1789">
        <v>1</v>
      </c>
      <c r="J1789" s="3">
        <v>43478.67</v>
      </c>
      <c r="K1789" s="3">
        <v>43478.67</v>
      </c>
      <c r="L1789" t="s">
        <v>25</v>
      </c>
      <c r="M1789" s="2">
        <v>45876</v>
      </c>
      <c r="N1789" s="2">
        <v>45876</v>
      </c>
      <c r="O1789" t="s">
        <v>26</v>
      </c>
      <c r="P1789" t="s">
        <v>53</v>
      </c>
      <c r="Q1789" t="s">
        <v>28</v>
      </c>
      <c r="R1789" t="s">
        <v>29</v>
      </c>
    </row>
    <row r="1790" spans="1:18">
      <c r="A1790" t="s">
        <v>1922</v>
      </c>
      <c r="B1790" s="2">
        <v>46115</v>
      </c>
      <c r="C1790" t="s">
        <v>37</v>
      </c>
      <c r="D1790" t="s">
        <v>38</v>
      </c>
      <c r="E1790" t="s">
        <v>39</v>
      </c>
      <c r="F1790" t="s">
        <v>40</v>
      </c>
      <c r="G1790" t="s">
        <v>41</v>
      </c>
      <c r="H1790" t="s">
        <v>42</v>
      </c>
      <c r="I1790">
        <v>1</v>
      </c>
      <c r="J1790" s="3">
        <v>5692.91</v>
      </c>
      <c r="K1790" s="3">
        <v>5692.91</v>
      </c>
      <c r="L1790" t="s">
        <v>25</v>
      </c>
      <c r="M1790" s="2">
        <v>46121</v>
      </c>
      <c r="N1790" s="2">
        <v>46120</v>
      </c>
      <c r="O1790" t="s">
        <v>43</v>
      </c>
      <c r="P1790" t="s">
        <v>64</v>
      </c>
      <c r="Q1790" t="s">
        <v>28</v>
      </c>
      <c r="R1790" t="s">
        <v>29</v>
      </c>
    </row>
    <row r="1791" spans="1:18">
      <c r="A1791" t="s">
        <v>1923</v>
      </c>
      <c r="B1791" s="2">
        <v>45831</v>
      </c>
      <c r="C1791" t="s">
        <v>19</v>
      </c>
      <c r="D1791" t="s">
        <v>20</v>
      </c>
      <c r="E1791" t="s">
        <v>39</v>
      </c>
      <c r="F1791" t="s">
        <v>22</v>
      </c>
      <c r="G1791" t="s">
        <v>32</v>
      </c>
      <c r="H1791" t="s">
        <v>33</v>
      </c>
      <c r="I1791">
        <v>2</v>
      </c>
      <c r="J1791" s="3">
        <v>7411.14</v>
      </c>
      <c r="K1791" s="3">
        <v>14822.28</v>
      </c>
      <c r="L1791" t="s">
        <v>34</v>
      </c>
      <c r="M1791" s="2">
        <v>45848</v>
      </c>
      <c r="N1791" s="2">
        <v>45848</v>
      </c>
      <c r="O1791" t="s">
        <v>60</v>
      </c>
      <c r="P1791" t="s">
        <v>64</v>
      </c>
      <c r="Q1791" t="s">
        <v>28</v>
      </c>
      <c r="R1791" t="s">
        <v>29</v>
      </c>
    </row>
    <row r="1792" spans="1:18">
      <c r="A1792" t="s">
        <v>1924</v>
      </c>
      <c r="B1792" s="2">
        <v>45901</v>
      </c>
      <c r="C1792" t="s">
        <v>131</v>
      </c>
      <c r="D1792" t="s">
        <v>132</v>
      </c>
      <c r="E1792" t="s">
        <v>48</v>
      </c>
      <c r="F1792" t="s">
        <v>57</v>
      </c>
      <c r="G1792" t="s">
        <v>120</v>
      </c>
      <c r="H1792" t="s">
        <v>121</v>
      </c>
      <c r="I1792">
        <v>4</v>
      </c>
      <c r="J1792" s="3">
        <v>23021.14</v>
      </c>
      <c r="K1792" s="3">
        <v>92084.56</v>
      </c>
      <c r="L1792" t="s">
        <v>25</v>
      </c>
      <c r="M1792" s="2">
        <v>45917</v>
      </c>
      <c r="N1792" s="2">
        <v>45917</v>
      </c>
      <c r="O1792" t="s">
        <v>76</v>
      </c>
      <c r="P1792" t="s">
        <v>53</v>
      </c>
      <c r="Q1792" t="s">
        <v>28</v>
      </c>
      <c r="R1792" t="s">
        <v>29</v>
      </c>
    </row>
    <row r="1793" spans="1:18">
      <c r="A1793" t="s">
        <v>1925</v>
      </c>
      <c r="B1793" s="2">
        <v>46096</v>
      </c>
      <c r="C1793" t="s">
        <v>142</v>
      </c>
      <c r="D1793" t="s">
        <v>143</v>
      </c>
      <c r="E1793" t="s">
        <v>39</v>
      </c>
      <c r="F1793" t="s">
        <v>22</v>
      </c>
      <c r="G1793" t="s">
        <v>160</v>
      </c>
      <c r="H1793" t="s">
        <v>161</v>
      </c>
      <c r="I1793">
        <v>12</v>
      </c>
      <c r="J1793" s="3">
        <v>3096.85</v>
      </c>
      <c r="K1793" s="3">
        <v>37162.199999999997</v>
      </c>
      <c r="L1793" t="s">
        <v>52</v>
      </c>
      <c r="M1793" s="2">
        <v>46102</v>
      </c>
      <c r="N1793" s="2">
        <v>46099</v>
      </c>
      <c r="O1793" t="s">
        <v>60</v>
      </c>
      <c r="P1793" t="s">
        <v>64</v>
      </c>
      <c r="Q1793" t="s">
        <v>28</v>
      </c>
      <c r="R1793" t="s">
        <v>29</v>
      </c>
    </row>
    <row r="1794" spans="1:18">
      <c r="A1794" t="s">
        <v>1926</v>
      </c>
      <c r="B1794" s="2">
        <v>46102</v>
      </c>
      <c r="C1794" t="s">
        <v>89</v>
      </c>
      <c r="D1794" t="s">
        <v>90</v>
      </c>
      <c r="E1794" t="s">
        <v>31</v>
      </c>
      <c r="F1794" t="s">
        <v>91</v>
      </c>
      <c r="G1794" t="s">
        <v>109</v>
      </c>
      <c r="H1794" t="s">
        <v>110</v>
      </c>
      <c r="I1794">
        <v>1</v>
      </c>
      <c r="J1794" s="3">
        <v>12243.78</v>
      </c>
      <c r="K1794" s="3">
        <v>12243.78</v>
      </c>
      <c r="L1794" t="s">
        <v>52</v>
      </c>
      <c r="M1794" s="2">
        <v>46115</v>
      </c>
      <c r="N1794" s="2">
        <v>46115</v>
      </c>
      <c r="O1794" t="s">
        <v>43</v>
      </c>
      <c r="P1794" t="s">
        <v>35</v>
      </c>
      <c r="Q1794" t="s">
        <v>28</v>
      </c>
      <c r="R1794" t="s">
        <v>29</v>
      </c>
    </row>
    <row r="1795" spans="1:18">
      <c r="A1795" t="s">
        <v>1927</v>
      </c>
      <c r="B1795" s="2">
        <v>45969</v>
      </c>
      <c r="C1795" t="s">
        <v>37</v>
      </c>
      <c r="D1795" t="s">
        <v>38</v>
      </c>
      <c r="E1795" t="s">
        <v>112</v>
      </c>
      <c r="F1795" t="s">
        <v>40</v>
      </c>
      <c r="G1795" t="s">
        <v>62</v>
      </c>
      <c r="H1795" t="s">
        <v>63</v>
      </c>
      <c r="I1795">
        <v>6</v>
      </c>
      <c r="J1795" s="3">
        <v>19707.669999999998</v>
      </c>
      <c r="K1795" s="3">
        <v>118246.02</v>
      </c>
      <c r="L1795" t="s">
        <v>25</v>
      </c>
      <c r="M1795" s="2">
        <v>45980</v>
      </c>
      <c r="N1795" s="2">
        <v>45979</v>
      </c>
      <c r="O1795" t="s">
        <v>60</v>
      </c>
      <c r="P1795" t="s">
        <v>115</v>
      </c>
      <c r="Q1795" t="s">
        <v>28</v>
      </c>
      <c r="R1795" t="s">
        <v>29</v>
      </c>
    </row>
    <row r="1796" spans="1:18">
      <c r="A1796" t="s">
        <v>1928</v>
      </c>
      <c r="B1796" s="2">
        <v>45899</v>
      </c>
      <c r="C1796" t="s">
        <v>71</v>
      </c>
      <c r="D1796" t="s">
        <v>72</v>
      </c>
      <c r="E1796" t="s">
        <v>48</v>
      </c>
      <c r="F1796" t="s">
        <v>57</v>
      </c>
      <c r="G1796" t="s">
        <v>120</v>
      </c>
      <c r="H1796" t="s">
        <v>121</v>
      </c>
      <c r="I1796">
        <v>7</v>
      </c>
      <c r="J1796" s="3">
        <v>20579.27</v>
      </c>
      <c r="K1796" s="3">
        <v>144054.89000000001</v>
      </c>
      <c r="L1796" t="s">
        <v>25</v>
      </c>
      <c r="M1796" s="2">
        <v>45916</v>
      </c>
      <c r="N1796" s="2">
        <v>45924</v>
      </c>
      <c r="O1796" t="s">
        <v>76</v>
      </c>
      <c r="P1796" t="s">
        <v>53</v>
      </c>
      <c r="Q1796" t="s">
        <v>28</v>
      </c>
      <c r="R1796" t="s">
        <v>129</v>
      </c>
    </row>
    <row r="1797" spans="1:18">
      <c r="A1797" t="s">
        <v>1929</v>
      </c>
      <c r="B1797" s="2">
        <v>45767</v>
      </c>
      <c r="C1797" t="s">
        <v>46</v>
      </c>
      <c r="D1797" t="s">
        <v>47</v>
      </c>
      <c r="E1797" t="s">
        <v>73</v>
      </c>
      <c r="F1797" t="s">
        <v>49</v>
      </c>
      <c r="G1797" t="s">
        <v>68</v>
      </c>
      <c r="H1797" t="s">
        <v>69</v>
      </c>
      <c r="I1797">
        <v>1</v>
      </c>
      <c r="J1797" s="3">
        <v>53149.04</v>
      </c>
      <c r="K1797" s="3">
        <v>53149.04</v>
      </c>
      <c r="L1797" t="s">
        <v>25</v>
      </c>
      <c r="M1797" s="2">
        <v>45777</v>
      </c>
      <c r="N1797" s="2">
        <v>45774</v>
      </c>
      <c r="O1797" t="s">
        <v>60</v>
      </c>
      <c r="P1797" t="s">
        <v>77</v>
      </c>
      <c r="Q1797" t="s">
        <v>28</v>
      </c>
      <c r="R1797" t="s">
        <v>29</v>
      </c>
    </row>
    <row r="1798" spans="1:18">
      <c r="A1798" t="s">
        <v>1930</v>
      </c>
      <c r="B1798" s="2">
        <v>45705</v>
      </c>
      <c r="C1798" t="s">
        <v>80</v>
      </c>
      <c r="D1798" t="s">
        <v>81</v>
      </c>
      <c r="E1798" t="s">
        <v>39</v>
      </c>
      <c r="F1798" t="s">
        <v>82</v>
      </c>
      <c r="G1798" t="s">
        <v>197</v>
      </c>
      <c r="H1798" t="s">
        <v>198</v>
      </c>
      <c r="I1798">
        <v>23</v>
      </c>
      <c r="J1798" s="3">
        <v>2051.91</v>
      </c>
      <c r="K1798" s="3">
        <v>47193.93</v>
      </c>
      <c r="L1798" t="s">
        <v>25</v>
      </c>
      <c r="M1798" s="2">
        <v>45720</v>
      </c>
      <c r="N1798" s="2">
        <v>45720</v>
      </c>
      <c r="O1798" t="s">
        <v>60</v>
      </c>
      <c r="P1798" t="s">
        <v>44</v>
      </c>
      <c r="Q1798" t="s">
        <v>28</v>
      </c>
      <c r="R1798" t="s">
        <v>29</v>
      </c>
    </row>
    <row r="1799" spans="1:18">
      <c r="A1799" t="s">
        <v>1931</v>
      </c>
      <c r="B1799" s="2">
        <v>45838</v>
      </c>
      <c r="C1799" t="s">
        <v>142</v>
      </c>
      <c r="D1799" t="s">
        <v>143</v>
      </c>
      <c r="E1799" t="s">
        <v>39</v>
      </c>
      <c r="F1799" t="s">
        <v>22</v>
      </c>
      <c r="G1799" t="s">
        <v>23</v>
      </c>
      <c r="H1799" t="s">
        <v>24</v>
      </c>
      <c r="I1799">
        <v>9</v>
      </c>
      <c r="J1799" s="3">
        <v>250.19</v>
      </c>
      <c r="K1799" s="3">
        <v>2251.71</v>
      </c>
      <c r="L1799" t="s">
        <v>34</v>
      </c>
      <c r="M1799" s="2">
        <v>45855</v>
      </c>
      <c r="N1799" s="2">
        <v>45855</v>
      </c>
      <c r="O1799" t="s">
        <v>26</v>
      </c>
      <c r="P1799" t="s">
        <v>64</v>
      </c>
      <c r="Q1799" t="s">
        <v>28</v>
      </c>
      <c r="R1799" t="s">
        <v>29</v>
      </c>
    </row>
    <row r="1800" spans="1:18">
      <c r="A1800" t="s">
        <v>1932</v>
      </c>
      <c r="B1800" s="2">
        <v>46041</v>
      </c>
      <c r="C1800" t="s">
        <v>107</v>
      </c>
      <c r="D1800" t="s">
        <v>108</v>
      </c>
      <c r="E1800" t="s">
        <v>31</v>
      </c>
      <c r="F1800" t="s">
        <v>91</v>
      </c>
      <c r="G1800" t="s">
        <v>109</v>
      </c>
      <c r="H1800" t="s">
        <v>110</v>
      </c>
      <c r="I1800">
        <v>1</v>
      </c>
      <c r="J1800" s="3">
        <v>14112.19</v>
      </c>
      <c r="K1800" s="3">
        <v>14112.19</v>
      </c>
      <c r="L1800" t="s">
        <v>34</v>
      </c>
      <c r="M1800" s="2">
        <v>46052</v>
      </c>
      <c r="N1800" s="2">
        <v>46052</v>
      </c>
      <c r="O1800" t="s">
        <v>60</v>
      </c>
      <c r="P1800" t="s">
        <v>35</v>
      </c>
      <c r="Q1800" t="s">
        <v>28</v>
      </c>
      <c r="R1800" t="s">
        <v>29</v>
      </c>
    </row>
    <row r="1801" spans="1:18">
      <c r="A1801" t="s">
        <v>1933</v>
      </c>
      <c r="B1801" s="2">
        <v>46044</v>
      </c>
      <c r="C1801" t="s">
        <v>37</v>
      </c>
      <c r="D1801" t="s">
        <v>38</v>
      </c>
      <c r="E1801" t="s">
        <v>31</v>
      </c>
      <c r="F1801" t="s">
        <v>22</v>
      </c>
      <c r="G1801" t="s">
        <v>32</v>
      </c>
      <c r="H1801" t="s">
        <v>33</v>
      </c>
      <c r="I1801">
        <v>4</v>
      </c>
      <c r="J1801" s="3">
        <v>8708.4500000000007</v>
      </c>
      <c r="K1801" s="3">
        <v>34833.800000000003</v>
      </c>
      <c r="L1801" t="s">
        <v>25</v>
      </c>
      <c r="M1801" s="2">
        <v>46055</v>
      </c>
      <c r="N1801" s="2">
        <v>46054</v>
      </c>
      <c r="O1801" t="s">
        <v>76</v>
      </c>
      <c r="P1801" t="s">
        <v>94</v>
      </c>
      <c r="Q1801" t="s">
        <v>28</v>
      </c>
      <c r="R1801" t="s">
        <v>29</v>
      </c>
    </row>
    <row r="1802" spans="1:18">
      <c r="A1802" t="s">
        <v>1934</v>
      </c>
      <c r="B1802" s="2">
        <v>45891</v>
      </c>
      <c r="C1802" t="s">
        <v>19</v>
      </c>
      <c r="D1802" t="s">
        <v>20</v>
      </c>
      <c r="E1802" t="s">
        <v>39</v>
      </c>
      <c r="F1802" t="s">
        <v>22</v>
      </c>
      <c r="G1802" t="s">
        <v>160</v>
      </c>
      <c r="H1802" t="s">
        <v>161</v>
      </c>
      <c r="I1802">
        <v>3</v>
      </c>
      <c r="J1802" s="3">
        <v>2860.07</v>
      </c>
      <c r="K1802" s="3">
        <v>8580.2099999999991</v>
      </c>
      <c r="L1802" t="s">
        <v>34</v>
      </c>
      <c r="M1802" s="2">
        <v>45908</v>
      </c>
      <c r="N1802" s="2">
        <v>45908</v>
      </c>
      <c r="O1802" t="s">
        <v>26</v>
      </c>
      <c r="P1802" t="s">
        <v>44</v>
      </c>
      <c r="Q1802" t="s">
        <v>28</v>
      </c>
      <c r="R1802" t="s">
        <v>29</v>
      </c>
    </row>
    <row r="1803" spans="1:18">
      <c r="A1803" t="s">
        <v>1935</v>
      </c>
      <c r="B1803" s="2">
        <v>45717</v>
      </c>
      <c r="C1803" t="s">
        <v>117</v>
      </c>
      <c r="D1803" t="s">
        <v>118</v>
      </c>
      <c r="E1803" t="s">
        <v>31</v>
      </c>
      <c r="F1803" t="s">
        <v>57</v>
      </c>
      <c r="G1803" t="s">
        <v>101</v>
      </c>
      <c r="H1803" t="s">
        <v>102</v>
      </c>
      <c r="I1803">
        <v>29</v>
      </c>
      <c r="J1803" s="3">
        <v>1783.59</v>
      </c>
      <c r="K1803" s="3">
        <v>51724.11</v>
      </c>
      <c r="L1803" t="s">
        <v>34</v>
      </c>
      <c r="M1803" s="2">
        <v>45733</v>
      </c>
      <c r="N1803" s="2">
        <v>45732</v>
      </c>
      <c r="O1803" t="s">
        <v>43</v>
      </c>
      <c r="P1803" t="s">
        <v>35</v>
      </c>
      <c r="Q1803" t="s">
        <v>28</v>
      </c>
      <c r="R1803" t="s">
        <v>29</v>
      </c>
    </row>
    <row r="1804" spans="1:18">
      <c r="A1804" t="s">
        <v>1936</v>
      </c>
      <c r="B1804" s="2">
        <v>45832</v>
      </c>
      <c r="C1804" t="s">
        <v>134</v>
      </c>
      <c r="D1804" t="s">
        <v>135</v>
      </c>
      <c r="E1804" t="s">
        <v>39</v>
      </c>
      <c r="F1804" t="s">
        <v>40</v>
      </c>
      <c r="G1804" t="s">
        <v>41</v>
      </c>
      <c r="H1804" t="s">
        <v>42</v>
      </c>
      <c r="I1804">
        <v>9</v>
      </c>
      <c r="J1804" s="3">
        <v>5193.93</v>
      </c>
      <c r="K1804" s="3">
        <v>46745.37</v>
      </c>
      <c r="L1804" t="s">
        <v>34</v>
      </c>
      <c r="M1804" s="2">
        <v>45838</v>
      </c>
      <c r="N1804" s="2">
        <v>45835</v>
      </c>
      <c r="O1804" t="s">
        <v>60</v>
      </c>
      <c r="P1804" t="s">
        <v>44</v>
      </c>
      <c r="Q1804" t="s">
        <v>28</v>
      </c>
      <c r="R1804" t="s">
        <v>29</v>
      </c>
    </row>
    <row r="1805" spans="1:18">
      <c r="A1805" t="s">
        <v>1937</v>
      </c>
      <c r="B1805" s="2">
        <v>46116</v>
      </c>
      <c r="C1805" t="s">
        <v>66</v>
      </c>
      <c r="D1805" t="s">
        <v>67</v>
      </c>
      <c r="E1805" t="s">
        <v>48</v>
      </c>
      <c r="F1805" t="s">
        <v>49</v>
      </c>
      <c r="G1805" t="s">
        <v>68</v>
      </c>
      <c r="H1805" t="s">
        <v>69</v>
      </c>
      <c r="I1805">
        <v>2</v>
      </c>
      <c r="J1805" s="3">
        <v>47134.879999999997</v>
      </c>
      <c r="K1805" s="3">
        <v>94269.759999999995</v>
      </c>
      <c r="L1805" t="s">
        <v>25</v>
      </c>
      <c r="M1805" s="2">
        <v>46130</v>
      </c>
      <c r="N1805" s="2">
        <v>46128</v>
      </c>
      <c r="O1805" t="s">
        <v>26</v>
      </c>
      <c r="P1805" t="s">
        <v>53</v>
      </c>
      <c r="Q1805" t="s">
        <v>28</v>
      </c>
      <c r="R1805" t="s">
        <v>29</v>
      </c>
    </row>
    <row r="1806" spans="1:18">
      <c r="A1806" t="s">
        <v>1938</v>
      </c>
      <c r="B1806" s="2">
        <v>46160</v>
      </c>
      <c r="C1806" t="s">
        <v>66</v>
      </c>
      <c r="D1806" t="s">
        <v>67</v>
      </c>
      <c r="E1806" t="s">
        <v>21</v>
      </c>
      <c r="F1806" t="s">
        <v>49</v>
      </c>
      <c r="G1806" t="s">
        <v>165</v>
      </c>
      <c r="H1806" t="s">
        <v>166</v>
      </c>
      <c r="I1806">
        <v>1</v>
      </c>
      <c r="J1806" s="3">
        <v>43302.33</v>
      </c>
      <c r="K1806" s="3">
        <v>43302.33</v>
      </c>
      <c r="L1806" t="s">
        <v>52</v>
      </c>
      <c r="M1806" s="2">
        <v>46173</v>
      </c>
      <c r="N1806" s="2">
        <v>46173</v>
      </c>
      <c r="O1806" t="s">
        <v>43</v>
      </c>
      <c r="P1806" t="s">
        <v>27</v>
      </c>
      <c r="Q1806" t="s">
        <v>28</v>
      </c>
      <c r="R1806" t="s">
        <v>29</v>
      </c>
    </row>
    <row r="1807" spans="1:18">
      <c r="A1807" t="s">
        <v>1939</v>
      </c>
      <c r="B1807" s="2">
        <v>45736</v>
      </c>
      <c r="C1807" t="s">
        <v>142</v>
      </c>
      <c r="D1807" t="s">
        <v>143</v>
      </c>
      <c r="E1807" t="s">
        <v>31</v>
      </c>
      <c r="F1807" t="s">
        <v>22</v>
      </c>
      <c r="G1807" t="s">
        <v>32</v>
      </c>
      <c r="H1807" t="s">
        <v>33</v>
      </c>
      <c r="I1807">
        <v>2</v>
      </c>
      <c r="J1807" s="3">
        <v>8092.82</v>
      </c>
      <c r="K1807" s="3">
        <v>16185.64</v>
      </c>
      <c r="L1807" t="s">
        <v>25</v>
      </c>
      <c r="M1807" s="2">
        <v>45747</v>
      </c>
      <c r="N1807" s="2">
        <v>45747</v>
      </c>
      <c r="O1807" t="s">
        <v>60</v>
      </c>
      <c r="P1807" t="s">
        <v>35</v>
      </c>
      <c r="Q1807" t="s">
        <v>28</v>
      </c>
      <c r="R1807" t="s">
        <v>29</v>
      </c>
    </row>
    <row r="1808" spans="1:18">
      <c r="A1808" t="s">
        <v>1940</v>
      </c>
      <c r="B1808" s="2">
        <v>46018</v>
      </c>
      <c r="C1808" t="s">
        <v>134</v>
      </c>
      <c r="D1808" t="s">
        <v>135</v>
      </c>
      <c r="E1808" t="s">
        <v>39</v>
      </c>
      <c r="F1808" t="s">
        <v>40</v>
      </c>
      <c r="G1808" t="s">
        <v>41</v>
      </c>
      <c r="H1808" t="s">
        <v>42</v>
      </c>
      <c r="I1808">
        <v>7</v>
      </c>
      <c r="J1808" s="3">
        <v>5332.27</v>
      </c>
      <c r="K1808" s="3">
        <v>37325.89</v>
      </c>
      <c r="L1808" t="s">
        <v>25</v>
      </c>
      <c r="M1808" s="2">
        <v>46026</v>
      </c>
      <c r="N1808" s="2">
        <v>46026</v>
      </c>
      <c r="O1808" t="s">
        <v>26</v>
      </c>
      <c r="P1808" t="s">
        <v>64</v>
      </c>
      <c r="Q1808" t="s">
        <v>28</v>
      </c>
      <c r="R1808" t="s">
        <v>29</v>
      </c>
    </row>
    <row r="1809" spans="1:18">
      <c r="A1809" t="s">
        <v>1941</v>
      </c>
      <c r="B1809" s="2">
        <v>46059</v>
      </c>
      <c r="C1809" t="s">
        <v>104</v>
      </c>
      <c r="D1809" t="s">
        <v>105</v>
      </c>
      <c r="E1809" t="s">
        <v>112</v>
      </c>
      <c r="F1809" t="s">
        <v>49</v>
      </c>
      <c r="G1809" t="s">
        <v>113</v>
      </c>
      <c r="H1809" t="s">
        <v>114</v>
      </c>
      <c r="I1809">
        <v>1</v>
      </c>
      <c r="J1809" s="3">
        <v>37188.559999999998</v>
      </c>
      <c r="K1809" s="3">
        <v>37188.559999999998</v>
      </c>
      <c r="L1809" t="s">
        <v>25</v>
      </c>
      <c r="M1809" s="2">
        <v>46071</v>
      </c>
      <c r="N1809" s="2">
        <v>46068</v>
      </c>
      <c r="O1809" t="s">
        <v>26</v>
      </c>
      <c r="P1809" t="s">
        <v>115</v>
      </c>
      <c r="Q1809" t="s">
        <v>28</v>
      </c>
      <c r="R1809" t="s">
        <v>29</v>
      </c>
    </row>
    <row r="1810" spans="1:18">
      <c r="A1810" t="s">
        <v>1942</v>
      </c>
      <c r="B1810" s="2">
        <v>46056</v>
      </c>
      <c r="C1810" t="s">
        <v>37</v>
      </c>
      <c r="D1810" t="s">
        <v>38</v>
      </c>
      <c r="E1810" t="s">
        <v>112</v>
      </c>
      <c r="F1810" t="s">
        <v>22</v>
      </c>
      <c r="G1810" t="s">
        <v>160</v>
      </c>
      <c r="H1810" t="s">
        <v>161</v>
      </c>
      <c r="I1810">
        <v>4</v>
      </c>
      <c r="J1810" s="3">
        <v>3687.81</v>
      </c>
      <c r="K1810" s="3">
        <v>14751.24</v>
      </c>
      <c r="L1810" t="s">
        <v>25</v>
      </c>
      <c r="M1810" s="2">
        <v>46062</v>
      </c>
      <c r="N1810" s="2">
        <v>46060</v>
      </c>
      <c r="O1810" t="s">
        <v>43</v>
      </c>
      <c r="P1810" t="s">
        <v>115</v>
      </c>
      <c r="Q1810" t="s">
        <v>28</v>
      </c>
      <c r="R1810" t="s">
        <v>29</v>
      </c>
    </row>
    <row r="1811" spans="1:18">
      <c r="A1811" t="s">
        <v>1943</v>
      </c>
      <c r="B1811" s="2">
        <v>45975</v>
      </c>
      <c r="C1811" t="s">
        <v>71</v>
      </c>
      <c r="D1811" t="s">
        <v>72</v>
      </c>
      <c r="E1811" t="s">
        <v>48</v>
      </c>
      <c r="F1811" t="s">
        <v>57</v>
      </c>
      <c r="G1811" t="s">
        <v>74</v>
      </c>
      <c r="H1811" t="s">
        <v>75</v>
      </c>
      <c r="I1811">
        <v>12</v>
      </c>
      <c r="J1811" s="3">
        <v>8213.39</v>
      </c>
      <c r="K1811" s="3">
        <v>98560.68</v>
      </c>
      <c r="L1811" t="s">
        <v>25</v>
      </c>
      <c r="M1811" s="2">
        <v>45984</v>
      </c>
      <c r="N1811" s="2">
        <v>45982</v>
      </c>
      <c r="O1811" t="s">
        <v>76</v>
      </c>
      <c r="P1811" t="s">
        <v>53</v>
      </c>
      <c r="Q1811" t="s">
        <v>28</v>
      </c>
      <c r="R1811" t="s">
        <v>29</v>
      </c>
    </row>
    <row r="1812" spans="1:18">
      <c r="A1812" t="s">
        <v>1944</v>
      </c>
      <c r="B1812" s="2">
        <v>45784</v>
      </c>
      <c r="C1812" t="s">
        <v>46</v>
      </c>
      <c r="D1812" t="s">
        <v>47</v>
      </c>
      <c r="E1812" t="s">
        <v>112</v>
      </c>
      <c r="F1812" t="s">
        <v>49</v>
      </c>
      <c r="G1812" t="s">
        <v>50</v>
      </c>
      <c r="H1812" t="s">
        <v>51</v>
      </c>
      <c r="I1812">
        <v>1</v>
      </c>
      <c r="J1812" s="3">
        <v>53679.79</v>
      </c>
      <c r="K1812" s="3">
        <v>53679.79</v>
      </c>
      <c r="L1812" t="s">
        <v>25</v>
      </c>
      <c r="M1812" s="2">
        <v>45801</v>
      </c>
      <c r="N1812" s="2">
        <v>45799</v>
      </c>
      <c r="O1812" t="s">
        <v>76</v>
      </c>
      <c r="P1812" t="s">
        <v>115</v>
      </c>
      <c r="Q1812" t="s">
        <v>28</v>
      </c>
      <c r="R1812" t="s">
        <v>29</v>
      </c>
    </row>
    <row r="1813" spans="1:18">
      <c r="A1813" t="s">
        <v>1945</v>
      </c>
      <c r="B1813" s="2">
        <v>45846</v>
      </c>
      <c r="C1813" t="s">
        <v>19</v>
      </c>
      <c r="D1813" t="s">
        <v>20</v>
      </c>
      <c r="E1813" t="s">
        <v>112</v>
      </c>
      <c r="F1813" t="s">
        <v>22</v>
      </c>
      <c r="G1813" t="s">
        <v>32</v>
      </c>
      <c r="H1813" t="s">
        <v>33</v>
      </c>
      <c r="I1813">
        <v>14</v>
      </c>
      <c r="J1813" s="3">
        <v>8060.87</v>
      </c>
      <c r="K1813" s="3">
        <v>112852.18</v>
      </c>
      <c r="L1813" t="s">
        <v>52</v>
      </c>
      <c r="M1813" s="2">
        <v>45855</v>
      </c>
      <c r="N1813" s="2">
        <v>45852</v>
      </c>
      <c r="O1813" t="s">
        <v>43</v>
      </c>
      <c r="P1813" t="s">
        <v>115</v>
      </c>
      <c r="Q1813" t="s">
        <v>28</v>
      </c>
      <c r="R1813" t="s">
        <v>29</v>
      </c>
    </row>
    <row r="1814" spans="1:18">
      <c r="A1814" t="s">
        <v>1946</v>
      </c>
      <c r="B1814" s="2">
        <v>45850</v>
      </c>
      <c r="C1814" t="s">
        <v>96</v>
      </c>
      <c r="D1814" t="s">
        <v>97</v>
      </c>
      <c r="E1814" t="s">
        <v>39</v>
      </c>
      <c r="F1814" t="s">
        <v>82</v>
      </c>
      <c r="G1814" t="s">
        <v>197</v>
      </c>
      <c r="H1814" t="s">
        <v>198</v>
      </c>
      <c r="I1814">
        <v>21</v>
      </c>
      <c r="J1814" s="3">
        <v>2145.2399999999998</v>
      </c>
      <c r="K1814" s="3">
        <v>45050.04</v>
      </c>
      <c r="L1814" t="s">
        <v>34</v>
      </c>
      <c r="M1814" s="2">
        <v>45860</v>
      </c>
      <c r="N1814" s="2">
        <v>45859</v>
      </c>
      <c r="O1814" t="s">
        <v>76</v>
      </c>
      <c r="P1814" t="s">
        <v>44</v>
      </c>
      <c r="Q1814" t="s">
        <v>28</v>
      </c>
      <c r="R1814" t="s">
        <v>29</v>
      </c>
    </row>
    <row r="1815" spans="1:18">
      <c r="A1815" t="s">
        <v>1947</v>
      </c>
      <c r="B1815" s="2">
        <v>45897</v>
      </c>
      <c r="C1815" t="s">
        <v>142</v>
      </c>
      <c r="D1815" t="s">
        <v>143</v>
      </c>
      <c r="E1815" t="s">
        <v>73</v>
      </c>
      <c r="F1815" t="s">
        <v>22</v>
      </c>
      <c r="G1815" t="s">
        <v>32</v>
      </c>
      <c r="H1815" t="s">
        <v>33</v>
      </c>
      <c r="I1815">
        <v>13</v>
      </c>
      <c r="J1815" s="3">
        <v>8116.12</v>
      </c>
      <c r="K1815" s="3">
        <v>105509.56</v>
      </c>
      <c r="L1815" t="s">
        <v>34</v>
      </c>
      <c r="M1815" s="2">
        <v>45909</v>
      </c>
      <c r="N1815" s="2">
        <v>45907</v>
      </c>
      <c r="O1815" t="s">
        <v>43</v>
      </c>
      <c r="P1815" t="s">
        <v>77</v>
      </c>
      <c r="Q1815" t="s">
        <v>28</v>
      </c>
      <c r="R1815" t="s">
        <v>29</v>
      </c>
    </row>
    <row r="1816" spans="1:18">
      <c r="A1816" t="s">
        <v>1948</v>
      </c>
      <c r="B1816" s="2">
        <v>45971</v>
      </c>
      <c r="C1816" t="s">
        <v>46</v>
      </c>
      <c r="D1816" t="s">
        <v>47</v>
      </c>
      <c r="E1816" t="s">
        <v>48</v>
      </c>
      <c r="F1816" t="s">
        <v>49</v>
      </c>
      <c r="G1816" t="s">
        <v>50</v>
      </c>
      <c r="H1816" t="s">
        <v>51</v>
      </c>
      <c r="I1816">
        <v>1</v>
      </c>
      <c r="J1816" s="3">
        <v>57452.68</v>
      </c>
      <c r="K1816" s="3">
        <v>57452.68</v>
      </c>
      <c r="L1816" t="s">
        <v>34</v>
      </c>
      <c r="M1816" s="2">
        <v>45984</v>
      </c>
      <c r="N1816" s="2">
        <v>45983</v>
      </c>
      <c r="O1816" t="s">
        <v>60</v>
      </c>
      <c r="P1816" t="s">
        <v>53</v>
      </c>
      <c r="Q1816" t="s">
        <v>28</v>
      </c>
      <c r="R1816" t="s">
        <v>29</v>
      </c>
    </row>
    <row r="1817" spans="1:18">
      <c r="A1817" t="s">
        <v>1949</v>
      </c>
      <c r="B1817" s="2">
        <v>45850</v>
      </c>
      <c r="C1817" t="s">
        <v>142</v>
      </c>
      <c r="D1817" t="s">
        <v>143</v>
      </c>
      <c r="E1817" t="s">
        <v>112</v>
      </c>
      <c r="F1817" t="s">
        <v>22</v>
      </c>
      <c r="G1817" t="s">
        <v>160</v>
      </c>
      <c r="H1817" t="s">
        <v>161</v>
      </c>
      <c r="I1817">
        <v>15</v>
      </c>
      <c r="J1817" s="3">
        <v>3224.78</v>
      </c>
      <c r="K1817" s="3">
        <v>48371.7</v>
      </c>
      <c r="L1817" t="s">
        <v>25</v>
      </c>
      <c r="M1817" s="2">
        <v>45858</v>
      </c>
      <c r="N1817" s="2">
        <v>45855</v>
      </c>
      <c r="O1817" t="s">
        <v>60</v>
      </c>
      <c r="P1817" t="s">
        <v>115</v>
      </c>
      <c r="Q1817" t="s">
        <v>28</v>
      </c>
      <c r="R1817" t="s">
        <v>29</v>
      </c>
    </row>
    <row r="1818" spans="1:18">
      <c r="A1818" t="s">
        <v>1950</v>
      </c>
      <c r="B1818" s="2">
        <v>45687</v>
      </c>
      <c r="C1818" t="s">
        <v>147</v>
      </c>
      <c r="D1818" t="s">
        <v>148</v>
      </c>
      <c r="E1818" t="s">
        <v>39</v>
      </c>
      <c r="F1818" t="s">
        <v>40</v>
      </c>
      <c r="G1818" t="s">
        <v>149</v>
      </c>
      <c r="H1818" t="s">
        <v>150</v>
      </c>
      <c r="I1818">
        <v>50</v>
      </c>
      <c r="J1818" s="3">
        <v>1357.84</v>
      </c>
      <c r="K1818" s="3">
        <v>67892</v>
      </c>
      <c r="L1818" t="s">
        <v>34</v>
      </c>
      <c r="M1818" s="2">
        <v>45694</v>
      </c>
      <c r="N1818" s="2">
        <v>45693</v>
      </c>
      <c r="O1818" t="s">
        <v>76</v>
      </c>
      <c r="P1818" t="s">
        <v>64</v>
      </c>
      <c r="Q1818" t="s">
        <v>28</v>
      </c>
      <c r="R1818" t="s">
        <v>29</v>
      </c>
    </row>
    <row r="1819" spans="1:18">
      <c r="A1819" t="s">
        <v>1951</v>
      </c>
      <c r="B1819" s="2">
        <v>45720</v>
      </c>
      <c r="C1819" t="s">
        <v>142</v>
      </c>
      <c r="D1819" t="s">
        <v>143</v>
      </c>
      <c r="E1819" t="s">
        <v>112</v>
      </c>
      <c r="F1819" t="s">
        <v>22</v>
      </c>
      <c r="G1819" t="s">
        <v>32</v>
      </c>
      <c r="H1819" t="s">
        <v>33</v>
      </c>
      <c r="I1819">
        <v>15</v>
      </c>
      <c r="J1819" s="3">
        <v>8169.94</v>
      </c>
      <c r="K1819" s="3">
        <v>122549.1</v>
      </c>
      <c r="L1819" t="s">
        <v>34</v>
      </c>
      <c r="M1819" s="2">
        <v>45725</v>
      </c>
      <c r="N1819" s="2">
        <v>45725</v>
      </c>
      <c r="O1819" t="s">
        <v>76</v>
      </c>
      <c r="P1819" t="s">
        <v>115</v>
      </c>
      <c r="Q1819" t="s">
        <v>28</v>
      </c>
      <c r="R1819" t="s">
        <v>29</v>
      </c>
    </row>
    <row r="1820" spans="1:18">
      <c r="A1820" t="s">
        <v>1952</v>
      </c>
      <c r="B1820" s="2">
        <v>45932</v>
      </c>
      <c r="C1820" t="s">
        <v>46</v>
      </c>
      <c r="D1820" t="s">
        <v>47</v>
      </c>
      <c r="E1820" t="s">
        <v>48</v>
      </c>
      <c r="F1820" t="s">
        <v>49</v>
      </c>
      <c r="G1820" t="s">
        <v>50</v>
      </c>
      <c r="H1820" t="s">
        <v>51</v>
      </c>
      <c r="I1820">
        <v>1</v>
      </c>
      <c r="J1820" s="3">
        <v>56229.77</v>
      </c>
      <c r="K1820" s="3">
        <v>56229.77</v>
      </c>
      <c r="L1820" t="s">
        <v>25</v>
      </c>
      <c r="M1820" s="2">
        <v>45948</v>
      </c>
      <c r="N1820" s="2">
        <v>45946</v>
      </c>
      <c r="O1820" t="s">
        <v>76</v>
      </c>
      <c r="P1820" t="s">
        <v>53</v>
      </c>
      <c r="Q1820" t="s">
        <v>28</v>
      </c>
      <c r="R1820" t="s">
        <v>29</v>
      </c>
    </row>
    <row r="1821" spans="1:18">
      <c r="A1821" t="s">
        <v>1953</v>
      </c>
      <c r="B1821" s="2">
        <v>46079</v>
      </c>
      <c r="C1821" t="s">
        <v>19</v>
      </c>
      <c r="D1821" t="s">
        <v>20</v>
      </c>
      <c r="E1821" t="s">
        <v>112</v>
      </c>
      <c r="F1821" t="s">
        <v>22</v>
      </c>
      <c r="G1821" t="s">
        <v>23</v>
      </c>
      <c r="H1821" t="s">
        <v>24</v>
      </c>
      <c r="I1821">
        <v>47</v>
      </c>
      <c r="J1821" s="3">
        <v>243.05</v>
      </c>
      <c r="K1821" s="3">
        <v>11423.35</v>
      </c>
      <c r="L1821" t="s">
        <v>52</v>
      </c>
      <c r="M1821" s="2">
        <v>46085</v>
      </c>
      <c r="N1821" s="2">
        <v>46082</v>
      </c>
      <c r="O1821" t="s">
        <v>43</v>
      </c>
      <c r="P1821" t="s">
        <v>115</v>
      </c>
      <c r="Q1821" t="s">
        <v>28</v>
      </c>
      <c r="R1821" t="s">
        <v>29</v>
      </c>
    </row>
    <row r="1822" spans="1:18">
      <c r="A1822" t="s">
        <v>1954</v>
      </c>
      <c r="B1822" s="2">
        <v>45763</v>
      </c>
      <c r="C1822" t="s">
        <v>71</v>
      </c>
      <c r="D1822" t="s">
        <v>72</v>
      </c>
      <c r="E1822" t="s">
        <v>21</v>
      </c>
      <c r="F1822" t="s">
        <v>57</v>
      </c>
      <c r="G1822" t="s">
        <v>127</v>
      </c>
      <c r="H1822" t="s">
        <v>128</v>
      </c>
      <c r="I1822">
        <v>4</v>
      </c>
      <c r="J1822" s="3">
        <v>14765.85</v>
      </c>
      <c r="K1822" s="3">
        <v>59063.4</v>
      </c>
      <c r="L1822" t="s">
        <v>34</v>
      </c>
      <c r="M1822" s="2">
        <v>45775</v>
      </c>
      <c r="N1822" s="2">
        <v>45781</v>
      </c>
      <c r="O1822" t="s">
        <v>26</v>
      </c>
      <c r="P1822" t="s">
        <v>27</v>
      </c>
      <c r="Q1822" t="s">
        <v>28</v>
      </c>
      <c r="R1822" t="s">
        <v>129</v>
      </c>
    </row>
    <row r="1823" spans="1:18">
      <c r="A1823" t="s">
        <v>1955</v>
      </c>
      <c r="B1823" s="2">
        <v>45715</v>
      </c>
      <c r="C1823" t="s">
        <v>46</v>
      </c>
      <c r="D1823" t="s">
        <v>47</v>
      </c>
      <c r="E1823" t="s">
        <v>48</v>
      </c>
      <c r="F1823" t="s">
        <v>49</v>
      </c>
      <c r="G1823" t="s">
        <v>113</v>
      </c>
      <c r="H1823" t="s">
        <v>114</v>
      </c>
      <c r="I1823">
        <v>1</v>
      </c>
      <c r="J1823" s="3">
        <v>41648.019999999997</v>
      </c>
      <c r="K1823" s="3">
        <v>41648.019999999997</v>
      </c>
      <c r="L1823" t="s">
        <v>25</v>
      </c>
      <c r="M1823" s="2">
        <v>45720</v>
      </c>
      <c r="N1823" s="2">
        <v>45718</v>
      </c>
      <c r="O1823" t="s">
        <v>76</v>
      </c>
      <c r="P1823" t="s">
        <v>53</v>
      </c>
      <c r="Q1823" t="s">
        <v>28</v>
      </c>
      <c r="R1823" t="s">
        <v>29</v>
      </c>
    </row>
    <row r="1824" spans="1:18">
      <c r="A1824" t="s">
        <v>1956</v>
      </c>
      <c r="B1824" s="2">
        <v>45837</v>
      </c>
      <c r="C1824" t="s">
        <v>142</v>
      </c>
      <c r="D1824" t="s">
        <v>143</v>
      </c>
      <c r="E1824" t="s">
        <v>112</v>
      </c>
      <c r="F1824" t="s">
        <v>22</v>
      </c>
      <c r="G1824" t="s">
        <v>160</v>
      </c>
      <c r="H1824" t="s">
        <v>161</v>
      </c>
      <c r="I1824">
        <v>10</v>
      </c>
      <c r="J1824" s="3">
        <v>3320.12</v>
      </c>
      <c r="K1824" s="3">
        <v>33201.199999999997</v>
      </c>
      <c r="L1824" t="s">
        <v>34</v>
      </c>
      <c r="M1824" s="2">
        <v>45852</v>
      </c>
      <c r="N1824" s="2">
        <v>45849</v>
      </c>
      <c r="O1824" t="s">
        <v>26</v>
      </c>
      <c r="P1824" t="s">
        <v>115</v>
      </c>
      <c r="Q1824" t="s">
        <v>28</v>
      </c>
      <c r="R1824" t="s">
        <v>29</v>
      </c>
    </row>
    <row r="1825" spans="1:18">
      <c r="A1825" t="s">
        <v>1957</v>
      </c>
      <c r="B1825" s="2">
        <v>45897</v>
      </c>
      <c r="C1825" t="s">
        <v>117</v>
      </c>
      <c r="D1825" t="s">
        <v>118</v>
      </c>
      <c r="E1825" t="s">
        <v>73</v>
      </c>
      <c r="F1825" t="s">
        <v>57</v>
      </c>
      <c r="G1825" t="s">
        <v>58</v>
      </c>
      <c r="H1825" t="s">
        <v>59</v>
      </c>
      <c r="I1825">
        <v>4</v>
      </c>
      <c r="J1825" s="3">
        <v>55374.37</v>
      </c>
      <c r="K1825" s="3">
        <v>221497.48</v>
      </c>
      <c r="L1825" t="s">
        <v>34</v>
      </c>
      <c r="M1825" s="2">
        <v>45911</v>
      </c>
      <c r="N1825" s="2">
        <v>45910</v>
      </c>
      <c r="O1825" t="s">
        <v>76</v>
      </c>
      <c r="P1825" t="s">
        <v>77</v>
      </c>
      <c r="Q1825" t="s">
        <v>28</v>
      </c>
      <c r="R1825" t="s">
        <v>29</v>
      </c>
    </row>
    <row r="1826" spans="1:18">
      <c r="A1826" t="s">
        <v>1958</v>
      </c>
      <c r="B1826" s="2">
        <v>45945</v>
      </c>
      <c r="C1826" t="s">
        <v>134</v>
      </c>
      <c r="D1826" t="s">
        <v>135</v>
      </c>
      <c r="E1826" t="s">
        <v>112</v>
      </c>
      <c r="F1826" t="s">
        <v>40</v>
      </c>
      <c r="G1826" t="s">
        <v>41</v>
      </c>
      <c r="H1826" t="s">
        <v>42</v>
      </c>
      <c r="I1826">
        <v>9</v>
      </c>
      <c r="J1826" s="3">
        <v>5511.25</v>
      </c>
      <c r="K1826" s="3">
        <v>49601.25</v>
      </c>
      <c r="L1826" t="s">
        <v>25</v>
      </c>
      <c r="M1826" s="2">
        <v>45961</v>
      </c>
      <c r="N1826" s="2">
        <v>45958</v>
      </c>
      <c r="O1826" t="s">
        <v>76</v>
      </c>
      <c r="P1826" t="s">
        <v>115</v>
      </c>
      <c r="Q1826" t="s">
        <v>28</v>
      </c>
      <c r="R1826" t="s">
        <v>29</v>
      </c>
    </row>
    <row r="1827" spans="1:18">
      <c r="A1827" t="s">
        <v>1959</v>
      </c>
      <c r="B1827" s="2">
        <v>45901</v>
      </c>
      <c r="C1827" t="s">
        <v>89</v>
      </c>
      <c r="D1827" t="s">
        <v>90</v>
      </c>
      <c r="E1827" t="s">
        <v>31</v>
      </c>
      <c r="F1827" t="s">
        <v>91</v>
      </c>
      <c r="G1827" t="s">
        <v>109</v>
      </c>
      <c r="H1827" t="s">
        <v>110</v>
      </c>
      <c r="I1827">
        <v>1</v>
      </c>
      <c r="J1827" s="3">
        <v>12688.83</v>
      </c>
      <c r="K1827" s="3">
        <v>12688.83</v>
      </c>
      <c r="L1827" t="s">
        <v>34</v>
      </c>
      <c r="M1827" s="2">
        <v>45914</v>
      </c>
      <c r="N1827" s="2">
        <v>45912</v>
      </c>
      <c r="O1827" t="s">
        <v>26</v>
      </c>
      <c r="P1827" t="s">
        <v>35</v>
      </c>
      <c r="Q1827" t="s">
        <v>28</v>
      </c>
      <c r="R1827" t="s">
        <v>29</v>
      </c>
    </row>
    <row r="1828" spans="1:18">
      <c r="A1828" t="s">
        <v>1960</v>
      </c>
      <c r="B1828" s="2">
        <v>45838</v>
      </c>
      <c r="C1828" t="s">
        <v>89</v>
      </c>
      <c r="D1828" t="s">
        <v>90</v>
      </c>
      <c r="E1828" t="s">
        <v>31</v>
      </c>
      <c r="F1828" t="s">
        <v>91</v>
      </c>
      <c r="G1828" t="s">
        <v>109</v>
      </c>
      <c r="H1828" t="s">
        <v>110</v>
      </c>
      <c r="I1828">
        <v>1</v>
      </c>
      <c r="J1828" s="3">
        <v>12505.99</v>
      </c>
      <c r="K1828" s="3">
        <v>12505.99</v>
      </c>
      <c r="L1828" t="s">
        <v>34</v>
      </c>
      <c r="M1828" s="2">
        <v>45848</v>
      </c>
      <c r="N1828" s="2">
        <v>45848</v>
      </c>
      <c r="O1828" t="s">
        <v>76</v>
      </c>
      <c r="P1828" t="s">
        <v>94</v>
      </c>
      <c r="Q1828" t="s">
        <v>28</v>
      </c>
      <c r="R1828" t="s">
        <v>29</v>
      </c>
    </row>
    <row r="1829" spans="1:18">
      <c r="A1829" t="s">
        <v>1961</v>
      </c>
      <c r="B1829" s="2">
        <v>46040</v>
      </c>
      <c r="C1829" t="s">
        <v>37</v>
      </c>
      <c r="D1829" t="s">
        <v>38</v>
      </c>
      <c r="E1829" t="s">
        <v>112</v>
      </c>
      <c r="F1829" t="s">
        <v>40</v>
      </c>
      <c r="G1829" t="s">
        <v>41</v>
      </c>
      <c r="H1829" t="s">
        <v>42</v>
      </c>
      <c r="I1829">
        <v>15</v>
      </c>
      <c r="J1829" s="3">
        <v>5768.89</v>
      </c>
      <c r="K1829" s="3">
        <v>86533.35</v>
      </c>
      <c r="L1829" t="s">
        <v>25</v>
      </c>
      <c r="M1829" s="2">
        <v>46054</v>
      </c>
      <c r="N1829" s="2">
        <v>46051</v>
      </c>
      <c r="O1829" t="s">
        <v>26</v>
      </c>
      <c r="P1829" t="s">
        <v>115</v>
      </c>
      <c r="Q1829" t="s">
        <v>28</v>
      </c>
      <c r="R1829" t="s">
        <v>29</v>
      </c>
    </row>
    <row r="1830" spans="1:18">
      <c r="A1830" t="s">
        <v>1962</v>
      </c>
      <c r="B1830" s="2">
        <v>46139</v>
      </c>
      <c r="C1830" t="s">
        <v>147</v>
      </c>
      <c r="D1830" t="s">
        <v>148</v>
      </c>
      <c r="E1830" t="s">
        <v>39</v>
      </c>
      <c r="F1830" t="s">
        <v>40</v>
      </c>
      <c r="G1830" t="s">
        <v>41</v>
      </c>
      <c r="H1830" t="s">
        <v>42</v>
      </c>
      <c r="I1830">
        <v>1</v>
      </c>
      <c r="J1830" s="3">
        <v>5220.67</v>
      </c>
      <c r="K1830" s="3">
        <v>5220.67</v>
      </c>
      <c r="L1830" t="s">
        <v>25</v>
      </c>
      <c r="M1830" s="2">
        <v>46144</v>
      </c>
      <c r="N1830" s="2">
        <v>46142</v>
      </c>
      <c r="O1830" t="s">
        <v>60</v>
      </c>
      <c r="P1830" t="s">
        <v>64</v>
      </c>
      <c r="Q1830" t="s">
        <v>28</v>
      </c>
      <c r="R1830" t="s">
        <v>29</v>
      </c>
    </row>
    <row r="1831" spans="1:18">
      <c r="A1831" t="s">
        <v>1963</v>
      </c>
      <c r="B1831" s="2">
        <v>46098</v>
      </c>
      <c r="C1831" t="s">
        <v>142</v>
      </c>
      <c r="D1831" t="s">
        <v>143</v>
      </c>
      <c r="E1831" t="s">
        <v>31</v>
      </c>
      <c r="F1831" t="s">
        <v>22</v>
      </c>
      <c r="G1831" t="s">
        <v>160</v>
      </c>
      <c r="H1831" t="s">
        <v>161</v>
      </c>
      <c r="I1831">
        <v>2</v>
      </c>
      <c r="J1831" s="3">
        <v>3139.83</v>
      </c>
      <c r="K1831" s="3">
        <v>6279.66</v>
      </c>
      <c r="L1831" t="s">
        <v>52</v>
      </c>
      <c r="M1831" s="2">
        <v>46110</v>
      </c>
      <c r="N1831" s="2">
        <v>46110</v>
      </c>
      <c r="O1831" t="s">
        <v>60</v>
      </c>
      <c r="P1831" t="s">
        <v>94</v>
      </c>
      <c r="Q1831" t="s">
        <v>28</v>
      </c>
      <c r="R1831" t="s">
        <v>29</v>
      </c>
    </row>
    <row r="1832" spans="1:18">
      <c r="A1832" t="s">
        <v>1964</v>
      </c>
      <c r="B1832" s="2">
        <v>45740</v>
      </c>
      <c r="C1832" t="s">
        <v>104</v>
      </c>
      <c r="D1832" t="s">
        <v>105</v>
      </c>
      <c r="E1832" t="s">
        <v>48</v>
      </c>
      <c r="F1832" t="s">
        <v>49</v>
      </c>
      <c r="G1832" t="s">
        <v>68</v>
      </c>
      <c r="H1832" t="s">
        <v>69</v>
      </c>
      <c r="I1832">
        <v>1</v>
      </c>
      <c r="J1832" s="3">
        <v>47774.26</v>
      </c>
      <c r="K1832" s="3">
        <v>47774.26</v>
      </c>
      <c r="L1832" t="s">
        <v>25</v>
      </c>
      <c r="M1832" s="2">
        <v>45751</v>
      </c>
      <c r="N1832" s="2">
        <v>45749</v>
      </c>
      <c r="O1832" t="s">
        <v>76</v>
      </c>
      <c r="P1832" t="s">
        <v>53</v>
      </c>
      <c r="Q1832" t="s">
        <v>28</v>
      </c>
      <c r="R1832" t="s">
        <v>29</v>
      </c>
    </row>
    <row r="1833" spans="1:18">
      <c r="A1833" t="s">
        <v>1965</v>
      </c>
      <c r="B1833" s="2">
        <v>46175</v>
      </c>
      <c r="C1833" t="s">
        <v>19</v>
      </c>
      <c r="D1833" t="s">
        <v>20</v>
      </c>
      <c r="E1833" t="s">
        <v>39</v>
      </c>
      <c r="F1833" t="s">
        <v>22</v>
      </c>
      <c r="G1833" t="s">
        <v>160</v>
      </c>
      <c r="H1833" t="s">
        <v>161</v>
      </c>
      <c r="I1833">
        <v>10</v>
      </c>
      <c r="J1833" s="3">
        <v>2889.45</v>
      </c>
      <c r="K1833" s="3">
        <v>28894.5</v>
      </c>
      <c r="L1833" t="s">
        <v>25</v>
      </c>
      <c r="M1833" s="2">
        <v>46191</v>
      </c>
      <c r="N1833" s="2">
        <v>46190</v>
      </c>
      <c r="O1833" t="s">
        <v>26</v>
      </c>
      <c r="P1833" t="s">
        <v>44</v>
      </c>
      <c r="Q1833" t="s">
        <v>28</v>
      </c>
      <c r="R1833" t="s">
        <v>29</v>
      </c>
    </row>
    <row r="1834" spans="1:18">
      <c r="A1834" t="s">
        <v>1966</v>
      </c>
      <c r="B1834" s="2">
        <v>46103</v>
      </c>
      <c r="C1834" t="s">
        <v>66</v>
      </c>
      <c r="D1834" t="s">
        <v>67</v>
      </c>
      <c r="E1834" t="s">
        <v>21</v>
      </c>
      <c r="F1834" t="s">
        <v>49</v>
      </c>
      <c r="G1834" t="s">
        <v>165</v>
      </c>
      <c r="H1834" t="s">
        <v>166</v>
      </c>
      <c r="I1834">
        <v>1</v>
      </c>
      <c r="J1834" s="3">
        <v>41969.37</v>
      </c>
      <c r="K1834" s="3">
        <v>41969.37</v>
      </c>
      <c r="L1834" t="s">
        <v>25</v>
      </c>
      <c r="M1834" s="2">
        <v>46120</v>
      </c>
      <c r="N1834" s="2">
        <v>46119</v>
      </c>
      <c r="O1834" t="s">
        <v>76</v>
      </c>
      <c r="P1834" t="s">
        <v>27</v>
      </c>
      <c r="Q1834" t="s">
        <v>28</v>
      </c>
      <c r="R1834" t="s">
        <v>29</v>
      </c>
    </row>
    <row r="1835" spans="1:18">
      <c r="A1835" t="s">
        <v>1967</v>
      </c>
      <c r="B1835" s="2">
        <v>46103</v>
      </c>
      <c r="C1835" t="s">
        <v>71</v>
      </c>
      <c r="D1835" t="s">
        <v>72</v>
      </c>
      <c r="E1835" t="s">
        <v>48</v>
      </c>
      <c r="F1835" t="s">
        <v>57</v>
      </c>
      <c r="G1835" t="s">
        <v>58</v>
      </c>
      <c r="H1835" t="s">
        <v>59</v>
      </c>
      <c r="I1835">
        <v>1</v>
      </c>
      <c r="J1835" s="3">
        <v>51701.48</v>
      </c>
      <c r="K1835" s="3">
        <v>51701.48</v>
      </c>
      <c r="L1835" t="s">
        <v>52</v>
      </c>
      <c r="M1835" s="2">
        <v>46121</v>
      </c>
      <c r="N1835" s="2">
        <v>46123</v>
      </c>
      <c r="O1835" t="s">
        <v>26</v>
      </c>
      <c r="P1835" t="s">
        <v>53</v>
      </c>
      <c r="Q1835" t="s">
        <v>28</v>
      </c>
      <c r="R1835" t="s">
        <v>129</v>
      </c>
    </row>
    <row r="1836" spans="1:18">
      <c r="A1836" t="s">
        <v>1968</v>
      </c>
      <c r="B1836" s="2">
        <v>46160</v>
      </c>
      <c r="C1836" t="s">
        <v>134</v>
      </c>
      <c r="D1836" t="s">
        <v>135</v>
      </c>
      <c r="E1836" t="s">
        <v>39</v>
      </c>
      <c r="F1836" t="s">
        <v>40</v>
      </c>
      <c r="G1836" t="s">
        <v>136</v>
      </c>
      <c r="H1836" t="s">
        <v>137</v>
      </c>
      <c r="I1836">
        <v>45</v>
      </c>
      <c r="J1836" s="3">
        <v>1701.25</v>
      </c>
      <c r="K1836" s="3">
        <v>76556.25</v>
      </c>
      <c r="L1836" t="s">
        <v>25</v>
      </c>
      <c r="M1836" s="2">
        <v>46171</v>
      </c>
      <c r="N1836" s="2">
        <v>46170</v>
      </c>
      <c r="O1836" t="s">
        <v>76</v>
      </c>
      <c r="P1836" t="s">
        <v>64</v>
      </c>
      <c r="Q1836" t="s">
        <v>28</v>
      </c>
      <c r="R1836" t="s">
        <v>29</v>
      </c>
    </row>
    <row r="1837" spans="1:18">
      <c r="A1837" t="s">
        <v>1969</v>
      </c>
      <c r="B1837" s="2">
        <v>45858</v>
      </c>
      <c r="C1837" t="s">
        <v>37</v>
      </c>
      <c r="D1837" t="s">
        <v>38</v>
      </c>
      <c r="E1837" t="s">
        <v>21</v>
      </c>
      <c r="F1837" t="s">
        <v>22</v>
      </c>
      <c r="G1837" t="s">
        <v>32</v>
      </c>
      <c r="H1837" t="s">
        <v>33</v>
      </c>
      <c r="I1837">
        <v>2</v>
      </c>
      <c r="J1837" s="3">
        <v>8028.49</v>
      </c>
      <c r="K1837" s="3">
        <v>16056.98</v>
      </c>
      <c r="L1837" t="s">
        <v>25</v>
      </c>
      <c r="M1837" s="2">
        <v>45876</v>
      </c>
      <c r="N1837" s="2">
        <v>45873</v>
      </c>
      <c r="O1837" t="s">
        <v>60</v>
      </c>
      <c r="P1837" t="s">
        <v>27</v>
      </c>
      <c r="Q1837" t="s">
        <v>28</v>
      </c>
      <c r="R1837" t="s">
        <v>29</v>
      </c>
    </row>
    <row r="1838" spans="1:18">
      <c r="A1838" t="s">
        <v>1970</v>
      </c>
      <c r="B1838" s="2">
        <v>45871</v>
      </c>
      <c r="C1838" t="s">
        <v>117</v>
      </c>
      <c r="D1838" t="s">
        <v>118</v>
      </c>
      <c r="E1838" t="s">
        <v>21</v>
      </c>
      <c r="F1838" t="s">
        <v>57</v>
      </c>
      <c r="G1838" t="s">
        <v>58</v>
      </c>
      <c r="H1838" t="s">
        <v>59</v>
      </c>
      <c r="I1838">
        <v>8</v>
      </c>
      <c r="J1838" s="3">
        <v>59516.59</v>
      </c>
      <c r="K1838" s="3">
        <v>476132.72</v>
      </c>
      <c r="L1838" t="s">
        <v>34</v>
      </c>
      <c r="M1838" s="2">
        <v>45883</v>
      </c>
      <c r="N1838" s="2">
        <v>45880</v>
      </c>
      <c r="O1838" t="s">
        <v>43</v>
      </c>
      <c r="P1838" t="s">
        <v>27</v>
      </c>
      <c r="Q1838" t="s">
        <v>28</v>
      </c>
      <c r="R1838" t="s">
        <v>29</v>
      </c>
    </row>
    <row r="1839" spans="1:18">
      <c r="A1839" t="s">
        <v>1971</v>
      </c>
      <c r="B1839" s="2">
        <v>46054</v>
      </c>
      <c r="C1839" t="s">
        <v>142</v>
      </c>
      <c r="D1839" t="s">
        <v>143</v>
      </c>
      <c r="E1839" t="s">
        <v>39</v>
      </c>
      <c r="F1839" t="s">
        <v>22</v>
      </c>
      <c r="G1839" t="s">
        <v>32</v>
      </c>
      <c r="H1839" t="s">
        <v>33</v>
      </c>
      <c r="I1839">
        <v>11</v>
      </c>
      <c r="J1839" s="3">
        <v>7666.12</v>
      </c>
      <c r="K1839" s="3">
        <v>84327.32</v>
      </c>
      <c r="L1839" t="s">
        <v>25</v>
      </c>
      <c r="M1839" s="2">
        <v>46063</v>
      </c>
      <c r="N1839" s="2">
        <v>46061</v>
      </c>
      <c r="O1839" t="s">
        <v>60</v>
      </c>
      <c r="P1839" t="s">
        <v>64</v>
      </c>
      <c r="Q1839" t="s">
        <v>28</v>
      </c>
      <c r="R1839" t="s">
        <v>29</v>
      </c>
    </row>
    <row r="1840" spans="1:18">
      <c r="A1840" t="s">
        <v>1972</v>
      </c>
      <c r="B1840" s="2">
        <v>45896</v>
      </c>
      <c r="C1840" t="s">
        <v>142</v>
      </c>
      <c r="D1840" t="s">
        <v>143</v>
      </c>
      <c r="E1840" t="s">
        <v>39</v>
      </c>
      <c r="F1840" t="s">
        <v>22</v>
      </c>
      <c r="G1840" t="s">
        <v>23</v>
      </c>
      <c r="H1840" t="s">
        <v>24</v>
      </c>
      <c r="I1840">
        <v>31</v>
      </c>
      <c r="J1840" s="3">
        <v>244.9</v>
      </c>
      <c r="K1840" s="3">
        <v>7591.9</v>
      </c>
      <c r="L1840" t="s">
        <v>25</v>
      </c>
      <c r="M1840" s="2">
        <v>45902</v>
      </c>
      <c r="N1840" s="2">
        <v>45902</v>
      </c>
      <c r="O1840" t="s">
        <v>26</v>
      </c>
      <c r="P1840" t="s">
        <v>64</v>
      </c>
      <c r="Q1840" t="s">
        <v>28</v>
      </c>
      <c r="R1840" t="s">
        <v>29</v>
      </c>
    </row>
    <row r="1841" spans="1:18">
      <c r="A1841" t="s">
        <v>1973</v>
      </c>
      <c r="B1841" s="2">
        <v>46115</v>
      </c>
      <c r="C1841" t="s">
        <v>147</v>
      </c>
      <c r="D1841" t="s">
        <v>148</v>
      </c>
      <c r="E1841" t="s">
        <v>112</v>
      </c>
      <c r="F1841" t="s">
        <v>40</v>
      </c>
      <c r="G1841" t="s">
        <v>62</v>
      </c>
      <c r="H1841" t="s">
        <v>63</v>
      </c>
      <c r="I1841">
        <v>7</v>
      </c>
      <c r="J1841" s="3">
        <v>17326.22</v>
      </c>
      <c r="K1841" s="3">
        <v>121283.54</v>
      </c>
      <c r="L1841" t="s">
        <v>25</v>
      </c>
      <c r="M1841" s="2">
        <v>46122</v>
      </c>
      <c r="N1841" s="2">
        <v>46119</v>
      </c>
      <c r="O1841" t="s">
        <v>76</v>
      </c>
      <c r="P1841" t="s">
        <v>115</v>
      </c>
      <c r="Q1841" t="s">
        <v>28</v>
      </c>
      <c r="R1841" t="s">
        <v>29</v>
      </c>
    </row>
    <row r="1842" spans="1:18">
      <c r="A1842" t="s">
        <v>1974</v>
      </c>
      <c r="B1842" s="2">
        <v>46179</v>
      </c>
      <c r="C1842" t="s">
        <v>66</v>
      </c>
      <c r="D1842" t="s">
        <v>67</v>
      </c>
      <c r="E1842" t="s">
        <v>112</v>
      </c>
      <c r="F1842" t="s">
        <v>49</v>
      </c>
      <c r="G1842" t="s">
        <v>68</v>
      </c>
      <c r="H1842" t="s">
        <v>69</v>
      </c>
      <c r="I1842">
        <v>2</v>
      </c>
      <c r="J1842" s="3">
        <v>45807.91</v>
      </c>
      <c r="K1842" s="3">
        <v>91615.82</v>
      </c>
      <c r="L1842" t="s">
        <v>34</v>
      </c>
      <c r="M1842" s="2">
        <v>46196</v>
      </c>
      <c r="N1842" s="2">
        <v>46194</v>
      </c>
      <c r="O1842" t="s">
        <v>26</v>
      </c>
      <c r="P1842" t="s">
        <v>115</v>
      </c>
      <c r="Q1842" t="s">
        <v>28</v>
      </c>
      <c r="R1842" t="s">
        <v>29</v>
      </c>
    </row>
    <row r="1843" spans="1:18">
      <c r="A1843" t="s">
        <v>1975</v>
      </c>
      <c r="B1843" s="2">
        <v>45799</v>
      </c>
      <c r="C1843" t="s">
        <v>66</v>
      </c>
      <c r="D1843" t="s">
        <v>67</v>
      </c>
      <c r="E1843" t="s">
        <v>48</v>
      </c>
      <c r="F1843" t="s">
        <v>49</v>
      </c>
      <c r="G1843" t="s">
        <v>68</v>
      </c>
      <c r="H1843" t="s">
        <v>69</v>
      </c>
      <c r="I1843">
        <v>1</v>
      </c>
      <c r="J1843" s="3">
        <v>48377.52</v>
      </c>
      <c r="K1843" s="3">
        <v>48377.52</v>
      </c>
      <c r="L1843" t="s">
        <v>25</v>
      </c>
      <c r="M1843" s="2">
        <v>45816</v>
      </c>
      <c r="N1843" s="2">
        <v>45813</v>
      </c>
      <c r="O1843" t="s">
        <v>60</v>
      </c>
      <c r="P1843" t="s">
        <v>53</v>
      </c>
      <c r="Q1843" t="s">
        <v>28</v>
      </c>
      <c r="R1843" t="s">
        <v>29</v>
      </c>
    </row>
    <row r="1844" spans="1:18">
      <c r="A1844" t="s">
        <v>1976</v>
      </c>
      <c r="B1844" s="2">
        <v>45946</v>
      </c>
      <c r="C1844" t="s">
        <v>142</v>
      </c>
      <c r="D1844" t="s">
        <v>143</v>
      </c>
      <c r="E1844" t="s">
        <v>112</v>
      </c>
      <c r="F1844" t="s">
        <v>22</v>
      </c>
      <c r="G1844" t="s">
        <v>160</v>
      </c>
      <c r="H1844" t="s">
        <v>161</v>
      </c>
      <c r="I1844">
        <v>5</v>
      </c>
      <c r="J1844" s="3">
        <v>3312.03</v>
      </c>
      <c r="K1844" s="3">
        <v>16560.150000000001</v>
      </c>
      <c r="L1844" t="s">
        <v>25</v>
      </c>
      <c r="M1844" s="2">
        <v>45960</v>
      </c>
      <c r="N1844" s="2">
        <v>45959</v>
      </c>
      <c r="O1844" t="s">
        <v>43</v>
      </c>
      <c r="P1844" t="s">
        <v>115</v>
      </c>
      <c r="Q1844" t="s">
        <v>28</v>
      </c>
      <c r="R1844" t="s">
        <v>29</v>
      </c>
    </row>
    <row r="1845" spans="1:18">
      <c r="A1845" t="s">
        <v>1977</v>
      </c>
      <c r="B1845" s="2">
        <v>45870</v>
      </c>
      <c r="C1845" t="s">
        <v>107</v>
      </c>
      <c r="D1845" t="s">
        <v>108</v>
      </c>
      <c r="E1845" t="s">
        <v>31</v>
      </c>
      <c r="F1845" t="s">
        <v>91</v>
      </c>
      <c r="G1845" t="s">
        <v>92</v>
      </c>
      <c r="H1845" t="s">
        <v>93</v>
      </c>
      <c r="I1845">
        <v>1</v>
      </c>
      <c r="J1845" s="3">
        <v>45506.94</v>
      </c>
      <c r="K1845" s="3">
        <v>45506.94</v>
      </c>
      <c r="L1845" t="s">
        <v>25</v>
      </c>
      <c r="M1845" s="2">
        <v>45887</v>
      </c>
      <c r="N1845" s="2">
        <v>45884</v>
      </c>
      <c r="O1845" t="s">
        <v>26</v>
      </c>
      <c r="P1845" t="s">
        <v>94</v>
      </c>
      <c r="Q1845" t="s">
        <v>28</v>
      </c>
      <c r="R1845" t="s">
        <v>29</v>
      </c>
    </row>
    <row r="1846" spans="1:18">
      <c r="A1846" t="s">
        <v>1978</v>
      </c>
      <c r="B1846" s="2">
        <v>45955</v>
      </c>
      <c r="C1846" t="s">
        <v>71</v>
      </c>
      <c r="D1846" t="s">
        <v>72</v>
      </c>
      <c r="E1846" t="s">
        <v>21</v>
      </c>
      <c r="F1846" t="s">
        <v>57</v>
      </c>
      <c r="G1846" t="s">
        <v>58</v>
      </c>
      <c r="H1846" t="s">
        <v>59</v>
      </c>
      <c r="I1846">
        <v>4</v>
      </c>
      <c r="J1846" s="3">
        <v>53130.66</v>
      </c>
      <c r="K1846" s="3">
        <v>212522.64</v>
      </c>
      <c r="L1846" t="s">
        <v>52</v>
      </c>
      <c r="M1846" s="2">
        <v>45965</v>
      </c>
      <c r="N1846" s="2">
        <v>45964</v>
      </c>
      <c r="O1846" t="s">
        <v>26</v>
      </c>
      <c r="P1846" t="s">
        <v>27</v>
      </c>
      <c r="Q1846" t="s">
        <v>28</v>
      </c>
      <c r="R1846" t="s">
        <v>29</v>
      </c>
    </row>
    <row r="1847" spans="1:18">
      <c r="A1847" t="s">
        <v>1979</v>
      </c>
      <c r="B1847" s="2">
        <v>45695</v>
      </c>
      <c r="C1847" t="s">
        <v>96</v>
      </c>
      <c r="D1847" t="s">
        <v>97</v>
      </c>
      <c r="E1847" t="s">
        <v>39</v>
      </c>
      <c r="F1847" t="s">
        <v>82</v>
      </c>
      <c r="G1847" t="s">
        <v>197</v>
      </c>
      <c r="H1847" t="s">
        <v>198</v>
      </c>
      <c r="I1847">
        <v>20</v>
      </c>
      <c r="J1847" s="3">
        <v>2047.6</v>
      </c>
      <c r="K1847" s="3">
        <v>40952</v>
      </c>
      <c r="L1847" t="s">
        <v>34</v>
      </c>
      <c r="M1847" s="2">
        <v>45713</v>
      </c>
      <c r="N1847" s="2">
        <v>45711</v>
      </c>
      <c r="O1847" t="s">
        <v>43</v>
      </c>
      <c r="P1847" t="s">
        <v>64</v>
      </c>
      <c r="Q1847" t="s">
        <v>28</v>
      </c>
      <c r="R1847" t="s">
        <v>29</v>
      </c>
    </row>
    <row r="1848" spans="1:18">
      <c r="A1848" t="s">
        <v>1980</v>
      </c>
      <c r="B1848" s="2">
        <v>46171</v>
      </c>
      <c r="C1848" t="s">
        <v>104</v>
      </c>
      <c r="D1848" t="s">
        <v>105</v>
      </c>
      <c r="E1848" t="s">
        <v>48</v>
      </c>
      <c r="F1848" t="s">
        <v>49</v>
      </c>
      <c r="G1848" t="s">
        <v>113</v>
      </c>
      <c r="H1848" t="s">
        <v>114</v>
      </c>
      <c r="I1848">
        <v>1</v>
      </c>
      <c r="J1848" s="3">
        <v>36828.160000000003</v>
      </c>
      <c r="K1848" s="3">
        <v>36828.160000000003</v>
      </c>
      <c r="L1848" t="s">
        <v>34</v>
      </c>
      <c r="M1848" s="2">
        <v>46184</v>
      </c>
      <c r="N1848" s="2">
        <v>46181</v>
      </c>
      <c r="O1848" t="s">
        <v>76</v>
      </c>
      <c r="P1848" t="s">
        <v>53</v>
      </c>
      <c r="Q1848" t="s">
        <v>28</v>
      </c>
      <c r="R1848" t="s">
        <v>29</v>
      </c>
    </row>
    <row r="1849" spans="1:18">
      <c r="A1849" t="s">
        <v>1981</v>
      </c>
      <c r="B1849" s="2">
        <v>46094</v>
      </c>
      <c r="C1849" t="s">
        <v>104</v>
      </c>
      <c r="D1849" t="s">
        <v>105</v>
      </c>
      <c r="E1849" t="s">
        <v>48</v>
      </c>
      <c r="F1849" t="s">
        <v>49</v>
      </c>
      <c r="G1849" t="s">
        <v>68</v>
      </c>
      <c r="H1849" t="s">
        <v>69</v>
      </c>
      <c r="I1849">
        <v>2</v>
      </c>
      <c r="J1849" s="3">
        <v>46481.8</v>
      </c>
      <c r="K1849" s="3">
        <v>92963.6</v>
      </c>
      <c r="L1849" t="s">
        <v>25</v>
      </c>
      <c r="M1849" s="2">
        <v>46107</v>
      </c>
      <c r="N1849" s="2">
        <v>46107</v>
      </c>
      <c r="O1849" t="s">
        <v>60</v>
      </c>
      <c r="P1849" t="s">
        <v>53</v>
      </c>
      <c r="Q1849" t="s">
        <v>28</v>
      </c>
      <c r="R1849" t="s">
        <v>29</v>
      </c>
    </row>
    <row r="1850" spans="1:18">
      <c r="A1850" t="s">
        <v>1982</v>
      </c>
      <c r="B1850" s="2">
        <v>46050</v>
      </c>
      <c r="C1850" t="s">
        <v>80</v>
      </c>
      <c r="D1850" t="s">
        <v>81</v>
      </c>
      <c r="E1850" t="s">
        <v>39</v>
      </c>
      <c r="F1850" t="s">
        <v>82</v>
      </c>
      <c r="G1850" t="s">
        <v>83</v>
      </c>
      <c r="H1850" t="s">
        <v>84</v>
      </c>
      <c r="I1850">
        <v>28</v>
      </c>
      <c r="J1850" s="3">
        <v>700.47</v>
      </c>
      <c r="K1850" s="3">
        <v>19613.16</v>
      </c>
      <c r="L1850" t="s">
        <v>25</v>
      </c>
      <c r="M1850" s="2">
        <v>46061</v>
      </c>
      <c r="N1850" s="2">
        <v>46059</v>
      </c>
      <c r="O1850" t="s">
        <v>43</v>
      </c>
      <c r="P1850" t="s">
        <v>44</v>
      </c>
      <c r="Q1850" t="s">
        <v>28</v>
      </c>
      <c r="R1850" t="s">
        <v>29</v>
      </c>
    </row>
    <row r="1851" spans="1:18">
      <c r="A1851" t="s">
        <v>1983</v>
      </c>
      <c r="B1851" s="2">
        <v>45895</v>
      </c>
      <c r="C1851" t="s">
        <v>96</v>
      </c>
      <c r="D1851" t="s">
        <v>97</v>
      </c>
      <c r="E1851" t="s">
        <v>39</v>
      </c>
      <c r="F1851" t="s">
        <v>82</v>
      </c>
      <c r="G1851" t="s">
        <v>83</v>
      </c>
      <c r="H1851" t="s">
        <v>84</v>
      </c>
      <c r="I1851">
        <v>59</v>
      </c>
      <c r="J1851" s="3">
        <v>757.56</v>
      </c>
      <c r="K1851" s="3">
        <v>44696.04</v>
      </c>
      <c r="L1851" t="s">
        <v>34</v>
      </c>
      <c r="M1851" s="2">
        <v>45900</v>
      </c>
      <c r="N1851" s="2">
        <v>45897</v>
      </c>
      <c r="O1851" t="s">
        <v>60</v>
      </c>
      <c r="P1851" t="s">
        <v>64</v>
      </c>
      <c r="Q1851" t="s">
        <v>28</v>
      </c>
      <c r="R1851" t="s">
        <v>29</v>
      </c>
    </row>
    <row r="1852" spans="1:18">
      <c r="A1852" t="s">
        <v>1984</v>
      </c>
      <c r="B1852" s="2">
        <v>45817</v>
      </c>
      <c r="C1852" t="s">
        <v>37</v>
      </c>
      <c r="D1852" t="s">
        <v>38</v>
      </c>
      <c r="E1852" t="s">
        <v>39</v>
      </c>
      <c r="F1852" t="s">
        <v>22</v>
      </c>
      <c r="G1852" t="s">
        <v>23</v>
      </c>
      <c r="H1852" t="s">
        <v>24</v>
      </c>
      <c r="I1852">
        <v>29</v>
      </c>
      <c r="J1852" s="3">
        <v>264.20999999999998</v>
      </c>
      <c r="K1852" s="3">
        <v>7662.09</v>
      </c>
      <c r="L1852" t="s">
        <v>25</v>
      </c>
      <c r="M1852" s="2">
        <v>45822</v>
      </c>
      <c r="N1852" s="2">
        <v>45820</v>
      </c>
      <c r="O1852" t="s">
        <v>26</v>
      </c>
      <c r="P1852" t="s">
        <v>64</v>
      </c>
      <c r="Q1852" t="s">
        <v>28</v>
      </c>
      <c r="R1852" t="s">
        <v>29</v>
      </c>
    </row>
    <row r="1853" spans="1:18">
      <c r="A1853" t="s">
        <v>1985</v>
      </c>
      <c r="B1853" s="2">
        <v>45750</v>
      </c>
      <c r="C1853" t="s">
        <v>104</v>
      </c>
      <c r="D1853" t="s">
        <v>105</v>
      </c>
      <c r="E1853" t="s">
        <v>48</v>
      </c>
      <c r="F1853" t="s">
        <v>49</v>
      </c>
      <c r="G1853" t="s">
        <v>50</v>
      </c>
      <c r="H1853" t="s">
        <v>51</v>
      </c>
      <c r="I1853">
        <v>1</v>
      </c>
      <c r="J1853" s="3">
        <v>51320.41</v>
      </c>
      <c r="K1853" s="3">
        <v>51320.41</v>
      </c>
      <c r="L1853" t="s">
        <v>25</v>
      </c>
      <c r="M1853" s="2">
        <v>45768</v>
      </c>
      <c r="N1853" s="2">
        <v>45767</v>
      </c>
      <c r="O1853" t="s">
        <v>76</v>
      </c>
      <c r="P1853" t="s">
        <v>53</v>
      </c>
      <c r="Q1853" t="s">
        <v>28</v>
      </c>
      <c r="R1853" t="s">
        <v>29</v>
      </c>
    </row>
    <row r="1854" spans="1:18">
      <c r="A1854" t="s">
        <v>1986</v>
      </c>
      <c r="B1854" s="2">
        <v>45763</v>
      </c>
      <c r="C1854" t="s">
        <v>66</v>
      </c>
      <c r="D1854" t="s">
        <v>67</v>
      </c>
      <c r="E1854" t="s">
        <v>112</v>
      </c>
      <c r="F1854" t="s">
        <v>49</v>
      </c>
      <c r="G1854" t="s">
        <v>50</v>
      </c>
      <c r="H1854" t="s">
        <v>51</v>
      </c>
      <c r="I1854">
        <v>3</v>
      </c>
      <c r="J1854" s="3">
        <v>49448.03</v>
      </c>
      <c r="K1854" s="3">
        <v>148344.09</v>
      </c>
      <c r="L1854" t="s">
        <v>52</v>
      </c>
      <c r="M1854" s="2">
        <v>45775</v>
      </c>
      <c r="N1854" s="2">
        <v>45773</v>
      </c>
      <c r="O1854" t="s">
        <v>60</v>
      </c>
      <c r="P1854" t="s">
        <v>115</v>
      </c>
      <c r="Q1854" t="s">
        <v>28</v>
      </c>
      <c r="R1854" t="s">
        <v>29</v>
      </c>
    </row>
    <row r="1855" spans="1:18">
      <c r="A1855" t="s">
        <v>1987</v>
      </c>
      <c r="B1855" s="2">
        <v>46166</v>
      </c>
      <c r="C1855" t="s">
        <v>37</v>
      </c>
      <c r="D1855" t="s">
        <v>38</v>
      </c>
      <c r="E1855" t="s">
        <v>39</v>
      </c>
      <c r="F1855" t="s">
        <v>22</v>
      </c>
      <c r="G1855" t="s">
        <v>23</v>
      </c>
      <c r="H1855" t="s">
        <v>24</v>
      </c>
      <c r="I1855">
        <v>48</v>
      </c>
      <c r="J1855" s="3">
        <v>253.47</v>
      </c>
      <c r="K1855" s="3">
        <v>12166.56</v>
      </c>
      <c r="L1855" t="s">
        <v>25</v>
      </c>
      <c r="M1855" s="2">
        <v>46174</v>
      </c>
      <c r="N1855" s="2">
        <v>46181</v>
      </c>
      <c r="O1855" t="s">
        <v>26</v>
      </c>
      <c r="P1855" t="s">
        <v>44</v>
      </c>
      <c r="Q1855" t="s">
        <v>28</v>
      </c>
      <c r="R1855" t="s">
        <v>129</v>
      </c>
    </row>
    <row r="1856" spans="1:18">
      <c r="A1856" t="s">
        <v>1988</v>
      </c>
      <c r="B1856" s="2">
        <v>46086</v>
      </c>
      <c r="C1856" t="s">
        <v>89</v>
      </c>
      <c r="D1856" t="s">
        <v>90</v>
      </c>
      <c r="E1856" t="s">
        <v>31</v>
      </c>
      <c r="F1856" t="s">
        <v>91</v>
      </c>
      <c r="G1856" t="s">
        <v>109</v>
      </c>
      <c r="H1856" t="s">
        <v>110</v>
      </c>
      <c r="I1856">
        <v>3</v>
      </c>
      <c r="J1856" s="3">
        <v>12699.75</v>
      </c>
      <c r="K1856" s="3">
        <v>38099.25</v>
      </c>
      <c r="L1856" t="s">
        <v>34</v>
      </c>
      <c r="M1856" s="2">
        <v>46103</v>
      </c>
      <c r="N1856" s="2">
        <v>46102</v>
      </c>
      <c r="O1856" t="s">
        <v>60</v>
      </c>
      <c r="P1856" t="s">
        <v>35</v>
      </c>
      <c r="Q1856" t="s">
        <v>28</v>
      </c>
      <c r="R1856" t="s">
        <v>29</v>
      </c>
    </row>
    <row r="1857" spans="1:18">
      <c r="A1857" t="s">
        <v>1989</v>
      </c>
      <c r="B1857" s="2">
        <v>45717</v>
      </c>
      <c r="C1857" t="s">
        <v>37</v>
      </c>
      <c r="D1857" t="s">
        <v>38</v>
      </c>
      <c r="E1857" t="s">
        <v>31</v>
      </c>
      <c r="F1857" t="s">
        <v>22</v>
      </c>
      <c r="G1857" t="s">
        <v>32</v>
      </c>
      <c r="H1857" t="s">
        <v>33</v>
      </c>
      <c r="I1857">
        <v>3</v>
      </c>
      <c r="J1857" s="3">
        <v>8069.23</v>
      </c>
      <c r="K1857" s="3">
        <v>24207.69</v>
      </c>
      <c r="L1857" t="s">
        <v>25</v>
      </c>
      <c r="M1857" s="2">
        <v>45730</v>
      </c>
      <c r="N1857" s="2">
        <v>45728</v>
      </c>
      <c r="O1857" t="s">
        <v>43</v>
      </c>
      <c r="P1857" t="s">
        <v>35</v>
      </c>
      <c r="Q1857" t="s">
        <v>28</v>
      </c>
      <c r="R1857" t="s">
        <v>29</v>
      </c>
    </row>
    <row r="1858" spans="1:18">
      <c r="A1858" t="s">
        <v>1990</v>
      </c>
      <c r="B1858" s="2">
        <v>46129</v>
      </c>
      <c r="C1858" t="s">
        <v>107</v>
      </c>
      <c r="D1858" t="s">
        <v>108</v>
      </c>
      <c r="E1858" t="s">
        <v>31</v>
      </c>
      <c r="F1858" t="s">
        <v>91</v>
      </c>
      <c r="G1858" t="s">
        <v>92</v>
      </c>
      <c r="H1858" t="s">
        <v>93</v>
      </c>
      <c r="I1858">
        <v>1</v>
      </c>
      <c r="J1858" s="3">
        <v>44755.75</v>
      </c>
      <c r="K1858" s="3">
        <v>44755.75</v>
      </c>
      <c r="L1858" t="s">
        <v>25</v>
      </c>
      <c r="M1858" s="2">
        <v>46138</v>
      </c>
      <c r="N1858" s="2">
        <v>46138</v>
      </c>
      <c r="O1858" t="s">
        <v>43</v>
      </c>
      <c r="P1858" t="s">
        <v>94</v>
      </c>
      <c r="Q1858" t="s">
        <v>28</v>
      </c>
      <c r="R1858" t="s">
        <v>29</v>
      </c>
    </row>
    <row r="1859" spans="1:18">
      <c r="A1859" t="s">
        <v>1991</v>
      </c>
      <c r="B1859" s="2">
        <v>45724</v>
      </c>
      <c r="C1859" t="s">
        <v>142</v>
      </c>
      <c r="D1859" t="s">
        <v>143</v>
      </c>
      <c r="E1859" t="s">
        <v>112</v>
      </c>
      <c r="F1859" t="s">
        <v>22</v>
      </c>
      <c r="G1859" t="s">
        <v>160</v>
      </c>
      <c r="H1859" t="s">
        <v>161</v>
      </c>
      <c r="I1859">
        <v>14</v>
      </c>
      <c r="J1859" s="3">
        <v>3387.76</v>
      </c>
      <c r="K1859" s="3">
        <v>47428.639999999999</v>
      </c>
      <c r="L1859" t="s">
        <v>25</v>
      </c>
      <c r="M1859" s="2">
        <v>45731</v>
      </c>
      <c r="N1859" s="2">
        <v>45730</v>
      </c>
      <c r="O1859" t="s">
        <v>76</v>
      </c>
      <c r="P1859" t="s">
        <v>115</v>
      </c>
      <c r="Q1859" t="s">
        <v>28</v>
      </c>
      <c r="R1859" t="s">
        <v>29</v>
      </c>
    </row>
    <row r="1860" spans="1:18">
      <c r="A1860" t="s">
        <v>1992</v>
      </c>
      <c r="B1860" s="2">
        <v>45762</v>
      </c>
      <c r="C1860" t="s">
        <v>107</v>
      </c>
      <c r="D1860" t="s">
        <v>108</v>
      </c>
      <c r="E1860" t="s">
        <v>31</v>
      </c>
      <c r="F1860" t="s">
        <v>91</v>
      </c>
      <c r="G1860" t="s">
        <v>109</v>
      </c>
      <c r="H1860" t="s">
        <v>110</v>
      </c>
      <c r="I1860">
        <v>1</v>
      </c>
      <c r="J1860" s="3">
        <v>13565.3</v>
      </c>
      <c r="K1860" s="3">
        <v>13565.3</v>
      </c>
      <c r="L1860" t="s">
        <v>25</v>
      </c>
      <c r="M1860" s="2">
        <v>45771</v>
      </c>
      <c r="N1860" s="2">
        <v>45771</v>
      </c>
      <c r="O1860" t="s">
        <v>43</v>
      </c>
      <c r="P1860" t="s">
        <v>35</v>
      </c>
      <c r="Q1860" t="s">
        <v>28</v>
      </c>
      <c r="R1860" t="s">
        <v>29</v>
      </c>
    </row>
    <row r="1861" spans="1:18">
      <c r="A1861" t="s">
        <v>1993</v>
      </c>
      <c r="B1861" s="2">
        <v>46022</v>
      </c>
      <c r="C1861" t="s">
        <v>55</v>
      </c>
      <c r="D1861" t="s">
        <v>56</v>
      </c>
      <c r="E1861" t="s">
        <v>48</v>
      </c>
      <c r="F1861" t="s">
        <v>57</v>
      </c>
      <c r="G1861" t="s">
        <v>58</v>
      </c>
      <c r="H1861" t="s">
        <v>59</v>
      </c>
      <c r="I1861">
        <v>5</v>
      </c>
      <c r="J1861" s="3">
        <v>61732.09</v>
      </c>
      <c r="K1861" s="3">
        <v>308660.45</v>
      </c>
      <c r="L1861" t="s">
        <v>25</v>
      </c>
      <c r="M1861" s="2">
        <v>46031</v>
      </c>
      <c r="N1861" s="2">
        <v>46040</v>
      </c>
      <c r="O1861" t="s">
        <v>43</v>
      </c>
      <c r="P1861" t="s">
        <v>53</v>
      </c>
      <c r="Q1861" t="s">
        <v>28</v>
      </c>
      <c r="R1861" t="s">
        <v>129</v>
      </c>
    </row>
    <row r="1862" spans="1:18">
      <c r="A1862" t="s">
        <v>1994</v>
      </c>
      <c r="B1862" s="2">
        <v>46075</v>
      </c>
      <c r="C1862" t="s">
        <v>142</v>
      </c>
      <c r="D1862" t="s">
        <v>143</v>
      </c>
      <c r="E1862" t="s">
        <v>31</v>
      </c>
      <c r="F1862" t="s">
        <v>22</v>
      </c>
      <c r="G1862" t="s">
        <v>160</v>
      </c>
      <c r="H1862" t="s">
        <v>161</v>
      </c>
      <c r="I1862">
        <v>14</v>
      </c>
      <c r="J1862" s="3">
        <v>3139.32</v>
      </c>
      <c r="K1862" s="3">
        <v>43950.48</v>
      </c>
      <c r="L1862" t="s">
        <v>25</v>
      </c>
      <c r="M1862" s="2">
        <v>46091</v>
      </c>
      <c r="N1862" s="2">
        <v>46089</v>
      </c>
      <c r="O1862" t="s">
        <v>76</v>
      </c>
      <c r="P1862" t="s">
        <v>94</v>
      </c>
      <c r="Q1862" t="s">
        <v>28</v>
      </c>
      <c r="R1862" t="s">
        <v>29</v>
      </c>
    </row>
    <row r="1863" spans="1:18">
      <c r="A1863" t="s">
        <v>1995</v>
      </c>
      <c r="B1863" s="2">
        <v>45846</v>
      </c>
      <c r="C1863" t="s">
        <v>134</v>
      </c>
      <c r="D1863" t="s">
        <v>135</v>
      </c>
      <c r="E1863" t="s">
        <v>39</v>
      </c>
      <c r="F1863" t="s">
        <v>40</v>
      </c>
      <c r="G1863" t="s">
        <v>136</v>
      </c>
      <c r="H1863" t="s">
        <v>137</v>
      </c>
      <c r="I1863">
        <v>24</v>
      </c>
      <c r="J1863" s="3">
        <v>1592.18</v>
      </c>
      <c r="K1863" s="3">
        <v>38212.32</v>
      </c>
      <c r="L1863" t="s">
        <v>25</v>
      </c>
      <c r="M1863" s="2">
        <v>45861</v>
      </c>
      <c r="N1863" s="2">
        <v>45861</v>
      </c>
      <c r="O1863" t="s">
        <v>43</v>
      </c>
      <c r="P1863" t="s">
        <v>44</v>
      </c>
      <c r="Q1863" t="s">
        <v>28</v>
      </c>
      <c r="R1863" t="s">
        <v>29</v>
      </c>
    </row>
    <row r="1864" spans="1:18">
      <c r="A1864" t="s">
        <v>1996</v>
      </c>
      <c r="B1864" s="2">
        <v>45753</v>
      </c>
      <c r="C1864" t="s">
        <v>104</v>
      </c>
      <c r="D1864" t="s">
        <v>105</v>
      </c>
      <c r="E1864" t="s">
        <v>112</v>
      </c>
      <c r="F1864" t="s">
        <v>49</v>
      </c>
      <c r="G1864" t="s">
        <v>50</v>
      </c>
      <c r="H1864" t="s">
        <v>51</v>
      </c>
      <c r="I1864">
        <v>1</v>
      </c>
      <c r="J1864" s="3">
        <v>51090.27</v>
      </c>
      <c r="K1864" s="3">
        <v>51090.27</v>
      </c>
      <c r="L1864" t="s">
        <v>34</v>
      </c>
      <c r="M1864" s="2">
        <v>45764</v>
      </c>
      <c r="N1864" s="2">
        <v>45761</v>
      </c>
      <c r="O1864" t="s">
        <v>26</v>
      </c>
      <c r="P1864" t="s">
        <v>115</v>
      </c>
      <c r="Q1864" t="s">
        <v>28</v>
      </c>
      <c r="R1864" t="s">
        <v>29</v>
      </c>
    </row>
    <row r="1865" spans="1:18">
      <c r="A1865" t="s">
        <v>1997</v>
      </c>
      <c r="B1865" s="2">
        <v>45743</v>
      </c>
      <c r="C1865" t="s">
        <v>142</v>
      </c>
      <c r="D1865" t="s">
        <v>143</v>
      </c>
      <c r="E1865" t="s">
        <v>31</v>
      </c>
      <c r="F1865" t="s">
        <v>22</v>
      </c>
      <c r="G1865" t="s">
        <v>160</v>
      </c>
      <c r="H1865" t="s">
        <v>161</v>
      </c>
      <c r="I1865">
        <v>14</v>
      </c>
      <c r="J1865" s="3">
        <v>3245.74</v>
      </c>
      <c r="K1865" s="3">
        <v>45440.36</v>
      </c>
      <c r="L1865" t="s">
        <v>52</v>
      </c>
      <c r="M1865" s="2">
        <v>45757</v>
      </c>
      <c r="N1865" s="2">
        <v>45754</v>
      </c>
      <c r="O1865" t="s">
        <v>43</v>
      </c>
      <c r="P1865" t="s">
        <v>94</v>
      </c>
      <c r="Q1865" t="s">
        <v>28</v>
      </c>
      <c r="R1865" t="s">
        <v>29</v>
      </c>
    </row>
    <row r="1866" spans="1:18">
      <c r="A1866" t="s">
        <v>1998</v>
      </c>
      <c r="B1866" s="2">
        <v>45935</v>
      </c>
      <c r="C1866" t="s">
        <v>117</v>
      </c>
      <c r="D1866" t="s">
        <v>118</v>
      </c>
      <c r="E1866" t="s">
        <v>48</v>
      </c>
      <c r="F1866" t="s">
        <v>57</v>
      </c>
      <c r="G1866" t="s">
        <v>120</v>
      </c>
      <c r="H1866" t="s">
        <v>121</v>
      </c>
      <c r="I1866">
        <v>4</v>
      </c>
      <c r="J1866" s="3">
        <v>21853.17</v>
      </c>
      <c r="K1866" s="3">
        <v>87412.68</v>
      </c>
      <c r="L1866" t="s">
        <v>25</v>
      </c>
      <c r="M1866" s="2">
        <v>45942</v>
      </c>
      <c r="N1866" s="2">
        <v>45940</v>
      </c>
      <c r="O1866" t="s">
        <v>26</v>
      </c>
      <c r="P1866" t="s">
        <v>53</v>
      </c>
      <c r="Q1866" t="s">
        <v>28</v>
      </c>
      <c r="R1866" t="s">
        <v>29</v>
      </c>
    </row>
    <row r="1867" spans="1:18">
      <c r="A1867" t="s">
        <v>1999</v>
      </c>
      <c r="B1867" s="2">
        <v>45819</v>
      </c>
      <c r="C1867" t="s">
        <v>96</v>
      </c>
      <c r="D1867" t="s">
        <v>97</v>
      </c>
      <c r="E1867" t="s">
        <v>39</v>
      </c>
      <c r="F1867" t="s">
        <v>82</v>
      </c>
      <c r="G1867" t="s">
        <v>197</v>
      </c>
      <c r="H1867" t="s">
        <v>198</v>
      </c>
      <c r="I1867">
        <v>40</v>
      </c>
      <c r="J1867" s="3">
        <v>2197.52</v>
      </c>
      <c r="K1867" s="3">
        <v>87900.800000000003</v>
      </c>
      <c r="L1867" t="s">
        <v>25</v>
      </c>
      <c r="M1867" s="2">
        <v>45829</v>
      </c>
      <c r="N1867" s="2">
        <v>45828</v>
      </c>
      <c r="O1867" t="s">
        <v>26</v>
      </c>
      <c r="P1867" t="s">
        <v>44</v>
      </c>
      <c r="Q1867" t="s">
        <v>28</v>
      </c>
      <c r="R1867" t="s">
        <v>29</v>
      </c>
    </row>
    <row r="1868" spans="1:18">
      <c r="A1868" t="s">
        <v>2000</v>
      </c>
      <c r="B1868" s="2">
        <v>45783</v>
      </c>
      <c r="C1868" t="s">
        <v>104</v>
      </c>
      <c r="D1868" t="s">
        <v>105</v>
      </c>
      <c r="E1868" t="s">
        <v>21</v>
      </c>
      <c r="F1868" t="s">
        <v>49</v>
      </c>
      <c r="G1868" t="s">
        <v>165</v>
      </c>
      <c r="H1868" t="s">
        <v>166</v>
      </c>
      <c r="I1868">
        <v>1</v>
      </c>
      <c r="J1868" s="3">
        <v>46104.73</v>
      </c>
      <c r="K1868" s="3">
        <v>46104.73</v>
      </c>
      <c r="L1868" t="s">
        <v>34</v>
      </c>
      <c r="M1868" s="2">
        <v>45793</v>
      </c>
      <c r="N1868" s="2">
        <v>45793</v>
      </c>
      <c r="O1868" t="s">
        <v>26</v>
      </c>
      <c r="P1868" t="s">
        <v>27</v>
      </c>
      <c r="Q1868" t="s">
        <v>28</v>
      </c>
      <c r="R1868" t="s">
        <v>29</v>
      </c>
    </row>
    <row r="1869" spans="1:18">
      <c r="A1869" t="s">
        <v>2001</v>
      </c>
      <c r="B1869" s="2">
        <v>45702</v>
      </c>
      <c r="C1869" t="s">
        <v>142</v>
      </c>
      <c r="D1869" t="s">
        <v>143</v>
      </c>
      <c r="E1869" t="s">
        <v>39</v>
      </c>
      <c r="F1869" t="s">
        <v>22</v>
      </c>
      <c r="G1869" t="s">
        <v>160</v>
      </c>
      <c r="H1869" t="s">
        <v>161</v>
      </c>
      <c r="I1869">
        <v>14</v>
      </c>
      <c r="J1869" s="3">
        <v>3246.03</v>
      </c>
      <c r="K1869" s="3">
        <v>45444.42</v>
      </c>
      <c r="L1869" t="s">
        <v>25</v>
      </c>
      <c r="M1869" s="2">
        <v>45711</v>
      </c>
      <c r="N1869" s="2">
        <v>45709</v>
      </c>
      <c r="O1869" t="s">
        <v>60</v>
      </c>
      <c r="P1869" t="s">
        <v>44</v>
      </c>
      <c r="Q1869" t="s">
        <v>28</v>
      </c>
      <c r="R1869" t="s">
        <v>29</v>
      </c>
    </row>
    <row r="1870" spans="1:18">
      <c r="A1870" t="s">
        <v>2002</v>
      </c>
      <c r="B1870" s="2">
        <v>45681</v>
      </c>
      <c r="C1870" t="s">
        <v>80</v>
      </c>
      <c r="D1870" t="s">
        <v>81</v>
      </c>
      <c r="E1870" t="s">
        <v>39</v>
      </c>
      <c r="F1870" t="s">
        <v>82</v>
      </c>
      <c r="G1870" t="s">
        <v>197</v>
      </c>
      <c r="H1870" t="s">
        <v>198</v>
      </c>
      <c r="I1870">
        <v>30</v>
      </c>
      <c r="J1870" s="3">
        <v>1974.54</v>
      </c>
      <c r="K1870" s="3">
        <v>59236.2</v>
      </c>
      <c r="L1870" t="s">
        <v>25</v>
      </c>
      <c r="M1870" s="2">
        <v>45697</v>
      </c>
      <c r="N1870" s="2">
        <v>45697</v>
      </c>
      <c r="O1870" t="s">
        <v>60</v>
      </c>
      <c r="P1870" t="s">
        <v>44</v>
      </c>
      <c r="Q1870" t="s">
        <v>28</v>
      </c>
      <c r="R1870" t="s">
        <v>29</v>
      </c>
    </row>
    <row r="1871" spans="1:18">
      <c r="A1871" t="s">
        <v>2003</v>
      </c>
      <c r="B1871" s="2">
        <v>46020</v>
      </c>
      <c r="C1871" t="s">
        <v>96</v>
      </c>
      <c r="D1871" t="s">
        <v>97</v>
      </c>
      <c r="E1871" t="s">
        <v>39</v>
      </c>
      <c r="F1871" t="s">
        <v>82</v>
      </c>
      <c r="G1871" t="s">
        <v>197</v>
      </c>
      <c r="H1871" t="s">
        <v>198</v>
      </c>
      <c r="I1871">
        <v>37</v>
      </c>
      <c r="J1871" s="3">
        <v>2133.2600000000002</v>
      </c>
      <c r="K1871" s="3">
        <v>78930.62</v>
      </c>
      <c r="L1871" t="s">
        <v>25</v>
      </c>
      <c r="M1871" s="2">
        <v>46032</v>
      </c>
      <c r="N1871" s="2">
        <v>46029</v>
      </c>
      <c r="O1871" t="s">
        <v>26</v>
      </c>
      <c r="P1871" t="s">
        <v>64</v>
      </c>
      <c r="Q1871" t="s">
        <v>28</v>
      </c>
      <c r="R1871" t="s">
        <v>29</v>
      </c>
    </row>
    <row r="1872" spans="1:18">
      <c r="A1872" t="s">
        <v>2004</v>
      </c>
      <c r="B1872" s="2">
        <v>45868</v>
      </c>
      <c r="C1872" t="s">
        <v>147</v>
      </c>
      <c r="D1872" t="s">
        <v>148</v>
      </c>
      <c r="E1872" t="s">
        <v>112</v>
      </c>
      <c r="F1872" t="s">
        <v>40</v>
      </c>
      <c r="G1872" t="s">
        <v>149</v>
      </c>
      <c r="H1872" t="s">
        <v>150</v>
      </c>
      <c r="I1872">
        <v>42</v>
      </c>
      <c r="J1872" s="3">
        <v>1260.26</v>
      </c>
      <c r="K1872" s="3">
        <v>52930.92</v>
      </c>
      <c r="L1872" t="s">
        <v>34</v>
      </c>
      <c r="M1872" s="2">
        <v>45873</v>
      </c>
      <c r="N1872" s="2">
        <v>45873</v>
      </c>
      <c r="O1872" t="s">
        <v>26</v>
      </c>
      <c r="P1872" t="s">
        <v>115</v>
      </c>
      <c r="Q1872" t="s">
        <v>28</v>
      </c>
      <c r="R1872" t="s">
        <v>29</v>
      </c>
    </row>
    <row r="1873" spans="1:18">
      <c r="A1873" t="s">
        <v>2005</v>
      </c>
      <c r="B1873" s="2">
        <v>45941</v>
      </c>
      <c r="C1873" t="s">
        <v>19</v>
      </c>
      <c r="D1873" t="s">
        <v>20</v>
      </c>
      <c r="E1873" t="s">
        <v>73</v>
      </c>
      <c r="F1873" t="s">
        <v>22</v>
      </c>
      <c r="G1873" t="s">
        <v>32</v>
      </c>
      <c r="H1873" t="s">
        <v>33</v>
      </c>
      <c r="I1873">
        <v>1</v>
      </c>
      <c r="J1873" s="3">
        <v>7103.76</v>
      </c>
      <c r="K1873" s="3">
        <v>7103.76</v>
      </c>
      <c r="L1873" t="s">
        <v>52</v>
      </c>
      <c r="M1873" s="2">
        <v>45949</v>
      </c>
      <c r="N1873" s="2">
        <v>45947</v>
      </c>
      <c r="O1873" t="s">
        <v>76</v>
      </c>
      <c r="P1873" t="s">
        <v>77</v>
      </c>
      <c r="Q1873" t="s">
        <v>28</v>
      </c>
      <c r="R1873" t="s">
        <v>29</v>
      </c>
    </row>
    <row r="1874" spans="1:18">
      <c r="A1874" t="s">
        <v>2006</v>
      </c>
      <c r="B1874" s="2">
        <v>45954</v>
      </c>
      <c r="C1874" t="s">
        <v>89</v>
      </c>
      <c r="D1874" t="s">
        <v>90</v>
      </c>
      <c r="E1874" t="s">
        <v>31</v>
      </c>
      <c r="F1874" t="s">
        <v>91</v>
      </c>
      <c r="G1874" t="s">
        <v>109</v>
      </c>
      <c r="H1874" t="s">
        <v>110</v>
      </c>
      <c r="I1874">
        <v>1</v>
      </c>
      <c r="J1874" s="3">
        <v>12633.78</v>
      </c>
      <c r="K1874" s="3">
        <v>12633.78</v>
      </c>
      <c r="L1874" t="s">
        <v>25</v>
      </c>
      <c r="M1874" s="2">
        <v>45964</v>
      </c>
      <c r="N1874" s="2">
        <v>45961</v>
      </c>
      <c r="O1874" t="s">
        <v>26</v>
      </c>
      <c r="P1874" t="s">
        <v>35</v>
      </c>
      <c r="Q1874" t="s">
        <v>28</v>
      </c>
      <c r="R1874" t="s">
        <v>29</v>
      </c>
    </row>
    <row r="1875" spans="1:18">
      <c r="A1875" t="s">
        <v>2007</v>
      </c>
      <c r="B1875" s="2">
        <v>46076</v>
      </c>
      <c r="C1875" t="s">
        <v>19</v>
      </c>
      <c r="D1875" t="s">
        <v>20</v>
      </c>
      <c r="E1875" t="s">
        <v>31</v>
      </c>
      <c r="F1875" t="s">
        <v>22</v>
      </c>
      <c r="G1875" t="s">
        <v>160</v>
      </c>
      <c r="H1875" t="s">
        <v>161</v>
      </c>
      <c r="I1875">
        <v>12</v>
      </c>
      <c r="J1875" s="3">
        <v>2845.57</v>
      </c>
      <c r="K1875" s="3">
        <v>34146.839999999997</v>
      </c>
      <c r="L1875" t="s">
        <v>52</v>
      </c>
      <c r="M1875" s="2">
        <v>46087</v>
      </c>
      <c r="N1875" s="2">
        <v>46085</v>
      </c>
      <c r="O1875" t="s">
        <v>60</v>
      </c>
      <c r="P1875" t="s">
        <v>35</v>
      </c>
      <c r="Q1875" t="s">
        <v>28</v>
      </c>
      <c r="R1875" t="s">
        <v>29</v>
      </c>
    </row>
    <row r="1876" spans="1:18">
      <c r="A1876" t="s">
        <v>2008</v>
      </c>
      <c r="B1876" s="2">
        <v>45997</v>
      </c>
      <c r="C1876" t="s">
        <v>71</v>
      </c>
      <c r="D1876" t="s">
        <v>72</v>
      </c>
      <c r="E1876" t="s">
        <v>48</v>
      </c>
      <c r="F1876" t="s">
        <v>57</v>
      </c>
      <c r="G1876" t="s">
        <v>58</v>
      </c>
      <c r="H1876" t="s">
        <v>59</v>
      </c>
      <c r="I1876">
        <v>3</v>
      </c>
      <c r="J1876" s="3">
        <v>55605.74</v>
      </c>
      <c r="K1876" s="3">
        <v>166817.22</v>
      </c>
      <c r="L1876" t="s">
        <v>34</v>
      </c>
      <c r="M1876" s="2">
        <v>46015</v>
      </c>
      <c r="N1876" s="2">
        <v>46014</v>
      </c>
      <c r="O1876" t="s">
        <v>43</v>
      </c>
      <c r="P1876" t="s">
        <v>53</v>
      </c>
      <c r="Q1876" t="s">
        <v>28</v>
      </c>
      <c r="R1876" t="s">
        <v>29</v>
      </c>
    </row>
    <row r="1877" spans="1:18">
      <c r="A1877" t="s">
        <v>2009</v>
      </c>
      <c r="B1877" s="2">
        <v>46197</v>
      </c>
      <c r="C1877" t="s">
        <v>142</v>
      </c>
      <c r="D1877" t="s">
        <v>143</v>
      </c>
      <c r="E1877" t="s">
        <v>21</v>
      </c>
      <c r="F1877" t="s">
        <v>22</v>
      </c>
      <c r="G1877" t="s">
        <v>23</v>
      </c>
      <c r="H1877" t="s">
        <v>24</v>
      </c>
      <c r="I1877">
        <v>26</v>
      </c>
      <c r="J1877" s="3">
        <v>246.44</v>
      </c>
      <c r="K1877" s="3">
        <v>6407.44</v>
      </c>
      <c r="L1877" t="s">
        <v>34</v>
      </c>
      <c r="M1877" s="2">
        <v>46208</v>
      </c>
      <c r="N1877" s="2">
        <v>46206</v>
      </c>
      <c r="O1877" t="s">
        <v>60</v>
      </c>
      <c r="P1877" t="s">
        <v>27</v>
      </c>
      <c r="Q1877" t="s">
        <v>28</v>
      </c>
      <c r="R1877" t="s">
        <v>29</v>
      </c>
    </row>
    <row r="1878" spans="1:18">
      <c r="A1878" t="s">
        <v>2010</v>
      </c>
      <c r="B1878" s="2">
        <v>46165</v>
      </c>
      <c r="C1878" t="s">
        <v>55</v>
      </c>
      <c r="D1878" t="s">
        <v>56</v>
      </c>
      <c r="E1878" t="s">
        <v>31</v>
      </c>
      <c r="F1878" t="s">
        <v>57</v>
      </c>
      <c r="G1878" t="s">
        <v>58</v>
      </c>
      <c r="H1878" t="s">
        <v>59</v>
      </c>
      <c r="I1878">
        <v>8</v>
      </c>
      <c r="J1878" s="3">
        <v>63789.67</v>
      </c>
      <c r="K1878" s="3">
        <v>510317.36</v>
      </c>
      <c r="L1878" t="s">
        <v>34</v>
      </c>
      <c r="M1878" s="2">
        <v>46174</v>
      </c>
      <c r="N1878" s="2">
        <v>46172</v>
      </c>
      <c r="O1878" t="s">
        <v>60</v>
      </c>
      <c r="P1878" t="s">
        <v>35</v>
      </c>
      <c r="Q1878" t="s">
        <v>28</v>
      </c>
      <c r="R1878" t="s">
        <v>29</v>
      </c>
    </row>
    <row r="1879" spans="1:18">
      <c r="A1879" t="s">
        <v>2011</v>
      </c>
      <c r="B1879" s="2">
        <v>45808</v>
      </c>
      <c r="C1879" t="s">
        <v>37</v>
      </c>
      <c r="D1879" t="s">
        <v>38</v>
      </c>
      <c r="E1879" t="s">
        <v>21</v>
      </c>
      <c r="F1879" t="s">
        <v>22</v>
      </c>
      <c r="G1879" t="s">
        <v>23</v>
      </c>
      <c r="H1879" t="s">
        <v>24</v>
      </c>
      <c r="I1879">
        <v>27</v>
      </c>
      <c r="J1879" s="3">
        <v>259.27</v>
      </c>
      <c r="K1879" s="3">
        <v>7000.29</v>
      </c>
      <c r="L1879" t="s">
        <v>34</v>
      </c>
      <c r="M1879" s="2">
        <v>45823</v>
      </c>
      <c r="N1879" s="2">
        <v>45821</v>
      </c>
      <c r="O1879" t="s">
        <v>26</v>
      </c>
      <c r="P1879" t="s">
        <v>27</v>
      </c>
      <c r="Q1879" t="s">
        <v>28</v>
      </c>
      <c r="R1879" t="s">
        <v>29</v>
      </c>
    </row>
    <row r="1880" spans="1:18">
      <c r="A1880" t="s">
        <v>2012</v>
      </c>
      <c r="B1880" s="2">
        <v>45939</v>
      </c>
      <c r="C1880" t="s">
        <v>66</v>
      </c>
      <c r="D1880" t="s">
        <v>67</v>
      </c>
      <c r="E1880" t="s">
        <v>73</v>
      </c>
      <c r="F1880" t="s">
        <v>49</v>
      </c>
      <c r="G1880" t="s">
        <v>113</v>
      </c>
      <c r="H1880" t="s">
        <v>114</v>
      </c>
      <c r="I1880">
        <v>1</v>
      </c>
      <c r="J1880" s="3">
        <v>35599.14</v>
      </c>
      <c r="K1880" s="3">
        <v>35599.14</v>
      </c>
      <c r="L1880" t="s">
        <v>25</v>
      </c>
      <c r="M1880" s="2">
        <v>45952</v>
      </c>
      <c r="N1880" s="2">
        <v>45951</v>
      </c>
      <c r="O1880" t="s">
        <v>76</v>
      </c>
      <c r="P1880" t="s">
        <v>77</v>
      </c>
      <c r="Q1880" t="s">
        <v>28</v>
      </c>
      <c r="R1880" t="s">
        <v>29</v>
      </c>
    </row>
    <row r="1881" spans="1:18">
      <c r="A1881" t="s">
        <v>2013</v>
      </c>
      <c r="B1881" s="2">
        <v>46162</v>
      </c>
      <c r="C1881" t="s">
        <v>104</v>
      </c>
      <c r="D1881" t="s">
        <v>105</v>
      </c>
      <c r="E1881" t="s">
        <v>21</v>
      </c>
      <c r="F1881" t="s">
        <v>49</v>
      </c>
      <c r="G1881" t="s">
        <v>68</v>
      </c>
      <c r="H1881" t="s">
        <v>69</v>
      </c>
      <c r="I1881">
        <v>1</v>
      </c>
      <c r="J1881" s="3">
        <v>47455.03</v>
      </c>
      <c r="K1881" s="3">
        <v>47455.03</v>
      </c>
      <c r="L1881" t="s">
        <v>52</v>
      </c>
      <c r="M1881" s="2">
        <v>46179</v>
      </c>
      <c r="N1881" s="2">
        <v>46177</v>
      </c>
      <c r="O1881" t="s">
        <v>60</v>
      </c>
      <c r="P1881" t="s">
        <v>27</v>
      </c>
      <c r="Q1881" t="s">
        <v>28</v>
      </c>
      <c r="R1881" t="s">
        <v>29</v>
      </c>
    </row>
    <row r="1882" spans="1:18">
      <c r="A1882" t="s">
        <v>2014</v>
      </c>
      <c r="B1882" s="2">
        <v>46200</v>
      </c>
      <c r="C1882" t="s">
        <v>80</v>
      </c>
      <c r="D1882" t="s">
        <v>81</v>
      </c>
      <c r="E1882" t="s">
        <v>39</v>
      </c>
      <c r="F1882" t="s">
        <v>82</v>
      </c>
      <c r="G1882" t="s">
        <v>83</v>
      </c>
      <c r="H1882" t="s">
        <v>84</v>
      </c>
      <c r="I1882">
        <v>18</v>
      </c>
      <c r="J1882" s="3">
        <v>659.71</v>
      </c>
      <c r="K1882" s="3">
        <v>11874.78</v>
      </c>
      <c r="L1882" t="s">
        <v>25</v>
      </c>
      <c r="M1882" s="2">
        <v>46210</v>
      </c>
      <c r="N1882" s="2"/>
      <c r="O1882" t="s">
        <v>26</v>
      </c>
      <c r="P1882" t="s">
        <v>64</v>
      </c>
      <c r="Q1882" t="s">
        <v>167</v>
      </c>
      <c r="R1882" t="s">
        <v>167</v>
      </c>
    </row>
    <row r="1883" spans="1:18">
      <c r="A1883" t="s">
        <v>2015</v>
      </c>
      <c r="B1883" s="2">
        <v>45745</v>
      </c>
      <c r="C1883" t="s">
        <v>104</v>
      </c>
      <c r="D1883" t="s">
        <v>105</v>
      </c>
      <c r="E1883" t="s">
        <v>21</v>
      </c>
      <c r="F1883" t="s">
        <v>49</v>
      </c>
      <c r="G1883" t="s">
        <v>50</v>
      </c>
      <c r="H1883" t="s">
        <v>51</v>
      </c>
      <c r="I1883">
        <v>1</v>
      </c>
      <c r="J1883" s="3">
        <v>51234.06</v>
      </c>
      <c r="K1883" s="3">
        <v>51234.06</v>
      </c>
      <c r="L1883" t="s">
        <v>25</v>
      </c>
      <c r="M1883" s="2">
        <v>45758</v>
      </c>
      <c r="N1883" s="2">
        <v>45757</v>
      </c>
      <c r="O1883" t="s">
        <v>26</v>
      </c>
      <c r="P1883" t="s">
        <v>27</v>
      </c>
      <c r="Q1883" t="s">
        <v>28</v>
      </c>
      <c r="R1883" t="s">
        <v>29</v>
      </c>
    </row>
    <row r="1884" spans="1:18">
      <c r="A1884" t="s">
        <v>2016</v>
      </c>
      <c r="B1884" s="2">
        <v>46048</v>
      </c>
      <c r="C1884" t="s">
        <v>80</v>
      </c>
      <c r="D1884" t="s">
        <v>81</v>
      </c>
      <c r="E1884" t="s">
        <v>39</v>
      </c>
      <c r="F1884" t="s">
        <v>82</v>
      </c>
      <c r="G1884" t="s">
        <v>197</v>
      </c>
      <c r="H1884" t="s">
        <v>198</v>
      </c>
      <c r="I1884">
        <v>49</v>
      </c>
      <c r="J1884" s="3">
        <v>1993.46</v>
      </c>
      <c r="K1884" s="3">
        <v>97679.54</v>
      </c>
      <c r="L1884" t="s">
        <v>25</v>
      </c>
      <c r="M1884" s="2">
        <v>46053</v>
      </c>
      <c r="N1884" s="2">
        <v>46053</v>
      </c>
      <c r="O1884" t="s">
        <v>26</v>
      </c>
      <c r="P1884" t="s">
        <v>64</v>
      </c>
      <c r="Q1884" t="s">
        <v>28</v>
      </c>
      <c r="R1884" t="s">
        <v>29</v>
      </c>
    </row>
    <row r="1885" spans="1:18">
      <c r="A1885" t="s">
        <v>2017</v>
      </c>
      <c r="B1885" s="2">
        <v>45965</v>
      </c>
      <c r="C1885" t="s">
        <v>134</v>
      </c>
      <c r="D1885" t="s">
        <v>135</v>
      </c>
      <c r="E1885" t="s">
        <v>39</v>
      </c>
      <c r="F1885" t="s">
        <v>40</v>
      </c>
      <c r="G1885" t="s">
        <v>149</v>
      </c>
      <c r="H1885" t="s">
        <v>150</v>
      </c>
      <c r="I1885">
        <v>55</v>
      </c>
      <c r="J1885" s="3">
        <v>1325.4</v>
      </c>
      <c r="K1885" s="3">
        <v>72897</v>
      </c>
      <c r="L1885" t="s">
        <v>25</v>
      </c>
      <c r="M1885" s="2">
        <v>45978</v>
      </c>
      <c r="N1885" s="2">
        <v>45975</v>
      </c>
      <c r="O1885" t="s">
        <v>76</v>
      </c>
      <c r="P1885" t="s">
        <v>44</v>
      </c>
      <c r="Q1885" t="s">
        <v>28</v>
      </c>
      <c r="R1885" t="s">
        <v>29</v>
      </c>
    </row>
    <row r="1886" spans="1:18">
      <c r="A1886" t="s">
        <v>2018</v>
      </c>
      <c r="B1886" s="2">
        <v>45925</v>
      </c>
      <c r="C1886" t="s">
        <v>134</v>
      </c>
      <c r="D1886" t="s">
        <v>135</v>
      </c>
      <c r="E1886" t="s">
        <v>112</v>
      </c>
      <c r="F1886" t="s">
        <v>40</v>
      </c>
      <c r="G1886" t="s">
        <v>149</v>
      </c>
      <c r="H1886" t="s">
        <v>150</v>
      </c>
      <c r="I1886">
        <v>7</v>
      </c>
      <c r="J1886" s="3">
        <v>1404.44</v>
      </c>
      <c r="K1886" s="3">
        <v>9831.08</v>
      </c>
      <c r="L1886" t="s">
        <v>52</v>
      </c>
      <c r="M1886" s="2">
        <v>45939</v>
      </c>
      <c r="N1886" s="2">
        <v>45936</v>
      </c>
      <c r="O1886" t="s">
        <v>60</v>
      </c>
      <c r="P1886" t="s">
        <v>115</v>
      </c>
      <c r="Q1886" t="s">
        <v>28</v>
      </c>
      <c r="R1886" t="s">
        <v>29</v>
      </c>
    </row>
    <row r="1887" spans="1:18">
      <c r="A1887" t="s">
        <v>2019</v>
      </c>
      <c r="B1887" s="2">
        <v>46165</v>
      </c>
      <c r="C1887" t="s">
        <v>142</v>
      </c>
      <c r="D1887" t="s">
        <v>143</v>
      </c>
      <c r="E1887" t="s">
        <v>31</v>
      </c>
      <c r="F1887" t="s">
        <v>22</v>
      </c>
      <c r="G1887" t="s">
        <v>23</v>
      </c>
      <c r="H1887" t="s">
        <v>24</v>
      </c>
      <c r="I1887">
        <v>55</v>
      </c>
      <c r="J1887" s="3">
        <v>250.56</v>
      </c>
      <c r="K1887" s="3">
        <v>13780.8</v>
      </c>
      <c r="L1887" t="s">
        <v>25</v>
      </c>
      <c r="M1887" s="2">
        <v>46174</v>
      </c>
      <c r="N1887" s="2">
        <v>46174</v>
      </c>
      <c r="O1887" t="s">
        <v>26</v>
      </c>
      <c r="P1887" t="s">
        <v>35</v>
      </c>
      <c r="Q1887" t="s">
        <v>28</v>
      </c>
      <c r="R1887" t="s">
        <v>29</v>
      </c>
    </row>
    <row r="1888" spans="1:18">
      <c r="A1888" t="s">
        <v>2020</v>
      </c>
      <c r="B1888" s="2">
        <v>46076</v>
      </c>
      <c r="C1888" t="s">
        <v>37</v>
      </c>
      <c r="D1888" t="s">
        <v>38</v>
      </c>
      <c r="E1888" t="s">
        <v>31</v>
      </c>
      <c r="F1888" t="s">
        <v>22</v>
      </c>
      <c r="G1888" t="s">
        <v>23</v>
      </c>
      <c r="H1888" t="s">
        <v>24</v>
      </c>
      <c r="I1888">
        <v>7</v>
      </c>
      <c r="J1888" s="3">
        <v>260.26</v>
      </c>
      <c r="K1888" s="3">
        <v>1821.82</v>
      </c>
      <c r="L1888" t="s">
        <v>52</v>
      </c>
      <c r="M1888" s="2">
        <v>46083</v>
      </c>
      <c r="N1888" s="2">
        <v>46081</v>
      </c>
      <c r="O1888" t="s">
        <v>26</v>
      </c>
      <c r="P1888" t="s">
        <v>94</v>
      </c>
      <c r="Q1888" t="s">
        <v>28</v>
      </c>
      <c r="R1888" t="s">
        <v>29</v>
      </c>
    </row>
    <row r="1889" spans="1:18">
      <c r="A1889" t="s">
        <v>2021</v>
      </c>
      <c r="B1889" s="2">
        <v>46122</v>
      </c>
      <c r="C1889" t="s">
        <v>37</v>
      </c>
      <c r="D1889" t="s">
        <v>38</v>
      </c>
      <c r="E1889" t="s">
        <v>21</v>
      </c>
      <c r="F1889" t="s">
        <v>22</v>
      </c>
      <c r="G1889" t="s">
        <v>23</v>
      </c>
      <c r="H1889" t="s">
        <v>24</v>
      </c>
      <c r="I1889">
        <v>31</v>
      </c>
      <c r="J1889" s="3">
        <v>260.77999999999997</v>
      </c>
      <c r="K1889" s="3">
        <v>8084.18</v>
      </c>
      <c r="L1889" t="s">
        <v>25</v>
      </c>
      <c r="M1889" s="2">
        <v>46131</v>
      </c>
      <c r="N1889" s="2">
        <v>46129</v>
      </c>
      <c r="O1889" t="s">
        <v>76</v>
      </c>
      <c r="P1889" t="s">
        <v>27</v>
      </c>
      <c r="Q1889" t="s">
        <v>28</v>
      </c>
      <c r="R1889" t="s">
        <v>29</v>
      </c>
    </row>
    <row r="1890" spans="1:18">
      <c r="A1890" t="s">
        <v>2022</v>
      </c>
      <c r="B1890" s="2">
        <v>46062</v>
      </c>
      <c r="C1890" t="s">
        <v>107</v>
      </c>
      <c r="D1890" t="s">
        <v>108</v>
      </c>
      <c r="E1890" t="s">
        <v>31</v>
      </c>
      <c r="F1890" t="s">
        <v>91</v>
      </c>
      <c r="G1890" t="s">
        <v>109</v>
      </c>
      <c r="H1890" t="s">
        <v>110</v>
      </c>
      <c r="I1890">
        <v>3</v>
      </c>
      <c r="J1890" s="3">
        <v>13301.71</v>
      </c>
      <c r="K1890" s="3">
        <v>39905.129999999997</v>
      </c>
      <c r="L1890" t="s">
        <v>34</v>
      </c>
      <c r="M1890" s="2">
        <v>46078</v>
      </c>
      <c r="N1890" s="2">
        <v>46078</v>
      </c>
      <c r="O1890" t="s">
        <v>43</v>
      </c>
      <c r="P1890" t="s">
        <v>35</v>
      </c>
      <c r="Q1890" t="s">
        <v>28</v>
      </c>
      <c r="R1890" t="s">
        <v>29</v>
      </c>
    </row>
    <row r="1891" spans="1:18">
      <c r="A1891" t="s">
        <v>2023</v>
      </c>
      <c r="B1891" s="2">
        <v>46152</v>
      </c>
      <c r="C1891" t="s">
        <v>80</v>
      </c>
      <c r="D1891" t="s">
        <v>81</v>
      </c>
      <c r="E1891" t="s">
        <v>39</v>
      </c>
      <c r="F1891" t="s">
        <v>82</v>
      </c>
      <c r="G1891" t="s">
        <v>197</v>
      </c>
      <c r="H1891" t="s">
        <v>198</v>
      </c>
      <c r="I1891">
        <v>55</v>
      </c>
      <c r="J1891" s="3">
        <v>1968.87</v>
      </c>
      <c r="K1891" s="3">
        <v>108287.85</v>
      </c>
      <c r="L1891" t="s">
        <v>25</v>
      </c>
      <c r="M1891" s="2">
        <v>46161</v>
      </c>
      <c r="N1891" s="2">
        <v>46160</v>
      </c>
      <c r="O1891" t="s">
        <v>43</v>
      </c>
      <c r="P1891" t="s">
        <v>44</v>
      </c>
      <c r="Q1891" t="s">
        <v>28</v>
      </c>
      <c r="R1891" t="s">
        <v>29</v>
      </c>
    </row>
    <row r="1892" spans="1:18">
      <c r="A1892" t="s">
        <v>2024</v>
      </c>
      <c r="B1892" s="2">
        <v>45940</v>
      </c>
      <c r="C1892" t="s">
        <v>80</v>
      </c>
      <c r="D1892" t="s">
        <v>81</v>
      </c>
      <c r="E1892" t="s">
        <v>39</v>
      </c>
      <c r="F1892" t="s">
        <v>82</v>
      </c>
      <c r="G1892" t="s">
        <v>83</v>
      </c>
      <c r="H1892" t="s">
        <v>84</v>
      </c>
      <c r="I1892">
        <v>47</v>
      </c>
      <c r="J1892" s="3">
        <v>696.29</v>
      </c>
      <c r="K1892" s="3">
        <v>32725.63</v>
      </c>
      <c r="L1892" t="s">
        <v>25</v>
      </c>
      <c r="M1892" s="2">
        <v>45954</v>
      </c>
      <c r="N1892" s="2">
        <v>45951</v>
      </c>
      <c r="O1892" t="s">
        <v>76</v>
      </c>
      <c r="P1892" t="s">
        <v>44</v>
      </c>
      <c r="Q1892" t="s">
        <v>28</v>
      </c>
      <c r="R1892" t="s">
        <v>29</v>
      </c>
    </row>
    <row r="1893" spans="1:18">
      <c r="A1893" t="s">
        <v>2025</v>
      </c>
      <c r="B1893" s="2">
        <v>45984</v>
      </c>
      <c r="C1893" t="s">
        <v>142</v>
      </c>
      <c r="D1893" t="s">
        <v>143</v>
      </c>
      <c r="E1893" t="s">
        <v>39</v>
      </c>
      <c r="F1893" t="s">
        <v>22</v>
      </c>
      <c r="G1893" t="s">
        <v>160</v>
      </c>
      <c r="H1893" t="s">
        <v>161</v>
      </c>
      <c r="I1893">
        <v>5</v>
      </c>
      <c r="J1893" s="3">
        <v>3229.62</v>
      </c>
      <c r="K1893" s="3">
        <v>16148.1</v>
      </c>
      <c r="L1893" t="s">
        <v>34</v>
      </c>
      <c r="M1893" s="2">
        <v>45999</v>
      </c>
      <c r="N1893" s="2">
        <v>45998</v>
      </c>
      <c r="O1893" t="s">
        <v>76</v>
      </c>
      <c r="P1893" t="s">
        <v>64</v>
      </c>
      <c r="Q1893" t="s">
        <v>28</v>
      </c>
      <c r="R1893" t="s">
        <v>29</v>
      </c>
    </row>
    <row r="1894" spans="1:18">
      <c r="A1894" t="s">
        <v>2026</v>
      </c>
      <c r="B1894" s="2">
        <v>46100</v>
      </c>
      <c r="C1894" t="s">
        <v>131</v>
      </c>
      <c r="D1894" t="s">
        <v>132</v>
      </c>
      <c r="E1894" t="s">
        <v>48</v>
      </c>
      <c r="F1894" t="s">
        <v>57</v>
      </c>
      <c r="G1894" t="s">
        <v>58</v>
      </c>
      <c r="H1894" t="s">
        <v>59</v>
      </c>
      <c r="I1894">
        <v>3</v>
      </c>
      <c r="J1894" s="3">
        <v>61583.22</v>
      </c>
      <c r="K1894" s="3">
        <v>184749.66</v>
      </c>
      <c r="L1894" t="s">
        <v>34</v>
      </c>
      <c r="M1894" s="2">
        <v>46107</v>
      </c>
      <c r="N1894" s="2">
        <v>46105</v>
      </c>
      <c r="O1894" t="s">
        <v>43</v>
      </c>
      <c r="P1894" t="s">
        <v>53</v>
      </c>
      <c r="Q1894" t="s">
        <v>28</v>
      </c>
      <c r="R1894" t="s">
        <v>29</v>
      </c>
    </row>
    <row r="1895" spans="1:18">
      <c r="A1895" t="s">
        <v>2027</v>
      </c>
      <c r="B1895" s="2">
        <v>45904</v>
      </c>
      <c r="C1895" t="s">
        <v>19</v>
      </c>
      <c r="D1895" t="s">
        <v>20</v>
      </c>
      <c r="E1895" t="s">
        <v>39</v>
      </c>
      <c r="F1895" t="s">
        <v>22</v>
      </c>
      <c r="G1895" t="s">
        <v>160</v>
      </c>
      <c r="H1895" t="s">
        <v>161</v>
      </c>
      <c r="I1895">
        <v>1</v>
      </c>
      <c r="J1895" s="3">
        <v>2935.35</v>
      </c>
      <c r="K1895" s="3">
        <v>2935.35</v>
      </c>
      <c r="L1895" t="s">
        <v>52</v>
      </c>
      <c r="M1895" s="2">
        <v>45919</v>
      </c>
      <c r="N1895" s="2">
        <v>45922</v>
      </c>
      <c r="O1895" t="s">
        <v>76</v>
      </c>
      <c r="P1895" t="s">
        <v>44</v>
      </c>
      <c r="Q1895" t="s">
        <v>28</v>
      </c>
      <c r="R1895" t="s">
        <v>129</v>
      </c>
    </row>
    <row r="1896" spans="1:18">
      <c r="A1896" t="s">
        <v>2028</v>
      </c>
      <c r="B1896" s="2">
        <v>45952</v>
      </c>
      <c r="C1896" t="s">
        <v>71</v>
      </c>
      <c r="D1896" t="s">
        <v>72</v>
      </c>
      <c r="E1896" t="s">
        <v>21</v>
      </c>
      <c r="F1896" t="s">
        <v>57</v>
      </c>
      <c r="G1896" t="s">
        <v>101</v>
      </c>
      <c r="H1896" t="s">
        <v>102</v>
      </c>
      <c r="I1896">
        <v>49</v>
      </c>
      <c r="J1896" s="3">
        <v>1716.05</v>
      </c>
      <c r="K1896" s="3">
        <v>84086.45</v>
      </c>
      <c r="L1896" t="s">
        <v>25</v>
      </c>
      <c r="M1896" s="2">
        <v>45965</v>
      </c>
      <c r="N1896" s="2">
        <v>45964</v>
      </c>
      <c r="O1896" t="s">
        <v>76</v>
      </c>
      <c r="P1896" t="s">
        <v>27</v>
      </c>
      <c r="Q1896" t="s">
        <v>28</v>
      </c>
      <c r="R1896" t="s">
        <v>29</v>
      </c>
    </row>
    <row r="1897" spans="1:18">
      <c r="A1897" t="s">
        <v>2029</v>
      </c>
      <c r="B1897" s="2">
        <v>46170</v>
      </c>
      <c r="C1897" t="s">
        <v>142</v>
      </c>
      <c r="D1897" t="s">
        <v>143</v>
      </c>
      <c r="E1897" t="s">
        <v>21</v>
      </c>
      <c r="F1897" t="s">
        <v>22</v>
      </c>
      <c r="G1897" t="s">
        <v>160</v>
      </c>
      <c r="H1897" t="s">
        <v>161</v>
      </c>
      <c r="I1897">
        <v>11</v>
      </c>
      <c r="J1897" s="3">
        <v>3297.98</v>
      </c>
      <c r="K1897" s="3">
        <v>36277.78</v>
      </c>
      <c r="L1897" t="s">
        <v>25</v>
      </c>
      <c r="M1897" s="2">
        <v>46182</v>
      </c>
      <c r="N1897" s="2">
        <v>46179</v>
      </c>
      <c r="O1897" t="s">
        <v>76</v>
      </c>
      <c r="P1897" t="s">
        <v>27</v>
      </c>
      <c r="Q1897" t="s">
        <v>28</v>
      </c>
      <c r="R1897" t="s">
        <v>29</v>
      </c>
    </row>
    <row r="1898" spans="1:18">
      <c r="A1898" t="s">
        <v>2030</v>
      </c>
      <c r="B1898" s="2">
        <v>45877</v>
      </c>
      <c r="C1898" t="s">
        <v>19</v>
      </c>
      <c r="D1898" t="s">
        <v>20</v>
      </c>
      <c r="E1898" t="s">
        <v>21</v>
      </c>
      <c r="F1898" t="s">
        <v>22</v>
      </c>
      <c r="G1898" t="s">
        <v>23</v>
      </c>
      <c r="H1898" t="s">
        <v>24</v>
      </c>
      <c r="I1898">
        <v>27</v>
      </c>
      <c r="J1898" s="3">
        <v>238.56</v>
      </c>
      <c r="K1898" s="3">
        <v>6441.12</v>
      </c>
      <c r="L1898" t="s">
        <v>34</v>
      </c>
      <c r="M1898" s="2">
        <v>45890</v>
      </c>
      <c r="N1898" s="2">
        <v>45904</v>
      </c>
      <c r="O1898" t="s">
        <v>76</v>
      </c>
      <c r="P1898" t="s">
        <v>27</v>
      </c>
      <c r="Q1898" t="s">
        <v>28</v>
      </c>
      <c r="R1898" t="s">
        <v>129</v>
      </c>
    </row>
    <row r="1899" spans="1:18">
      <c r="A1899" t="s">
        <v>2031</v>
      </c>
      <c r="B1899" s="2">
        <v>46070</v>
      </c>
      <c r="C1899" t="s">
        <v>66</v>
      </c>
      <c r="D1899" t="s">
        <v>67</v>
      </c>
      <c r="E1899" t="s">
        <v>48</v>
      </c>
      <c r="F1899" t="s">
        <v>49</v>
      </c>
      <c r="G1899" t="s">
        <v>113</v>
      </c>
      <c r="H1899" t="s">
        <v>114</v>
      </c>
      <c r="I1899">
        <v>1</v>
      </c>
      <c r="J1899" s="3">
        <v>36747.54</v>
      </c>
      <c r="K1899" s="3">
        <v>36747.54</v>
      </c>
      <c r="L1899" t="s">
        <v>25</v>
      </c>
      <c r="M1899" s="2">
        <v>46078</v>
      </c>
      <c r="N1899" s="2">
        <v>46076</v>
      </c>
      <c r="O1899" t="s">
        <v>76</v>
      </c>
      <c r="P1899" t="s">
        <v>53</v>
      </c>
      <c r="Q1899" t="s">
        <v>28</v>
      </c>
      <c r="R1899" t="s">
        <v>29</v>
      </c>
    </row>
    <row r="1900" spans="1:18">
      <c r="A1900" t="s">
        <v>2032</v>
      </c>
      <c r="B1900" s="2">
        <v>46134</v>
      </c>
      <c r="C1900" t="s">
        <v>71</v>
      </c>
      <c r="D1900" t="s">
        <v>72</v>
      </c>
      <c r="E1900" t="s">
        <v>73</v>
      </c>
      <c r="F1900" t="s">
        <v>57</v>
      </c>
      <c r="G1900" t="s">
        <v>74</v>
      </c>
      <c r="H1900" t="s">
        <v>75</v>
      </c>
      <c r="I1900">
        <v>12</v>
      </c>
      <c r="J1900" s="3">
        <v>7845.03</v>
      </c>
      <c r="K1900" s="3">
        <v>94140.36</v>
      </c>
      <c r="L1900" t="s">
        <v>34</v>
      </c>
      <c r="M1900" s="2">
        <v>46146</v>
      </c>
      <c r="N1900" s="2">
        <v>46143</v>
      </c>
      <c r="O1900" t="s">
        <v>26</v>
      </c>
      <c r="P1900" t="s">
        <v>77</v>
      </c>
      <c r="Q1900" t="s">
        <v>28</v>
      </c>
      <c r="R1900" t="s">
        <v>29</v>
      </c>
    </row>
    <row r="1901" spans="1:18">
      <c r="A1901" t="s">
        <v>2033</v>
      </c>
      <c r="B1901" s="2">
        <v>45785</v>
      </c>
      <c r="C1901" t="s">
        <v>46</v>
      </c>
      <c r="D1901" t="s">
        <v>47</v>
      </c>
      <c r="E1901" t="s">
        <v>48</v>
      </c>
      <c r="F1901" t="s">
        <v>49</v>
      </c>
      <c r="G1901" t="s">
        <v>113</v>
      </c>
      <c r="H1901" t="s">
        <v>114</v>
      </c>
      <c r="I1901">
        <v>1</v>
      </c>
      <c r="J1901" s="3">
        <v>39454.57</v>
      </c>
      <c r="K1901" s="3">
        <v>39454.57</v>
      </c>
      <c r="L1901" t="s">
        <v>25</v>
      </c>
      <c r="M1901" s="2">
        <v>45795</v>
      </c>
      <c r="N1901" s="2">
        <v>45792</v>
      </c>
      <c r="O1901" t="s">
        <v>60</v>
      </c>
      <c r="P1901" t="s">
        <v>53</v>
      </c>
      <c r="Q1901" t="s">
        <v>28</v>
      </c>
      <c r="R1901" t="s">
        <v>29</v>
      </c>
    </row>
    <row r="1902" spans="1:18">
      <c r="A1902" t="s">
        <v>2034</v>
      </c>
      <c r="B1902" s="2">
        <v>45853</v>
      </c>
      <c r="C1902" t="s">
        <v>142</v>
      </c>
      <c r="D1902" t="s">
        <v>143</v>
      </c>
      <c r="E1902" t="s">
        <v>73</v>
      </c>
      <c r="F1902" t="s">
        <v>22</v>
      </c>
      <c r="G1902" t="s">
        <v>23</v>
      </c>
      <c r="H1902" t="s">
        <v>24</v>
      </c>
      <c r="I1902">
        <v>6</v>
      </c>
      <c r="J1902" s="3">
        <v>248.78</v>
      </c>
      <c r="K1902" s="3">
        <v>1492.68</v>
      </c>
      <c r="L1902" t="s">
        <v>25</v>
      </c>
      <c r="M1902" s="2">
        <v>45868</v>
      </c>
      <c r="N1902" s="2">
        <v>45868</v>
      </c>
      <c r="O1902" t="s">
        <v>43</v>
      </c>
      <c r="P1902" t="s">
        <v>77</v>
      </c>
      <c r="Q1902" t="s">
        <v>28</v>
      </c>
      <c r="R1902" t="s">
        <v>29</v>
      </c>
    </row>
    <row r="1903" spans="1:18">
      <c r="A1903" t="s">
        <v>2035</v>
      </c>
      <c r="B1903" s="2">
        <v>46129</v>
      </c>
      <c r="C1903" t="s">
        <v>19</v>
      </c>
      <c r="D1903" t="s">
        <v>20</v>
      </c>
      <c r="E1903" t="s">
        <v>31</v>
      </c>
      <c r="F1903" t="s">
        <v>22</v>
      </c>
      <c r="G1903" t="s">
        <v>23</v>
      </c>
      <c r="H1903" t="s">
        <v>24</v>
      </c>
      <c r="I1903">
        <v>43</v>
      </c>
      <c r="J1903" s="3">
        <v>227.6</v>
      </c>
      <c r="K1903" s="3">
        <v>9786.7999999999993</v>
      </c>
      <c r="L1903" t="s">
        <v>25</v>
      </c>
      <c r="M1903" s="2">
        <v>46136</v>
      </c>
      <c r="N1903" s="2">
        <v>46134</v>
      </c>
      <c r="O1903" t="s">
        <v>43</v>
      </c>
      <c r="P1903" t="s">
        <v>35</v>
      </c>
      <c r="Q1903" t="s">
        <v>28</v>
      </c>
      <c r="R1903" t="s">
        <v>29</v>
      </c>
    </row>
    <row r="1904" spans="1:18">
      <c r="A1904" t="s">
        <v>2036</v>
      </c>
      <c r="B1904" s="2">
        <v>45817</v>
      </c>
      <c r="C1904" t="s">
        <v>71</v>
      </c>
      <c r="D1904" t="s">
        <v>72</v>
      </c>
      <c r="E1904" t="s">
        <v>48</v>
      </c>
      <c r="F1904" t="s">
        <v>57</v>
      </c>
      <c r="G1904" t="s">
        <v>120</v>
      </c>
      <c r="H1904" t="s">
        <v>121</v>
      </c>
      <c r="I1904">
        <v>7</v>
      </c>
      <c r="J1904" s="3">
        <v>21114.47</v>
      </c>
      <c r="K1904" s="3">
        <v>147801.29</v>
      </c>
      <c r="L1904" t="s">
        <v>25</v>
      </c>
      <c r="M1904" s="2">
        <v>45829</v>
      </c>
      <c r="N1904" s="2">
        <v>45828</v>
      </c>
      <c r="O1904" t="s">
        <v>26</v>
      </c>
      <c r="P1904" t="s">
        <v>53</v>
      </c>
      <c r="Q1904" t="s">
        <v>28</v>
      </c>
      <c r="R1904" t="s">
        <v>29</v>
      </c>
    </row>
    <row r="1905" spans="1:18">
      <c r="A1905" t="s">
        <v>2037</v>
      </c>
      <c r="B1905" s="2">
        <v>46075</v>
      </c>
      <c r="C1905" t="s">
        <v>19</v>
      </c>
      <c r="D1905" t="s">
        <v>20</v>
      </c>
      <c r="E1905" t="s">
        <v>39</v>
      </c>
      <c r="F1905" t="s">
        <v>22</v>
      </c>
      <c r="G1905" t="s">
        <v>23</v>
      </c>
      <c r="H1905" t="s">
        <v>24</v>
      </c>
      <c r="I1905">
        <v>54</v>
      </c>
      <c r="J1905" s="3">
        <v>223.13</v>
      </c>
      <c r="K1905" s="3">
        <v>12049.02</v>
      </c>
      <c r="L1905" t="s">
        <v>34</v>
      </c>
      <c r="M1905" s="2">
        <v>46081</v>
      </c>
      <c r="N1905" s="2">
        <v>46080</v>
      </c>
      <c r="O1905" t="s">
        <v>43</v>
      </c>
      <c r="P1905" t="s">
        <v>64</v>
      </c>
      <c r="Q1905" t="s">
        <v>28</v>
      </c>
      <c r="R1905" t="s">
        <v>29</v>
      </c>
    </row>
    <row r="1906" spans="1:18">
      <c r="A1906" t="s">
        <v>2038</v>
      </c>
      <c r="B1906" s="2">
        <v>45665</v>
      </c>
      <c r="C1906" t="s">
        <v>80</v>
      </c>
      <c r="D1906" t="s">
        <v>81</v>
      </c>
      <c r="E1906" t="s">
        <v>39</v>
      </c>
      <c r="F1906" t="s">
        <v>82</v>
      </c>
      <c r="G1906" t="s">
        <v>98</v>
      </c>
      <c r="H1906" t="s">
        <v>99</v>
      </c>
      <c r="I1906">
        <v>36</v>
      </c>
      <c r="J1906" s="3">
        <v>1079.27</v>
      </c>
      <c r="K1906" s="3">
        <v>38853.72</v>
      </c>
      <c r="L1906" t="s">
        <v>25</v>
      </c>
      <c r="M1906" s="2">
        <v>45680</v>
      </c>
      <c r="N1906" s="2">
        <v>45679</v>
      </c>
      <c r="O1906" t="s">
        <v>26</v>
      </c>
      <c r="P1906" t="s">
        <v>44</v>
      </c>
      <c r="Q1906" t="s">
        <v>28</v>
      </c>
      <c r="R1906" t="s">
        <v>29</v>
      </c>
    </row>
    <row r="1907" spans="1:18">
      <c r="A1907" t="s">
        <v>2039</v>
      </c>
      <c r="B1907" s="2">
        <v>46081</v>
      </c>
      <c r="C1907" t="s">
        <v>55</v>
      </c>
      <c r="D1907" t="s">
        <v>56</v>
      </c>
      <c r="E1907" t="s">
        <v>48</v>
      </c>
      <c r="F1907" t="s">
        <v>57</v>
      </c>
      <c r="G1907" t="s">
        <v>120</v>
      </c>
      <c r="H1907" t="s">
        <v>121</v>
      </c>
      <c r="I1907">
        <v>4</v>
      </c>
      <c r="J1907" s="3">
        <v>25434.66</v>
      </c>
      <c r="K1907" s="3">
        <v>101738.64</v>
      </c>
      <c r="L1907" t="s">
        <v>34</v>
      </c>
      <c r="M1907" s="2">
        <v>46097</v>
      </c>
      <c r="N1907" s="2">
        <v>46097</v>
      </c>
      <c r="O1907" t="s">
        <v>60</v>
      </c>
      <c r="P1907" t="s">
        <v>53</v>
      </c>
      <c r="Q1907" t="s">
        <v>28</v>
      </c>
      <c r="R1907" t="s">
        <v>29</v>
      </c>
    </row>
    <row r="1908" spans="1:18">
      <c r="A1908" t="s">
        <v>2040</v>
      </c>
      <c r="B1908" s="2">
        <v>45815</v>
      </c>
      <c r="C1908" t="s">
        <v>142</v>
      </c>
      <c r="D1908" t="s">
        <v>143</v>
      </c>
      <c r="E1908" t="s">
        <v>39</v>
      </c>
      <c r="F1908" t="s">
        <v>22</v>
      </c>
      <c r="G1908" t="s">
        <v>160</v>
      </c>
      <c r="H1908" t="s">
        <v>161</v>
      </c>
      <c r="I1908">
        <v>7</v>
      </c>
      <c r="J1908" s="3">
        <v>3305.14</v>
      </c>
      <c r="K1908" s="3">
        <v>23135.98</v>
      </c>
      <c r="L1908" t="s">
        <v>34</v>
      </c>
      <c r="M1908" s="2">
        <v>45823</v>
      </c>
      <c r="N1908" s="2">
        <v>45820</v>
      </c>
      <c r="O1908" t="s">
        <v>76</v>
      </c>
      <c r="P1908" t="s">
        <v>64</v>
      </c>
      <c r="Q1908" t="s">
        <v>28</v>
      </c>
      <c r="R1908" t="s">
        <v>29</v>
      </c>
    </row>
    <row r="1909" spans="1:18">
      <c r="A1909" t="s">
        <v>2041</v>
      </c>
      <c r="B1909" s="2">
        <v>46193</v>
      </c>
      <c r="C1909" t="s">
        <v>37</v>
      </c>
      <c r="D1909" t="s">
        <v>38</v>
      </c>
      <c r="E1909" t="s">
        <v>112</v>
      </c>
      <c r="F1909" t="s">
        <v>22</v>
      </c>
      <c r="G1909" t="s">
        <v>23</v>
      </c>
      <c r="H1909" t="s">
        <v>24</v>
      </c>
      <c r="I1909">
        <v>17</v>
      </c>
      <c r="J1909" s="3">
        <v>283.58</v>
      </c>
      <c r="K1909" s="3">
        <v>4820.8599999999997</v>
      </c>
      <c r="L1909" t="s">
        <v>34</v>
      </c>
      <c r="M1909" s="2">
        <v>46210</v>
      </c>
      <c r="N1909" s="2"/>
      <c r="O1909" t="s">
        <v>76</v>
      </c>
      <c r="P1909" t="s">
        <v>115</v>
      </c>
      <c r="Q1909" t="s">
        <v>167</v>
      </c>
      <c r="R1909" t="s">
        <v>167</v>
      </c>
    </row>
    <row r="1910" spans="1:18">
      <c r="A1910" t="s">
        <v>2042</v>
      </c>
      <c r="B1910" s="2">
        <v>46044</v>
      </c>
      <c r="C1910" t="s">
        <v>147</v>
      </c>
      <c r="D1910" t="s">
        <v>148</v>
      </c>
      <c r="E1910" t="s">
        <v>39</v>
      </c>
      <c r="F1910" t="s">
        <v>40</v>
      </c>
      <c r="G1910" t="s">
        <v>149</v>
      </c>
      <c r="H1910" t="s">
        <v>150</v>
      </c>
      <c r="I1910">
        <v>60</v>
      </c>
      <c r="J1910" s="3">
        <v>1338.64</v>
      </c>
      <c r="K1910" s="3">
        <v>80318.399999999994</v>
      </c>
      <c r="L1910" t="s">
        <v>25</v>
      </c>
      <c r="M1910" s="2">
        <v>46053</v>
      </c>
      <c r="N1910" s="2">
        <v>46051</v>
      </c>
      <c r="O1910" t="s">
        <v>76</v>
      </c>
      <c r="P1910" t="s">
        <v>44</v>
      </c>
      <c r="Q1910" t="s">
        <v>28</v>
      </c>
      <c r="R1910" t="s">
        <v>29</v>
      </c>
    </row>
    <row r="1911" spans="1:18">
      <c r="A1911" t="s">
        <v>2043</v>
      </c>
      <c r="B1911" s="2">
        <v>45877</v>
      </c>
      <c r="C1911" t="s">
        <v>104</v>
      </c>
      <c r="D1911" t="s">
        <v>105</v>
      </c>
      <c r="E1911" t="s">
        <v>48</v>
      </c>
      <c r="F1911" t="s">
        <v>49</v>
      </c>
      <c r="G1911" t="s">
        <v>165</v>
      </c>
      <c r="H1911" t="s">
        <v>166</v>
      </c>
      <c r="I1911">
        <v>3</v>
      </c>
      <c r="J1911" s="3">
        <v>43509.46</v>
      </c>
      <c r="K1911" s="3">
        <v>130528.38</v>
      </c>
      <c r="L1911" t="s">
        <v>25</v>
      </c>
      <c r="M1911" s="2">
        <v>45883</v>
      </c>
      <c r="N1911" s="2">
        <v>45881</v>
      </c>
      <c r="O1911" t="s">
        <v>60</v>
      </c>
      <c r="P1911" t="s">
        <v>53</v>
      </c>
      <c r="Q1911" t="s">
        <v>28</v>
      </c>
      <c r="R1911" t="s">
        <v>29</v>
      </c>
    </row>
    <row r="1912" spans="1:18">
      <c r="A1912" t="s">
        <v>2044</v>
      </c>
      <c r="B1912" s="2">
        <v>45850</v>
      </c>
      <c r="C1912" t="s">
        <v>37</v>
      </c>
      <c r="D1912" t="s">
        <v>38</v>
      </c>
      <c r="E1912" t="s">
        <v>39</v>
      </c>
      <c r="F1912" t="s">
        <v>40</v>
      </c>
      <c r="G1912" t="s">
        <v>149</v>
      </c>
      <c r="H1912" t="s">
        <v>150</v>
      </c>
      <c r="I1912">
        <v>46</v>
      </c>
      <c r="J1912" s="3">
        <v>1458.56</v>
      </c>
      <c r="K1912" s="3">
        <v>67093.759999999995</v>
      </c>
      <c r="L1912" t="s">
        <v>25</v>
      </c>
      <c r="M1912" s="2">
        <v>45865</v>
      </c>
      <c r="N1912" s="2">
        <v>45864</v>
      </c>
      <c r="O1912" t="s">
        <v>60</v>
      </c>
      <c r="P1912" t="s">
        <v>44</v>
      </c>
      <c r="Q1912" t="s">
        <v>28</v>
      </c>
      <c r="R1912" t="s">
        <v>29</v>
      </c>
    </row>
    <row r="1913" spans="1:18">
      <c r="A1913" t="s">
        <v>2045</v>
      </c>
      <c r="B1913" s="2">
        <v>45760</v>
      </c>
      <c r="C1913" t="s">
        <v>37</v>
      </c>
      <c r="D1913" t="s">
        <v>38</v>
      </c>
      <c r="E1913" t="s">
        <v>112</v>
      </c>
      <c r="F1913" t="s">
        <v>40</v>
      </c>
      <c r="G1913" t="s">
        <v>41</v>
      </c>
      <c r="H1913" t="s">
        <v>42</v>
      </c>
      <c r="I1913">
        <v>3</v>
      </c>
      <c r="J1913" s="3">
        <v>5895.69</v>
      </c>
      <c r="K1913" s="3">
        <v>17687.07</v>
      </c>
      <c r="L1913" t="s">
        <v>34</v>
      </c>
      <c r="M1913" s="2">
        <v>45765</v>
      </c>
      <c r="N1913" s="2">
        <v>45763</v>
      </c>
      <c r="O1913" t="s">
        <v>26</v>
      </c>
      <c r="P1913" t="s">
        <v>115</v>
      </c>
      <c r="Q1913" t="s">
        <v>28</v>
      </c>
      <c r="R1913" t="s">
        <v>29</v>
      </c>
    </row>
    <row r="1914" spans="1:18">
      <c r="A1914" t="s">
        <v>2046</v>
      </c>
      <c r="B1914" s="2">
        <v>45906</v>
      </c>
      <c r="C1914" t="s">
        <v>142</v>
      </c>
      <c r="D1914" t="s">
        <v>143</v>
      </c>
      <c r="E1914" t="s">
        <v>112</v>
      </c>
      <c r="F1914" t="s">
        <v>22</v>
      </c>
      <c r="G1914" t="s">
        <v>23</v>
      </c>
      <c r="H1914" t="s">
        <v>24</v>
      </c>
      <c r="I1914">
        <v>18</v>
      </c>
      <c r="J1914" s="3">
        <v>253.26</v>
      </c>
      <c r="K1914" s="3">
        <v>4558.68</v>
      </c>
      <c r="L1914" t="s">
        <v>25</v>
      </c>
      <c r="M1914" s="2">
        <v>45917</v>
      </c>
      <c r="N1914" s="2">
        <v>45919</v>
      </c>
      <c r="O1914" t="s">
        <v>60</v>
      </c>
      <c r="P1914" t="s">
        <v>115</v>
      </c>
      <c r="Q1914" t="s">
        <v>28</v>
      </c>
      <c r="R1914" t="s">
        <v>129</v>
      </c>
    </row>
    <row r="1915" spans="1:18">
      <c r="A1915" t="s">
        <v>2047</v>
      </c>
      <c r="B1915" s="2">
        <v>46152</v>
      </c>
      <c r="C1915" t="s">
        <v>142</v>
      </c>
      <c r="D1915" t="s">
        <v>143</v>
      </c>
      <c r="E1915" t="s">
        <v>112</v>
      </c>
      <c r="F1915" t="s">
        <v>22</v>
      </c>
      <c r="G1915" t="s">
        <v>160</v>
      </c>
      <c r="H1915" t="s">
        <v>161</v>
      </c>
      <c r="I1915">
        <v>6</v>
      </c>
      <c r="J1915" s="3">
        <v>3427.96</v>
      </c>
      <c r="K1915" s="3">
        <v>20567.759999999998</v>
      </c>
      <c r="L1915" t="s">
        <v>34</v>
      </c>
      <c r="M1915" s="2">
        <v>46157</v>
      </c>
      <c r="N1915" s="2">
        <v>46154</v>
      </c>
      <c r="O1915" t="s">
        <v>43</v>
      </c>
      <c r="P1915" t="s">
        <v>115</v>
      </c>
      <c r="Q1915" t="s">
        <v>28</v>
      </c>
      <c r="R1915" t="s">
        <v>29</v>
      </c>
    </row>
    <row r="1916" spans="1:18">
      <c r="A1916" t="s">
        <v>2048</v>
      </c>
      <c r="B1916" s="2">
        <v>46168</v>
      </c>
      <c r="C1916" t="s">
        <v>71</v>
      </c>
      <c r="D1916" t="s">
        <v>72</v>
      </c>
      <c r="E1916" t="s">
        <v>21</v>
      </c>
      <c r="F1916" t="s">
        <v>57</v>
      </c>
      <c r="G1916" t="s">
        <v>127</v>
      </c>
      <c r="H1916" t="s">
        <v>128</v>
      </c>
      <c r="I1916">
        <v>5</v>
      </c>
      <c r="J1916" s="3">
        <v>14744.35</v>
      </c>
      <c r="K1916" s="3">
        <v>73721.75</v>
      </c>
      <c r="L1916" t="s">
        <v>25</v>
      </c>
      <c r="M1916" s="2">
        <v>46174</v>
      </c>
      <c r="N1916" s="2">
        <v>46173</v>
      </c>
      <c r="O1916" t="s">
        <v>26</v>
      </c>
      <c r="P1916" t="s">
        <v>27</v>
      </c>
      <c r="Q1916" t="s">
        <v>28</v>
      </c>
      <c r="R1916" t="s">
        <v>29</v>
      </c>
    </row>
    <row r="1917" spans="1:18">
      <c r="A1917" t="s">
        <v>2049</v>
      </c>
      <c r="B1917" s="2">
        <v>45962</v>
      </c>
      <c r="C1917" t="s">
        <v>104</v>
      </c>
      <c r="D1917" t="s">
        <v>105</v>
      </c>
      <c r="E1917" t="s">
        <v>48</v>
      </c>
      <c r="F1917" t="s">
        <v>49</v>
      </c>
      <c r="G1917" t="s">
        <v>68</v>
      </c>
      <c r="H1917" t="s">
        <v>69</v>
      </c>
      <c r="I1917">
        <v>3</v>
      </c>
      <c r="J1917" s="3">
        <v>46551.69</v>
      </c>
      <c r="K1917" s="3">
        <v>139655.07</v>
      </c>
      <c r="L1917" t="s">
        <v>34</v>
      </c>
      <c r="M1917" s="2">
        <v>45968</v>
      </c>
      <c r="N1917" s="2">
        <v>45966</v>
      </c>
      <c r="O1917" t="s">
        <v>26</v>
      </c>
      <c r="P1917" t="s">
        <v>53</v>
      </c>
      <c r="Q1917" t="s">
        <v>28</v>
      </c>
      <c r="R1917" t="s">
        <v>29</v>
      </c>
    </row>
    <row r="1918" spans="1:18">
      <c r="A1918" t="s">
        <v>2050</v>
      </c>
      <c r="B1918" s="2">
        <v>45892</v>
      </c>
      <c r="C1918" t="s">
        <v>71</v>
      </c>
      <c r="D1918" t="s">
        <v>72</v>
      </c>
      <c r="E1918" t="s">
        <v>21</v>
      </c>
      <c r="F1918" t="s">
        <v>57</v>
      </c>
      <c r="G1918" t="s">
        <v>101</v>
      </c>
      <c r="H1918" t="s">
        <v>102</v>
      </c>
      <c r="I1918">
        <v>48</v>
      </c>
      <c r="J1918" s="3">
        <v>1706.49</v>
      </c>
      <c r="K1918" s="3">
        <v>81911.520000000004</v>
      </c>
      <c r="L1918" t="s">
        <v>34</v>
      </c>
      <c r="M1918" s="2">
        <v>45897</v>
      </c>
      <c r="N1918" s="2">
        <v>45900</v>
      </c>
      <c r="O1918" t="s">
        <v>76</v>
      </c>
      <c r="P1918" t="s">
        <v>27</v>
      </c>
      <c r="Q1918" t="s">
        <v>28</v>
      </c>
      <c r="R1918" t="s">
        <v>129</v>
      </c>
    </row>
    <row r="1919" spans="1:18">
      <c r="A1919" t="s">
        <v>2051</v>
      </c>
      <c r="B1919" s="2">
        <v>45850</v>
      </c>
      <c r="C1919" t="s">
        <v>142</v>
      </c>
      <c r="D1919" t="s">
        <v>143</v>
      </c>
      <c r="E1919" t="s">
        <v>31</v>
      </c>
      <c r="F1919" t="s">
        <v>22</v>
      </c>
      <c r="G1919" t="s">
        <v>160</v>
      </c>
      <c r="H1919" t="s">
        <v>161</v>
      </c>
      <c r="I1919">
        <v>5</v>
      </c>
      <c r="J1919" s="3">
        <v>3027.05</v>
      </c>
      <c r="K1919" s="3">
        <v>15135.25</v>
      </c>
      <c r="L1919" t="s">
        <v>52</v>
      </c>
      <c r="M1919" s="2">
        <v>45857</v>
      </c>
      <c r="N1919" s="2">
        <v>45855</v>
      </c>
      <c r="O1919" t="s">
        <v>43</v>
      </c>
      <c r="P1919" t="s">
        <v>94</v>
      </c>
      <c r="Q1919" t="s">
        <v>28</v>
      </c>
      <c r="R1919" t="s">
        <v>29</v>
      </c>
    </row>
    <row r="1920" spans="1:18">
      <c r="A1920" t="s">
        <v>2052</v>
      </c>
      <c r="B1920" s="2">
        <v>45801</v>
      </c>
      <c r="C1920" t="s">
        <v>71</v>
      </c>
      <c r="D1920" t="s">
        <v>72</v>
      </c>
      <c r="E1920" t="s">
        <v>73</v>
      </c>
      <c r="F1920" t="s">
        <v>57</v>
      </c>
      <c r="G1920" t="s">
        <v>101</v>
      </c>
      <c r="H1920" t="s">
        <v>102</v>
      </c>
      <c r="I1920">
        <v>28</v>
      </c>
      <c r="J1920" s="3">
        <v>1693.44</v>
      </c>
      <c r="K1920" s="3">
        <v>47416.32</v>
      </c>
      <c r="L1920" t="s">
        <v>25</v>
      </c>
      <c r="M1920" s="2">
        <v>45818</v>
      </c>
      <c r="N1920" s="2">
        <v>45818</v>
      </c>
      <c r="O1920" t="s">
        <v>26</v>
      </c>
      <c r="P1920" t="s">
        <v>77</v>
      </c>
      <c r="Q1920" t="s">
        <v>28</v>
      </c>
      <c r="R1920" t="s">
        <v>29</v>
      </c>
    </row>
    <row r="1921" spans="1:18">
      <c r="A1921" t="s">
        <v>2053</v>
      </c>
      <c r="B1921" s="2">
        <v>46034</v>
      </c>
      <c r="C1921" t="s">
        <v>46</v>
      </c>
      <c r="D1921" t="s">
        <v>47</v>
      </c>
      <c r="E1921" t="s">
        <v>48</v>
      </c>
      <c r="F1921" t="s">
        <v>49</v>
      </c>
      <c r="G1921" t="s">
        <v>50</v>
      </c>
      <c r="H1921" t="s">
        <v>51</v>
      </c>
      <c r="I1921">
        <v>1</v>
      </c>
      <c r="J1921" s="3">
        <v>55998.62</v>
      </c>
      <c r="K1921" s="3">
        <v>55998.62</v>
      </c>
      <c r="L1921" t="s">
        <v>25</v>
      </c>
      <c r="M1921" s="2">
        <v>46039</v>
      </c>
      <c r="N1921" s="2">
        <v>46036</v>
      </c>
      <c r="O1921" t="s">
        <v>76</v>
      </c>
      <c r="P1921" t="s">
        <v>53</v>
      </c>
      <c r="Q1921" t="s">
        <v>28</v>
      </c>
      <c r="R1921" t="s">
        <v>29</v>
      </c>
    </row>
    <row r="1922" spans="1:18">
      <c r="A1922" t="s">
        <v>2054</v>
      </c>
      <c r="B1922" s="2">
        <v>46149</v>
      </c>
      <c r="C1922" t="s">
        <v>147</v>
      </c>
      <c r="D1922" t="s">
        <v>148</v>
      </c>
      <c r="E1922" t="s">
        <v>112</v>
      </c>
      <c r="F1922" t="s">
        <v>40</v>
      </c>
      <c r="G1922" t="s">
        <v>149</v>
      </c>
      <c r="H1922" t="s">
        <v>150</v>
      </c>
      <c r="I1922">
        <v>12</v>
      </c>
      <c r="J1922" s="3">
        <v>1326.51</v>
      </c>
      <c r="K1922" s="3">
        <v>15918.12</v>
      </c>
      <c r="L1922" t="s">
        <v>25</v>
      </c>
      <c r="M1922" s="2">
        <v>46154</v>
      </c>
      <c r="N1922" s="2">
        <v>46154</v>
      </c>
      <c r="O1922" t="s">
        <v>43</v>
      </c>
      <c r="P1922" t="s">
        <v>115</v>
      </c>
      <c r="Q1922" t="s">
        <v>28</v>
      </c>
      <c r="R1922" t="s">
        <v>29</v>
      </c>
    </row>
    <row r="1923" spans="1:18">
      <c r="A1923" t="s">
        <v>2055</v>
      </c>
      <c r="B1923" s="2">
        <v>45908</v>
      </c>
      <c r="C1923" t="s">
        <v>131</v>
      </c>
      <c r="D1923" t="s">
        <v>132</v>
      </c>
      <c r="E1923" t="s">
        <v>31</v>
      </c>
      <c r="F1923" t="s">
        <v>57</v>
      </c>
      <c r="G1923" t="s">
        <v>127</v>
      </c>
      <c r="H1923" t="s">
        <v>128</v>
      </c>
      <c r="I1923">
        <v>8</v>
      </c>
      <c r="J1923" s="3">
        <v>17349.54</v>
      </c>
      <c r="K1923" s="3">
        <v>138796.32</v>
      </c>
      <c r="L1923" t="s">
        <v>25</v>
      </c>
      <c r="M1923" s="2">
        <v>45922</v>
      </c>
      <c r="N1923" s="2">
        <v>45921</v>
      </c>
      <c r="O1923" t="s">
        <v>60</v>
      </c>
      <c r="P1923" t="s">
        <v>94</v>
      </c>
      <c r="Q1923" t="s">
        <v>28</v>
      </c>
      <c r="R1923" t="s">
        <v>29</v>
      </c>
    </row>
    <row r="1924" spans="1:18">
      <c r="A1924" t="s">
        <v>2056</v>
      </c>
      <c r="B1924" s="2">
        <v>45685</v>
      </c>
      <c r="C1924" t="s">
        <v>131</v>
      </c>
      <c r="D1924" t="s">
        <v>132</v>
      </c>
      <c r="E1924" t="s">
        <v>21</v>
      </c>
      <c r="F1924" t="s">
        <v>57</v>
      </c>
      <c r="G1924" t="s">
        <v>74</v>
      </c>
      <c r="H1924" t="s">
        <v>75</v>
      </c>
      <c r="I1924">
        <v>5</v>
      </c>
      <c r="J1924" s="3">
        <v>9444.68</v>
      </c>
      <c r="K1924" s="3">
        <v>47223.4</v>
      </c>
      <c r="L1924" t="s">
        <v>25</v>
      </c>
      <c r="M1924" s="2">
        <v>45691</v>
      </c>
      <c r="N1924" s="2">
        <v>45688</v>
      </c>
      <c r="O1924" t="s">
        <v>43</v>
      </c>
      <c r="P1924" t="s">
        <v>27</v>
      </c>
      <c r="Q1924" t="s">
        <v>28</v>
      </c>
      <c r="R1924" t="s">
        <v>29</v>
      </c>
    </row>
    <row r="1925" spans="1:18">
      <c r="A1925" t="s">
        <v>2057</v>
      </c>
      <c r="B1925" s="2">
        <v>45917</v>
      </c>
      <c r="C1925" t="s">
        <v>80</v>
      </c>
      <c r="D1925" t="s">
        <v>81</v>
      </c>
      <c r="E1925" t="s">
        <v>39</v>
      </c>
      <c r="F1925" t="s">
        <v>82</v>
      </c>
      <c r="G1925" t="s">
        <v>197</v>
      </c>
      <c r="H1925" t="s">
        <v>198</v>
      </c>
      <c r="I1925">
        <v>20</v>
      </c>
      <c r="J1925" s="3">
        <v>1972.79</v>
      </c>
      <c r="K1925" s="3">
        <v>39455.800000000003</v>
      </c>
      <c r="L1925" t="s">
        <v>25</v>
      </c>
      <c r="M1925" s="2">
        <v>45929</v>
      </c>
      <c r="N1925" s="2">
        <v>45927</v>
      </c>
      <c r="O1925" t="s">
        <v>60</v>
      </c>
      <c r="P1925" t="s">
        <v>44</v>
      </c>
      <c r="Q1925" t="s">
        <v>28</v>
      </c>
      <c r="R1925" t="s">
        <v>29</v>
      </c>
    </row>
    <row r="1926" spans="1:18">
      <c r="A1926" t="s">
        <v>2058</v>
      </c>
      <c r="B1926" s="2">
        <v>46126</v>
      </c>
      <c r="C1926" t="s">
        <v>71</v>
      </c>
      <c r="D1926" t="s">
        <v>72</v>
      </c>
      <c r="E1926" t="s">
        <v>48</v>
      </c>
      <c r="F1926" t="s">
        <v>57</v>
      </c>
      <c r="G1926" t="s">
        <v>101</v>
      </c>
      <c r="H1926" t="s">
        <v>102</v>
      </c>
      <c r="I1926">
        <v>25</v>
      </c>
      <c r="J1926" s="3">
        <v>1650.17</v>
      </c>
      <c r="K1926" s="3">
        <v>41254.25</v>
      </c>
      <c r="L1926" t="s">
        <v>34</v>
      </c>
      <c r="M1926" s="2">
        <v>46141</v>
      </c>
      <c r="N1926" s="2">
        <v>46138</v>
      </c>
      <c r="O1926" t="s">
        <v>26</v>
      </c>
      <c r="P1926" t="s">
        <v>53</v>
      </c>
      <c r="Q1926" t="s">
        <v>28</v>
      </c>
      <c r="R1926" t="s">
        <v>29</v>
      </c>
    </row>
    <row r="1927" spans="1:18">
      <c r="A1927" t="s">
        <v>2059</v>
      </c>
      <c r="B1927" s="2">
        <v>45703</v>
      </c>
      <c r="C1927" t="s">
        <v>80</v>
      </c>
      <c r="D1927" t="s">
        <v>81</v>
      </c>
      <c r="E1927" t="s">
        <v>39</v>
      </c>
      <c r="F1927" t="s">
        <v>82</v>
      </c>
      <c r="G1927" t="s">
        <v>98</v>
      </c>
      <c r="H1927" t="s">
        <v>99</v>
      </c>
      <c r="I1927">
        <v>33</v>
      </c>
      <c r="J1927" s="3">
        <v>1119.8499999999999</v>
      </c>
      <c r="K1927" s="3">
        <v>36955.050000000003</v>
      </c>
      <c r="L1927" t="s">
        <v>52</v>
      </c>
      <c r="M1927" s="2">
        <v>45713</v>
      </c>
      <c r="N1927" s="2">
        <v>45710</v>
      </c>
      <c r="O1927" t="s">
        <v>76</v>
      </c>
      <c r="P1927" t="s">
        <v>44</v>
      </c>
      <c r="Q1927" t="s">
        <v>28</v>
      </c>
      <c r="R1927" t="s">
        <v>29</v>
      </c>
    </row>
    <row r="1928" spans="1:18">
      <c r="A1928" t="s">
        <v>2060</v>
      </c>
      <c r="B1928" s="2">
        <v>45967</v>
      </c>
      <c r="C1928" t="s">
        <v>142</v>
      </c>
      <c r="D1928" t="s">
        <v>143</v>
      </c>
      <c r="E1928" t="s">
        <v>112</v>
      </c>
      <c r="F1928" t="s">
        <v>22</v>
      </c>
      <c r="G1928" t="s">
        <v>32</v>
      </c>
      <c r="H1928" t="s">
        <v>33</v>
      </c>
      <c r="I1928">
        <v>8</v>
      </c>
      <c r="J1928" s="3">
        <v>8587.08</v>
      </c>
      <c r="K1928" s="3">
        <v>68696.639999999999</v>
      </c>
      <c r="L1928" t="s">
        <v>25</v>
      </c>
      <c r="M1928" s="2">
        <v>45983</v>
      </c>
      <c r="N1928" s="2">
        <v>45983</v>
      </c>
      <c r="O1928" t="s">
        <v>76</v>
      </c>
      <c r="P1928" t="s">
        <v>115</v>
      </c>
      <c r="Q1928" t="s">
        <v>28</v>
      </c>
      <c r="R1928" t="s">
        <v>29</v>
      </c>
    </row>
    <row r="1929" spans="1:18">
      <c r="A1929" t="s">
        <v>2061</v>
      </c>
      <c r="B1929" s="2">
        <v>45954</v>
      </c>
      <c r="C1929" t="s">
        <v>80</v>
      </c>
      <c r="D1929" t="s">
        <v>81</v>
      </c>
      <c r="E1929" t="s">
        <v>39</v>
      </c>
      <c r="F1929" t="s">
        <v>82</v>
      </c>
      <c r="G1929" t="s">
        <v>197</v>
      </c>
      <c r="H1929" t="s">
        <v>198</v>
      </c>
      <c r="I1929">
        <v>42</v>
      </c>
      <c r="J1929" s="3">
        <v>1979.82</v>
      </c>
      <c r="K1929" s="3">
        <v>83152.44</v>
      </c>
      <c r="L1929" t="s">
        <v>25</v>
      </c>
      <c r="M1929" s="2">
        <v>45970</v>
      </c>
      <c r="N1929" s="2">
        <v>45967</v>
      </c>
      <c r="O1929" t="s">
        <v>43</v>
      </c>
      <c r="P1929" t="s">
        <v>64</v>
      </c>
      <c r="Q1929" t="s">
        <v>28</v>
      </c>
      <c r="R1929" t="s">
        <v>29</v>
      </c>
    </row>
    <row r="1930" spans="1:18">
      <c r="A1930" t="s">
        <v>2062</v>
      </c>
      <c r="B1930" s="2">
        <v>45768</v>
      </c>
      <c r="C1930" t="s">
        <v>104</v>
      </c>
      <c r="D1930" t="s">
        <v>105</v>
      </c>
      <c r="E1930" t="s">
        <v>112</v>
      </c>
      <c r="F1930" t="s">
        <v>49</v>
      </c>
      <c r="G1930" t="s">
        <v>68</v>
      </c>
      <c r="H1930" t="s">
        <v>69</v>
      </c>
      <c r="I1930">
        <v>1</v>
      </c>
      <c r="J1930" s="3">
        <v>49886.41</v>
      </c>
      <c r="K1930" s="3">
        <v>49886.41</v>
      </c>
      <c r="L1930" t="s">
        <v>25</v>
      </c>
      <c r="M1930" s="2">
        <v>45777</v>
      </c>
      <c r="N1930" s="2">
        <v>45775</v>
      </c>
      <c r="O1930" t="s">
        <v>60</v>
      </c>
      <c r="P1930" t="s">
        <v>115</v>
      </c>
      <c r="Q1930" t="s">
        <v>28</v>
      </c>
      <c r="R1930" t="s">
        <v>29</v>
      </c>
    </row>
    <row r="1931" spans="1:18">
      <c r="A1931" t="s">
        <v>2063</v>
      </c>
      <c r="B1931" s="2">
        <v>46182</v>
      </c>
      <c r="C1931" t="s">
        <v>19</v>
      </c>
      <c r="D1931" t="s">
        <v>20</v>
      </c>
      <c r="E1931" t="s">
        <v>73</v>
      </c>
      <c r="F1931" t="s">
        <v>22</v>
      </c>
      <c r="G1931" t="s">
        <v>160</v>
      </c>
      <c r="H1931" t="s">
        <v>161</v>
      </c>
      <c r="I1931">
        <v>9</v>
      </c>
      <c r="J1931" s="3">
        <v>2867.71</v>
      </c>
      <c r="K1931" s="3">
        <v>25809.39</v>
      </c>
      <c r="L1931" t="s">
        <v>34</v>
      </c>
      <c r="M1931" s="2">
        <v>46192</v>
      </c>
      <c r="N1931" s="2">
        <v>46192</v>
      </c>
      <c r="O1931" t="s">
        <v>43</v>
      </c>
      <c r="P1931" t="s">
        <v>77</v>
      </c>
      <c r="Q1931" t="s">
        <v>28</v>
      </c>
      <c r="R1931" t="s">
        <v>29</v>
      </c>
    </row>
    <row r="1932" spans="1:18">
      <c r="A1932" t="s">
        <v>2064</v>
      </c>
      <c r="B1932" s="2">
        <v>46047</v>
      </c>
      <c r="C1932" t="s">
        <v>66</v>
      </c>
      <c r="D1932" t="s">
        <v>67</v>
      </c>
      <c r="E1932" t="s">
        <v>21</v>
      </c>
      <c r="F1932" t="s">
        <v>49</v>
      </c>
      <c r="G1932" t="s">
        <v>113</v>
      </c>
      <c r="H1932" t="s">
        <v>114</v>
      </c>
      <c r="I1932">
        <v>3</v>
      </c>
      <c r="J1932" s="3">
        <v>36642.75</v>
      </c>
      <c r="K1932" s="3">
        <v>109928.25</v>
      </c>
      <c r="L1932" t="s">
        <v>25</v>
      </c>
      <c r="M1932" s="2">
        <v>46063</v>
      </c>
      <c r="N1932" s="2">
        <v>46060</v>
      </c>
      <c r="O1932" t="s">
        <v>26</v>
      </c>
      <c r="P1932" t="s">
        <v>27</v>
      </c>
      <c r="Q1932" t="s">
        <v>28</v>
      </c>
      <c r="R1932" t="s">
        <v>29</v>
      </c>
    </row>
    <row r="1933" spans="1:18">
      <c r="A1933" t="s">
        <v>2065</v>
      </c>
      <c r="B1933" s="2">
        <v>46145</v>
      </c>
      <c r="C1933" t="s">
        <v>66</v>
      </c>
      <c r="D1933" t="s">
        <v>67</v>
      </c>
      <c r="E1933" t="s">
        <v>48</v>
      </c>
      <c r="F1933" t="s">
        <v>49</v>
      </c>
      <c r="G1933" t="s">
        <v>68</v>
      </c>
      <c r="H1933" t="s">
        <v>69</v>
      </c>
      <c r="I1933">
        <v>1</v>
      </c>
      <c r="J1933" s="3">
        <v>46537.32</v>
      </c>
      <c r="K1933" s="3">
        <v>46537.32</v>
      </c>
      <c r="L1933" t="s">
        <v>25</v>
      </c>
      <c r="M1933" s="2">
        <v>46157</v>
      </c>
      <c r="N1933" s="2">
        <v>46169</v>
      </c>
      <c r="O1933" t="s">
        <v>60</v>
      </c>
      <c r="P1933" t="s">
        <v>53</v>
      </c>
      <c r="Q1933" t="s">
        <v>28</v>
      </c>
      <c r="R1933" t="s">
        <v>129</v>
      </c>
    </row>
    <row r="1934" spans="1:18">
      <c r="A1934" t="s">
        <v>2066</v>
      </c>
      <c r="B1934" s="2">
        <v>46043</v>
      </c>
      <c r="C1934" t="s">
        <v>37</v>
      </c>
      <c r="D1934" t="s">
        <v>38</v>
      </c>
      <c r="E1934" t="s">
        <v>73</v>
      </c>
      <c r="F1934" t="s">
        <v>22</v>
      </c>
      <c r="G1934" t="s">
        <v>32</v>
      </c>
      <c r="H1934" t="s">
        <v>33</v>
      </c>
      <c r="I1934">
        <v>2</v>
      </c>
      <c r="J1934" s="3">
        <v>8705.31</v>
      </c>
      <c r="K1934" s="3">
        <v>17410.62</v>
      </c>
      <c r="L1934" t="s">
        <v>52</v>
      </c>
      <c r="M1934" s="2">
        <v>46058</v>
      </c>
      <c r="N1934" s="2">
        <v>46058</v>
      </c>
      <c r="O1934" t="s">
        <v>26</v>
      </c>
      <c r="P1934" t="s">
        <v>77</v>
      </c>
      <c r="Q1934" t="s">
        <v>28</v>
      </c>
      <c r="R1934" t="s">
        <v>29</v>
      </c>
    </row>
    <row r="1935" spans="1:18">
      <c r="A1935" t="s">
        <v>2067</v>
      </c>
      <c r="B1935" s="2">
        <v>45784</v>
      </c>
      <c r="C1935" t="s">
        <v>107</v>
      </c>
      <c r="D1935" t="s">
        <v>108</v>
      </c>
      <c r="E1935" t="s">
        <v>31</v>
      </c>
      <c r="F1935" t="s">
        <v>91</v>
      </c>
      <c r="G1935" t="s">
        <v>92</v>
      </c>
      <c r="H1935" t="s">
        <v>93</v>
      </c>
      <c r="I1935">
        <v>3</v>
      </c>
      <c r="J1935" s="3">
        <v>44487.06</v>
      </c>
      <c r="K1935" s="3">
        <v>133461.18</v>
      </c>
      <c r="L1935" t="s">
        <v>25</v>
      </c>
      <c r="M1935" s="2">
        <v>45799</v>
      </c>
      <c r="N1935" s="2">
        <v>45797</v>
      </c>
      <c r="O1935" t="s">
        <v>26</v>
      </c>
      <c r="P1935" t="s">
        <v>94</v>
      </c>
      <c r="Q1935" t="s">
        <v>28</v>
      </c>
      <c r="R1935" t="s">
        <v>29</v>
      </c>
    </row>
    <row r="1936" spans="1:18">
      <c r="A1936" t="s">
        <v>2068</v>
      </c>
      <c r="B1936" s="2">
        <v>45905</v>
      </c>
      <c r="C1936" t="s">
        <v>80</v>
      </c>
      <c r="D1936" t="s">
        <v>81</v>
      </c>
      <c r="E1936" t="s">
        <v>39</v>
      </c>
      <c r="F1936" t="s">
        <v>82</v>
      </c>
      <c r="G1936" t="s">
        <v>197</v>
      </c>
      <c r="H1936" t="s">
        <v>198</v>
      </c>
      <c r="I1936">
        <v>29</v>
      </c>
      <c r="J1936" s="3">
        <v>1960.49</v>
      </c>
      <c r="K1936" s="3">
        <v>56854.21</v>
      </c>
      <c r="L1936" t="s">
        <v>34</v>
      </c>
      <c r="M1936" s="2">
        <v>45910</v>
      </c>
      <c r="N1936" s="2">
        <v>45910</v>
      </c>
      <c r="O1936" t="s">
        <v>60</v>
      </c>
      <c r="P1936" t="s">
        <v>44</v>
      </c>
      <c r="Q1936" t="s">
        <v>28</v>
      </c>
      <c r="R1936" t="s">
        <v>29</v>
      </c>
    </row>
    <row r="1937" spans="1:18">
      <c r="A1937" t="s">
        <v>2069</v>
      </c>
      <c r="B1937" s="2">
        <v>45660</v>
      </c>
      <c r="C1937" t="s">
        <v>142</v>
      </c>
      <c r="D1937" t="s">
        <v>143</v>
      </c>
      <c r="E1937" t="s">
        <v>21</v>
      </c>
      <c r="F1937" t="s">
        <v>22</v>
      </c>
      <c r="G1937" t="s">
        <v>23</v>
      </c>
      <c r="H1937" t="s">
        <v>24</v>
      </c>
      <c r="I1937">
        <v>30</v>
      </c>
      <c r="J1937" s="3">
        <v>247.06</v>
      </c>
      <c r="K1937" s="3">
        <v>7411.8</v>
      </c>
      <c r="L1937" t="s">
        <v>25</v>
      </c>
      <c r="M1937" s="2">
        <v>45670</v>
      </c>
      <c r="N1937" s="2">
        <v>45668</v>
      </c>
      <c r="O1937" t="s">
        <v>76</v>
      </c>
      <c r="P1937" t="s">
        <v>27</v>
      </c>
      <c r="Q1937" t="s">
        <v>28</v>
      </c>
      <c r="R1937" t="s">
        <v>29</v>
      </c>
    </row>
    <row r="1938" spans="1:18">
      <c r="A1938" t="s">
        <v>2070</v>
      </c>
      <c r="B1938" s="2">
        <v>45707</v>
      </c>
      <c r="C1938" t="s">
        <v>46</v>
      </c>
      <c r="D1938" t="s">
        <v>47</v>
      </c>
      <c r="E1938" t="s">
        <v>73</v>
      </c>
      <c r="F1938" t="s">
        <v>49</v>
      </c>
      <c r="G1938" t="s">
        <v>165</v>
      </c>
      <c r="H1938" t="s">
        <v>166</v>
      </c>
      <c r="I1938">
        <v>1</v>
      </c>
      <c r="J1938" s="3">
        <v>49346.720000000001</v>
      </c>
      <c r="K1938" s="3">
        <v>49346.720000000001</v>
      </c>
      <c r="L1938" t="s">
        <v>25</v>
      </c>
      <c r="M1938" s="2">
        <v>45716</v>
      </c>
      <c r="N1938" s="2">
        <v>45714</v>
      </c>
      <c r="O1938" t="s">
        <v>43</v>
      </c>
      <c r="P1938" t="s">
        <v>77</v>
      </c>
      <c r="Q1938" t="s">
        <v>28</v>
      </c>
      <c r="R1938" t="s">
        <v>29</v>
      </c>
    </row>
    <row r="1939" spans="1:18">
      <c r="A1939" t="s">
        <v>2071</v>
      </c>
      <c r="B1939" s="2">
        <v>45920</v>
      </c>
      <c r="C1939" t="s">
        <v>46</v>
      </c>
      <c r="D1939" t="s">
        <v>47</v>
      </c>
      <c r="E1939" t="s">
        <v>21</v>
      </c>
      <c r="F1939" t="s">
        <v>49</v>
      </c>
      <c r="G1939" t="s">
        <v>50</v>
      </c>
      <c r="H1939" t="s">
        <v>51</v>
      </c>
      <c r="I1939">
        <v>1</v>
      </c>
      <c r="J1939" s="3">
        <v>52947.25</v>
      </c>
      <c r="K1939" s="3">
        <v>52947.25</v>
      </c>
      <c r="L1939" t="s">
        <v>52</v>
      </c>
      <c r="M1939" s="2">
        <v>45932</v>
      </c>
      <c r="N1939" s="2">
        <v>45930</v>
      </c>
      <c r="O1939" t="s">
        <v>76</v>
      </c>
      <c r="P1939" t="s">
        <v>27</v>
      </c>
      <c r="Q1939" t="s">
        <v>28</v>
      </c>
      <c r="R1939" t="s">
        <v>29</v>
      </c>
    </row>
    <row r="1940" spans="1:18">
      <c r="A1940" t="s">
        <v>2072</v>
      </c>
      <c r="B1940" s="2">
        <v>45688</v>
      </c>
      <c r="C1940" t="s">
        <v>134</v>
      </c>
      <c r="D1940" t="s">
        <v>135</v>
      </c>
      <c r="E1940" t="s">
        <v>112</v>
      </c>
      <c r="F1940" t="s">
        <v>40</v>
      </c>
      <c r="G1940" t="s">
        <v>62</v>
      </c>
      <c r="H1940" t="s">
        <v>63</v>
      </c>
      <c r="I1940">
        <v>3</v>
      </c>
      <c r="J1940" s="3">
        <v>17805.64</v>
      </c>
      <c r="K1940" s="3">
        <v>53416.92</v>
      </c>
      <c r="L1940" t="s">
        <v>25</v>
      </c>
      <c r="M1940" s="2">
        <v>45693</v>
      </c>
      <c r="N1940" s="2">
        <v>45692</v>
      </c>
      <c r="O1940" t="s">
        <v>26</v>
      </c>
      <c r="P1940" t="s">
        <v>115</v>
      </c>
      <c r="Q1940" t="s">
        <v>28</v>
      </c>
      <c r="R1940" t="s">
        <v>29</v>
      </c>
    </row>
    <row r="1941" spans="1:18">
      <c r="A1941" t="s">
        <v>2073</v>
      </c>
      <c r="B1941" s="2">
        <v>46150</v>
      </c>
      <c r="C1941" t="s">
        <v>46</v>
      </c>
      <c r="D1941" t="s">
        <v>47</v>
      </c>
      <c r="E1941" t="s">
        <v>112</v>
      </c>
      <c r="F1941" t="s">
        <v>49</v>
      </c>
      <c r="G1941" t="s">
        <v>165</v>
      </c>
      <c r="H1941" t="s">
        <v>166</v>
      </c>
      <c r="I1941">
        <v>1</v>
      </c>
      <c r="J1941" s="3">
        <v>49932.42</v>
      </c>
      <c r="K1941" s="3">
        <v>49932.42</v>
      </c>
      <c r="L1941" t="s">
        <v>25</v>
      </c>
      <c r="M1941" s="2">
        <v>46164</v>
      </c>
      <c r="N1941" s="2">
        <v>46163</v>
      </c>
      <c r="O1941" t="s">
        <v>60</v>
      </c>
      <c r="P1941" t="s">
        <v>115</v>
      </c>
      <c r="Q1941" t="s">
        <v>28</v>
      </c>
      <c r="R1941" t="s">
        <v>29</v>
      </c>
    </row>
    <row r="1942" spans="1:18">
      <c r="A1942" t="s">
        <v>2074</v>
      </c>
      <c r="B1942" s="2">
        <v>46189</v>
      </c>
      <c r="C1942" t="s">
        <v>71</v>
      </c>
      <c r="D1942" t="s">
        <v>72</v>
      </c>
      <c r="E1942" t="s">
        <v>48</v>
      </c>
      <c r="F1942" t="s">
        <v>57</v>
      </c>
      <c r="G1942" t="s">
        <v>58</v>
      </c>
      <c r="H1942" t="s">
        <v>59</v>
      </c>
      <c r="I1942">
        <v>6</v>
      </c>
      <c r="J1942" s="3">
        <v>54965.19</v>
      </c>
      <c r="K1942" s="3">
        <v>329791.14</v>
      </c>
      <c r="L1942" t="s">
        <v>34</v>
      </c>
      <c r="M1942" s="2">
        <v>46206</v>
      </c>
      <c r="N1942" s="2">
        <v>46206</v>
      </c>
      <c r="O1942" t="s">
        <v>60</v>
      </c>
      <c r="P1942" t="s">
        <v>53</v>
      </c>
      <c r="Q1942" t="s">
        <v>28</v>
      </c>
      <c r="R1942" t="s">
        <v>29</v>
      </c>
    </row>
    <row r="1943" spans="1:18">
      <c r="A1943" t="s">
        <v>2075</v>
      </c>
      <c r="B1943" s="2">
        <v>45965</v>
      </c>
      <c r="C1943" t="s">
        <v>19</v>
      </c>
      <c r="D1943" t="s">
        <v>20</v>
      </c>
      <c r="E1943" t="s">
        <v>39</v>
      </c>
      <c r="F1943" t="s">
        <v>22</v>
      </c>
      <c r="G1943" t="s">
        <v>23</v>
      </c>
      <c r="H1943" t="s">
        <v>24</v>
      </c>
      <c r="I1943">
        <v>35</v>
      </c>
      <c r="J1943" s="3">
        <v>229.12</v>
      </c>
      <c r="K1943" s="3">
        <v>8019.2</v>
      </c>
      <c r="L1943" t="s">
        <v>34</v>
      </c>
      <c r="M1943" s="2">
        <v>45970</v>
      </c>
      <c r="N1943" s="2">
        <v>45973</v>
      </c>
      <c r="O1943" t="s">
        <v>26</v>
      </c>
      <c r="P1943" t="s">
        <v>44</v>
      </c>
      <c r="Q1943" t="s">
        <v>28</v>
      </c>
      <c r="R1943" t="s">
        <v>129</v>
      </c>
    </row>
    <row r="1944" spans="1:18">
      <c r="A1944" t="s">
        <v>2076</v>
      </c>
      <c r="B1944" s="2">
        <v>45977</v>
      </c>
      <c r="C1944" t="s">
        <v>19</v>
      </c>
      <c r="D1944" t="s">
        <v>20</v>
      </c>
      <c r="E1944" t="s">
        <v>39</v>
      </c>
      <c r="F1944" t="s">
        <v>22</v>
      </c>
      <c r="G1944" t="s">
        <v>23</v>
      </c>
      <c r="H1944" t="s">
        <v>24</v>
      </c>
      <c r="I1944">
        <v>46</v>
      </c>
      <c r="J1944" s="3">
        <v>233.72</v>
      </c>
      <c r="K1944" s="3">
        <v>10751.12</v>
      </c>
      <c r="L1944" t="s">
        <v>52</v>
      </c>
      <c r="M1944" s="2">
        <v>45994</v>
      </c>
      <c r="N1944" s="2">
        <v>46007</v>
      </c>
      <c r="O1944" t="s">
        <v>76</v>
      </c>
      <c r="P1944" t="s">
        <v>44</v>
      </c>
      <c r="Q1944" t="s">
        <v>28</v>
      </c>
      <c r="R1944" t="s">
        <v>129</v>
      </c>
    </row>
    <row r="1945" spans="1:18">
      <c r="A1945" t="s">
        <v>2077</v>
      </c>
      <c r="B1945" s="2">
        <v>45726</v>
      </c>
      <c r="C1945" t="s">
        <v>19</v>
      </c>
      <c r="D1945" t="s">
        <v>20</v>
      </c>
      <c r="E1945" t="s">
        <v>31</v>
      </c>
      <c r="F1945" t="s">
        <v>22</v>
      </c>
      <c r="G1945" t="s">
        <v>23</v>
      </c>
      <c r="H1945" t="s">
        <v>24</v>
      </c>
      <c r="I1945">
        <v>8</v>
      </c>
      <c r="J1945" s="3">
        <v>233.01</v>
      </c>
      <c r="K1945" s="3">
        <v>1864.08</v>
      </c>
      <c r="L1945" t="s">
        <v>25</v>
      </c>
      <c r="M1945" s="2">
        <v>45744</v>
      </c>
      <c r="N1945" s="2">
        <v>45741</v>
      </c>
      <c r="O1945" t="s">
        <v>60</v>
      </c>
      <c r="P1945" t="s">
        <v>35</v>
      </c>
      <c r="Q1945" t="s">
        <v>28</v>
      </c>
      <c r="R1945" t="s">
        <v>29</v>
      </c>
    </row>
    <row r="1946" spans="1:18">
      <c r="A1946" t="s">
        <v>2078</v>
      </c>
      <c r="B1946" s="2">
        <v>46022</v>
      </c>
      <c r="C1946" t="s">
        <v>104</v>
      </c>
      <c r="D1946" t="s">
        <v>105</v>
      </c>
      <c r="E1946" t="s">
        <v>48</v>
      </c>
      <c r="F1946" t="s">
        <v>49</v>
      </c>
      <c r="G1946" t="s">
        <v>165</v>
      </c>
      <c r="H1946" t="s">
        <v>166</v>
      </c>
      <c r="I1946">
        <v>1</v>
      </c>
      <c r="J1946" s="3">
        <v>46542.21</v>
      </c>
      <c r="K1946" s="3">
        <v>46542.21</v>
      </c>
      <c r="L1946" t="s">
        <v>25</v>
      </c>
      <c r="M1946" s="2">
        <v>46040</v>
      </c>
      <c r="N1946" s="2">
        <v>46040</v>
      </c>
      <c r="O1946" t="s">
        <v>76</v>
      </c>
      <c r="P1946" t="s">
        <v>53</v>
      </c>
      <c r="Q1946" t="s">
        <v>28</v>
      </c>
      <c r="R1946" t="s">
        <v>29</v>
      </c>
    </row>
    <row r="1947" spans="1:18">
      <c r="A1947" t="s">
        <v>2079</v>
      </c>
      <c r="B1947" s="2">
        <v>45851</v>
      </c>
      <c r="C1947" t="s">
        <v>131</v>
      </c>
      <c r="D1947" t="s">
        <v>132</v>
      </c>
      <c r="E1947" t="s">
        <v>31</v>
      </c>
      <c r="F1947" t="s">
        <v>57</v>
      </c>
      <c r="G1947" t="s">
        <v>127</v>
      </c>
      <c r="H1947" t="s">
        <v>128</v>
      </c>
      <c r="I1947">
        <v>4</v>
      </c>
      <c r="J1947" s="3">
        <v>16669.189999999999</v>
      </c>
      <c r="K1947" s="3">
        <v>66676.759999999995</v>
      </c>
      <c r="L1947" t="s">
        <v>25</v>
      </c>
      <c r="M1947" s="2">
        <v>45867</v>
      </c>
      <c r="N1947" s="2">
        <v>45864</v>
      </c>
      <c r="O1947" t="s">
        <v>43</v>
      </c>
      <c r="P1947" t="s">
        <v>35</v>
      </c>
      <c r="Q1947" t="s">
        <v>28</v>
      </c>
      <c r="R1947" t="s">
        <v>29</v>
      </c>
    </row>
    <row r="1948" spans="1:18">
      <c r="A1948" t="s">
        <v>2080</v>
      </c>
      <c r="B1948" s="2">
        <v>45923</v>
      </c>
      <c r="C1948" t="s">
        <v>142</v>
      </c>
      <c r="D1948" t="s">
        <v>143</v>
      </c>
      <c r="E1948" t="s">
        <v>112</v>
      </c>
      <c r="F1948" t="s">
        <v>22</v>
      </c>
      <c r="G1948" t="s">
        <v>23</v>
      </c>
      <c r="H1948" t="s">
        <v>24</v>
      </c>
      <c r="I1948">
        <v>22</v>
      </c>
      <c r="J1948" s="3">
        <v>260.66000000000003</v>
      </c>
      <c r="K1948" s="3">
        <v>5734.52</v>
      </c>
      <c r="L1948" t="s">
        <v>25</v>
      </c>
      <c r="M1948" s="2">
        <v>45939</v>
      </c>
      <c r="N1948" s="2">
        <v>45937</v>
      </c>
      <c r="O1948" t="s">
        <v>43</v>
      </c>
      <c r="P1948" t="s">
        <v>115</v>
      </c>
      <c r="Q1948" t="s">
        <v>28</v>
      </c>
      <c r="R1948" t="s">
        <v>29</v>
      </c>
    </row>
    <row r="1949" spans="1:18">
      <c r="A1949" t="s">
        <v>2081</v>
      </c>
      <c r="B1949" s="2">
        <v>45665</v>
      </c>
      <c r="C1949" t="s">
        <v>142</v>
      </c>
      <c r="D1949" t="s">
        <v>143</v>
      </c>
      <c r="E1949" t="s">
        <v>39</v>
      </c>
      <c r="F1949" t="s">
        <v>22</v>
      </c>
      <c r="G1949" t="s">
        <v>32</v>
      </c>
      <c r="H1949" t="s">
        <v>33</v>
      </c>
      <c r="I1949">
        <v>14</v>
      </c>
      <c r="J1949" s="3">
        <v>7915.73</v>
      </c>
      <c r="K1949" s="3">
        <v>110820.22</v>
      </c>
      <c r="L1949" t="s">
        <v>34</v>
      </c>
      <c r="M1949" s="2">
        <v>45677</v>
      </c>
      <c r="N1949" s="2">
        <v>45677</v>
      </c>
      <c r="O1949" t="s">
        <v>76</v>
      </c>
      <c r="P1949" t="s">
        <v>64</v>
      </c>
      <c r="Q1949" t="s">
        <v>28</v>
      </c>
      <c r="R1949" t="s">
        <v>29</v>
      </c>
    </row>
    <row r="1950" spans="1:18">
      <c r="A1950" t="s">
        <v>2082</v>
      </c>
      <c r="B1950" s="2">
        <v>45791</v>
      </c>
      <c r="C1950" t="s">
        <v>71</v>
      </c>
      <c r="D1950" t="s">
        <v>72</v>
      </c>
      <c r="E1950" t="s">
        <v>48</v>
      </c>
      <c r="F1950" t="s">
        <v>57</v>
      </c>
      <c r="G1950" t="s">
        <v>127</v>
      </c>
      <c r="H1950" t="s">
        <v>128</v>
      </c>
      <c r="I1950">
        <v>4</v>
      </c>
      <c r="J1950" s="3">
        <v>15161.95</v>
      </c>
      <c r="K1950" s="3">
        <v>60647.8</v>
      </c>
      <c r="L1950" t="s">
        <v>34</v>
      </c>
      <c r="M1950" s="2">
        <v>45799</v>
      </c>
      <c r="N1950" s="2">
        <v>45796</v>
      </c>
      <c r="O1950" t="s">
        <v>76</v>
      </c>
      <c r="P1950" t="s">
        <v>53</v>
      </c>
      <c r="Q1950" t="s">
        <v>28</v>
      </c>
      <c r="R1950" t="s">
        <v>29</v>
      </c>
    </row>
    <row r="1951" spans="1:18">
      <c r="A1951" t="s">
        <v>2083</v>
      </c>
      <c r="B1951" s="2">
        <v>46146</v>
      </c>
      <c r="C1951" t="s">
        <v>142</v>
      </c>
      <c r="D1951" t="s">
        <v>143</v>
      </c>
      <c r="E1951" t="s">
        <v>31</v>
      </c>
      <c r="F1951" t="s">
        <v>22</v>
      </c>
      <c r="G1951" t="s">
        <v>23</v>
      </c>
      <c r="H1951" t="s">
        <v>24</v>
      </c>
      <c r="I1951">
        <v>45</v>
      </c>
      <c r="J1951" s="3">
        <v>256.47000000000003</v>
      </c>
      <c r="K1951" s="3">
        <v>11541.15</v>
      </c>
      <c r="L1951" t="s">
        <v>25</v>
      </c>
      <c r="M1951" s="2">
        <v>46156</v>
      </c>
      <c r="N1951" s="2">
        <v>46156</v>
      </c>
      <c r="O1951" t="s">
        <v>26</v>
      </c>
      <c r="P1951" t="s">
        <v>35</v>
      </c>
      <c r="Q1951" t="s">
        <v>28</v>
      </c>
      <c r="R1951" t="s">
        <v>29</v>
      </c>
    </row>
    <row r="1952" spans="1:18">
      <c r="A1952" t="s">
        <v>2084</v>
      </c>
      <c r="B1952" s="2">
        <v>45743</v>
      </c>
      <c r="C1952" t="s">
        <v>142</v>
      </c>
      <c r="D1952" t="s">
        <v>143</v>
      </c>
      <c r="E1952" t="s">
        <v>39</v>
      </c>
      <c r="F1952" t="s">
        <v>22</v>
      </c>
      <c r="G1952" t="s">
        <v>160</v>
      </c>
      <c r="H1952" t="s">
        <v>161</v>
      </c>
      <c r="I1952">
        <v>5</v>
      </c>
      <c r="J1952" s="3">
        <v>3289.45</v>
      </c>
      <c r="K1952" s="3">
        <v>16447.25</v>
      </c>
      <c r="L1952" t="s">
        <v>52</v>
      </c>
      <c r="M1952" s="2">
        <v>45759</v>
      </c>
      <c r="N1952" s="2">
        <v>45757</v>
      </c>
      <c r="O1952" t="s">
        <v>76</v>
      </c>
      <c r="P1952" t="s">
        <v>44</v>
      </c>
      <c r="Q1952" t="s">
        <v>28</v>
      </c>
      <c r="R1952" t="s">
        <v>29</v>
      </c>
    </row>
    <row r="1953" spans="1:18">
      <c r="A1953" t="s">
        <v>2085</v>
      </c>
      <c r="B1953" s="2">
        <v>45901</v>
      </c>
      <c r="C1953" t="s">
        <v>19</v>
      </c>
      <c r="D1953" t="s">
        <v>20</v>
      </c>
      <c r="E1953" t="s">
        <v>39</v>
      </c>
      <c r="F1953" t="s">
        <v>22</v>
      </c>
      <c r="G1953" t="s">
        <v>160</v>
      </c>
      <c r="H1953" t="s">
        <v>161</v>
      </c>
      <c r="I1953">
        <v>9</v>
      </c>
      <c r="J1953" s="3">
        <v>2948.66</v>
      </c>
      <c r="K1953" s="3">
        <v>26537.94</v>
      </c>
      <c r="L1953" t="s">
        <v>25</v>
      </c>
      <c r="M1953" s="2">
        <v>45909</v>
      </c>
      <c r="N1953" s="2">
        <v>45908</v>
      </c>
      <c r="O1953" t="s">
        <v>60</v>
      </c>
      <c r="P1953" t="s">
        <v>44</v>
      </c>
      <c r="Q1953" t="s">
        <v>28</v>
      </c>
      <c r="R1953" t="s">
        <v>29</v>
      </c>
    </row>
    <row r="1954" spans="1:18">
      <c r="A1954" t="s">
        <v>2086</v>
      </c>
      <c r="B1954" s="2">
        <v>46102</v>
      </c>
      <c r="C1954" t="s">
        <v>142</v>
      </c>
      <c r="D1954" t="s">
        <v>143</v>
      </c>
      <c r="E1954" t="s">
        <v>73</v>
      </c>
      <c r="F1954" t="s">
        <v>22</v>
      </c>
      <c r="G1954" t="s">
        <v>160</v>
      </c>
      <c r="H1954" t="s">
        <v>161</v>
      </c>
      <c r="I1954">
        <v>4</v>
      </c>
      <c r="J1954" s="3">
        <v>3204.12</v>
      </c>
      <c r="K1954" s="3">
        <v>12816.48</v>
      </c>
      <c r="L1954" t="s">
        <v>34</v>
      </c>
      <c r="M1954" s="2">
        <v>46117</v>
      </c>
      <c r="N1954" s="2">
        <v>46115</v>
      </c>
      <c r="O1954" t="s">
        <v>60</v>
      </c>
      <c r="P1954" t="s">
        <v>77</v>
      </c>
      <c r="Q1954" t="s">
        <v>28</v>
      </c>
      <c r="R1954" t="s">
        <v>29</v>
      </c>
    </row>
    <row r="1955" spans="1:18">
      <c r="A1955" t="s">
        <v>2087</v>
      </c>
      <c r="B1955" s="2">
        <v>45826</v>
      </c>
      <c r="C1955" t="s">
        <v>37</v>
      </c>
      <c r="D1955" t="s">
        <v>38</v>
      </c>
      <c r="E1955" t="s">
        <v>112</v>
      </c>
      <c r="F1955" t="s">
        <v>40</v>
      </c>
      <c r="G1955" t="s">
        <v>62</v>
      </c>
      <c r="H1955" t="s">
        <v>63</v>
      </c>
      <c r="I1955">
        <v>5</v>
      </c>
      <c r="J1955" s="3">
        <v>20613.73</v>
      </c>
      <c r="K1955" s="3">
        <v>103068.65</v>
      </c>
      <c r="L1955" t="s">
        <v>34</v>
      </c>
      <c r="M1955" s="2">
        <v>45834</v>
      </c>
      <c r="N1955" s="2">
        <v>45834</v>
      </c>
      <c r="O1955" t="s">
        <v>43</v>
      </c>
      <c r="P1955" t="s">
        <v>115</v>
      </c>
      <c r="Q1955" t="s">
        <v>28</v>
      </c>
      <c r="R1955" t="s">
        <v>29</v>
      </c>
    </row>
    <row r="1956" spans="1:18">
      <c r="A1956" t="s">
        <v>2088</v>
      </c>
      <c r="B1956" s="2">
        <v>45786</v>
      </c>
      <c r="C1956" t="s">
        <v>71</v>
      </c>
      <c r="D1956" t="s">
        <v>72</v>
      </c>
      <c r="E1956" t="s">
        <v>31</v>
      </c>
      <c r="F1956" t="s">
        <v>57</v>
      </c>
      <c r="G1956" t="s">
        <v>101</v>
      </c>
      <c r="H1956" t="s">
        <v>102</v>
      </c>
      <c r="I1956">
        <v>41</v>
      </c>
      <c r="J1956" s="3">
        <v>1725.4</v>
      </c>
      <c r="K1956" s="3">
        <v>70741.399999999994</v>
      </c>
      <c r="L1956" t="s">
        <v>25</v>
      </c>
      <c r="M1956" s="2">
        <v>45795</v>
      </c>
      <c r="N1956" s="2">
        <v>45798</v>
      </c>
      <c r="O1956" t="s">
        <v>76</v>
      </c>
      <c r="P1956" t="s">
        <v>35</v>
      </c>
      <c r="Q1956" t="s">
        <v>28</v>
      </c>
      <c r="R1956" t="s">
        <v>129</v>
      </c>
    </row>
    <row r="1957" spans="1:18">
      <c r="A1957" t="s">
        <v>2089</v>
      </c>
      <c r="B1957" s="2">
        <v>45891</v>
      </c>
      <c r="C1957" t="s">
        <v>142</v>
      </c>
      <c r="D1957" t="s">
        <v>143</v>
      </c>
      <c r="E1957" t="s">
        <v>39</v>
      </c>
      <c r="F1957" t="s">
        <v>22</v>
      </c>
      <c r="G1957" t="s">
        <v>160</v>
      </c>
      <c r="H1957" t="s">
        <v>161</v>
      </c>
      <c r="I1957">
        <v>12</v>
      </c>
      <c r="J1957" s="3">
        <v>3244.9</v>
      </c>
      <c r="K1957" s="3">
        <v>38938.800000000003</v>
      </c>
      <c r="L1957" t="s">
        <v>25</v>
      </c>
      <c r="M1957" s="2">
        <v>45909</v>
      </c>
      <c r="N1957" s="2">
        <v>45907</v>
      </c>
      <c r="O1957" t="s">
        <v>26</v>
      </c>
      <c r="P1957" t="s">
        <v>64</v>
      </c>
      <c r="Q1957" t="s">
        <v>28</v>
      </c>
      <c r="R1957" t="s">
        <v>29</v>
      </c>
    </row>
    <row r="1958" spans="1:18">
      <c r="A1958" t="s">
        <v>2090</v>
      </c>
      <c r="B1958" s="2">
        <v>45884</v>
      </c>
      <c r="C1958" t="s">
        <v>107</v>
      </c>
      <c r="D1958" t="s">
        <v>108</v>
      </c>
      <c r="E1958" t="s">
        <v>31</v>
      </c>
      <c r="F1958" t="s">
        <v>91</v>
      </c>
      <c r="G1958" t="s">
        <v>92</v>
      </c>
      <c r="H1958" t="s">
        <v>93</v>
      </c>
      <c r="I1958">
        <v>1</v>
      </c>
      <c r="J1958" s="3">
        <v>45468.13</v>
      </c>
      <c r="K1958" s="3">
        <v>45468.13</v>
      </c>
      <c r="L1958" t="s">
        <v>25</v>
      </c>
      <c r="M1958" s="2">
        <v>45890</v>
      </c>
      <c r="N1958" s="2">
        <v>45889</v>
      </c>
      <c r="O1958" t="s">
        <v>43</v>
      </c>
      <c r="P1958" t="s">
        <v>94</v>
      </c>
      <c r="Q1958" t="s">
        <v>28</v>
      </c>
      <c r="R1958" t="s">
        <v>29</v>
      </c>
    </row>
    <row r="1959" spans="1:18">
      <c r="A1959" t="s">
        <v>2091</v>
      </c>
      <c r="B1959" s="2">
        <v>46129</v>
      </c>
      <c r="C1959" t="s">
        <v>37</v>
      </c>
      <c r="D1959" t="s">
        <v>38</v>
      </c>
      <c r="E1959" t="s">
        <v>39</v>
      </c>
      <c r="F1959" t="s">
        <v>40</v>
      </c>
      <c r="G1959" t="s">
        <v>41</v>
      </c>
      <c r="H1959" t="s">
        <v>42</v>
      </c>
      <c r="I1959">
        <v>6</v>
      </c>
      <c r="J1959" s="3">
        <v>6046.1</v>
      </c>
      <c r="K1959" s="3">
        <v>36276.6</v>
      </c>
      <c r="L1959" t="s">
        <v>52</v>
      </c>
      <c r="M1959" s="2">
        <v>46140</v>
      </c>
      <c r="N1959" s="2">
        <v>46140</v>
      </c>
      <c r="O1959" t="s">
        <v>43</v>
      </c>
      <c r="P1959" t="s">
        <v>44</v>
      </c>
      <c r="Q1959" t="s">
        <v>28</v>
      </c>
      <c r="R1959" t="s">
        <v>29</v>
      </c>
    </row>
    <row r="1960" spans="1:18">
      <c r="A1960" t="s">
        <v>2092</v>
      </c>
      <c r="B1960" s="2">
        <v>45886</v>
      </c>
      <c r="C1960" t="s">
        <v>55</v>
      </c>
      <c r="D1960" t="s">
        <v>56</v>
      </c>
      <c r="E1960" t="s">
        <v>21</v>
      </c>
      <c r="F1960" t="s">
        <v>57</v>
      </c>
      <c r="G1960" t="s">
        <v>120</v>
      </c>
      <c r="H1960" t="s">
        <v>121</v>
      </c>
      <c r="I1960">
        <v>3</v>
      </c>
      <c r="J1960" s="3">
        <v>25080.07</v>
      </c>
      <c r="K1960" s="3">
        <v>75240.210000000006</v>
      </c>
      <c r="L1960" t="s">
        <v>34</v>
      </c>
      <c r="M1960" s="2">
        <v>45893</v>
      </c>
      <c r="N1960" s="2">
        <v>45892</v>
      </c>
      <c r="O1960" t="s">
        <v>76</v>
      </c>
      <c r="P1960" t="s">
        <v>27</v>
      </c>
      <c r="Q1960" t="s">
        <v>28</v>
      </c>
      <c r="R1960" t="s">
        <v>29</v>
      </c>
    </row>
    <row r="1961" spans="1:18">
      <c r="A1961" t="s">
        <v>2093</v>
      </c>
      <c r="B1961" s="2">
        <v>45828</v>
      </c>
      <c r="C1961" t="s">
        <v>104</v>
      </c>
      <c r="D1961" t="s">
        <v>105</v>
      </c>
      <c r="E1961" t="s">
        <v>112</v>
      </c>
      <c r="F1961" t="s">
        <v>49</v>
      </c>
      <c r="G1961" t="s">
        <v>165</v>
      </c>
      <c r="H1961" t="s">
        <v>166</v>
      </c>
      <c r="I1961">
        <v>2</v>
      </c>
      <c r="J1961" s="3">
        <v>46356.46</v>
      </c>
      <c r="K1961" s="3">
        <v>92712.92</v>
      </c>
      <c r="L1961" t="s">
        <v>25</v>
      </c>
      <c r="M1961" s="2">
        <v>45838</v>
      </c>
      <c r="N1961" s="2">
        <v>45851</v>
      </c>
      <c r="O1961" t="s">
        <v>43</v>
      </c>
      <c r="P1961" t="s">
        <v>115</v>
      </c>
      <c r="Q1961" t="s">
        <v>28</v>
      </c>
      <c r="R1961" t="s">
        <v>129</v>
      </c>
    </row>
    <row r="1962" spans="1:18">
      <c r="A1962" t="s">
        <v>2094</v>
      </c>
      <c r="B1962" s="2">
        <v>45714</v>
      </c>
      <c r="C1962" t="s">
        <v>66</v>
      </c>
      <c r="D1962" t="s">
        <v>67</v>
      </c>
      <c r="E1962" t="s">
        <v>48</v>
      </c>
      <c r="F1962" t="s">
        <v>49</v>
      </c>
      <c r="G1962" t="s">
        <v>113</v>
      </c>
      <c r="H1962" t="s">
        <v>114</v>
      </c>
      <c r="I1962">
        <v>1</v>
      </c>
      <c r="J1962" s="3">
        <v>37525.06</v>
      </c>
      <c r="K1962" s="3">
        <v>37525.06</v>
      </c>
      <c r="L1962" t="s">
        <v>25</v>
      </c>
      <c r="M1962" s="2">
        <v>45721</v>
      </c>
      <c r="N1962" s="2">
        <v>45718</v>
      </c>
      <c r="O1962" t="s">
        <v>76</v>
      </c>
      <c r="P1962" t="s">
        <v>53</v>
      </c>
      <c r="Q1962" t="s">
        <v>28</v>
      </c>
      <c r="R1962" t="s">
        <v>29</v>
      </c>
    </row>
    <row r="1963" spans="1:18">
      <c r="A1963" t="s">
        <v>2095</v>
      </c>
      <c r="B1963" s="2">
        <v>45948</v>
      </c>
      <c r="C1963" t="s">
        <v>46</v>
      </c>
      <c r="D1963" t="s">
        <v>47</v>
      </c>
      <c r="E1963" t="s">
        <v>21</v>
      </c>
      <c r="F1963" t="s">
        <v>49</v>
      </c>
      <c r="G1963" t="s">
        <v>68</v>
      </c>
      <c r="H1963" t="s">
        <v>69</v>
      </c>
      <c r="I1963">
        <v>1</v>
      </c>
      <c r="J1963" s="3">
        <v>52160.68</v>
      </c>
      <c r="K1963" s="3">
        <v>52160.68</v>
      </c>
      <c r="L1963" t="s">
        <v>34</v>
      </c>
      <c r="M1963" s="2">
        <v>45964</v>
      </c>
      <c r="N1963" s="2">
        <v>45962</v>
      </c>
      <c r="O1963" t="s">
        <v>76</v>
      </c>
      <c r="P1963" t="s">
        <v>27</v>
      </c>
      <c r="Q1963" t="s">
        <v>28</v>
      </c>
      <c r="R1963" t="s">
        <v>29</v>
      </c>
    </row>
    <row r="1964" spans="1:18">
      <c r="A1964" t="s">
        <v>2096</v>
      </c>
      <c r="B1964" s="2">
        <v>45859</v>
      </c>
      <c r="C1964" t="s">
        <v>80</v>
      </c>
      <c r="D1964" t="s">
        <v>81</v>
      </c>
      <c r="E1964" t="s">
        <v>39</v>
      </c>
      <c r="F1964" t="s">
        <v>82</v>
      </c>
      <c r="G1964" t="s">
        <v>98</v>
      </c>
      <c r="H1964" t="s">
        <v>99</v>
      </c>
      <c r="I1964">
        <v>59</v>
      </c>
      <c r="J1964" s="3">
        <v>1076.05</v>
      </c>
      <c r="K1964" s="3">
        <v>63486.95</v>
      </c>
      <c r="L1964" t="s">
        <v>34</v>
      </c>
      <c r="M1964" s="2">
        <v>45867</v>
      </c>
      <c r="N1964" s="2">
        <v>45866</v>
      </c>
      <c r="O1964" t="s">
        <v>76</v>
      </c>
      <c r="P1964" t="s">
        <v>64</v>
      </c>
      <c r="Q1964" t="s">
        <v>28</v>
      </c>
      <c r="R1964" t="s">
        <v>29</v>
      </c>
    </row>
    <row r="1965" spans="1:18">
      <c r="A1965" t="s">
        <v>2097</v>
      </c>
      <c r="B1965" s="2">
        <v>46183</v>
      </c>
      <c r="C1965" t="s">
        <v>104</v>
      </c>
      <c r="D1965" t="s">
        <v>105</v>
      </c>
      <c r="E1965" t="s">
        <v>48</v>
      </c>
      <c r="F1965" t="s">
        <v>49</v>
      </c>
      <c r="G1965" t="s">
        <v>68</v>
      </c>
      <c r="H1965" t="s">
        <v>69</v>
      </c>
      <c r="I1965">
        <v>3</v>
      </c>
      <c r="J1965" s="3">
        <v>49653.66</v>
      </c>
      <c r="K1965" s="3">
        <v>148960.98000000001</v>
      </c>
      <c r="L1965" t="s">
        <v>25</v>
      </c>
      <c r="M1965" s="2">
        <v>46189</v>
      </c>
      <c r="N1965" s="2">
        <v>46188</v>
      </c>
      <c r="O1965" t="s">
        <v>60</v>
      </c>
      <c r="P1965" t="s">
        <v>53</v>
      </c>
      <c r="Q1965" t="s">
        <v>28</v>
      </c>
      <c r="R1965" t="s">
        <v>29</v>
      </c>
    </row>
    <row r="1966" spans="1:18">
      <c r="A1966" t="s">
        <v>2098</v>
      </c>
      <c r="B1966" s="2">
        <v>45941</v>
      </c>
      <c r="C1966" t="s">
        <v>142</v>
      </c>
      <c r="D1966" t="s">
        <v>143</v>
      </c>
      <c r="E1966" t="s">
        <v>31</v>
      </c>
      <c r="F1966" t="s">
        <v>22</v>
      </c>
      <c r="G1966" t="s">
        <v>23</v>
      </c>
      <c r="H1966" t="s">
        <v>24</v>
      </c>
      <c r="I1966">
        <v>32</v>
      </c>
      <c r="J1966" s="3">
        <v>256.94</v>
      </c>
      <c r="K1966" s="3">
        <v>8222.08</v>
      </c>
      <c r="L1966" t="s">
        <v>25</v>
      </c>
      <c r="M1966" s="2">
        <v>45950</v>
      </c>
      <c r="N1966" s="2">
        <v>45949</v>
      </c>
      <c r="O1966" t="s">
        <v>60</v>
      </c>
      <c r="P1966" t="s">
        <v>35</v>
      </c>
      <c r="Q1966" t="s">
        <v>28</v>
      </c>
      <c r="R1966" t="s">
        <v>29</v>
      </c>
    </row>
    <row r="1967" spans="1:18">
      <c r="A1967" t="s">
        <v>2099</v>
      </c>
      <c r="B1967" s="2">
        <v>45680</v>
      </c>
      <c r="C1967" t="s">
        <v>89</v>
      </c>
      <c r="D1967" t="s">
        <v>90</v>
      </c>
      <c r="E1967" t="s">
        <v>31</v>
      </c>
      <c r="F1967" t="s">
        <v>91</v>
      </c>
      <c r="G1967" t="s">
        <v>109</v>
      </c>
      <c r="H1967" t="s">
        <v>110</v>
      </c>
      <c r="I1967">
        <v>1</v>
      </c>
      <c r="J1967" s="3">
        <v>12271.94</v>
      </c>
      <c r="K1967" s="3">
        <v>12271.94</v>
      </c>
      <c r="L1967" t="s">
        <v>25</v>
      </c>
      <c r="M1967" s="2">
        <v>45685</v>
      </c>
      <c r="N1967" s="2">
        <v>45685</v>
      </c>
      <c r="O1967" t="s">
        <v>26</v>
      </c>
      <c r="P1967" t="s">
        <v>94</v>
      </c>
      <c r="Q1967" t="s">
        <v>28</v>
      </c>
      <c r="R1967" t="s">
        <v>29</v>
      </c>
    </row>
    <row r="1968" spans="1:18">
      <c r="A1968" t="s">
        <v>2100</v>
      </c>
      <c r="B1968" s="2">
        <v>45793</v>
      </c>
      <c r="C1968" t="s">
        <v>104</v>
      </c>
      <c r="D1968" t="s">
        <v>105</v>
      </c>
      <c r="E1968" t="s">
        <v>48</v>
      </c>
      <c r="F1968" t="s">
        <v>49</v>
      </c>
      <c r="G1968" t="s">
        <v>113</v>
      </c>
      <c r="H1968" t="s">
        <v>114</v>
      </c>
      <c r="I1968">
        <v>3</v>
      </c>
      <c r="J1968" s="3">
        <v>37699.21</v>
      </c>
      <c r="K1968" s="3">
        <v>113097.63</v>
      </c>
      <c r="L1968" t="s">
        <v>34</v>
      </c>
      <c r="M1968" s="2">
        <v>45811</v>
      </c>
      <c r="N1968" s="2">
        <v>45809</v>
      </c>
      <c r="O1968" t="s">
        <v>43</v>
      </c>
      <c r="P1968" t="s">
        <v>53</v>
      </c>
      <c r="Q1968" t="s">
        <v>28</v>
      </c>
      <c r="R1968" t="s">
        <v>29</v>
      </c>
    </row>
    <row r="1969" spans="1:18">
      <c r="A1969" t="s">
        <v>2101</v>
      </c>
      <c r="B1969" s="2">
        <v>45813</v>
      </c>
      <c r="C1969" t="s">
        <v>142</v>
      </c>
      <c r="D1969" t="s">
        <v>143</v>
      </c>
      <c r="E1969" t="s">
        <v>31</v>
      </c>
      <c r="F1969" t="s">
        <v>22</v>
      </c>
      <c r="G1969" t="s">
        <v>32</v>
      </c>
      <c r="H1969" t="s">
        <v>33</v>
      </c>
      <c r="I1969">
        <v>5</v>
      </c>
      <c r="J1969" s="3">
        <v>7727.3</v>
      </c>
      <c r="K1969" s="3">
        <v>38636.5</v>
      </c>
      <c r="L1969" t="s">
        <v>25</v>
      </c>
      <c r="M1969" s="2">
        <v>45819</v>
      </c>
      <c r="N1969" s="2">
        <v>45830</v>
      </c>
      <c r="O1969" t="s">
        <v>76</v>
      </c>
      <c r="P1969" t="s">
        <v>94</v>
      </c>
      <c r="Q1969" t="s">
        <v>28</v>
      </c>
      <c r="R1969" t="s">
        <v>129</v>
      </c>
    </row>
    <row r="1970" spans="1:18">
      <c r="A1970" t="s">
        <v>2102</v>
      </c>
      <c r="B1970" s="2">
        <v>45792</v>
      </c>
      <c r="C1970" t="s">
        <v>107</v>
      </c>
      <c r="D1970" t="s">
        <v>108</v>
      </c>
      <c r="E1970" t="s">
        <v>31</v>
      </c>
      <c r="F1970" t="s">
        <v>91</v>
      </c>
      <c r="G1970" t="s">
        <v>109</v>
      </c>
      <c r="H1970" t="s">
        <v>110</v>
      </c>
      <c r="I1970">
        <v>1</v>
      </c>
      <c r="J1970" s="3">
        <v>13293.27</v>
      </c>
      <c r="K1970" s="3">
        <v>13293.27</v>
      </c>
      <c r="L1970" t="s">
        <v>52</v>
      </c>
      <c r="M1970" s="2">
        <v>45810</v>
      </c>
      <c r="N1970" s="2">
        <v>45808</v>
      </c>
      <c r="O1970" t="s">
        <v>76</v>
      </c>
      <c r="P1970" t="s">
        <v>94</v>
      </c>
      <c r="Q1970" t="s">
        <v>28</v>
      </c>
      <c r="R1970" t="s">
        <v>29</v>
      </c>
    </row>
    <row r="1971" spans="1:18">
      <c r="A1971" t="s">
        <v>2103</v>
      </c>
      <c r="B1971" s="2">
        <v>45975</v>
      </c>
      <c r="C1971" t="s">
        <v>19</v>
      </c>
      <c r="D1971" t="s">
        <v>20</v>
      </c>
      <c r="E1971" t="s">
        <v>21</v>
      </c>
      <c r="F1971" t="s">
        <v>22</v>
      </c>
      <c r="G1971" t="s">
        <v>32</v>
      </c>
      <c r="H1971" t="s">
        <v>33</v>
      </c>
      <c r="I1971">
        <v>6</v>
      </c>
      <c r="J1971" s="3">
        <v>7270.98</v>
      </c>
      <c r="K1971" s="3">
        <v>43625.88</v>
      </c>
      <c r="L1971" t="s">
        <v>25</v>
      </c>
      <c r="M1971" s="2">
        <v>45991</v>
      </c>
      <c r="N1971" s="2">
        <v>45989</v>
      </c>
      <c r="O1971" t="s">
        <v>43</v>
      </c>
      <c r="P1971" t="s">
        <v>27</v>
      </c>
      <c r="Q1971" t="s">
        <v>28</v>
      </c>
      <c r="R1971" t="s">
        <v>29</v>
      </c>
    </row>
    <row r="1972" spans="1:18">
      <c r="A1972" t="s">
        <v>2104</v>
      </c>
      <c r="B1972" s="2">
        <v>46100</v>
      </c>
      <c r="C1972" t="s">
        <v>80</v>
      </c>
      <c r="D1972" t="s">
        <v>81</v>
      </c>
      <c r="E1972" t="s">
        <v>39</v>
      </c>
      <c r="F1972" t="s">
        <v>82</v>
      </c>
      <c r="G1972" t="s">
        <v>197</v>
      </c>
      <c r="H1972" t="s">
        <v>198</v>
      </c>
      <c r="I1972">
        <v>31</v>
      </c>
      <c r="J1972" s="3">
        <v>2091.2800000000002</v>
      </c>
      <c r="K1972" s="3">
        <v>64829.68</v>
      </c>
      <c r="L1972" t="s">
        <v>25</v>
      </c>
      <c r="M1972" s="2">
        <v>46108</v>
      </c>
      <c r="N1972" s="2">
        <v>46122</v>
      </c>
      <c r="O1972" t="s">
        <v>60</v>
      </c>
      <c r="P1972" t="s">
        <v>64</v>
      </c>
      <c r="Q1972" t="s">
        <v>28</v>
      </c>
      <c r="R1972" t="s">
        <v>129</v>
      </c>
    </row>
    <row r="1973" spans="1:18">
      <c r="A1973" t="s">
        <v>2105</v>
      </c>
      <c r="B1973" s="2">
        <v>45734</v>
      </c>
      <c r="C1973" t="s">
        <v>66</v>
      </c>
      <c r="D1973" t="s">
        <v>67</v>
      </c>
      <c r="E1973" t="s">
        <v>112</v>
      </c>
      <c r="F1973" t="s">
        <v>49</v>
      </c>
      <c r="G1973" t="s">
        <v>165</v>
      </c>
      <c r="H1973" t="s">
        <v>166</v>
      </c>
      <c r="I1973">
        <v>1</v>
      </c>
      <c r="J1973" s="3">
        <v>44717.27</v>
      </c>
      <c r="K1973" s="3">
        <v>44717.27</v>
      </c>
      <c r="L1973" t="s">
        <v>25</v>
      </c>
      <c r="M1973" s="2">
        <v>45744</v>
      </c>
      <c r="N1973" s="2">
        <v>45744</v>
      </c>
      <c r="O1973" t="s">
        <v>43</v>
      </c>
      <c r="P1973" t="s">
        <v>115</v>
      </c>
      <c r="Q1973" t="s">
        <v>28</v>
      </c>
      <c r="R1973" t="s">
        <v>29</v>
      </c>
    </row>
    <row r="1974" spans="1:18">
      <c r="A1974" t="s">
        <v>2106</v>
      </c>
      <c r="B1974" s="2">
        <v>45700</v>
      </c>
      <c r="C1974" t="s">
        <v>80</v>
      </c>
      <c r="D1974" t="s">
        <v>81</v>
      </c>
      <c r="E1974" t="s">
        <v>39</v>
      </c>
      <c r="F1974" t="s">
        <v>82</v>
      </c>
      <c r="G1974" t="s">
        <v>197</v>
      </c>
      <c r="H1974" t="s">
        <v>198</v>
      </c>
      <c r="I1974">
        <v>27</v>
      </c>
      <c r="J1974" s="3">
        <v>2005.15</v>
      </c>
      <c r="K1974" s="3">
        <v>54139.05</v>
      </c>
      <c r="L1974" t="s">
        <v>25</v>
      </c>
      <c r="M1974" s="2">
        <v>45715</v>
      </c>
      <c r="N1974" s="2">
        <v>45712</v>
      </c>
      <c r="O1974" t="s">
        <v>43</v>
      </c>
      <c r="P1974" t="s">
        <v>44</v>
      </c>
      <c r="Q1974" t="s">
        <v>28</v>
      </c>
      <c r="R1974" t="s">
        <v>29</v>
      </c>
    </row>
    <row r="1975" spans="1:18">
      <c r="A1975" t="s">
        <v>2107</v>
      </c>
      <c r="B1975" s="2">
        <v>46090</v>
      </c>
      <c r="C1975" t="s">
        <v>19</v>
      </c>
      <c r="D1975" t="s">
        <v>20</v>
      </c>
      <c r="E1975" t="s">
        <v>112</v>
      </c>
      <c r="F1975" t="s">
        <v>22</v>
      </c>
      <c r="G1975" t="s">
        <v>32</v>
      </c>
      <c r="H1975" t="s">
        <v>33</v>
      </c>
      <c r="I1975">
        <v>1</v>
      </c>
      <c r="J1975" s="3">
        <v>7407.93</v>
      </c>
      <c r="K1975" s="3">
        <v>7407.93</v>
      </c>
      <c r="L1975" t="s">
        <v>34</v>
      </c>
      <c r="M1975" s="2">
        <v>46096</v>
      </c>
      <c r="N1975" s="2">
        <v>46093</v>
      </c>
      <c r="O1975" t="s">
        <v>43</v>
      </c>
      <c r="P1975" t="s">
        <v>115</v>
      </c>
      <c r="Q1975" t="s">
        <v>28</v>
      </c>
      <c r="R1975" t="s">
        <v>29</v>
      </c>
    </row>
    <row r="1976" spans="1:18">
      <c r="A1976" t="s">
        <v>2108</v>
      </c>
      <c r="B1976" s="2">
        <v>45810</v>
      </c>
      <c r="C1976" t="s">
        <v>142</v>
      </c>
      <c r="D1976" t="s">
        <v>143</v>
      </c>
      <c r="E1976" t="s">
        <v>31</v>
      </c>
      <c r="F1976" t="s">
        <v>22</v>
      </c>
      <c r="G1976" t="s">
        <v>32</v>
      </c>
      <c r="H1976" t="s">
        <v>33</v>
      </c>
      <c r="I1976">
        <v>1</v>
      </c>
      <c r="J1976" s="3">
        <v>7904.92</v>
      </c>
      <c r="K1976" s="3">
        <v>7904.92</v>
      </c>
      <c r="L1976" t="s">
        <v>34</v>
      </c>
      <c r="M1976" s="2">
        <v>45819</v>
      </c>
      <c r="N1976" s="2">
        <v>45816</v>
      </c>
      <c r="O1976" t="s">
        <v>60</v>
      </c>
      <c r="P1976" t="s">
        <v>94</v>
      </c>
      <c r="Q1976" t="s">
        <v>28</v>
      </c>
      <c r="R1976" t="s">
        <v>29</v>
      </c>
    </row>
    <row r="1977" spans="1:18">
      <c r="A1977" t="s">
        <v>2109</v>
      </c>
      <c r="B1977" s="2">
        <v>46193</v>
      </c>
      <c r="C1977" t="s">
        <v>37</v>
      </c>
      <c r="D1977" t="s">
        <v>38</v>
      </c>
      <c r="E1977" t="s">
        <v>112</v>
      </c>
      <c r="F1977" t="s">
        <v>40</v>
      </c>
      <c r="G1977" t="s">
        <v>136</v>
      </c>
      <c r="H1977" t="s">
        <v>137</v>
      </c>
      <c r="I1977">
        <v>27</v>
      </c>
      <c r="J1977" s="3">
        <v>1824.74</v>
      </c>
      <c r="K1977" s="3">
        <v>49267.98</v>
      </c>
      <c r="L1977" t="s">
        <v>34</v>
      </c>
      <c r="M1977" s="2">
        <v>46204</v>
      </c>
      <c r="N1977" s="2">
        <v>46204</v>
      </c>
      <c r="O1977" t="s">
        <v>60</v>
      </c>
      <c r="P1977" t="s">
        <v>115</v>
      </c>
      <c r="Q1977" t="s">
        <v>28</v>
      </c>
      <c r="R1977" t="s">
        <v>29</v>
      </c>
    </row>
    <row r="1978" spans="1:18">
      <c r="A1978" t="s">
        <v>2110</v>
      </c>
      <c r="B1978" s="2">
        <v>45822</v>
      </c>
      <c r="C1978" t="s">
        <v>142</v>
      </c>
      <c r="D1978" t="s">
        <v>143</v>
      </c>
      <c r="E1978" t="s">
        <v>39</v>
      </c>
      <c r="F1978" t="s">
        <v>22</v>
      </c>
      <c r="G1978" t="s">
        <v>23</v>
      </c>
      <c r="H1978" t="s">
        <v>24</v>
      </c>
      <c r="I1978">
        <v>36</v>
      </c>
      <c r="J1978" s="3">
        <v>238.64</v>
      </c>
      <c r="K1978" s="3">
        <v>8591.0400000000009</v>
      </c>
      <c r="L1978" t="s">
        <v>34</v>
      </c>
      <c r="M1978" s="2">
        <v>45829</v>
      </c>
      <c r="N1978" s="2">
        <v>45829</v>
      </c>
      <c r="O1978" t="s">
        <v>76</v>
      </c>
      <c r="P1978" t="s">
        <v>44</v>
      </c>
      <c r="Q1978" t="s">
        <v>28</v>
      </c>
      <c r="R1978" t="s">
        <v>29</v>
      </c>
    </row>
    <row r="1979" spans="1:18">
      <c r="A1979" t="s">
        <v>2111</v>
      </c>
      <c r="B1979" s="2">
        <v>45816</v>
      </c>
      <c r="C1979" t="s">
        <v>104</v>
      </c>
      <c r="D1979" t="s">
        <v>105</v>
      </c>
      <c r="E1979" t="s">
        <v>73</v>
      </c>
      <c r="F1979" t="s">
        <v>49</v>
      </c>
      <c r="G1979" t="s">
        <v>68</v>
      </c>
      <c r="H1979" t="s">
        <v>69</v>
      </c>
      <c r="I1979">
        <v>1</v>
      </c>
      <c r="J1979" s="3">
        <v>48093.599999999999</v>
      </c>
      <c r="K1979" s="3">
        <v>48093.599999999999</v>
      </c>
      <c r="L1979" t="s">
        <v>52</v>
      </c>
      <c r="M1979" s="2">
        <v>45832</v>
      </c>
      <c r="N1979" s="2">
        <v>45832</v>
      </c>
      <c r="O1979" t="s">
        <v>26</v>
      </c>
      <c r="P1979" t="s">
        <v>77</v>
      </c>
      <c r="Q1979" t="s">
        <v>28</v>
      </c>
      <c r="R1979" t="s">
        <v>29</v>
      </c>
    </row>
    <row r="1980" spans="1:18">
      <c r="A1980" t="s">
        <v>2112</v>
      </c>
      <c r="B1980" s="2">
        <v>46067</v>
      </c>
      <c r="C1980" t="s">
        <v>104</v>
      </c>
      <c r="D1980" t="s">
        <v>105</v>
      </c>
      <c r="E1980" t="s">
        <v>112</v>
      </c>
      <c r="F1980" t="s">
        <v>49</v>
      </c>
      <c r="G1980" t="s">
        <v>165</v>
      </c>
      <c r="H1980" t="s">
        <v>166</v>
      </c>
      <c r="I1980">
        <v>1</v>
      </c>
      <c r="J1980" s="3">
        <v>44233.98</v>
      </c>
      <c r="K1980" s="3">
        <v>44233.98</v>
      </c>
      <c r="L1980" t="s">
        <v>25</v>
      </c>
      <c r="M1980" s="2">
        <v>46081</v>
      </c>
      <c r="N1980" s="2">
        <v>46078</v>
      </c>
      <c r="O1980" t="s">
        <v>43</v>
      </c>
      <c r="P1980" t="s">
        <v>115</v>
      </c>
      <c r="Q1980" t="s">
        <v>28</v>
      </c>
      <c r="R1980" t="s">
        <v>29</v>
      </c>
    </row>
    <row r="1981" spans="1:18">
      <c r="A1981" t="s">
        <v>2113</v>
      </c>
      <c r="B1981" s="2">
        <v>46054</v>
      </c>
      <c r="C1981" t="s">
        <v>71</v>
      </c>
      <c r="D1981" t="s">
        <v>72</v>
      </c>
      <c r="E1981" t="s">
        <v>31</v>
      </c>
      <c r="F1981" t="s">
        <v>57</v>
      </c>
      <c r="G1981" t="s">
        <v>74</v>
      </c>
      <c r="H1981" t="s">
        <v>75</v>
      </c>
      <c r="I1981">
        <v>8</v>
      </c>
      <c r="J1981" s="3">
        <v>8302.2000000000007</v>
      </c>
      <c r="K1981" s="3">
        <v>66417.600000000006</v>
      </c>
      <c r="L1981" t="s">
        <v>25</v>
      </c>
      <c r="M1981" s="2">
        <v>46064</v>
      </c>
      <c r="N1981" s="2">
        <v>46074</v>
      </c>
      <c r="O1981" t="s">
        <v>60</v>
      </c>
      <c r="P1981" t="s">
        <v>94</v>
      </c>
      <c r="Q1981" t="s">
        <v>28</v>
      </c>
      <c r="R1981" t="s">
        <v>129</v>
      </c>
    </row>
    <row r="1982" spans="1:18">
      <c r="A1982" t="s">
        <v>2114</v>
      </c>
      <c r="B1982" s="2">
        <v>45744</v>
      </c>
      <c r="C1982" t="s">
        <v>19</v>
      </c>
      <c r="D1982" t="s">
        <v>20</v>
      </c>
      <c r="E1982" t="s">
        <v>21</v>
      </c>
      <c r="F1982" t="s">
        <v>22</v>
      </c>
      <c r="G1982" t="s">
        <v>160</v>
      </c>
      <c r="H1982" t="s">
        <v>161</v>
      </c>
      <c r="I1982">
        <v>14</v>
      </c>
      <c r="J1982" s="3">
        <v>3022.09</v>
      </c>
      <c r="K1982" s="3">
        <v>42309.26</v>
      </c>
      <c r="L1982" t="s">
        <v>25</v>
      </c>
      <c r="M1982" s="2">
        <v>45755</v>
      </c>
      <c r="N1982" s="2">
        <v>45761</v>
      </c>
      <c r="O1982" t="s">
        <v>43</v>
      </c>
      <c r="P1982" t="s">
        <v>27</v>
      </c>
      <c r="Q1982" t="s">
        <v>28</v>
      </c>
      <c r="R1982" t="s">
        <v>129</v>
      </c>
    </row>
    <row r="1983" spans="1:18">
      <c r="A1983" t="s">
        <v>2115</v>
      </c>
      <c r="B1983" s="2">
        <v>46107</v>
      </c>
      <c r="C1983" t="s">
        <v>142</v>
      </c>
      <c r="D1983" t="s">
        <v>143</v>
      </c>
      <c r="E1983" t="s">
        <v>112</v>
      </c>
      <c r="F1983" t="s">
        <v>22</v>
      </c>
      <c r="G1983" t="s">
        <v>32</v>
      </c>
      <c r="H1983" t="s">
        <v>33</v>
      </c>
      <c r="I1983">
        <v>14</v>
      </c>
      <c r="J1983" s="3">
        <v>8197.34</v>
      </c>
      <c r="K1983" s="3">
        <v>114762.76</v>
      </c>
      <c r="L1983" t="s">
        <v>25</v>
      </c>
      <c r="M1983" s="2">
        <v>46117</v>
      </c>
      <c r="N1983" s="2">
        <v>46116</v>
      </c>
      <c r="O1983" t="s">
        <v>60</v>
      </c>
      <c r="P1983" t="s">
        <v>115</v>
      </c>
      <c r="Q1983" t="s">
        <v>28</v>
      </c>
      <c r="R1983" t="s">
        <v>29</v>
      </c>
    </row>
    <row r="1984" spans="1:18">
      <c r="A1984" t="s">
        <v>2116</v>
      </c>
      <c r="B1984" s="2">
        <v>45759</v>
      </c>
      <c r="C1984" t="s">
        <v>46</v>
      </c>
      <c r="D1984" t="s">
        <v>47</v>
      </c>
      <c r="E1984" t="s">
        <v>48</v>
      </c>
      <c r="F1984" t="s">
        <v>49</v>
      </c>
      <c r="G1984" t="s">
        <v>113</v>
      </c>
      <c r="H1984" t="s">
        <v>114</v>
      </c>
      <c r="I1984">
        <v>2</v>
      </c>
      <c r="J1984" s="3">
        <v>39252.050000000003</v>
      </c>
      <c r="K1984" s="3">
        <v>78504.100000000006</v>
      </c>
      <c r="L1984" t="s">
        <v>34</v>
      </c>
      <c r="M1984" s="2">
        <v>45765</v>
      </c>
      <c r="N1984" s="2">
        <v>45762</v>
      </c>
      <c r="O1984" t="s">
        <v>43</v>
      </c>
      <c r="P1984" t="s">
        <v>53</v>
      </c>
      <c r="Q1984" t="s">
        <v>28</v>
      </c>
      <c r="R1984" t="s">
        <v>29</v>
      </c>
    </row>
    <row r="1985" spans="1:18">
      <c r="A1985" t="s">
        <v>2117</v>
      </c>
      <c r="B1985" s="2">
        <v>45805</v>
      </c>
      <c r="C1985" t="s">
        <v>134</v>
      </c>
      <c r="D1985" t="s">
        <v>135</v>
      </c>
      <c r="E1985" t="s">
        <v>39</v>
      </c>
      <c r="F1985" t="s">
        <v>40</v>
      </c>
      <c r="G1985" t="s">
        <v>136</v>
      </c>
      <c r="H1985" t="s">
        <v>137</v>
      </c>
      <c r="I1985">
        <v>8</v>
      </c>
      <c r="J1985" s="3">
        <v>1587.53</v>
      </c>
      <c r="K1985" s="3">
        <v>12700.24</v>
      </c>
      <c r="L1985" t="s">
        <v>25</v>
      </c>
      <c r="M1985" s="2">
        <v>45815</v>
      </c>
      <c r="N1985" s="2">
        <v>45815</v>
      </c>
      <c r="O1985" t="s">
        <v>43</v>
      </c>
      <c r="P1985" t="s">
        <v>64</v>
      </c>
      <c r="Q1985" t="s">
        <v>28</v>
      </c>
      <c r="R1985" t="s">
        <v>29</v>
      </c>
    </row>
    <row r="1986" spans="1:18">
      <c r="A1986" t="s">
        <v>2118</v>
      </c>
      <c r="B1986" s="2">
        <v>46165</v>
      </c>
      <c r="C1986" t="s">
        <v>71</v>
      </c>
      <c r="D1986" t="s">
        <v>72</v>
      </c>
      <c r="E1986" t="s">
        <v>73</v>
      </c>
      <c r="F1986" t="s">
        <v>57</v>
      </c>
      <c r="G1986" t="s">
        <v>127</v>
      </c>
      <c r="H1986" t="s">
        <v>128</v>
      </c>
      <c r="I1986">
        <v>2</v>
      </c>
      <c r="J1986" s="3">
        <v>15102.82</v>
      </c>
      <c r="K1986" s="3">
        <v>30205.64</v>
      </c>
      <c r="L1986" t="s">
        <v>34</v>
      </c>
      <c r="M1986" s="2">
        <v>46176</v>
      </c>
      <c r="N1986" s="2">
        <v>46181</v>
      </c>
      <c r="O1986" t="s">
        <v>76</v>
      </c>
      <c r="P1986" t="s">
        <v>77</v>
      </c>
      <c r="Q1986" t="s">
        <v>28</v>
      </c>
      <c r="R1986" t="s">
        <v>129</v>
      </c>
    </row>
    <row r="1987" spans="1:18">
      <c r="A1987" t="s">
        <v>2119</v>
      </c>
      <c r="B1987" s="2">
        <v>46196</v>
      </c>
      <c r="C1987" t="s">
        <v>71</v>
      </c>
      <c r="D1987" t="s">
        <v>72</v>
      </c>
      <c r="E1987" t="s">
        <v>48</v>
      </c>
      <c r="F1987" t="s">
        <v>57</v>
      </c>
      <c r="G1987" t="s">
        <v>101</v>
      </c>
      <c r="H1987" t="s">
        <v>102</v>
      </c>
      <c r="I1987">
        <v>25</v>
      </c>
      <c r="J1987" s="3">
        <v>1660.26</v>
      </c>
      <c r="K1987" s="3">
        <v>41506.5</v>
      </c>
      <c r="L1987" t="s">
        <v>25</v>
      </c>
      <c r="M1987" s="2">
        <v>46203</v>
      </c>
      <c r="N1987" s="2">
        <v>46202</v>
      </c>
      <c r="O1987" t="s">
        <v>76</v>
      </c>
      <c r="P1987" t="s">
        <v>53</v>
      </c>
      <c r="Q1987" t="s">
        <v>28</v>
      </c>
      <c r="R1987" t="s">
        <v>29</v>
      </c>
    </row>
    <row r="1988" spans="1:18">
      <c r="A1988" t="s">
        <v>2120</v>
      </c>
      <c r="B1988" s="2">
        <v>46080</v>
      </c>
      <c r="C1988" t="s">
        <v>46</v>
      </c>
      <c r="D1988" t="s">
        <v>47</v>
      </c>
      <c r="E1988" t="s">
        <v>21</v>
      </c>
      <c r="F1988" t="s">
        <v>49</v>
      </c>
      <c r="G1988" t="s">
        <v>50</v>
      </c>
      <c r="H1988" t="s">
        <v>51</v>
      </c>
      <c r="I1988">
        <v>1</v>
      </c>
      <c r="J1988" s="3">
        <v>55378.39</v>
      </c>
      <c r="K1988" s="3">
        <v>55378.39</v>
      </c>
      <c r="L1988" t="s">
        <v>25</v>
      </c>
      <c r="M1988" s="2">
        <v>46090</v>
      </c>
      <c r="N1988" s="2">
        <v>46087</v>
      </c>
      <c r="O1988" t="s">
        <v>76</v>
      </c>
      <c r="P1988" t="s">
        <v>27</v>
      </c>
      <c r="Q1988" t="s">
        <v>28</v>
      </c>
      <c r="R1988" t="s">
        <v>29</v>
      </c>
    </row>
    <row r="1989" spans="1:18">
      <c r="A1989" t="s">
        <v>2121</v>
      </c>
      <c r="B1989" s="2">
        <v>46071</v>
      </c>
      <c r="C1989" t="s">
        <v>142</v>
      </c>
      <c r="D1989" t="s">
        <v>143</v>
      </c>
      <c r="E1989" t="s">
        <v>39</v>
      </c>
      <c r="F1989" t="s">
        <v>22</v>
      </c>
      <c r="G1989" t="s">
        <v>23</v>
      </c>
      <c r="H1989" t="s">
        <v>24</v>
      </c>
      <c r="I1989">
        <v>23</v>
      </c>
      <c r="J1989" s="3">
        <v>254.97</v>
      </c>
      <c r="K1989" s="3">
        <v>5864.31</v>
      </c>
      <c r="L1989" t="s">
        <v>25</v>
      </c>
      <c r="M1989" s="2">
        <v>46076</v>
      </c>
      <c r="N1989" s="2">
        <v>46073</v>
      </c>
      <c r="O1989" t="s">
        <v>43</v>
      </c>
      <c r="P1989" t="s">
        <v>64</v>
      </c>
      <c r="Q1989" t="s">
        <v>28</v>
      </c>
      <c r="R1989" t="s">
        <v>29</v>
      </c>
    </row>
    <row r="1990" spans="1:18">
      <c r="A1990" t="s">
        <v>2122</v>
      </c>
      <c r="B1990" s="2">
        <v>46026</v>
      </c>
      <c r="C1990" t="s">
        <v>117</v>
      </c>
      <c r="D1990" t="s">
        <v>118</v>
      </c>
      <c r="E1990" t="s">
        <v>73</v>
      </c>
      <c r="F1990" t="s">
        <v>57</v>
      </c>
      <c r="G1990" t="s">
        <v>120</v>
      </c>
      <c r="H1990" t="s">
        <v>121</v>
      </c>
      <c r="I1990">
        <v>3</v>
      </c>
      <c r="J1990" s="3">
        <v>21688.720000000001</v>
      </c>
      <c r="K1990" s="3">
        <v>65066.16</v>
      </c>
      <c r="L1990" t="s">
        <v>25</v>
      </c>
      <c r="M1990" s="2">
        <v>46043</v>
      </c>
      <c r="N1990" s="2">
        <v>46043</v>
      </c>
      <c r="O1990" t="s">
        <v>60</v>
      </c>
      <c r="P1990" t="s">
        <v>77</v>
      </c>
      <c r="Q1990" t="s">
        <v>28</v>
      </c>
      <c r="R1990" t="s">
        <v>29</v>
      </c>
    </row>
    <row r="1991" spans="1:18">
      <c r="A1991" t="s">
        <v>2123</v>
      </c>
      <c r="B1991" s="2">
        <v>46099</v>
      </c>
      <c r="C1991" t="s">
        <v>89</v>
      </c>
      <c r="D1991" t="s">
        <v>90</v>
      </c>
      <c r="E1991" t="s">
        <v>31</v>
      </c>
      <c r="F1991" t="s">
        <v>91</v>
      </c>
      <c r="G1991" t="s">
        <v>92</v>
      </c>
      <c r="H1991" t="s">
        <v>93</v>
      </c>
      <c r="I1991">
        <v>3</v>
      </c>
      <c r="J1991" s="3">
        <v>40800.400000000001</v>
      </c>
      <c r="K1991" s="3">
        <v>122401.2</v>
      </c>
      <c r="L1991" t="s">
        <v>25</v>
      </c>
      <c r="M1991" s="2">
        <v>46112</v>
      </c>
      <c r="N1991" s="2">
        <v>46110</v>
      </c>
      <c r="O1991" t="s">
        <v>43</v>
      </c>
      <c r="P1991" t="s">
        <v>35</v>
      </c>
      <c r="Q1991" t="s">
        <v>28</v>
      </c>
      <c r="R1991" t="s">
        <v>29</v>
      </c>
    </row>
    <row r="1992" spans="1:18">
      <c r="A1992" t="s">
        <v>2124</v>
      </c>
      <c r="B1992" s="2">
        <v>45856</v>
      </c>
      <c r="C1992" t="s">
        <v>46</v>
      </c>
      <c r="D1992" t="s">
        <v>47</v>
      </c>
      <c r="E1992" t="s">
        <v>21</v>
      </c>
      <c r="F1992" t="s">
        <v>49</v>
      </c>
      <c r="G1992" t="s">
        <v>68</v>
      </c>
      <c r="H1992" t="s">
        <v>69</v>
      </c>
      <c r="I1992">
        <v>1</v>
      </c>
      <c r="J1992" s="3">
        <v>52641.54</v>
      </c>
      <c r="K1992" s="3">
        <v>52641.54</v>
      </c>
      <c r="L1992" t="s">
        <v>25</v>
      </c>
      <c r="M1992" s="2">
        <v>45865</v>
      </c>
      <c r="N1992" s="2">
        <v>45865</v>
      </c>
      <c r="O1992" t="s">
        <v>76</v>
      </c>
      <c r="P1992" t="s">
        <v>27</v>
      </c>
      <c r="Q1992" t="s">
        <v>28</v>
      </c>
      <c r="R1992" t="s">
        <v>29</v>
      </c>
    </row>
    <row r="1993" spans="1:18">
      <c r="A1993" t="s">
        <v>2125</v>
      </c>
      <c r="B1993" s="2">
        <v>45915</v>
      </c>
      <c r="C1993" t="s">
        <v>117</v>
      </c>
      <c r="D1993" t="s">
        <v>118</v>
      </c>
      <c r="E1993" t="s">
        <v>48</v>
      </c>
      <c r="F1993" t="s">
        <v>57</v>
      </c>
      <c r="G1993" t="s">
        <v>120</v>
      </c>
      <c r="H1993" t="s">
        <v>121</v>
      </c>
      <c r="I1993">
        <v>4</v>
      </c>
      <c r="J1993" s="3">
        <v>22891.15</v>
      </c>
      <c r="K1993" s="3">
        <v>91564.6</v>
      </c>
      <c r="L1993" t="s">
        <v>25</v>
      </c>
      <c r="M1993" s="2">
        <v>45927</v>
      </c>
      <c r="N1993" s="2">
        <v>45925</v>
      </c>
      <c r="O1993" t="s">
        <v>43</v>
      </c>
      <c r="P1993" t="s">
        <v>53</v>
      </c>
      <c r="Q1993" t="s">
        <v>28</v>
      </c>
      <c r="R1993" t="s">
        <v>29</v>
      </c>
    </row>
    <row r="1994" spans="1:18">
      <c r="A1994" t="s">
        <v>2126</v>
      </c>
      <c r="B1994" s="2">
        <v>46203</v>
      </c>
      <c r="C1994" t="s">
        <v>80</v>
      </c>
      <c r="D1994" t="s">
        <v>81</v>
      </c>
      <c r="E1994" t="s">
        <v>39</v>
      </c>
      <c r="F1994" t="s">
        <v>82</v>
      </c>
      <c r="G1994" t="s">
        <v>98</v>
      </c>
      <c r="H1994" t="s">
        <v>99</v>
      </c>
      <c r="I1994">
        <v>21</v>
      </c>
      <c r="J1994" s="3">
        <v>1128.6600000000001</v>
      </c>
      <c r="K1994" s="3">
        <v>23701.86</v>
      </c>
      <c r="L1994" t="s">
        <v>34</v>
      </c>
      <c r="M1994" s="2">
        <v>46220</v>
      </c>
      <c r="N1994" s="2"/>
      <c r="O1994" t="s">
        <v>43</v>
      </c>
      <c r="P1994" t="s">
        <v>44</v>
      </c>
      <c r="Q1994" t="s">
        <v>167</v>
      </c>
      <c r="R1994" t="s">
        <v>167</v>
      </c>
    </row>
    <row r="1995" spans="1:18">
      <c r="A1995" t="s">
        <v>2127</v>
      </c>
      <c r="B1995" s="2">
        <v>45745</v>
      </c>
      <c r="C1995" t="s">
        <v>19</v>
      </c>
      <c r="D1995" t="s">
        <v>20</v>
      </c>
      <c r="E1995" t="s">
        <v>73</v>
      </c>
      <c r="F1995" t="s">
        <v>22</v>
      </c>
      <c r="G1995" t="s">
        <v>32</v>
      </c>
      <c r="H1995" t="s">
        <v>33</v>
      </c>
      <c r="I1995">
        <v>14</v>
      </c>
      <c r="J1995" s="3">
        <v>7449.8</v>
      </c>
      <c r="K1995" s="3">
        <v>104297.2</v>
      </c>
      <c r="L1995" t="s">
        <v>34</v>
      </c>
      <c r="M1995" s="2">
        <v>45751</v>
      </c>
      <c r="N1995" s="2">
        <v>45750</v>
      </c>
      <c r="O1995" t="s">
        <v>60</v>
      </c>
      <c r="P1995" t="s">
        <v>77</v>
      </c>
      <c r="Q1995" t="s">
        <v>28</v>
      </c>
      <c r="R1995" t="s">
        <v>29</v>
      </c>
    </row>
    <row r="1996" spans="1:18">
      <c r="A1996" t="s">
        <v>2128</v>
      </c>
      <c r="B1996" s="2">
        <v>45969</v>
      </c>
      <c r="C1996" t="s">
        <v>71</v>
      </c>
      <c r="D1996" t="s">
        <v>72</v>
      </c>
      <c r="E1996" t="s">
        <v>73</v>
      </c>
      <c r="F1996" t="s">
        <v>57</v>
      </c>
      <c r="G1996" t="s">
        <v>120</v>
      </c>
      <c r="H1996" t="s">
        <v>121</v>
      </c>
      <c r="I1996">
        <v>1</v>
      </c>
      <c r="J1996" s="3">
        <v>20189.41</v>
      </c>
      <c r="K1996" s="3">
        <v>20189.41</v>
      </c>
      <c r="L1996" t="s">
        <v>25</v>
      </c>
      <c r="M1996" s="2">
        <v>45977</v>
      </c>
      <c r="N1996" s="2">
        <v>45975</v>
      </c>
      <c r="O1996" t="s">
        <v>43</v>
      </c>
      <c r="P1996" t="s">
        <v>77</v>
      </c>
      <c r="Q1996" t="s">
        <v>28</v>
      </c>
      <c r="R1996" t="s">
        <v>29</v>
      </c>
    </row>
    <row r="1997" spans="1:18">
      <c r="A1997" t="s">
        <v>2129</v>
      </c>
      <c r="B1997" s="2">
        <v>45764</v>
      </c>
      <c r="C1997" t="s">
        <v>147</v>
      </c>
      <c r="D1997" t="s">
        <v>148</v>
      </c>
      <c r="E1997" t="s">
        <v>112</v>
      </c>
      <c r="F1997" t="s">
        <v>40</v>
      </c>
      <c r="G1997" t="s">
        <v>41</v>
      </c>
      <c r="H1997" t="s">
        <v>42</v>
      </c>
      <c r="I1997">
        <v>6</v>
      </c>
      <c r="J1997" s="3">
        <v>5084.63</v>
      </c>
      <c r="K1997" s="3">
        <v>30507.78</v>
      </c>
      <c r="L1997" t="s">
        <v>34</v>
      </c>
      <c r="M1997" s="2">
        <v>45779</v>
      </c>
      <c r="N1997" s="2">
        <v>45794</v>
      </c>
      <c r="O1997" t="s">
        <v>43</v>
      </c>
      <c r="P1997" t="s">
        <v>115</v>
      </c>
      <c r="Q1997" t="s">
        <v>28</v>
      </c>
      <c r="R1997" t="s">
        <v>129</v>
      </c>
    </row>
    <row r="1998" spans="1:18">
      <c r="A1998" t="s">
        <v>2130</v>
      </c>
      <c r="B1998" s="2">
        <v>45977</v>
      </c>
      <c r="C1998" t="s">
        <v>71</v>
      </c>
      <c r="D1998" t="s">
        <v>72</v>
      </c>
      <c r="E1998" t="s">
        <v>31</v>
      </c>
      <c r="F1998" t="s">
        <v>57</v>
      </c>
      <c r="G1998" t="s">
        <v>101</v>
      </c>
      <c r="H1998" t="s">
        <v>102</v>
      </c>
      <c r="I1998">
        <v>8</v>
      </c>
      <c r="J1998" s="3">
        <v>1657.81</v>
      </c>
      <c r="K1998" s="3">
        <v>13262.48</v>
      </c>
      <c r="L1998" t="s">
        <v>25</v>
      </c>
      <c r="M1998" s="2">
        <v>45994</v>
      </c>
      <c r="N1998" s="2">
        <v>45991</v>
      </c>
      <c r="O1998" t="s">
        <v>76</v>
      </c>
      <c r="P1998" t="s">
        <v>35</v>
      </c>
      <c r="Q1998" t="s">
        <v>28</v>
      </c>
      <c r="R1998" t="s">
        <v>29</v>
      </c>
    </row>
    <row r="1999" spans="1:18">
      <c r="A1999" t="s">
        <v>2131</v>
      </c>
      <c r="B1999" s="2">
        <v>46197</v>
      </c>
      <c r="C1999" t="s">
        <v>37</v>
      </c>
      <c r="D1999" t="s">
        <v>38</v>
      </c>
      <c r="E1999" t="s">
        <v>39</v>
      </c>
      <c r="F1999" t="s">
        <v>22</v>
      </c>
      <c r="G1999" t="s">
        <v>160</v>
      </c>
      <c r="H1999" t="s">
        <v>161</v>
      </c>
      <c r="I1999">
        <v>15</v>
      </c>
      <c r="J1999" s="3">
        <v>3342.97</v>
      </c>
      <c r="K1999" s="3">
        <v>50144.55</v>
      </c>
      <c r="L1999" t="s">
        <v>34</v>
      </c>
      <c r="M1999" s="2">
        <v>46208</v>
      </c>
      <c r="N1999" s="2"/>
      <c r="O1999" t="s">
        <v>60</v>
      </c>
      <c r="P1999" t="s">
        <v>44</v>
      </c>
      <c r="Q1999" t="s">
        <v>167</v>
      </c>
      <c r="R1999" t="s">
        <v>167</v>
      </c>
    </row>
    <row r="2000" spans="1:18">
      <c r="A2000" t="s">
        <v>2132</v>
      </c>
      <c r="B2000" s="2">
        <v>46141</v>
      </c>
      <c r="C2000" t="s">
        <v>104</v>
      </c>
      <c r="D2000" t="s">
        <v>105</v>
      </c>
      <c r="E2000" t="s">
        <v>48</v>
      </c>
      <c r="F2000" t="s">
        <v>49</v>
      </c>
      <c r="G2000" t="s">
        <v>165</v>
      </c>
      <c r="H2000" t="s">
        <v>166</v>
      </c>
      <c r="I2000">
        <v>2</v>
      </c>
      <c r="J2000" s="3">
        <v>44069.919999999998</v>
      </c>
      <c r="K2000" s="3">
        <v>88139.839999999997</v>
      </c>
      <c r="L2000" t="s">
        <v>25</v>
      </c>
      <c r="M2000" s="2">
        <v>46150</v>
      </c>
      <c r="N2000" s="2">
        <v>46147</v>
      </c>
      <c r="O2000" t="s">
        <v>26</v>
      </c>
      <c r="P2000" t="s">
        <v>53</v>
      </c>
      <c r="Q2000" t="s">
        <v>28</v>
      </c>
      <c r="R2000" t="s">
        <v>29</v>
      </c>
    </row>
    <row r="2001" spans="1:18">
      <c r="A2001" t="s">
        <v>2133</v>
      </c>
      <c r="B2001" s="2">
        <v>45953</v>
      </c>
      <c r="C2001" t="s">
        <v>104</v>
      </c>
      <c r="D2001" t="s">
        <v>105</v>
      </c>
      <c r="E2001" t="s">
        <v>48</v>
      </c>
      <c r="F2001" t="s">
        <v>49</v>
      </c>
      <c r="G2001" t="s">
        <v>165</v>
      </c>
      <c r="H2001" t="s">
        <v>166</v>
      </c>
      <c r="I2001">
        <v>1</v>
      </c>
      <c r="J2001" s="3">
        <v>46575.5</v>
      </c>
      <c r="K2001" s="3">
        <v>46575.5</v>
      </c>
      <c r="L2001" t="s">
        <v>25</v>
      </c>
      <c r="M2001" s="2">
        <v>45961</v>
      </c>
      <c r="N2001" s="2">
        <v>45958</v>
      </c>
      <c r="O2001" t="s">
        <v>43</v>
      </c>
      <c r="P2001" t="s">
        <v>53</v>
      </c>
      <c r="Q2001" t="s">
        <v>28</v>
      </c>
      <c r="R2001" t="s">
        <v>29</v>
      </c>
    </row>
    <row r="2002" spans="1:18">
      <c r="A2002" t="s">
        <v>2134</v>
      </c>
      <c r="B2002" s="2">
        <v>46014</v>
      </c>
      <c r="C2002" t="s">
        <v>19</v>
      </c>
      <c r="D2002" t="s">
        <v>20</v>
      </c>
      <c r="E2002" t="s">
        <v>112</v>
      </c>
      <c r="F2002" t="s">
        <v>22</v>
      </c>
      <c r="G2002" t="s">
        <v>23</v>
      </c>
      <c r="H2002" t="s">
        <v>24</v>
      </c>
      <c r="I2002">
        <v>6</v>
      </c>
      <c r="J2002" s="3">
        <v>232.65</v>
      </c>
      <c r="K2002" s="3">
        <v>1395.9</v>
      </c>
      <c r="L2002" t="s">
        <v>25</v>
      </c>
      <c r="M2002" s="2">
        <v>46027</v>
      </c>
      <c r="N2002" s="2">
        <v>46025</v>
      </c>
      <c r="O2002" t="s">
        <v>43</v>
      </c>
      <c r="P2002" t="s">
        <v>115</v>
      </c>
      <c r="Q2002" t="s">
        <v>28</v>
      </c>
      <c r="R2002" t="s">
        <v>29</v>
      </c>
    </row>
    <row r="2003" spans="1:18">
      <c r="A2003" t="s">
        <v>2135</v>
      </c>
      <c r="B2003" s="2">
        <v>45987</v>
      </c>
      <c r="C2003" t="s">
        <v>37</v>
      </c>
      <c r="D2003" t="s">
        <v>38</v>
      </c>
      <c r="E2003" t="s">
        <v>39</v>
      </c>
      <c r="F2003" t="s">
        <v>40</v>
      </c>
      <c r="G2003" t="s">
        <v>41</v>
      </c>
      <c r="H2003" t="s">
        <v>42</v>
      </c>
      <c r="I2003">
        <v>9</v>
      </c>
      <c r="J2003" s="3">
        <v>5776.11</v>
      </c>
      <c r="K2003" s="3">
        <v>51984.99</v>
      </c>
      <c r="L2003" t="s">
        <v>52</v>
      </c>
      <c r="M2003" s="2">
        <v>45998</v>
      </c>
      <c r="N2003" s="2">
        <v>45996</v>
      </c>
      <c r="O2003" t="s">
        <v>60</v>
      </c>
      <c r="P2003" t="s">
        <v>44</v>
      </c>
      <c r="Q2003" t="s">
        <v>28</v>
      </c>
      <c r="R2003" t="s">
        <v>29</v>
      </c>
    </row>
    <row r="2004" spans="1:18">
      <c r="A2004" t="s">
        <v>2136</v>
      </c>
      <c r="B2004" s="2">
        <v>46178</v>
      </c>
      <c r="C2004" t="s">
        <v>142</v>
      </c>
      <c r="D2004" t="s">
        <v>143</v>
      </c>
      <c r="E2004" t="s">
        <v>39</v>
      </c>
      <c r="F2004" t="s">
        <v>22</v>
      </c>
      <c r="G2004" t="s">
        <v>32</v>
      </c>
      <c r="H2004" t="s">
        <v>33</v>
      </c>
      <c r="I2004">
        <v>1</v>
      </c>
      <c r="J2004" s="3">
        <v>8055.3</v>
      </c>
      <c r="K2004" s="3">
        <v>8055.3</v>
      </c>
      <c r="L2004" t="s">
        <v>34</v>
      </c>
      <c r="M2004" s="2">
        <v>46183</v>
      </c>
      <c r="N2004" s="2">
        <v>46180</v>
      </c>
      <c r="O2004" t="s">
        <v>43</v>
      </c>
      <c r="P2004" t="s">
        <v>64</v>
      </c>
      <c r="Q2004" t="s">
        <v>28</v>
      </c>
      <c r="R2004" t="s">
        <v>29</v>
      </c>
    </row>
    <row r="2005" spans="1:18">
      <c r="A2005" t="s">
        <v>2137</v>
      </c>
      <c r="B2005" s="2">
        <v>46113</v>
      </c>
      <c r="C2005" t="s">
        <v>19</v>
      </c>
      <c r="D2005" t="s">
        <v>20</v>
      </c>
      <c r="E2005" t="s">
        <v>112</v>
      </c>
      <c r="F2005" t="s">
        <v>22</v>
      </c>
      <c r="G2005" t="s">
        <v>32</v>
      </c>
      <c r="H2005" t="s">
        <v>33</v>
      </c>
      <c r="I2005">
        <v>5</v>
      </c>
      <c r="J2005" s="3">
        <v>7778.98</v>
      </c>
      <c r="K2005" s="3">
        <v>38894.9</v>
      </c>
      <c r="L2005" t="s">
        <v>34</v>
      </c>
      <c r="M2005" s="2">
        <v>46127</v>
      </c>
      <c r="N2005" s="2">
        <v>46132</v>
      </c>
      <c r="O2005" t="s">
        <v>43</v>
      </c>
      <c r="P2005" t="s">
        <v>115</v>
      </c>
      <c r="Q2005" t="s">
        <v>28</v>
      </c>
      <c r="R2005" t="s">
        <v>129</v>
      </c>
    </row>
    <row r="2006" spans="1:18">
      <c r="A2006" t="s">
        <v>2138</v>
      </c>
      <c r="B2006" s="2">
        <v>46198</v>
      </c>
      <c r="C2006" t="s">
        <v>142</v>
      </c>
      <c r="D2006" t="s">
        <v>143</v>
      </c>
      <c r="E2006" t="s">
        <v>112</v>
      </c>
      <c r="F2006" t="s">
        <v>22</v>
      </c>
      <c r="G2006" t="s">
        <v>160</v>
      </c>
      <c r="H2006" t="s">
        <v>161</v>
      </c>
      <c r="I2006">
        <v>7</v>
      </c>
      <c r="J2006" s="3">
        <v>3416.84</v>
      </c>
      <c r="K2006" s="3">
        <v>23917.88</v>
      </c>
      <c r="L2006" t="s">
        <v>25</v>
      </c>
      <c r="M2006" s="2">
        <v>46216</v>
      </c>
      <c r="N2006" s="2"/>
      <c r="O2006" t="s">
        <v>43</v>
      </c>
      <c r="P2006" t="s">
        <v>115</v>
      </c>
      <c r="Q2006" t="s">
        <v>167</v>
      </c>
      <c r="R2006" t="s">
        <v>167</v>
      </c>
    </row>
    <row r="2007" spans="1:18">
      <c r="A2007" t="s">
        <v>2139</v>
      </c>
      <c r="B2007" s="2">
        <v>45951</v>
      </c>
      <c r="C2007" t="s">
        <v>147</v>
      </c>
      <c r="D2007" t="s">
        <v>148</v>
      </c>
      <c r="E2007" t="s">
        <v>112</v>
      </c>
      <c r="F2007" t="s">
        <v>40</v>
      </c>
      <c r="G2007" t="s">
        <v>136</v>
      </c>
      <c r="H2007" t="s">
        <v>137</v>
      </c>
      <c r="I2007">
        <v>22</v>
      </c>
      <c r="J2007" s="3">
        <v>1580.92</v>
      </c>
      <c r="K2007" s="3">
        <v>34780.239999999998</v>
      </c>
      <c r="L2007" t="s">
        <v>34</v>
      </c>
      <c r="M2007" s="2">
        <v>45959</v>
      </c>
      <c r="N2007" s="2">
        <v>45957</v>
      </c>
      <c r="O2007" t="s">
        <v>60</v>
      </c>
      <c r="P2007" t="s">
        <v>115</v>
      </c>
      <c r="Q2007" t="s">
        <v>28</v>
      </c>
      <c r="R2007" t="s">
        <v>29</v>
      </c>
    </row>
    <row r="2008" spans="1:18">
      <c r="A2008" t="s">
        <v>2140</v>
      </c>
      <c r="B2008" s="2">
        <v>45892</v>
      </c>
      <c r="C2008" t="s">
        <v>80</v>
      </c>
      <c r="D2008" t="s">
        <v>81</v>
      </c>
      <c r="E2008" t="s">
        <v>39</v>
      </c>
      <c r="F2008" t="s">
        <v>82</v>
      </c>
      <c r="G2008" t="s">
        <v>83</v>
      </c>
      <c r="H2008" t="s">
        <v>84</v>
      </c>
      <c r="I2008">
        <v>28</v>
      </c>
      <c r="J2008" s="3">
        <v>701.39</v>
      </c>
      <c r="K2008" s="3">
        <v>19638.919999999998</v>
      </c>
      <c r="L2008" t="s">
        <v>25</v>
      </c>
      <c r="M2008" s="2">
        <v>45900</v>
      </c>
      <c r="N2008" s="2">
        <v>45900</v>
      </c>
      <c r="O2008" t="s">
        <v>26</v>
      </c>
      <c r="P2008" t="s">
        <v>44</v>
      </c>
      <c r="Q2008" t="s">
        <v>28</v>
      </c>
      <c r="R2008" t="s">
        <v>29</v>
      </c>
    </row>
    <row r="2009" spans="1:18">
      <c r="A2009" t="s">
        <v>2141</v>
      </c>
      <c r="B2009" s="2">
        <v>46125</v>
      </c>
      <c r="C2009" t="s">
        <v>37</v>
      </c>
      <c r="D2009" t="s">
        <v>38</v>
      </c>
      <c r="E2009" t="s">
        <v>112</v>
      </c>
      <c r="F2009" t="s">
        <v>22</v>
      </c>
      <c r="G2009" t="s">
        <v>32</v>
      </c>
      <c r="H2009" t="s">
        <v>33</v>
      </c>
      <c r="I2009">
        <v>12</v>
      </c>
      <c r="J2009" s="3">
        <v>9100.67</v>
      </c>
      <c r="K2009" s="3">
        <v>109208.04</v>
      </c>
      <c r="L2009" t="s">
        <v>34</v>
      </c>
      <c r="M2009" s="2">
        <v>46132</v>
      </c>
      <c r="N2009" s="2">
        <v>46129</v>
      </c>
      <c r="O2009" t="s">
        <v>26</v>
      </c>
      <c r="P2009" t="s">
        <v>115</v>
      </c>
      <c r="Q2009" t="s">
        <v>28</v>
      </c>
      <c r="R2009" t="s">
        <v>29</v>
      </c>
    </row>
    <row r="2010" spans="1:18">
      <c r="A2010" t="s">
        <v>2142</v>
      </c>
      <c r="B2010" s="2">
        <v>46055</v>
      </c>
      <c r="C2010" t="s">
        <v>66</v>
      </c>
      <c r="D2010" t="s">
        <v>67</v>
      </c>
      <c r="E2010" t="s">
        <v>48</v>
      </c>
      <c r="F2010" t="s">
        <v>49</v>
      </c>
      <c r="G2010" t="s">
        <v>113</v>
      </c>
      <c r="H2010" t="s">
        <v>114</v>
      </c>
      <c r="I2010">
        <v>1</v>
      </c>
      <c r="J2010" s="3">
        <v>38566.85</v>
      </c>
      <c r="K2010" s="3">
        <v>38566.85</v>
      </c>
      <c r="L2010" t="s">
        <v>52</v>
      </c>
      <c r="M2010" s="2">
        <v>46069</v>
      </c>
      <c r="N2010" s="2">
        <v>46069</v>
      </c>
      <c r="O2010" t="s">
        <v>60</v>
      </c>
      <c r="P2010" t="s">
        <v>53</v>
      </c>
      <c r="Q2010" t="s">
        <v>28</v>
      </c>
      <c r="R2010" t="s">
        <v>29</v>
      </c>
    </row>
    <row r="2011" spans="1:18">
      <c r="A2011" t="s">
        <v>2143</v>
      </c>
      <c r="B2011" s="2">
        <v>46098</v>
      </c>
      <c r="C2011" t="s">
        <v>71</v>
      </c>
      <c r="D2011" t="s">
        <v>72</v>
      </c>
      <c r="E2011" t="s">
        <v>73</v>
      </c>
      <c r="F2011" t="s">
        <v>57</v>
      </c>
      <c r="G2011" t="s">
        <v>101</v>
      </c>
      <c r="H2011" t="s">
        <v>102</v>
      </c>
      <c r="I2011">
        <v>25</v>
      </c>
      <c r="J2011" s="3">
        <v>1650.86</v>
      </c>
      <c r="K2011" s="3">
        <v>41271.5</v>
      </c>
      <c r="L2011" t="s">
        <v>52</v>
      </c>
      <c r="M2011" s="2">
        <v>46110</v>
      </c>
      <c r="N2011" s="2">
        <v>46110</v>
      </c>
      <c r="O2011" t="s">
        <v>43</v>
      </c>
      <c r="P2011" t="s">
        <v>77</v>
      </c>
      <c r="Q2011" t="s">
        <v>28</v>
      </c>
      <c r="R2011" t="s">
        <v>29</v>
      </c>
    </row>
    <row r="2012" spans="1:18">
      <c r="A2012" t="s">
        <v>2144</v>
      </c>
      <c r="B2012" s="2">
        <v>45797</v>
      </c>
      <c r="C2012" t="s">
        <v>71</v>
      </c>
      <c r="D2012" t="s">
        <v>72</v>
      </c>
      <c r="E2012" t="s">
        <v>73</v>
      </c>
      <c r="F2012" t="s">
        <v>57</v>
      </c>
      <c r="G2012" t="s">
        <v>127</v>
      </c>
      <c r="H2012" t="s">
        <v>128</v>
      </c>
      <c r="I2012">
        <v>6</v>
      </c>
      <c r="J2012" s="3">
        <v>15962.23</v>
      </c>
      <c r="K2012" s="3">
        <v>95773.38</v>
      </c>
      <c r="L2012" t="s">
        <v>25</v>
      </c>
      <c r="M2012" s="2">
        <v>45814</v>
      </c>
      <c r="N2012" s="2">
        <v>45812</v>
      </c>
      <c r="O2012" t="s">
        <v>60</v>
      </c>
      <c r="P2012" t="s">
        <v>77</v>
      </c>
      <c r="Q2012" t="s">
        <v>28</v>
      </c>
      <c r="R2012" t="s">
        <v>29</v>
      </c>
    </row>
    <row r="2013" spans="1:18">
      <c r="A2013" t="s">
        <v>2145</v>
      </c>
      <c r="B2013" s="2">
        <v>45993</v>
      </c>
      <c r="C2013" t="s">
        <v>19</v>
      </c>
      <c r="D2013" t="s">
        <v>20</v>
      </c>
      <c r="E2013" t="s">
        <v>39</v>
      </c>
      <c r="F2013" t="s">
        <v>22</v>
      </c>
      <c r="G2013" t="s">
        <v>32</v>
      </c>
      <c r="H2013" t="s">
        <v>33</v>
      </c>
      <c r="I2013">
        <v>3</v>
      </c>
      <c r="J2013" s="3">
        <v>7127.41</v>
      </c>
      <c r="K2013" s="3">
        <v>21382.23</v>
      </c>
      <c r="L2013" t="s">
        <v>34</v>
      </c>
      <c r="M2013" s="2">
        <v>46005</v>
      </c>
      <c r="N2013" s="2">
        <v>46005</v>
      </c>
      <c r="O2013" t="s">
        <v>60</v>
      </c>
      <c r="P2013" t="s">
        <v>44</v>
      </c>
      <c r="Q2013" t="s">
        <v>28</v>
      </c>
      <c r="R2013" t="s">
        <v>29</v>
      </c>
    </row>
    <row r="2014" spans="1:18">
      <c r="A2014" t="s">
        <v>2146</v>
      </c>
      <c r="B2014" s="2">
        <v>45812</v>
      </c>
      <c r="C2014" t="s">
        <v>96</v>
      </c>
      <c r="D2014" t="s">
        <v>97</v>
      </c>
      <c r="E2014" t="s">
        <v>39</v>
      </c>
      <c r="F2014" t="s">
        <v>82</v>
      </c>
      <c r="G2014" t="s">
        <v>83</v>
      </c>
      <c r="H2014" t="s">
        <v>84</v>
      </c>
      <c r="I2014">
        <v>16</v>
      </c>
      <c r="J2014" s="3">
        <v>738.76</v>
      </c>
      <c r="K2014" s="3">
        <v>11820.16</v>
      </c>
      <c r="L2014" t="s">
        <v>25</v>
      </c>
      <c r="M2014" s="2">
        <v>45823</v>
      </c>
      <c r="N2014" s="2">
        <v>45823</v>
      </c>
      <c r="O2014" t="s">
        <v>43</v>
      </c>
      <c r="P2014" t="s">
        <v>64</v>
      </c>
      <c r="Q2014" t="s">
        <v>28</v>
      </c>
      <c r="R2014" t="s">
        <v>29</v>
      </c>
    </row>
    <row r="2015" spans="1:18">
      <c r="A2015" t="s">
        <v>2147</v>
      </c>
      <c r="B2015" s="2">
        <v>45714</v>
      </c>
      <c r="C2015" t="s">
        <v>142</v>
      </c>
      <c r="D2015" t="s">
        <v>143</v>
      </c>
      <c r="E2015" t="s">
        <v>21</v>
      </c>
      <c r="F2015" t="s">
        <v>22</v>
      </c>
      <c r="G2015" t="s">
        <v>160</v>
      </c>
      <c r="H2015" t="s">
        <v>161</v>
      </c>
      <c r="I2015">
        <v>4</v>
      </c>
      <c r="J2015" s="3">
        <v>3189.97</v>
      </c>
      <c r="K2015" s="3">
        <v>12759.88</v>
      </c>
      <c r="L2015" t="s">
        <v>52</v>
      </c>
      <c r="M2015" s="2">
        <v>45727</v>
      </c>
      <c r="N2015" s="2">
        <v>45725</v>
      </c>
      <c r="O2015" t="s">
        <v>43</v>
      </c>
      <c r="P2015" t="s">
        <v>27</v>
      </c>
      <c r="Q2015" t="s">
        <v>28</v>
      </c>
      <c r="R2015" t="s">
        <v>29</v>
      </c>
    </row>
    <row r="2016" spans="1:18">
      <c r="A2016" t="s">
        <v>2148</v>
      </c>
      <c r="B2016" s="2">
        <v>45659</v>
      </c>
      <c r="C2016" t="s">
        <v>71</v>
      </c>
      <c r="D2016" t="s">
        <v>72</v>
      </c>
      <c r="E2016" t="s">
        <v>48</v>
      </c>
      <c r="F2016" t="s">
        <v>57</v>
      </c>
      <c r="G2016" t="s">
        <v>120</v>
      </c>
      <c r="H2016" t="s">
        <v>121</v>
      </c>
      <c r="I2016">
        <v>5</v>
      </c>
      <c r="J2016" s="3">
        <v>20634.23</v>
      </c>
      <c r="K2016" s="3">
        <v>103171.15</v>
      </c>
      <c r="L2016" t="s">
        <v>34</v>
      </c>
      <c r="M2016" s="2">
        <v>45674</v>
      </c>
      <c r="N2016" s="2">
        <v>45674</v>
      </c>
      <c r="O2016" t="s">
        <v>60</v>
      </c>
      <c r="P2016" t="s">
        <v>53</v>
      </c>
      <c r="Q2016" t="s">
        <v>28</v>
      </c>
      <c r="R2016" t="s">
        <v>29</v>
      </c>
    </row>
    <row r="2017" spans="1:18">
      <c r="A2017" t="s">
        <v>2149</v>
      </c>
      <c r="B2017" s="2">
        <v>45788</v>
      </c>
      <c r="C2017" t="s">
        <v>142</v>
      </c>
      <c r="D2017" t="s">
        <v>143</v>
      </c>
      <c r="E2017" t="s">
        <v>112</v>
      </c>
      <c r="F2017" t="s">
        <v>22</v>
      </c>
      <c r="G2017" t="s">
        <v>23</v>
      </c>
      <c r="H2017" t="s">
        <v>24</v>
      </c>
      <c r="I2017">
        <v>12</v>
      </c>
      <c r="J2017" s="3">
        <v>255.45</v>
      </c>
      <c r="K2017" s="3">
        <v>3065.4</v>
      </c>
      <c r="L2017" t="s">
        <v>52</v>
      </c>
      <c r="M2017" s="2">
        <v>45800</v>
      </c>
      <c r="N2017" s="2">
        <v>45797</v>
      </c>
      <c r="O2017" t="s">
        <v>26</v>
      </c>
      <c r="P2017" t="s">
        <v>115</v>
      </c>
      <c r="Q2017" t="s">
        <v>28</v>
      </c>
      <c r="R2017" t="s">
        <v>29</v>
      </c>
    </row>
    <row r="2018" spans="1:18">
      <c r="A2018" t="s">
        <v>2150</v>
      </c>
      <c r="B2018" s="2">
        <v>46087</v>
      </c>
      <c r="C2018" t="s">
        <v>19</v>
      </c>
      <c r="D2018" t="s">
        <v>20</v>
      </c>
      <c r="E2018" t="s">
        <v>39</v>
      </c>
      <c r="F2018" t="s">
        <v>22</v>
      </c>
      <c r="G2018" t="s">
        <v>32</v>
      </c>
      <c r="H2018" t="s">
        <v>33</v>
      </c>
      <c r="I2018">
        <v>1</v>
      </c>
      <c r="J2018" s="3">
        <v>7537.56</v>
      </c>
      <c r="K2018" s="3">
        <v>7537.56</v>
      </c>
      <c r="L2018" t="s">
        <v>25</v>
      </c>
      <c r="M2018" s="2">
        <v>46098</v>
      </c>
      <c r="N2018" s="2">
        <v>46101</v>
      </c>
      <c r="O2018" t="s">
        <v>60</v>
      </c>
      <c r="P2018" t="s">
        <v>44</v>
      </c>
      <c r="Q2018" t="s">
        <v>28</v>
      </c>
      <c r="R2018" t="s">
        <v>129</v>
      </c>
    </row>
    <row r="2019" spans="1:18">
      <c r="A2019" t="s">
        <v>2151</v>
      </c>
      <c r="B2019" s="2">
        <v>45782</v>
      </c>
      <c r="C2019" t="s">
        <v>80</v>
      </c>
      <c r="D2019" t="s">
        <v>81</v>
      </c>
      <c r="E2019" t="s">
        <v>39</v>
      </c>
      <c r="F2019" t="s">
        <v>82</v>
      </c>
      <c r="G2019" t="s">
        <v>197</v>
      </c>
      <c r="H2019" t="s">
        <v>198</v>
      </c>
      <c r="I2019">
        <v>6</v>
      </c>
      <c r="J2019" s="3">
        <v>1955.3</v>
      </c>
      <c r="K2019" s="3">
        <v>11731.8</v>
      </c>
      <c r="L2019" t="s">
        <v>34</v>
      </c>
      <c r="M2019" s="2">
        <v>45789</v>
      </c>
      <c r="N2019" s="2">
        <v>45787</v>
      </c>
      <c r="O2019" t="s">
        <v>60</v>
      </c>
      <c r="P2019" t="s">
        <v>64</v>
      </c>
      <c r="Q2019" t="s">
        <v>28</v>
      </c>
      <c r="R2019" t="s">
        <v>29</v>
      </c>
    </row>
    <row r="2020" spans="1:18">
      <c r="A2020" t="s">
        <v>2152</v>
      </c>
      <c r="B2020" s="2">
        <v>46091</v>
      </c>
      <c r="C2020" t="s">
        <v>71</v>
      </c>
      <c r="D2020" t="s">
        <v>72</v>
      </c>
      <c r="E2020" t="s">
        <v>21</v>
      </c>
      <c r="F2020" t="s">
        <v>57</v>
      </c>
      <c r="G2020" t="s">
        <v>127</v>
      </c>
      <c r="H2020" t="s">
        <v>128</v>
      </c>
      <c r="I2020">
        <v>8</v>
      </c>
      <c r="J2020" s="3">
        <v>15245.87</v>
      </c>
      <c r="K2020" s="3">
        <v>121966.96</v>
      </c>
      <c r="L2020" t="s">
        <v>25</v>
      </c>
      <c r="M2020" s="2">
        <v>46102</v>
      </c>
      <c r="N2020" s="2">
        <v>46101</v>
      </c>
      <c r="O2020" t="s">
        <v>43</v>
      </c>
      <c r="P2020" t="s">
        <v>27</v>
      </c>
      <c r="Q2020" t="s">
        <v>28</v>
      </c>
      <c r="R2020" t="s">
        <v>29</v>
      </c>
    </row>
    <row r="2021" spans="1:18">
      <c r="A2021" t="s">
        <v>2153</v>
      </c>
      <c r="B2021" s="2">
        <v>45762</v>
      </c>
      <c r="C2021" t="s">
        <v>19</v>
      </c>
      <c r="D2021" t="s">
        <v>20</v>
      </c>
      <c r="E2021" t="s">
        <v>112</v>
      </c>
      <c r="F2021" t="s">
        <v>22</v>
      </c>
      <c r="G2021" t="s">
        <v>160</v>
      </c>
      <c r="H2021" t="s">
        <v>161</v>
      </c>
      <c r="I2021">
        <v>10</v>
      </c>
      <c r="J2021" s="3">
        <v>3150.14</v>
      </c>
      <c r="K2021" s="3">
        <v>31501.4</v>
      </c>
      <c r="L2021" t="s">
        <v>52</v>
      </c>
      <c r="M2021" s="2">
        <v>45776</v>
      </c>
      <c r="N2021" s="2">
        <v>45775</v>
      </c>
      <c r="O2021" t="s">
        <v>76</v>
      </c>
      <c r="P2021" t="s">
        <v>115</v>
      </c>
      <c r="Q2021" t="s">
        <v>28</v>
      </c>
      <c r="R2021" t="s">
        <v>29</v>
      </c>
    </row>
    <row r="2022" spans="1:18">
      <c r="A2022" t="s">
        <v>2154</v>
      </c>
      <c r="B2022" s="2">
        <v>46082</v>
      </c>
      <c r="C2022" t="s">
        <v>55</v>
      </c>
      <c r="D2022" t="s">
        <v>56</v>
      </c>
      <c r="E2022" t="s">
        <v>21</v>
      </c>
      <c r="F2022" t="s">
        <v>57</v>
      </c>
      <c r="G2022" t="s">
        <v>127</v>
      </c>
      <c r="H2022" t="s">
        <v>128</v>
      </c>
      <c r="I2022">
        <v>7</v>
      </c>
      <c r="J2022" s="3">
        <v>18988.22</v>
      </c>
      <c r="K2022" s="3">
        <v>132917.54</v>
      </c>
      <c r="L2022" t="s">
        <v>25</v>
      </c>
      <c r="M2022" s="2">
        <v>46099</v>
      </c>
      <c r="N2022" s="2">
        <v>46096</v>
      </c>
      <c r="O2022" t="s">
        <v>43</v>
      </c>
      <c r="P2022" t="s">
        <v>27</v>
      </c>
      <c r="Q2022" t="s">
        <v>28</v>
      </c>
      <c r="R2022" t="s">
        <v>29</v>
      </c>
    </row>
    <row r="2023" spans="1:18">
      <c r="A2023" t="s">
        <v>2155</v>
      </c>
      <c r="B2023" s="2">
        <v>45974</v>
      </c>
      <c r="C2023" t="s">
        <v>142</v>
      </c>
      <c r="D2023" t="s">
        <v>143</v>
      </c>
      <c r="E2023" t="s">
        <v>39</v>
      </c>
      <c r="F2023" t="s">
        <v>22</v>
      </c>
      <c r="G2023" t="s">
        <v>160</v>
      </c>
      <c r="H2023" t="s">
        <v>161</v>
      </c>
      <c r="I2023">
        <v>9</v>
      </c>
      <c r="J2023" s="3">
        <v>3195.52</v>
      </c>
      <c r="K2023" s="3">
        <v>28759.68</v>
      </c>
      <c r="L2023" t="s">
        <v>25</v>
      </c>
      <c r="M2023" s="2">
        <v>45979</v>
      </c>
      <c r="N2023" s="2">
        <v>45976</v>
      </c>
      <c r="O2023" t="s">
        <v>76</v>
      </c>
      <c r="P2023" t="s">
        <v>44</v>
      </c>
      <c r="Q2023" t="s">
        <v>28</v>
      </c>
      <c r="R2023" t="s">
        <v>29</v>
      </c>
    </row>
    <row r="2024" spans="1:18">
      <c r="A2024" t="s">
        <v>2156</v>
      </c>
      <c r="B2024" s="2">
        <v>46014</v>
      </c>
      <c r="C2024" t="s">
        <v>131</v>
      </c>
      <c r="D2024" t="s">
        <v>132</v>
      </c>
      <c r="E2024" t="s">
        <v>48</v>
      </c>
      <c r="F2024" t="s">
        <v>57</v>
      </c>
      <c r="G2024" t="s">
        <v>120</v>
      </c>
      <c r="H2024" t="s">
        <v>121</v>
      </c>
      <c r="I2024">
        <v>3</v>
      </c>
      <c r="J2024" s="3">
        <v>23474.959999999999</v>
      </c>
      <c r="K2024" s="3">
        <v>70424.88</v>
      </c>
      <c r="L2024" t="s">
        <v>52</v>
      </c>
      <c r="M2024" s="2">
        <v>46031</v>
      </c>
      <c r="N2024" s="2">
        <v>46028</v>
      </c>
      <c r="O2024" t="s">
        <v>43</v>
      </c>
      <c r="P2024" t="s">
        <v>53</v>
      </c>
      <c r="Q2024" t="s">
        <v>28</v>
      </c>
      <c r="R2024" t="s">
        <v>29</v>
      </c>
    </row>
    <row r="2025" spans="1:18">
      <c r="A2025" t="s">
        <v>2157</v>
      </c>
      <c r="B2025" s="2">
        <v>46022</v>
      </c>
      <c r="C2025" t="s">
        <v>71</v>
      </c>
      <c r="D2025" t="s">
        <v>72</v>
      </c>
      <c r="E2025" t="s">
        <v>48</v>
      </c>
      <c r="F2025" t="s">
        <v>57</v>
      </c>
      <c r="G2025" t="s">
        <v>120</v>
      </c>
      <c r="H2025" t="s">
        <v>121</v>
      </c>
      <c r="I2025">
        <v>4</v>
      </c>
      <c r="J2025" s="3">
        <v>21414.959999999999</v>
      </c>
      <c r="K2025" s="3">
        <v>85659.839999999997</v>
      </c>
      <c r="L2025" t="s">
        <v>25</v>
      </c>
      <c r="M2025" s="2">
        <v>46034</v>
      </c>
      <c r="N2025" s="2">
        <v>46042</v>
      </c>
      <c r="O2025" t="s">
        <v>60</v>
      </c>
      <c r="P2025" t="s">
        <v>53</v>
      </c>
      <c r="Q2025" t="s">
        <v>28</v>
      </c>
      <c r="R2025" t="s">
        <v>129</v>
      </c>
    </row>
    <row r="2026" spans="1:18">
      <c r="A2026" t="s">
        <v>2158</v>
      </c>
      <c r="B2026" s="2">
        <v>45681</v>
      </c>
      <c r="C2026" t="s">
        <v>96</v>
      </c>
      <c r="D2026" t="s">
        <v>97</v>
      </c>
      <c r="E2026" t="s">
        <v>39</v>
      </c>
      <c r="F2026" t="s">
        <v>82</v>
      </c>
      <c r="G2026" t="s">
        <v>98</v>
      </c>
      <c r="H2026" t="s">
        <v>99</v>
      </c>
      <c r="I2026">
        <v>16</v>
      </c>
      <c r="J2026" s="3">
        <v>1198.28</v>
      </c>
      <c r="K2026" s="3">
        <v>19172.48</v>
      </c>
      <c r="L2026" t="s">
        <v>25</v>
      </c>
      <c r="M2026" s="2">
        <v>45695</v>
      </c>
      <c r="N2026" s="2">
        <v>45692</v>
      </c>
      <c r="O2026" t="s">
        <v>26</v>
      </c>
      <c r="P2026" t="s">
        <v>44</v>
      </c>
      <c r="Q2026" t="s">
        <v>28</v>
      </c>
      <c r="R2026" t="s">
        <v>29</v>
      </c>
    </row>
    <row r="2027" spans="1:18">
      <c r="A2027" t="s">
        <v>2159</v>
      </c>
      <c r="B2027" s="2">
        <v>45858</v>
      </c>
      <c r="C2027" t="s">
        <v>66</v>
      </c>
      <c r="D2027" t="s">
        <v>67</v>
      </c>
      <c r="E2027" t="s">
        <v>21</v>
      </c>
      <c r="F2027" t="s">
        <v>49</v>
      </c>
      <c r="G2027" t="s">
        <v>165</v>
      </c>
      <c r="H2027" t="s">
        <v>166</v>
      </c>
      <c r="I2027">
        <v>1</v>
      </c>
      <c r="J2027" s="3">
        <v>42168.97</v>
      </c>
      <c r="K2027" s="3">
        <v>42168.97</v>
      </c>
      <c r="L2027" t="s">
        <v>34</v>
      </c>
      <c r="M2027" s="2">
        <v>45867</v>
      </c>
      <c r="N2027" s="2">
        <v>45865</v>
      </c>
      <c r="O2027" t="s">
        <v>43</v>
      </c>
      <c r="P2027" t="s">
        <v>27</v>
      </c>
      <c r="Q2027" t="s">
        <v>28</v>
      </c>
      <c r="R2027" t="s">
        <v>29</v>
      </c>
    </row>
    <row r="2028" spans="1:18">
      <c r="A2028" t="s">
        <v>2160</v>
      </c>
      <c r="B2028" s="2">
        <v>46124</v>
      </c>
      <c r="C2028" t="s">
        <v>66</v>
      </c>
      <c r="D2028" t="s">
        <v>67</v>
      </c>
      <c r="E2028" t="s">
        <v>48</v>
      </c>
      <c r="F2028" t="s">
        <v>49</v>
      </c>
      <c r="G2028" t="s">
        <v>50</v>
      </c>
      <c r="H2028" t="s">
        <v>51</v>
      </c>
      <c r="I2028">
        <v>2</v>
      </c>
      <c r="J2028" s="3">
        <v>50206.21</v>
      </c>
      <c r="K2028" s="3">
        <v>100412.42</v>
      </c>
      <c r="L2028" t="s">
        <v>25</v>
      </c>
      <c r="M2028" s="2">
        <v>46142</v>
      </c>
      <c r="N2028" s="2">
        <v>46142</v>
      </c>
      <c r="O2028" t="s">
        <v>76</v>
      </c>
      <c r="P2028" t="s">
        <v>53</v>
      </c>
      <c r="Q2028" t="s">
        <v>28</v>
      </c>
      <c r="R2028" t="s">
        <v>29</v>
      </c>
    </row>
    <row r="2029" spans="1:18">
      <c r="A2029" t="s">
        <v>2161</v>
      </c>
      <c r="B2029" s="2">
        <v>45868</v>
      </c>
      <c r="C2029" t="s">
        <v>71</v>
      </c>
      <c r="D2029" t="s">
        <v>72</v>
      </c>
      <c r="E2029" t="s">
        <v>48</v>
      </c>
      <c r="F2029" t="s">
        <v>57</v>
      </c>
      <c r="G2029" t="s">
        <v>58</v>
      </c>
      <c r="H2029" t="s">
        <v>59</v>
      </c>
      <c r="I2029">
        <v>3</v>
      </c>
      <c r="J2029" s="3">
        <v>52299.77</v>
      </c>
      <c r="K2029" s="3">
        <v>156899.31</v>
      </c>
      <c r="L2029" t="s">
        <v>52</v>
      </c>
      <c r="M2029" s="2">
        <v>45882</v>
      </c>
      <c r="N2029" s="2">
        <v>45880</v>
      </c>
      <c r="O2029" t="s">
        <v>26</v>
      </c>
      <c r="P2029" t="s">
        <v>53</v>
      </c>
      <c r="Q2029" t="s">
        <v>28</v>
      </c>
      <c r="R2029" t="s">
        <v>29</v>
      </c>
    </row>
    <row r="2030" spans="1:18">
      <c r="A2030" t="s">
        <v>2162</v>
      </c>
      <c r="B2030" s="2">
        <v>46192</v>
      </c>
      <c r="C2030" t="s">
        <v>96</v>
      </c>
      <c r="D2030" t="s">
        <v>97</v>
      </c>
      <c r="E2030" t="s">
        <v>39</v>
      </c>
      <c r="F2030" t="s">
        <v>82</v>
      </c>
      <c r="G2030" t="s">
        <v>98</v>
      </c>
      <c r="H2030" t="s">
        <v>99</v>
      </c>
      <c r="I2030">
        <v>27</v>
      </c>
      <c r="J2030" s="3">
        <v>1159.6500000000001</v>
      </c>
      <c r="K2030" s="3">
        <v>31310.55</v>
      </c>
      <c r="L2030" t="s">
        <v>25</v>
      </c>
      <c r="M2030" s="2">
        <v>46209</v>
      </c>
      <c r="N2030" s="2"/>
      <c r="O2030" t="s">
        <v>26</v>
      </c>
      <c r="P2030" t="s">
        <v>64</v>
      </c>
      <c r="Q2030" t="s">
        <v>167</v>
      </c>
      <c r="R2030" t="s">
        <v>167</v>
      </c>
    </row>
    <row r="2031" spans="1:18">
      <c r="A2031" t="s">
        <v>2163</v>
      </c>
      <c r="B2031" s="2">
        <v>45723</v>
      </c>
      <c r="C2031" t="s">
        <v>46</v>
      </c>
      <c r="D2031" t="s">
        <v>47</v>
      </c>
      <c r="E2031" t="s">
        <v>48</v>
      </c>
      <c r="F2031" t="s">
        <v>49</v>
      </c>
      <c r="G2031" t="s">
        <v>50</v>
      </c>
      <c r="H2031" t="s">
        <v>51</v>
      </c>
      <c r="I2031">
        <v>1</v>
      </c>
      <c r="J2031" s="3">
        <v>54172.19</v>
      </c>
      <c r="K2031" s="3">
        <v>54172.19</v>
      </c>
      <c r="L2031" t="s">
        <v>25</v>
      </c>
      <c r="M2031" s="2">
        <v>45734</v>
      </c>
      <c r="N2031" s="2">
        <v>45733</v>
      </c>
      <c r="O2031" t="s">
        <v>60</v>
      </c>
      <c r="P2031" t="s">
        <v>53</v>
      </c>
      <c r="Q2031" t="s">
        <v>28</v>
      </c>
      <c r="R2031" t="s">
        <v>29</v>
      </c>
    </row>
    <row r="2032" spans="1:18">
      <c r="A2032" t="s">
        <v>2164</v>
      </c>
      <c r="B2032" s="2">
        <v>46063</v>
      </c>
      <c r="C2032" t="s">
        <v>96</v>
      </c>
      <c r="D2032" t="s">
        <v>97</v>
      </c>
      <c r="E2032" t="s">
        <v>39</v>
      </c>
      <c r="F2032" t="s">
        <v>82</v>
      </c>
      <c r="G2032" t="s">
        <v>197</v>
      </c>
      <c r="H2032" t="s">
        <v>198</v>
      </c>
      <c r="I2032">
        <v>48</v>
      </c>
      <c r="J2032" s="3">
        <v>2099.54</v>
      </c>
      <c r="K2032" s="3">
        <v>100777.92</v>
      </c>
      <c r="L2032" t="s">
        <v>52</v>
      </c>
      <c r="M2032" s="2">
        <v>46079</v>
      </c>
      <c r="N2032" s="2">
        <v>46086</v>
      </c>
      <c r="O2032" t="s">
        <v>43</v>
      </c>
      <c r="P2032" t="s">
        <v>64</v>
      </c>
      <c r="Q2032" t="s">
        <v>28</v>
      </c>
      <c r="R2032" t="s">
        <v>129</v>
      </c>
    </row>
    <row r="2033" spans="1:18">
      <c r="A2033" t="s">
        <v>2165</v>
      </c>
      <c r="B2033" s="2">
        <v>45968</v>
      </c>
      <c r="C2033" t="s">
        <v>71</v>
      </c>
      <c r="D2033" t="s">
        <v>72</v>
      </c>
      <c r="E2033" t="s">
        <v>48</v>
      </c>
      <c r="F2033" t="s">
        <v>57</v>
      </c>
      <c r="G2033" t="s">
        <v>86</v>
      </c>
      <c r="H2033" t="s">
        <v>87</v>
      </c>
      <c r="I2033">
        <v>1</v>
      </c>
      <c r="J2033" s="3">
        <v>9942.93</v>
      </c>
      <c r="K2033" s="3">
        <v>9942.93</v>
      </c>
      <c r="L2033" t="s">
        <v>52</v>
      </c>
      <c r="M2033" s="2">
        <v>45973</v>
      </c>
      <c r="N2033" s="2">
        <v>45975</v>
      </c>
      <c r="O2033" t="s">
        <v>26</v>
      </c>
      <c r="P2033" t="s">
        <v>53</v>
      </c>
      <c r="Q2033" t="s">
        <v>28</v>
      </c>
      <c r="R2033" t="s">
        <v>129</v>
      </c>
    </row>
    <row r="2034" spans="1:18">
      <c r="A2034" t="s">
        <v>2166</v>
      </c>
      <c r="B2034" s="2">
        <v>45904</v>
      </c>
      <c r="C2034" t="s">
        <v>96</v>
      </c>
      <c r="D2034" t="s">
        <v>97</v>
      </c>
      <c r="E2034" t="s">
        <v>39</v>
      </c>
      <c r="F2034" t="s">
        <v>82</v>
      </c>
      <c r="G2034" t="s">
        <v>197</v>
      </c>
      <c r="H2034" t="s">
        <v>198</v>
      </c>
      <c r="I2034">
        <v>17</v>
      </c>
      <c r="J2034" s="3">
        <v>2170.81</v>
      </c>
      <c r="K2034" s="3">
        <v>36903.769999999997</v>
      </c>
      <c r="L2034" t="s">
        <v>52</v>
      </c>
      <c r="M2034" s="2">
        <v>45919</v>
      </c>
      <c r="N2034" s="2">
        <v>45918</v>
      </c>
      <c r="O2034" t="s">
        <v>76</v>
      </c>
      <c r="P2034" t="s">
        <v>64</v>
      </c>
      <c r="Q2034" t="s">
        <v>28</v>
      </c>
      <c r="R2034" t="s">
        <v>29</v>
      </c>
    </row>
    <row r="2035" spans="1:18">
      <c r="A2035" t="s">
        <v>2167</v>
      </c>
      <c r="B2035" s="2">
        <v>46125</v>
      </c>
      <c r="C2035" t="s">
        <v>19</v>
      </c>
      <c r="D2035" t="s">
        <v>20</v>
      </c>
      <c r="E2035" t="s">
        <v>39</v>
      </c>
      <c r="F2035" t="s">
        <v>22</v>
      </c>
      <c r="G2035" t="s">
        <v>160</v>
      </c>
      <c r="H2035" t="s">
        <v>161</v>
      </c>
      <c r="I2035">
        <v>9</v>
      </c>
      <c r="J2035" s="3">
        <v>2849.64</v>
      </c>
      <c r="K2035" s="3">
        <v>25646.76</v>
      </c>
      <c r="L2035" t="s">
        <v>52</v>
      </c>
      <c r="M2035" s="2">
        <v>46130</v>
      </c>
      <c r="N2035" s="2">
        <v>46130</v>
      </c>
      <c r="O2035" t="s">
        <v>60</v>
      </c>
      <c r="P2035" t="s">
        <v>64</v>
      </c>
      <c r="Q2035" t="s">
        <v>28</v>
      </c>
      <c r="R2035" t="s">
        <v>29</v>
      </c>
    </row>
    <row r="2036" spans="1:18">
      <c r="A2036" t="s">
        <v>2168</v>
      </c>
      <c r="B2036" s="2">
        <v>45784</v>
      </c>
      <c r="C2036" t="s">
        <v>147</v>
      </c>
      <c r="D2036" t="s">
        <v>148</v>
      </c>
      <c r="E2036" t="s">
        <v>112</v>
      </c>
      <c r="F2036" t="s">
        <v>40</v>
      </c>
      <c r="G2036" t="s">
        <v>62</v>
      </c>
      <c r="H2036" t="s">
        <v>63</v>
      </c>
      <c r="I2036">
        <v>5</v>
      </c>
      <c r="J2036" s="3">
        <v>17802.84</v>
      </c>
      <c r="K2036" s="3">
        <v>89014.2</v>
      </c>
      <c r="L2036" t="s">
        <v>25</v>
      </c>
      <c r="M2036" s="2">
        <v>45789</v>
      </c>
      <c r="N2036" s="2">
        <v>45789</v>
      </c>
      <c r="O2036" t="s">
        <v>76</v>
      </c>
      <c r="P2036" t="s">
        <v>115</v>
      </c>
      <c r="Q2036" t="s">
        <v>28</v>
      </c>
      <c r="R2036" t="s">
        <v>29</v>
      </c>
    </row>
    <row r="2037" spans="1:18">
      <c r="A2037" t="s">
        <v>2169</v>
      </c>
      <c r="B2037" s="2">
        <v>46056</v>
      </c>
      <c r="C2037" t="s">
        <v>117</v>
      </c>
      <c r="D2037" t="s">
        <v>118</v>
      </c>
      <c r="E2037" t="s">
        <v>73</v>
      </c>
      <c r="F2037" t="s">
        <v>57</v>
      </c>
      <c r="G2037" t="s">
        <v>74</v>
      </c>
      <c r="H2037" t="s">
        <v>75</v>
      </c>
      <c r="I2037">
        <v>5</v>
      </c>
      <c r="J2037" s="3">
        <v>8911.44</v>
      </c>
      <c r="K2037" s="3">
        <v>44557.2</v>
      </c>
      <c r="L2037" t="s">
        <v>34</v>
      </c>
      <c r="M2037" s="2">
        <v>46065</v>
      </c>
      <c r="N2037" s="2">
        <v>46063</v>
      </c>
      <c r="O2037" t="s">
        <v>43</v>
      </c>
      <c r="P2037" t="s">
        <v>77</v>
      </c>
      <c r="Q2037" t="s">
        <v>28</v>
      </c>
      <c r="R2037" t="s">
        <v>29</v>
      </c>
    </row>
    <row r="2038" spans="1:18">
      <c r="A2038" t="s">
        <v>2170</v>
      </c>
      <c r="B2038" s="2">
        <v>45755</v>
      </c>
      <c r="C2038" t="s">
        <v>71</v>
      </c>
      <c r="D2038" t="s">
        <v>72</v>
      </c>
      <c r="E2038" t="s">
        <v>21</v>
      </c>
      <c r="F2038" t="s">
        <v>57</v>
      </c>
      <c r="G2038" t="s">
        <v>74</v>
      </c>
      <c r="H2038" t="s">
        <v>75</v>
      </c>
      <c r="I2038">
        <v>1</v>
      </c>
      <c r="J2038" s="3">
        <v>7898.92</v>
      </c>
      <c r="K2038" s="3">
        <v>7898.92</v>
      </c>
      <c r="L2038" t="s">
        <v>25</v>
      </c>
      <c r="M2038" s="2">
        <v>45769</v>
      </c>
      <c r="N2038" s="2">
        <v>45772</v>
      </c>
      <c r="O2038" t="s">
        <v>43</v>
      </c>
      <c r="P2038" t="s">
        <v>27</v>
      </c>
      <c r="Q2038" t="s">
        <v>28</v>
      </c>
      <c r="R2038" t="s">
        <v>129</v>
      </c>
    </row>
    <row r="2039" spans="1:18">
      <c r="A2039" t="s">
        <v>2171</v>
      </c>
      <c r="B2039" s="2">
        <v>46075</v>
      </c>
      <c r="C2039" t="s">
        <v>147</v>
      </c>
      <c r="D2039" t="s">
        <v>148</v>
      </c>
      <c r="E2039" t="s">
        <v>112</v>
      </c>
      <c r="F2039" t="s">
        <v>40</v>
      </c>
      <c r="G2039" t="s">
        <v>41</v>
      </c>
      <c r="H2039" t="s">
        <v>42</v>
      </c>
      <c r="I2039">
        <v>2</v>
      </c>
      <c r="J2039" s="3">
        <v>5337.21</v>
      </c>
      <c r="K2039" s="3">
        <v>10674.42</v>
      </c>
      <c r="L2039" t="s">
        <v>25</v>
      </c>
      <c r="M2039" s="2">
        <v>46085</v>
      </c>
      <c r="N2039" s="2">
        <v>46083</v>
      </c>
      <c r="O2039" t="s">
        <v>26</v>
      </c>
      <c r="P2039" t="s">
        <v>115</v>
      </c>
      <c r="Q2039" t="s">
        <v>28</v>
      </c>
      <c r="R2039" t="s">
        <v>29</v>
      </c>
    </row>
    <row r="2040" spans="1:18">
      <c r="A2040" t="s">
        <v>2172</v>
      </c>
      <c r="B2040" s="2">
        <v>45707</v>
      </c>
      <c r="C2040" t="s">
        <v>71</v>
      </c>
      <c r="D2040" t="s">
        <v>72</v>
      </c>
      <c r="E2040" t="s">
        <v>48</v>
      </c>
      <c r="F2040" t="s">
        <v>57</v>
      </c>
      <c r="G2040" t="s">
        <v>74</v>
      </c>
      <c r="H2040" t="s">
        <v>75</v>
      </c>
      <c r="I2040">
        <v>4</v>
      </c>
      <c r="J2040" s="3">
        <v>8238.6</v>
      </c>
      <c r="K2040" s="3">
        <v>32954.400000000001</v>
      </c>
      <c r="L2040" t="s">
        <v>52</v>
      </c>
      <c r="M2040" s="2">
        <v>45717</v>
      </c>
      <c r="N2040" s="2">
        <v>45717</v>
      </c>
      <c r="O2040" t="s">
        <v>76</v>
      </c>
      <c r="P2040" t="s">
        <v>53</v>
      </c>
      <c r="Q2040" t="s">
        <v>28</v>
      </c>
      <c r="R2040" t="s">
        <v>29</v>
      </c>
    </row>
    <row r="2041" spans="1:18">
      <c r="A2041" t="s">
        <v>2173</v>
      </c>
      <c r="B2041" s="2">
        <v>46072</v>
      </c>
      <c r="C2041" t="s">
        <v>71</v>
      </c>
      <c r="D2041" t="s">
        <v>72</v>
      </c>
      <c r="E2041" t="s">
        <v>21</v>
      </c>
      <c r="F2041" t="s">
        <v>57</v>
      </c>
      <c r="G2041" t="s">
        <v>86</v>
      </c>
      <c r="H2041" t="s">
        <v>87</v>
      </c>
      <c r="I2041">
        <v>2</v>
      </c>
      <c r="J2041" s="3">
        <v>9827.18</v>
      </c>
      <c r="K2041" s="3">
        <v>19654.36</v>
      </c>
      <c r="L2041" t="s">
        <v>34</v>
      </c>
      <c r="M2041" s="2">
        <v>46078</v>
      </c>
      <c r="N2041" s="2">
        <v>46085</v>
      </c>
      <c r="O2041" t="s">
        <v>76</v>
      </c>
      <c r="P2041" t="s">
        <v>27</v>
      </c>
      <c r="Q2041" t="s">
        <v>28</v>
      </c>
      <c r="R2041" t="s">
        <v>129</v>
      </c>
    </row>
    <row r="2042" spans="1:18">
      <c r="A2042" t="s">
        <v>2174</v>
      </c>
      <c r="B2042" s="2">
        <v>45843</v>
      </c>
      <c r="C2042" t="s">
        <v>117</v>
      </c>
      <c r="D2042" t="s">
        <v>118</v>
      </c>
      <c r="E2042" t="s">
        <v>48</v>
      </c>
      <c r="F2042" t="s">
        <v>57</v>
      </c>
      <c r="G2042" t="s">
        <v>74</v>
      </c>
      <c r="H2042" t="s">
        <v>75</v>
      </c>
      <c r="I2042">
        <v>8</v>
      </c>
      <c r="J2042" s="3">
        <v>8437.85</v>
      </c>
      <c r="K2042" s="3">
        <v>67502.8</v>
      </c>
      <c r="L2042" t="s">
        <v>52</v>
      </c>
      <c r="M2042" s="2">
        <v>45852</v>
      </c>
      <c r="N2042" s="2">
        <v>45852</v>
      </c>
      <c r="O2042" t="s">
        <v>43</v>
      </c>
      <c r="P2042" t="s">
        <v>53</v>
      </c>
      <c r="Q2042" t="s">
        <v>28</v>
      </c>
      <c r="R2042" t="s">
        <v>29</v>
      </c>
    </row>
    <row r="2043" spans="1:18">
      <c r="A2043" t="s">
        <v>2175</v>
      </c>
      <c r="B2043" s="2">
        <v>46177</v>
      </c>
      <c r="C2043" t="s">
        <v>66</v>
      </c>
      <c r="D2043" t="s">
        <v>67</v>
      </c>
      <c r="E2043" t="s">
        <v>48</v>
      </c>
      <c r="F2043" t="s">
        <v>49</v>
      </c>
      <c r="G2043" t="s">
        <v>113</v>
      </c>
      <c r="H2043" t="s">
        <v>114</v>
      </c>
      <c r="I2043">
        <v>1</v>
      </c>
      <c r="J2043" s="3">
        <v>36817.94</v>
      </c>
      <c r="K2043" s="3">
        <v>36817.94</v>
      </c>
      <c r="L2043" t="s">
        <v>34</v>
      </c>
      <c r="M2043" s="2">
        <v>46195</v>
      </c>
      <c r="N2043" s="2">
        <v>46194</v>
      </c>
      <c r="O2043" t="s">
        <v>26</v>
      </c>
      <c r="P2043" t="s">
        <v>53</v>
      </c>
      <c r="Q2043" t="s">
        <v>28</v>
      </c>
      <c r="R2043" t="s">
        <v>29</v>
      </c>
    </row>
    <row r="2044" spans="1:18">
      <c r="A2044" t="s">
        <v>2176</v>
      </c>
      <c r="B2044" s="2">
        <v>45960</v>
      </c>
      <c r="C2044" t="s">
        <v>142</v>
      </c>
      <c r="D2044" t="s">
        <v>143</v>
      </c>
      <c r="E2044" t="s">
        <v>73</v>
      </c>
      <c r="F2044" t="s">
        <v>22</v>
      </c>
      <c r="G2044" t="s">
        <v>23</v>
      </c>
      <c r="H2044" t="s">
        <v>24</v>
      </c>
      <c r="I2044">
        <v>41</v>
      </c>
      <c r="J2044" s="3">
        <v>252.7</v>
      </c>
      <c r="K2044" s="3">
        <v>10360.700000000001</v>
      </c>
      <c r="L2044" t="s">
        <v>25</v>
      </c>
      <c r="M2044" s="2">
        <v>45971</v>
      </c>
      <c r="N2044" s="2">
        <v>45968</v>
      </c>
      <c r="O2044" t="s">
        <v>43</v>
      </c>
      <c r="P2044" t="s">
        <v>77</v>
      </c>
      <c r="Q2044" t="s">
        <v>28</v>
      </c>
      <c r="R2044" t="s">
        <v>29</v>
      </c>
    </row>
    <row r="2045" spans="1:18">
      <c r="A2045" t="s">
        <v>2177</v>
      </c>
      <c r="B2045" s="2">
        <v>45886</v>
      </c>
      <c r="C2045" t="s">
        <v>104</v>
      </c>
      <c r="D2045" t="s">
        <v>105</v>
      </c>
      <c r="E2045" t="s">
        <v>21</v>
      </c>
      <c r="F2045" t="s">
        <v>49</v>
      </c>
      <c r="G2045" t="s">
        <v>68</v>
      </c>
      <c r="H2045" t="s">
        <v>69</v>
      </c>
      <c r="I2045">
        <v>1</v>
      </c>
      <c r="J2045" s="3">
        <v>46696.88</v>
      </c>
      <c r="K2045" s="3">
        <v>46696.88</v>
      </c>
      <c r="L2045" t="s">
        <v>25</v>
      </c>
      <c r="M2045" s="2">
        <v>45896</v>
      </c>
      <c r="N2045" s="2">
        <v>45896</v>
      </c>
      <c r="O2045" t="s">
        <v>60</v>
      </c>
      <c r="P2045" t="s">
        <v>27</v>
      </c>
      <c r="Q2045" t="s">
        <v>28</v>
      </c>
      <c r="R2045" t="s">
        <v>29</v>
      </c>
    </row>
    <row r="2046" spans="1:18">
      <c r="A2046" t="s">
        <v>2178</v>
      </c>
      <c r="B2046" s="2">
        <v>45829</v>
      </c>
      <c r="C2046" t="s">
        <v>71</v>
      </c>
      <c r="D2046" t="s">
        <v>72</v>
      </c>
      <c r="E2046" t="s">
        <v>48</v>
      </c>
      <c r="F2046" t="s">
        <v>57</v>
      </c>
      <c r="G2046" t="s">
        <v>74</v>
      </c>
      <c r="H2046" t="s">
        <v>75</v>
      </c>
      <c r="I2046">
        <v>7</v>
      </c>
      <c r="J2046" s="3">
        <v>8208.82</v>
      </c>
      <c r="K2046" s="3">
        <v>57461.74</v>
      </c>
      <c r="L2046" t="s">
        <v>25</v>
      </c>
      <c r="M2046" s="2">
        <v>45834</v>
      </c>
      <c r="N2046" s="2">
        <v>45844</v>
      </c>
      <c r="O2046" t="s">
        <v>60</v>
      </c>
      <c r="P2046" t="s">
        <v>53</v>
      </c>
      <c r="Q2046" t="s">
        <v>28</v>
      </c>
      <c r="R2046" t="s">
        <v>129</v>
      </c>
    </row>
    <row r="2047" spans="1:18">
      <c r="A2047" t="s">
        <v>2179</v>
      </c>
      <c r="B2047" s="2">
        <v>45730</v>
      </c>
      <c r="C2047" t="s">
        <v>19</v>
      </c>
      <c r="D2047" t="s">
        <v>20</v>
      </c>
      <c r="E2047" t="s">
        <v>31</v>
      </c>
      <c r="F2047" t="s">
        <v>22</v>
      </c>
      <c r="G2047" t="s">
        <v>32</v>
      </c>
      <c r="H2047" t="s">
        <v>33</v>
      </c>
      <c r="I2047">
        <v>1</v>
      </c>
      <c r="J2047" s="3">
        <v>7434.89</v>
      </c>
      <c r="K2047" s="3">
        <v>7434.89</v>
      </c>
      <c r="L2047" t="s">
        <v>25</v>
      </c>
      <c r="M2047" s="2">
        <v>45745</v>
      </c>
      <c r="N2047" s="2">
        <v>45742</v>
      </c>
      <c r="O2047" t="s">
        <v>43</v>
      </c>
      <c r="P2047" t="s">
        <v>94</v>
      </c>
      <c r="Q2047" t="s">
        <v>28</v>
      </c>
      <c r="R2047" t="s">
        <v>29</v>
      </c>
    </row>
    <row r="2048" spans="1:18">
      <c r="A2048" t="s">
        <v>2180</v>
      </c>
      <c r="B2048" s="2">
        <v>46148</v>
      </c>
      <c r="C2048" t="s">
        <v>104</v>
      </c>
      <c r="D2048" t="s">
        <v>105</v>
      </c>
      <c r="E2048" t="s">
        <v>112</v>
      </c>
      <c r="F2048" t="s">
        <v>49</v>
      </c>
      <c r="G2048" t="s">
        <v>50</v>
      </c>
      <c r="H2048" t="s">
        <v>51</v>
      </c>
      <c r="I2048">
        <v>1</v>
      </c>
      <c r="J2048" s="3">
        <v>52884.32</v>
      </c>
      <c r="K2048" s="3">
        <v>52884.32</v>
      </c>
      <c r="L2048" t="s">
        <v>52</v>
      </c>
      <c r="M2048" s="2">
        <v>46164</v>
      </c>
      <c r="N2048" s="2">
        <v>46164</v>
      </c>
      <c r="O2048" t="s">
        <v>26</v>
      </c>
      <c r="P2048" t="s">
        <v>115</v>
      </c>
      <c r="Q2048" t="s">
        <v>28</v>
      </c>
      <c r="R2048" t="s">
        <v>29</v>
      </c>
    </row>
    <row r="2049" spans="1:18">
      <c r="A2049" t="s">
        <v>2181</v>
      </c>
      <c r="B2049" s="2">
        <v>45807</v>
      </c>
      <c r="C2049" t="s">
        <v>46</v>
      </c>
      <c r="D2049" t="s">
        <v>47</v>
      </c>
      <c r="E2049" t="s">
        <v>48</v>
      </c>
      <c r="F2049" t="s">
        <v>49</v>
      </c>
      <c r="G2049" t="s">
        <v>113</v>
      </c>
      <c r="H2049" t="s">
        <v>114</v>
      </c>
      <c r="I2049">
        <v>1</v>
      </c>
      <c r="J2049" s="3">
        <v>41449.29</v>
      </c>
      <c r="K2049" s="3">
        <v>41449.29</v>
      </c>
      <c r="L2049" t="s">
        <v>25</v>
      </c>
      <c r="M2049" s="2">
        <v>45821</v>
      </c>
      <c r="N2049" s="2">
        <v>45820</v>
      </c>
      <c r="O2049" t="s">
        <v>43</v>
      </c>
      <c r="P2049" t="s">
        <v>53</v>
      </c>
      <c r="Q2049" t="s">
        <v>28</v>
      </c>
      <c r="R2049" t="s">
        <v>29</v>
      </c>
    </row>
    <row r="2050" spans="1:18">
      <c r="A2050" t="s">
        <v>2182</v>
      </c>
      <c r="B2050" s="2">
        <v>46139</v>
      </c>
      <c r="C2050" t="s">
        <v>37</v>
      </c>
      <c r="D2050" t="s">
        <v>38</v>
      </c>
      <c r="E2050" t="s">
        <v>31</v>
      </c>
      <c r="F2050" t="s">
        <v>22</v>
      </c>
      <c r="G2050" t="s">
        <v>32</v>
      </c>
      <c r="H2050" t="s">
        <v>33</v>
      </c>
      <c r="I2050">
        <v>12</v>
      </c>
      <c r="J2050" s="3">
        <v>8650.3700000000008</v>
      </c>
      <c r="K2050" s="3">
        <v>103804.44</v>
      </c>
      <c r="L2050" t="s">
        <v>25</v>
      </c>
      <c r="M2050" s="2">
        <v>46154</v>
      </c>
      <c r="N2050" s="2">
        <v>46152</v>
      </c>
      <c r="O2050" t="s">
        <v>76</v>
      </c>
      <c r="P2050" t="s">
        <v>35</v>
      </c>
      <c r="Q2050" t="s">
        <v>28</v>
      </c>
      <c r="R2050" t="s">
        <v>29</v>
      </c>
    </row>
    <row r="2051" spans="1:18">
      <c r="A2051" t="s">
        <v>2183</v>
      </c>
      <c r="B2051" s="2">
        <v>45941</v>
      </c>
      <c r="C2051" t="s">
        <v>134</v>
      </c>
      <c r="D2051" t="s">
        <v>135</v>
      </c>
      <c r="E2051" t="s">
        <v>112</v>
      </c>
      <c r="F2051" t="s">
        <v>40</v>
      </c>
      <c r="G2051" t="s">
        <v>62</v>
      </c>
      <c r="H2051" t="s">
        <v>63</v>
      </c>
      <c r="I2051">
        <v>7</v>
      </c>
      <c r="J2051" s="3">
        <v>19139.18</v>
      </c>
      <c r="K2051" s="3">
        <v>133974.26</v>
      </c>
      <c r="L2051" t="s">
        <v>25</v>
      </c>
      <c r="M2051" s="2">
        <v>45948</v>
      </c>
      <c r="N2051" s="2">
        <v>45946</v>
      </c>
      <c r="O2051" t="s">
        <v>26</v>
      </c>
      <c r="P2051" t="s">
        <v>115</v>
      </c>
      <c r="Q2051" t="s">
        <v>28</v>
      </c>
      <c r="R2051" t="s">
        <v>29</v>
      </c>
    </row>
    <row r="2052" spans="1:18">
      <c r="A2052" t="s">
        <v>2184</v>
      </c>
      <c r="B2052" s="2">
        <v>45923</v>
      </c>
      <c r="C2052" t="s">
        <v>37</v>
      </c>
      <c r="D2052" t="s">
        <v>38</v>
      </c>
      <c r="E2052" t="s">
        <v>31</v>
      </c>
      <c r="F2052" t="s">
        <v>22</v>
      </c>
      <c r="G2052" t="s">
        <v>23</v>
      </c>
      <c r="H2052" t="s">
        <v>24</v>
      </c>
      <c r="I2052">
        <v>45</v>
      </c>
      <c r="J2052" s="3">
        <v>263.83</v>
      </c>
      <c r="K2052" s="3">
        <v>11872.35</v>
      </c>
      <c r="L2052" t="s">
        <v>25</v>
      </c>
      <c r="M2052" s="2">
        <v>45938</v>
      </c>
      <c r="N2052" s="2">
        <v>45938</v>
      </c>
      <c r="O2052" t="s">
        <v>60</v>
      </c>
      <c r="P2052" t="s">
        <v>35</v>
      </c>
      <c r="Q2052" t="s">
        <v>28</v>
      </c>
      <c r="R2052" t="s">
        <v>29</v>
      </c>
    </row>
    <row r="2053" spans="1:18">
      <c r="A2053" t="s">
        <v>2185</v>
      </c>
      <c r="B2053" s="2">
        <v>46119</v>
      </c>
      <c r="C2053" t="s">
        <v>96</v>
      </c>
      <c r="D2053" t="s">
        <v>97</v>
      </c>
      <c r="E2053" t="s">
        <v>39</v>
      </c>
      <c r="F2053" t="s">
        <v>82</v>
      </c>
      <c r="G2053" t="s">
        <v>98</v>
      </c>
      <c r="H2053" t="s">
        <v>99</v>
      </c>
      <c r="I2053">
        <v>56</v>
      </c>
      <c r="J2053" s="3">
        <v>1184.6600000000001</v>
      </c>
      <c r="K2053" s="3">
        <v>66340.960000000006</v>
      </c>
      <c r="L2053" t="s">
        <v>25</v>
      </c>
      <c r="M2053" s="2">
        <v>46132</v>
      </c>
      <c r="N2053" s="2">
        <v>46129</v>
      </c>
      <c r="O2053" t="s">
        <v>26</v>
      </c>
      <c r="P2053" t="s">
        <v>44</v>
      </c>
      <c r="Q2053" t="s">
        <v>28</v>
      </c>
      <c r="R2053" t="s">
        <v>29</v>
      </c>
    </row>
    <row r="2054" spans="1:18">
      <c r="A2054" t="s">
        <v>2186</v>
      </c>
      <c r="B2054" s="2">
        <v>45697</v>
      </c>
      <c r="C2054" t="s">
        <v>37</v>
      </c>
      <c r="D2054" t="s">
        <v>38</v>
      </c>
      <c r="E2054" t="s">
        <v>112</v>
      </c>
      <c r="F2054" t="s">
        <v>22</v>
      </c>
      <c r="G2054" t="s">
        <v>23</v>
      </c>
      <c r="H2054" t="s">
        <v>24</v>
      </c>
      <c r="I2054">
        <v>11</v>
      </c>
      <c r="J2054" s="3">
        <v>283.07</v>
      </c>
      <c r="K2054" s="3">
        <v>3113.77</v>
      </c>
      <c r="L2054" t="s">
        <v>25</v>
      </c>
      <c r="M2054" s="2">
        <v>45714</v>
      </c>
      <c r="N2054" s="2">
        <v>45711</v>
      </c>
      <c r="O2054" t="s">
        <v>60</v>
      </c>
      <c r="P2054" t="s">
        <v>115</v>
      </c>
      <c r="Q2054" t="s">
        <v>28</v>
      </c>
      <c r="R2054" t="s">
        <v>29</v>
      </c>
    </row>
    <row r="2055" spans="1:18">
      <c r="A2055" t="s">
        <v>2187</v>
      </c>
      <c r="B2055" s="2">
        <v>45855</v>
      </c>
      <c r="C2055" t="s">
        <v>96</v>
      </c>
      <c r="D2055" t="s">
        <v>97</v>
      </c>
      <c r="E2055" t="s">
        <v>39</v>
      </c>
      <c r="F2055" t="s">
        <v>82</v>
      </c>
      <c r="G2055" t="s">
        <v>83</v>
      </c>
      <c r="H2055" t="s">
        <v>84</v>
      </c>
      <c r="I2055">
        <v>29</v>
      </c>
      <c r="J2055" s="3">
        <v>733.1</v>
      </c>
      <c r="K2055" s="3">
        <v>21259.9</v>
      </c>
      <c r="L2055" t="s">
        <v>25</v>
      </c>
      <c r="M2055" s="2">
        <v>45869</v>
      </c>
      <c r="N2055" s="2">
        <v>45868</v>
      </c>
      <c r="O2055" t="s">
        <v>76</v>
      </c>
      <c r="P2055" t="s">
        <v>44</v>
      </c>
      <c r="Q2055" t="s">
        <v>28</v>
      </c>
      <c r="R2055" t="s">
        <v>29</v>
      </c>
    </row>
    <row r="2056" spans="1:18">
      <c r="A2056" t="s">
        <v>2188</v>
      </c>
      <c r="B2056" s="2">
        <v>45671</v>
      </c>
      <c r="C2056" t="s">
        <v>80</v>
      </c>
      <c r="D2056" t="s">
        <v>81</v>
      </c>
      <c r="E2056" t="s">
        <v>39</v>
      </c>
      <c r="F2056" t="s">
        <v>82</v>
      </c>
      <c r="G2056" t="s">
        <v>197</v>
      </c>
      <c r="H2056" t="s">
        <v>198</v>
      </c>
      <c r="I2056">
        <v>40</v>
      </c>
      <c r="J2056" s="3">
        <v>1938.52</v>
      </c>
      <c r="K2056" s="3">
        <v>77540.800000000003</v>
      </c>
      <c r="L2056" t="s">
        <v>34</v>
      </c>
      <c r="M2056" s="2">
        <v>45681</v>
      </c>
      <c r="N2056" s="2">
        <v>45681</v>
      </c>
      <c r="O2056" t="s">
        <v>26</v>
      </c>
      <c r="P2056" t="s">
        <v>64</v>
      </c>
      <c r="Q2056" t="s">
        <v>28</v>
      </c>
      <c r="R2056" t="s">
        <v>29</v>
      </c>
    </row>
    <row r="2057" spans="1:18">
      <c r="A2057" t="s">
        <v>2189</v>
      </c>
      <c r="B2057" s="2">
        <v>46060</v>
      </c>
      <c r="C2057" t="s">
        <v>19</v>
      </c>
      <c r="D2057" t="s">
        <v>20</v>
      </c>
      <c r="E2057" t="s">
        <v>39</v>
      </c>
      <c r="F2057" t="s">
        <v>22</v>
      </c>
      <c r="G2057" t="s">
        <v>160</v>
      </c>
      <c r="H2057" t="s">
        <v>161</v>
      </c>
      <c r="I2057">
        <v>13</v>
      </c>
      <c r="J2057" s="3">
        <v>2999.76</v>
      </c>
      <c r="K2057" s="3">
        <v>38996.879999999997</v>
      </c>
      <c r="L2057" t="s">
        <v>25</v>
      </c>
      <c r="M2057" s="2">
        <v>46066</v>
      </c>
      <c r="N2057" s="2">
        <v>46063</v>
      </c>
      <c r="O2057" t="s">
        <v>43</v>
      </c>
      <c r="P2057" t="s">
        <v>64</v>
      </c>
      <c r="Q2057" t="s">
        <v>28</v>
      </c>
      <c r="R2057" t="s">
        <v>29</v>
      </c>
    </row>
    <row r="2058" spans="1:18">
      <c r="A2058" t="s">
        <v>2190</v>
      </c>
      <c r="B2058" s="2">
        <v>45909</v>
      </c>
      <c r="C2058" t="s">
        <v>71</v>
      </c>
      <c r="D2058" t="s">
        <v>72</v>
      </c>
      <c r="E2058" t="s">
        <v>31</v>
      </c>
      <c r="F2058" t="s">
        <v>57</v>
      </c>
      <c r="G2058" t="s">
        <v>74</v>
      </c>
      <c r="H2058" t="s">
        <v>75</v>
      </c>
      <c r="I2058">
        <v>1</v>
      </c>
      <c r="J2058" s="3">
        <v>8015.39</v>
      </c>
      <c r="K2058" s="3">
        <v>8015.39</v>
      </c>
      <c r="L2058" t="s">
        <v>25</v>
      </c>
      <c r="M2058" s="2">
        <v>45923</v>
      </c>
      <c r="N2058" s="2">
        <v>45921</v>
      </c>
      <c r="O2058" t="s">
        <v>76</v>
      </c>
      <c r="P2058" t="s">
        <v>35</v>
      </c>
      <c r="Q2058" t="s">
        <v>28</v>
      </c>
      <c r="R2058" t="s">
        <v>29</v>
      </c>
    </row>
    <row r="2059" spans="1:18">
      <c r="A2059" t="s">
        <v>2191</v>
      </c>
      <c r="B2059" s="2">
        <v>45810</v>
      </c>
      <c r="C2059" t="s">
        <v>104</v>
      </c>
      <c r="D2059" t="s">
        <v>105</v>
      </c>
      <c r="E2059" t="s">
        <v>73</v>
      </c>
      <c r="F2059" t="s">
        <v>49</v>
      </c>
      <c r="G2059" t="s">
        <v>165</v>
      </c>
      <c r="H2059" t="s">
        <v>166</v>
      </c>
      <c r="I2059">
        <v>1</v>
      </c>
      <c r="J2059" s="3">
        <v>44893.29</v>
      </c>
      <c r="K2059" s="3">
        <v>44893.29</v>
      </c>
      <c r="L2059" t="s">
        <v>34</v>
      </c>
      <c r="M2059" s="2">
        <v>45819</v>
      </c>
      <c r="N2059" s="2">
        <v>45817</v>
      </c>
      <c r="O2059" t="s">
        <v>60</v>
      </c>
      <c r="P2059" t="s">
        <v>77</v>
      </c>
      <c r="Q2059" t="s">
        <v>28</v>
      </c>
      <c r="R2059" t="s">
        <v>29</v>
      </c>
    </row>
    <row r="2060" spans="1:18">
      <c r="A2060" t="s">
        <v>2192</v>
      </c>
      <c r="B2060" s="2">
        <v>45768</v>
      </c>
      <c r="C2060" t="s">
        <v>117</v>
      </c>
      <c r="D2060" t="s">
        <v>118</v>
      </c>
      <c r="E2060" t="s">
        <v>21</v>
      </c>
      <c r="F2060" t="s">
        <v>57</v>
      </c>
      <c r="G2060" t="s">
        <v>127</v>
      </c>
      <c r="H2060" t="s">
        <v>128</v>
      </c>
      <c r="I2060">
        <v>8</v>
      </c>
      <c r="J2060" s="3">
        <v>16746.16</v>
      </c>
      <c r="K2060" s="3">
        <v>133969.28</v>
      </c>
      <c r="L2060" t="s">
        <v>34</v>
      </c>
      <c r="M2060" s="2">
        <v>45783</v>
      </c>
      <c r="N2060" s="2">
        <v>45783</v>
      </c>
      <c r="O2060" t="s">
        <v>76</v>
      </c>
      <c r="P2060" t="s">
        <v>27</v>
      </c>
      <c r="Q2060" t="s">
        <v>28</v>
      </c>
      <c r="R2060" t="s">
        <v>29</v>
      </c>
    </row>
    <row r="2061" spans="1:18">
      <c r="A2061" t="s">
        <v>2193</v>
      </c>
      <c r="B2061" s="2">
        <v>46106</v>
      </c>
      <c r="C2061" t="s">
        <v>37</v>
      </c>
      <c r="D2061" t="s">
        <v>38</v>
      </c>
      <c r="E2061" t="s">
        <v>39</v>
      </c>
      <c r="F2061" t="s">
        <v>22</v>
      </c>
      <c r="G2061" t="s">
        <v>23</v>
      </c>
      <c r="H2061" t="s">
        <v>24</v>
      </c>
      <c r="I2061">
        <v>39</v>
      </c>
      <c r="J2061" s="3">
        <v>273.05</v>
      </c>
      <c r="K2061" s="3">
        <v>10648.95</v>
      </c>
      <c r="L2061" t="s">
        <v>25</v>
      </c>
      <c r="M2061" s="2">
        <v>46121</v>
      </c>
      <c r="N2061" s="2">
        <v>46121</v>
      </c>
      <c r="O2061" t="s">
        <v>76</v>
      </c>
      <c r="P2061" t="s">
        <v>44</v>
      </c>
      <c r="Q2061" t="s">
        <v>28</v>
      </c>
      <c r="R2061" t="s">
        <v>29</v>
      </c>
    </row>
    <row r="2062" spans="1:18">
      <c r="A2062" t="s">
        <v>2194</v>
      </c>
      <c r="B2062" s="2">
        <v>46087</v>
      </c>
      <c r="C2062" t="s">
        <v>131</v>
      </c>
      <c r="D2062" t="s">
        <v>132</v>
      </c>
      <c r="E2062" t="s">
        <v>21</v>
      </c>
      <c r="F2062" t="s">
        <v>57</v>
      </c>
      <c r="G2062" t="s">
        <v>101</v>
      </c>
      <c r="H2062" t="s">
        <v>102</v>
      </c>
      <c r="I2062">
        <v>25</v>
      </c>
      <c r="J2062" s="3">
        <v>1874.52</v>
      </c>
      <c r="K2062" s="3">
        <v>46863</v>
      </c>
      <c r="L2062" t="s">
        <v>25</v>
      </c>
      <c r="M2062" s="2">
        <v>46104</v>
      </c>
      <c r="N2062" s="2">
        <v>46102</v>
      </c>
      <c r="O2062" t="s">
        <v>60</v>
      </c>
      <c r="P2062" t="s">
        <v>27</v>
      </c>
      <c r="Q2062" t="s">
        <v>28</v>
      </c>
      <c r="R2062" t="s">
        <v>29</v>
      </c>
    </row>
    <row r="2063" spans="1:18">
      <c r="A2063" t="s">
        <v>2195</v>
      </c>
      <c r="B2063" s="2">
        <v>45998</v>
      </c>
      <c r="C2063" t="s">
        <v>71</v>
      </c>
      <c r="D2063" t="s">
        <v>72</v>
      </c>
      <c r="E2063" t="s">
        <v>31</v>
      </c>
      <c r="F2063" t="s">
        <v>57</v>
      </c>
      <c r="G2063" t="s">
        <v>127</v>
      </c>
      <c r="H2063" t="s">
        <v>128</v>
      </c>
      <c r="I2063">
        <v>4</v>
      </c>
      <c r="J2063" s="3">
        <v>15601.32</v>
      </c>
      <c r="K2063" s="3">
        <v>62405.279999999999</v>
      </c>
      <c r="L2063" t="s">
        <v>25</v>
      </c>
      <c r="M2063" s="2">
        <v>46006</v>
      </c>
      <c r="N2063" s="2">
        <v>46003</v>
      </c>
      <c r="O2063" t="s">
        <v>26</v>
      </c>
      <c r="P2063" t="s">
        <v>94</v>
      </c>
      <c r="Q2063" t="s">
        <v>28</v>
      </c>
      <c r="R2063" t="s">
        <v>29</v>
      </c>
    </row>
    <row r="2064" spans="1:18">
      <c r="A2064" t="s">
        <v>2196</v>
      </c>
      <c r="B2064" s="2">
        <v>46078</v>
      </c>
      <c r="C2064" t="s">
        <v>37</v>
      </c>
      <c r="D2064" t="s">
        <v>38</v>
      </c>
      <c r="E2064" t="s">
        <v>31</v>
      </c>
      <c r="F2064" t="s">
        <v>22</v>
      </c>
      <c r="G2064" t="s">
        <v>32</v>
      </c>
      <c r="H2064" t="s">
        <v>33</v>
      </c>
      <c r="I2064">
        <v>7</v>
      </c>
      <c r="J2064" s="3">
        <v>8312.85</v>
      </c>
      <c r="K2064" s="3">
        <v>58189.95</v>
      </c>
      <c r="L2064" t="s">
        <v>52</v>
      </c>
      <c r="M2064" s="2">
        <v>46094</v>
      </c>
      <c r="N2064" s="2">
        <v>46093</v>
      </c>
      <c r="O2064" t="s">
        <v>60</v>
      </c>
      <c r="P2064" t="s">
        <v>94</v>
      </c>
      <c r="Q2064" t="s">
        <v>28</v>
      </c>
      <c r="R2064" t="s">
        <v>29</v>
      </c>
    </row>
    <row r="2065" spans="1:18">
      <c r="A2065" t="s">
        <v>2197</v>
      </c>
      <c r="B2065" s="2">
        <v>45846</v>
      </c>
      <c r="C2065" t="s">
        <v>71</v>
      </c>
      <c r="D2065" t="s">
        <v>72</v>
      </c>
      <c r="E2065" t="s">
        <v>31</v>
      </c>
      <c r="F2065" t="s">
        <v>57</v>
      </c>
      <c r="G2065" t="s">
        <v>58</v>
      </c>
      <c r="H2065" t="s">
        <v>59</v>
      </c>
      <c r="I2065">
        <v>8</v>
      </c>
      <c r="J2065" s="3">
        <v>53024.03</v>
      </c>
      <c r="K2065" s="3">
        <v>424192.24</v>
      </c>
      <c r="L2065" t="s">
        <v>34</v>
      </c>
      <c r="M2065" s="2">
        <v>45863</v>
      </c>
      <c r="N2065" s="2">
        <v>45860</v>
      </c>
      <c r="O2065" t="s">
        <v>60</v>
      </c>
      <c r="P2065" t="s">
        <v>94</v>
      </c>
      <c r="Q2065" t="s">
        <v>28</v>
      </c>
      <c r="R2065" t="s">
        <v>29</v>
      </c>
    </row>
    <row r="2066" spans="1:18">
      <c r="A2066" t="s">
        <v>2198</v>
      </c>
      <c r="B2066" s="2">
        <v>45768</v>
      </c>
      <c r="C2066" t="s">
        <v>96</v>
      </c>
      <c r="D2066" t="s">
        <v>97</v>
      </c>
      <c r="E2066" t="s">
        <v>39</v>
      </c>
      <c r="F2066" t="s">
        <v>82</v>
      </c>
      <c r="G2066" t="s">
        <v>83</v>
      </c>
      <c r="H2066" t="s">
        <v>84</v>
      </c>
      <c r="I2066">
        <v>34</v>
      </c>
      <c r="J2066" s="3">
        <v>738.14</v>
      </c>
      <c r="K2066" s="3">
        <v>25096.76</v>
      </c>
      <c r="L2066" t="s">
        <v>52</v>
      </c>
      <c r="M2066" s="2">
        <v>45779</v>
      </c>
      <c r="N2066" s="2">
        <v>45778</v>
      </c>
      <c r="O2066" t="s">
        <v>60</v>
      </c>
      <c r="P2066" t="s">
        <v>64</v>
      </c>
      <c r="Q2066" t="s">
        <v>28</v>
      </c>
      <c r="R2066" t="s">
        <v>29</v>
      </c>
    </row>
    <row r="2067" spans="1:18">
      <c r="A2067" t="s">
        <v>2199</v>
      </c>
      <c r="B2067" s="2">
        <v>45733</v>
      </c>
      <c r="C2067" t="s">
        <v>37</v>
      </c>
      <c r="D2067" t="s">
        <v>38</v>
      </c>
      <c r="E2067" t="s">
        <v>39</v>
      </c>
      <c r="F2067" t="s">
        <v>22</v>
      </c>
      <c r="G2067" t="s">
        <v>32</v>
      </c>
      <c r="H2067" t="s">
        <v>33</v>
      </c>
      <c r="I2067">
        <v>11</v>
      </c>
      <c r="J2067" s="3">
        <v>8453.9599999999991</v>
      </c>
      <c r="K2067" s="3">
        <v>92993.56</v>
      </c>
      <c r="L2067" t="s">
        <v>34</v>
      </c>
      <c r="M2067" s="2">
        <v>45751</v>
      </c>
      <c r="N2067" s="2">
        <v>45750</v>
      </c>
      <c r="O2067" t="s">
        <v>60</v>
      </c>
      <c r="P2067" t="s">
        <v>64</v>
      </c>
      <c r="Q2067" t="s">
        <v>28</v>
      </c>
      <c r="R2067" t="s">
        <v>29</v>
      </c>
    </row>
    <row r="2068" spans="1:18">
      <c r="A2068" t="s">
        <v>2200</v>
      </c>
      <c r="B2068" s="2">
        <v>45773</v>
      </c>
      <c r="C2068" t="s">
        <v>142</v>
      </c>
      <c r="D2068" t="s">
        <v>143</v>
      </c>
      <c r="E2068" t="s">
        <v>21</v>
      </c>
      <c r="F2068" t="s">
        <v>22</v>
      </c>
      <c r="G2068" t="s">
        <v>160</v>
      </c>
      <c r="H2068" t="s">
        <v>161</v>
      </c>
      <c r="I2068">
        <v>7</v>
      </c>
      <c r="J2068" s="3">
        <v>3073.14</v>
      </c>
      <c r="K2068" s="3">
        <v>21511.98</v>
      </c>
      <c r="L2068" t="s">
        <v>52</v>
      </c>
      <c r="M2068" s="2">
        <v>45778</v>
      </c>
      <c r="N2068" s="2">
        <v>45777</v>
      </c>
      <c r="O2068" t="s">
        <v>26</v>
      </c>
      <c r="P2068" t="s">
        <v>27</v>
      </c>
      <c r="Q2068" t="s">
        <v>28</v>
      </c>
      <c r="R2068" t="s">
        <v>29</v>
      </c>
    </row>
    <row r="2069" spans="1:18">
      <c r="A2069" t="s">
        <v>2201</v>
      </c>
      <c r="B2069" s="2">
        <v>45844</v>
      </c>
      <c r="C2069" t="s">
        <v>134</v>
      </c>
      <c r="D2069" t="s">
        <v>135</v>
      </c>
      <c r="E2069" t="s">
        <v>39</v>
      </c>
      <c r="F2069" t="s">
        <v>40</v>
      </c>
      <c r="G2069" t="s">
        <v>136</v>
      </c>
      <c r="H2069" t="s">
        <v>137</v>
      </c>
      <c r="I2069">
        <v>33</v>
      </c>
      <c r="J2069" s="3">
        <v>1664.41</v>
      </c>
      <c r="K2069" s="3">
        <v>54925.53</v>
      </c>
      <c r="L2069" t="s">
        <v>25</v>
      </c>
      <c r="M2069" s="2">
        <v>45861</v>
      </c>
      <c r="N2069" s="2">
        <v>45860</v>
      </c>
      <c r="O2069" t="s">
        <v>26</v>
      </c>
      <c r="P2069" t="s">
        <v>64</v>
      </c>
      <c r="Q2069" t="s">
        <v>28</v>
      </c>
      <c r="R2069" t="s">
        <v>29</v>
      </c>
    </row>
    <row r="2070" spans="1:18">
      <c r="A2070" t="s">
        <v>2202</v>
      </c>
      <c r="B2070" s="2">
        <v>45829</v>
      </c>
      <c r="C2070" t="s">
        <v>89</v>
      </c>
      <c r="D2070" t="s">
        <v>90</v>
      </c>
      <c r="E2070" t="s">
        <v>31</v>
      </c>
      <c r="F2070" t="s">
        <v>91</v>
      </c>
      <c r="G2070" t="s">
        <v>109</v>
      </c>
      <c r="H2070" t="s">
        <v>110</v>
      </c>
      <c r="I2070">
        <v>1</v>
      </c>
      <c r="J2070" s="3">
        <v>12791.65</v>
      </c>
      <c r="K2070" s="3">
        <v>12791.65</v>
      </c>
      <c r="L2070" t="s">
        <v>34</v>
      </c>
      <c r="M2070" s="2">
        <v>45842</v>
      </c>
      <c r="N2070" s="2">
        <v>45841</v>
      </c>
      <c r="O2070" t="s">
        <v>76</v>
      </c>
      <c r="P2070" t="s">
        <v>35</v>
      </c>
      <c r="Q2070" t="s">
        <v>28</v>
      </c>
      <c r="R2070" t="s">
        <v>29</v>
      </c>
    </row>
    <row r="2071" spans="1:18">
      <c r="A2071" t="s">
        <v>2203</v>
      </c>
      <c r="B2071" s="2">
        <v>46076</v>
      </c>
      <c r="C2071" t="s">
        <v>19</v>
      </c>
      <c r="D2071" t="s">
        <v>20</v>
      </c>
      <c r="E2071" t="s">
        <v>31</v>
      </c>
      <c r="F2071" t="s">
        <v>22</v>
      </c>
      <c r="G2071" t="s">
        <v>23</v>
      </c>
      <c r="H2071" t="s">
        <v>24</v>
      </c>
      <c r="I2071">
        <v>21</v>
      </c>
      <c r="J2071" s="3">
        <v>236.91</v>
      </c>
      <c r="K2071" s="3">
        <v>4975.1099999999997</v>
      </c>
      <c r="L2071" t="s">
        <v>25</v>
      </c>
      <c r="M2071" s="2">
        <v>46088</v>
      </c>
      <c r="N2071" s="2">
        <v>46100</v>
      </c>
      <c r="O2071" t="s">
        <v>76</v>
      </c>
      <c r="P2071" t="s">
        <v>94</v>
      </c>
      <c r="Q2071" t="s">
        <v>28</v>
      </c>
      <c r="R2071" t="s">
        <v>129</v>
      </c>
    </row>
    <row r="2072" spans="1:18">
      <c r="A2072" t="s">
        <v>2204</v>
      </c>
      <c r="B2072" s="2">
        <v>46028</v>
      </c>
      <c r="C2072" t="s">
        <v>104</v>
      </c>
      <c r="D2072" t="s">
        <v>105</v>
      </c>
      <c r="E2072" t="s">
        <v>73</v>
      </c>
      <c r="F2072" t="s">
        <v>49</v>
      </c>
      <c r="G2072" t="s">
        <v>165</v>
      </c>
      <c r="H2072" t="s">
        <v>166</v>
      </c>
      <c r="I2072">
        <v>3</v>
      </c>
      <c r="J2072" s="3">
        <v>45417.19</v>
      </c>
      <c r="K2072" s="3">
        <v>136251.57</v>
      </c>
      <c r="L2072" t="s">
        <v>34</v>
      </c>
      <c r="M2072" s="2">
        <v>46037</v>
      </c>
      <c r="N2072" s="2">
        <v>46039</v>
      </c>
      <c r="O2072" t="s">
        <v>76</v>
      </c>
      <c r="P2072" t="s">
        <v>77</v>
      </c>
      <c r="Q2072" t="s">
        <v>28</v>
      </c>
      <c r="R2072" t="s">
        <v>129</v>
      </c>
    </row>
    <row r="2073" spans="1:18">
      <c r="A2073" t="s">
        <v>2205</v>
      </c>
      <c r="B2073" s="2">
        <v>45983</v>
      </c>
      <c r="C2073" t="s">
        <v>142</v>
      </c>
      <c r="D2073" t="s">
        <v>143</v>
      </c>
      <c r="E2073" t="s">
        <v>73</v>
      </c>
      <c r="F2073" t="s">
        <v>22</v>
      </c>
      <c r="G2073" t="s">
        <v>160</v>
      </c>
      <c r="H2073" t="s">
        <v>161</v>
      </c>
      <c r="I2073">
        <v>9</v>
      </c>
      <c r="J2073" s="3">
        <v>3280.53</v>
      </c>
      <c r="K2073" s="3">
        <v>29524.77</v>
      </c>
      <c r="L2073" t="s">
        <v>25</v>
      </c>
      <c r="M2073" s="2">
        <v>45996</v>
      </c>
      <c r="N2073" s="2">
        <v>45995</v>
      </c>
      <c r="O2073" t="s">
        <v>26</v>
      </c>
      <c r="P2073" t="s">
        <v>77</v>
      </c>
      <c r="Q2073" t="s">
        <v>28</v>
      </c>
      <c r="R2073" t="s">
        <v>29</v>
      </c>
    </row>
    <row r="2074" spans="1:18">
      <c r="A2074" t="s">
        <v>2206</v>
      </c>
      <c r="B2074" s="2">
        <v>46192</v>
      </c>
      <c r="C2074" t="s">
        <v>37</v>
      </c>
      <c r="D2074" t="s">
        <v>38</v>
      </c>
      <c r="E2074" t="s">
        <v>31</v>
      </c>
      <c r="F2074" t="s">
        <v>22</v>
      </c>
      <c r="G2074" t="s">
        <v>23</v>
      </c>
      <c r="H2074" t="s">
        <v>24</v>
      </c>
      <c r="I2074">
        <v>9</v>
      </c>
      <c r="J2074" s="3">
        <v>267.87</v>
      </c>
      <c r="K2074" s="3">
        <v>2410.83</v>
      </c>
      <c r="L2074" t="s">
        <v>25</v>
      </c>
      <c r="M2074" s="2">
        <v>46208</v>
      </c>
      <c r="N2074" s="2"/>
      <c r="O2074" t="s">
        <v>43</v>
      </c>
      <c r="P2074" t="s">
        <v>35</v>
      </c>
      <c r="Q2074" t="s">
        <v>167</v>
      </c>
      <c r="R2074" t="s">
        <v>167</v>
      </c>
    </row>
    <row r="2075" spans="1:18">
      <c r="A2075" t="s">
        <v>2207</v>
      </c>
      <c r="B2075" s="2">
        <v>45734</v>
      </c>
      <c r="C2075" t="s">
        <v>142</v>
      </c>
      <c r="D2075" t="s">
        <v>143</v>
      </c>
      <c r="E2075" t="s">
        <v>112</v>
      </c>
      <c r="F2075" t="s">
        <v>22</v>
      </c>
      <c r="G2075" t="s">
        <v>160</v>
      </c>
      <c r="H2075" t="s">
        <v>161</v>
      </c>
      <c r="I2075">
        <v>9</v>
      </c>
      <c r="J2075" s="3">
        <v>3420.98</v>
      </c>
      <c r="K2075" s="3">
        <v>30788.82</v>
      </c>
      <c r="L2075" t="s">
        <v>25</v>
      </c>
      <c r="M2075" s="2">
        <v>45747</v>
      </c>
      <c r="N2075" s="2">
        <v>45752</v>
      </c>
      <c r="O2075" t="s">
        <v>60</v>
      </c>
      <c r="P2075" t="s">
        <v>115</v>
      </c>
      <c r="Q2075" t="s">
        <v>28</v>
      </c>
      <c r="R2075" t="s">
        <v>129</v>
      </c>
    </row>
    <row r="2076" spans="1:18">
      <c r="A2076" t="s">
        <v>2208</v>
      </c>
      <c r="B2076" s="2">
        <v>46034</v>
      </c>
      <c r="C2076" t="s">
        <v>96</v>
      </c>
      <c r="D2076" t="s">
        <v>97</v>
      </c>
      <c r="E2076" t="s">
        <v>39</v>
      </c>
      <c r="F2076" t="s">
        <v>82</v>
      </c>
      <c r="G2076" t="s">
        <v>197</v>
      </c>
      <c r="H2076" t="s">
        <v>198</v>
      </c>
      <c r="I2076">
        <v>16</v>
      </c>
      <c r="J2076" s="3">
        <v>2059.6799999999998</v>
      </c>
      <c r="K2076" s="3">
        <v>32954.879999999997</v>
      </c>
      <c r="L2076" t="s">
        <v>25</v>
      </c>
      <c r="M2076" s="2">
        <v>46051</v>
      </c>
      <c r="N2076" s="2">
        <v>46049</v>
      </c>
      <c r="O2076" t="s">
        <v>76</v>
      </c>
      <c r="P2076" t="s">
        <v>64</v>
      </c>
      <c r="Q2076" t="s">
        <v>28</v>
      </c>
      <c r="R2076" t="s">
        <v>29</v>
      </c>
    </row>
    <row r="2077" spans="1:18">
      <c r="A2077" t="s">
        <v>2209</v>
      </c>
      <c r="B2077" s="2">
        <v>45934</v>
      </c>
      <c r="C2077" t="s">
        <v>19</v>
      </c>
      <c r="D2077" t="s">
        <v>20</v>
      </c>
      <c r="E2077" t="s">
        <v>73</v>
      </c>
      <c r="F2077" t="s">
        <v>22</v>
      </c>
      <c r="G2077" t="s">
        <v>23</v>
      </c>
      <c r="H2077" t="s">
        <v>24</v>
      </c>
      <c r="I2077">
        <v>44</v>
      </c>
      <c r="J2077" s="3">
        <v>220.49</v>
      </c>
      <c r="K2077" s="3">
        <v>9701.56</v>
      </c>
      <c r="L2077" t="s">
        <v>25</v>
      </c>
      <c r="M2077" s="2">
        <v>45947</v>
      </c>
      <c r="N2077" s="2">
        <v>45947</v>
      </c>
      <c r="O2077" t="s">
        <v>43</v>
      </c>
      <c r="P2077" t="s">
        <v>77</v>
      </c>
      <c r="Q2077" t="s">
        <v>28</v>
      </c>
      <c r="R2077" t="s">
        <v>29</v>
      </c>
    </row>
    <row r="2078" spans="1:18">
      <c r="A2078" t="s">
        <v>2210</v>
      </c>
      <c r="B2078" s="2">
        <v>46140</v>
      </c>
      <c r="C2078" t="s">
        <v>142</v>
      </c>
      <c r="D2078" t="s">
        <v>143</v>
      </c>
      <c r="E2078" t="s">
        <v>31</v>
      </c>
      <c r="F2078" t="s">
        <v>22</v>
      </c>
      <c r="G2078" t="s">
        <v>32</v>
      </c>
      <c r="H2078" t="s">
        <v>33</v>
      </c>
      <c r="I2078">
        <v>2</v>
      </c>
      <c r="J2078" s="3">
        <v>8100.3</v>
      </c>
      <c r="K2078" s="3">
        <v>16200.6</v>
      </c>
      <c r="L2078" t="s">
        <v>25</v>
      </c>
      <c r="M2078" s="2">
        <v>46150</v>
      </c>
      <c r="N2078" s="2">
        <v>46147</v>
      </c>
      <c r="O2078" t="s">
        <v>43</v>
      </c>
      <c r="P2078" t="s">
        <v>94</v>
      </c>
      <c r="Q2078" t="s">
        <v>28</v>
      </c>
      <c r="R2078" t="s">
        <v>29</v>
      </c>
    </row>
    <row r="2079" spans="1:18">
      <c r="A2079" t="s">
        <v>2211</v>
      </c>
      <c r="B2079" s="2">
        <v>45717</v>
      </c>
      <c r="C2079" t="s">
        <v>96</v>
      </c>
      <c r="D2079" t="s">
        <v>97</v>
      </c>
      <c r="E2079" t="s">
        <v>39</v>
      </c>
      <c r="F2079" t="s">
        <v>82</v>
      </c>
      <c r="G2079" t="s">
        <v>197</v>
      </c>
      <c r="H2079" t="s">
        <v>198</v>
      </c>
      <c r="I2079">
        <v>29</v>
      </c>
      <c r="J2079" s="3">
        <v>2120.65</v>
      </c>
      <c r="K2079" s="3">
        <v>61498.85</v>
      </c>
      <c r="L2079" t="s">
        <v>25</v>
      </c>
      <c r="M2079" s="2">
        <v>45729</v>
      </c>
      <c r="N2079" s="2">
        <v>45727</v>
      </c>
      <c r="O2079" t="s">
        <v>43</v>
      </c>
      <c r="P2079" t="s">
        <v>44</v>
      </c>
      <c r="Q2079" t="s">
        <v>28</v>
      </c>
      <c r="R2079" t="s">
        <v>29</v>
      </c>
    </row>
    <row r="2080" spans="1:18">
      <c r="A2080" t="s">
        <v>2212</v>
      </c>
      <c r="B2080" s="2">
        <v>45726</v>
      </c>
      <c r="C2080" t="s">
        <v>104</v>
      </c>
      <c r="D2080" t="s">
        <v>105</v>
      </c>
      <c r="E2080" t="s">
        <v>112</v>
      </c>
      <c r="F2080" t="s">
        <v>49</v>
      </c>
      <c r="G2080" t="s">
        <v>113</v>
      </c>
      <c r="H2080" t="s">
        <v>114</v>
      </c>
      <c r="I2080">
        <v>1</v>
      </c>
      <c r="J2080" s="3">
        <v>38083.919999999998</v>
      </c>
      <c r="K2080" s="3">
        <v>38083.919999999998</v>
      </c>
      <c r="L2080" t="s">
        <v>25</v>
      </c>
      <c r="M2080" s="2">
        <v>45738</v>
      </c>
      <c r="N2080" s="2">
        <v>45736</v>
      </c>
      <c r="O2080" t="s">
        <v>26</v>
      </c>
      <c r="P2080" t="s">
        <v>115</v>
      </c>
      <c r="Q2080" t="s">
        <v>28</v>
      </c>
      <c r="R2080" t="s">
        <v>29</v>
      </c>
    </row>
    <row r="2081" spans="1:18">
      <c r="A2081" t="s">
        <v>2213</v>
      </c>
      <c r="B2081" s="2">
        <v>46039</v>
      </c>
      <c r="C2081" t="s">
        <v>104</v>
      </c>
      <c r="D2081" t="s">
        <v>105</v>
      </c>
      <c r="E2081" t="s">
        <v>21</v>
      </c>
      <c r="F2081" t="s">
        <v>49</v>
      </c>
      <c r="G2081" t="s">
        <v>68</v>
      </c>
      <c r="H2081" t="s">
        <v>69</v>
      </c>
      <c r="I2081">
        <v>1</v>
      </c>
      <c r="J2081" s="3">
        <v>49374.44</v>
      </c>
      <c r="K2081" s="3">
        <v>49374.44</v>
      </c>
      <c r="L2081" t="s">
        <v>25</v>
      </c>
      <c r="M2081" s="2">
        <v>46055</v>
      </c>
      <c r="N2081" s="2">
        <v>46054</v>
      </c>
      <c r="O2081" t="s">
        <v>43</v>
      </c>
      <c r="P2081" t="s">
        <v>27</v>
      </c>
      <c r="Q2081" t="s">
        <v>28</v>
      </c>
      <c r="R2081" t="s">
        <v>29</v>
      </c>
    </row>
    <row r="2082" spans="1:18">
      <c r="A2082" t="s">
        <v>2214</v>
      </c>
      <c r="B2082" s="2">
        <v>46139</v>
      </c>
      <c r="C2082" t="s">
        <v>142</v>
      </c>
      <c r="D2082" t="s">
        <v>143</v>
      </c>
      <c r="E2082" t="s">
        <v>31</v>
      </c>
      <c r="F2082" t="s">
        <v>22</v>
      </c>
      <c r="G2082" t="s">
        <v>160</v>
      </c>
      <c r="H2082" t="s">
        <v>161</v>
      </c>
      <c r="I2082">
        <v>12</v>
      </c>
      <c r="J2082" s="3">
        <v>3154.61</v>
      </c>
      <c r="K2082" s="3">
        <v>37855.32</v>
      </c>
      <c r="L2082" t="s">
        <v>34</v>
      </c>
      <c r="M2082" s="2">
        <v>46154</v>
      </c>
      <c r="N2082" s="2">
        <v>46152</v>
      </c>
      <c r="O2082" t="s">
        <v>60</v>
      </c>
      <c r="P2082" t="s">
        <v>35</v>
      </c>
      <c r="Q2082" t="s">
        <v>28</v>
      </c>
      <c r="R2082" t="s">
        <v>29</v>
      </c>
    </row>
    <row r="2083" spans="1:18">
      <c r="A2083" t="s">
        <v>2215</v>
      </c>
      <c r="B2083" s="2">
        <v>45829</v>
      </c>
      <c r="C2083" t="s">
        <v>71</v>
      </c>
      <c r="D2083" t="s">
        <v>72</v>
      </c>
      <c r="E2083" t="s">
        <v>73</v>
      </c>
      <c r="F2083" t="s">
        <v>57</v>
      </c>
      <c r="G2083" t="s">
        <v>120</v>
      </c>
      <c r="H2083" t="s">
        <v>121</v>
      </c>
      <c r="I2083">
        <v>3</v>
      </c>
      <c r="J2083" s="3">
        <v>21023.31</v>
      </c>
      <c r="K2083" s="3">
        <v>63069.93</v>
      </c>
      <c r="L2083" t="s">
        <v>25</v>
      </c>
      <c r="M2083" s="2">
        <v>45834</v>
      </c>
      <c r="N2083" s="2">
        <v>45831</v>
      </c>
      <c r="O2083" t="s">
        <v>76</v>
      </c>
      <c r="P2083" t="s">
        <v>77</v>
      </c>
      <c r="Q2083" t="s">
        <v>28</v>
      </c>
      <c r="R2083" t="s">
        <v>29</v>
      </c>
    </row>
    <row r="2084" spans="1:18">
      <c r="A2084" t="s">
        <v>2216</v>
      </c>
      <c r="B2084" s="2">
        <v>46109</v>
      </c>
      <c r="C2084" t="s">
        <v>104</v>
      </c>
      <c r="D2084" t="s">
        <v>105</v>
      </c>
      <c r="E2084" t="s">
        <v>112</v>
      </c>
      <c r="F2084" t="s">
        <v>49</v>
      </c>
      <c r="G2084" t="s">
        <v>165</v>
      </c>
      <c r="H2084" t="s">
        <v>166</v>
      </c>
      <c r="I2084">
        <v>1</v>
      </c>
      <c r="J2084" s="3">
        <v>46837.19</v>
      </c>
      <c r="K2084" s="3">
        <v>46837.19</v>
      </c>
      <c r="L2084" t="s">
        <v>52</v>
      </c>
      <c r="M2084" s="2">
        <v>46117</v>
      </c>
      <c r="N2084" s="2">
        <v>46116</v>
      </c>
      <c r="O2084" t="s">
        <v>60</v>
      </c>
      <c r="P2084" t="s">
        <v>115</v>
      </c>
      <c r="Q2084" t="s">
        <v>28</v>
      </c>
      <c r="R2084" t="s">
        <v>29</v>
      </c>
    </row>
    <row r="2085" spans="1:18">
      <c r="A2085" t="s">
        <v>2217</v>
      </c>
      <c r="B2085" s="2">
        <v>46116</v>
      </c>
      <c r="C2085" t="s">
        <v>80</v>
      </c>
      <c r="D2085" t="s">
        <v>81</v>
      </c>
      <c r="E2085" t="s">
        <v>39</v>
      </c>
      <c r="F2085" t="s">
        <v>82</v>
      </c>
      <c r="G2085" t="s">
        <v>98</v>
      </c>
      <c r="H2085" t="s">
        <v>99</v>
      </c>
      <c r="I2085">
        <v>38</v>
      </c>
      <c r="J2085" s="3">
        <v>1049.27</v>
      </c>
      <c r="K2085" s="3">
        <v>39872.26</v>
      </c>
      <c r="L2085" t="s">
        <v>34</v>
      </c>
      <c r="M2085" s="2">
        <v>46126</v>
      </c>
      <c r="N2085" s="2">
        <v>46126</v>
      </c>
      <c r="O2085" t="s">
        <v>60</v>
      </c>
      <c r="P2085" t="s">
        <v>44</v>
      </c>
      <c r="Q2085" t="s">
        <v>28</v>
      </c>
      <c r="R2085" t="s">
        <v>29</v>
      </c>
    </row>
    <row r="2086" spans="1:18">
      <c r="A2086" t="s">
        <v>2218</v>
      </c>
      <c r="B2086" s="2">
        <v>46191</v>
      </c>
      <c r="C2086" t="s">
        <v>55</v>
      </c>
      <c r="D2086" t="s">
        <v>56</v>
      </c>
      <c r="E2086" t="s">
        <v>48</v>
      </c>
      <c r="F2086" t="s">
        <v>57</v>
      </c>
      <c r="G2086" t="s">
        <v>58</v>
      </c>
      <c r="H2086" t="s">
        <v>59</v>
      </c>
      <c r="I2086">
        <v>1</v>
      </c>
      <c r="J2086" s="3">
        <v>64134.32</v>
      </c>
      <c r="K2086" s="3">
        <v>64134.32</v>
      </c>
      <c r="L2086" t="s">
        <v>25</v>
      </c>
      <c r="M2086" s="2">
        <v>46199</v>
      </c>
      <c r="N2086" s="2">
        <v>46197</v>
      </c>
      <c r="O2086" t="s">
        <v>43</v>
      </c>
      <c r="P2086" t="s">
        <v>53</v>
      </c>
      <c r="Q2086" t="s">
        <v>28</v>
      </c>
      <c r="R2086" t="s">
        <v>29</v>
      </c>
    </row>
    <row r="2087" spans="1:18">
      <c r="A2087" t="s">
        <v>2219</v>
      </c>
      <c r="B2087" s="2">
        <v>46112</v>
      </c>
      <c r="C2087" t="s">
        <v>71</v>
      </c>
      <c r="D2087" t="s">
        <v>72</v>
      </c>
      <c r="E2087" t="s">
        <v>21</v>
      </c>
      <c r="F2087" t="s">
        <v>57</v>
      </c>
      <c r="G2087" t="s">
        <v>127</v>
      </c>
      <c r="H2087" t="s">
        <v>128</v>
      </c>
      <c r="I2087">
        <v>3</v>
      </c>
      <c r="J2087" s="3">
        <v>15277.39</v>
      </c>
      <c r="K2087" s="3">
        <v>45832.17</v>
      </c>
      <c r="L2087" t="s">
        <v>25</v>
      </c>
      <c r="M2087" s="2">
        <v>46121</v>
      </c>
      <c r="N2087" s="2">
        <v>46120</v>
      </c>
      <c r="O2087" t="s">
        <v>60</v>
      </c>
      <c r="P2087" t="s">
        <v>27</v>
      </c>
      <c r="Q2087" t="s">
        <v>28</v>
      </c>
      <c r="R2087" t="s">
        <v>29</v>
      </c>
    </row>
    <row r="2088" spans="1:18">
      <c r="A2088" t="s">
        <v>2220</v>
      </c>
      <c r="B2088" s="2">
        <v>46188</v>
      </c>
      <c r="C2088" t="s">
        <v>55</v>
      </c>
      <c r="D2088" t="s">
        <v>56</v>
      </c>
      <c r="E2088" t="s">
        <v>48</v>
      </c>
      <c r="F2088" t="s">
        <v>57</v>
      </c>
      <c r="G2088" t="s">
        <v>127</v>
      </c>
      <c r="H2088" t="s">
        <v>128</v>
      </c>
      <c r="I2088">
        <v>6</v>
      </c>
      <c r="J2088" s="3">
        <v>18524.45</v>
      </c>
      <c r="K2088" s="3">
        <v>111146.7</v>
      </c>
      <c r="L2088" t="s">
        <v>25</v>
      </c>
      <c r="M2088" s="2">
        <v>46202</v>
      </c>
      <c r="N2088" s="2"/>
      <c r="O2088" t="s">
        <v>60</v>
      </c>
      <c r="P2088" t="s">
        <v>53</v>
      </c>
      <c r="Q2088" t="s">
        <v>167</v>
      </c>
      <c r="R2088" t="s">
        <v>167</v>
      </c>
    </row>
    <row r="2089" spans="1:18">
      <c r="A2089" t="s">
        <v>2221</v>
      </c>
      <c r="B2089" s="2">
        <v>46202</v>
      </c>
      <c r="C2089" t="s">
        <v>71</v>
      </c>
      <c r="D2089" t="s">
        <v>72</v>
      </c>
      <c r="E2089" t="s">
        <v>48</v>
      </c>
      <c r="F2089" t="s">
        <v>57</v>
      </c>
      <c r="G2089" t="s">
        <v>86</v>
      </c>
      <c r="H2089" t="s">
        <v>87</v>
      </c>
      <c r="I2089">
        <v>3</v>
      </c>
      <c r="J2089" s="3">
        <v>10168.290000000001</v>
      </c>
      <c r="K2089" s="3">
        <v>30504.87</v>
      </c>
      <c r="L2089" t="s">
        <v>25</v>
      </c>
      <c r="M2089" s="2">
        <v>46212</v>
      </c>
      <c r="N2089" s="2">
        <v>46209</v>
      </c>
      <c r="O2089" t="s">
        <v>76</v>
      </c>
      <c r="P2089" t="s">
        <v>53</v>
      </c>
      <c r="Q2089" t="s">
        <v>28</v>
      </c>
      <c r="R2089" t="s">
        <v>29</v>
      </c>
    </row>
    <row r="2090" spans="1:18">
      <c r="A2090" t="s">
        <v>2222</v>
      </c>
      <c r="B2090" s="2">
        <v>45961</v>
      </c>
      <c r="C2090" t="s">
        <v>80</v>
      </c>
      <c r="D2090" t="s">
        <v>81</v>
      </c>
      <c r="E2090" t="s">
        <v>39</v>
      </c>
      <c r="F2090" t="s">
        <v>82</v>
      </c>
      <c r="G2090" t="s">
        <v>197</v>
      </c>
      <c r="H2090" t="s">
        <v>198</v>
      </c>
      <c r="I2090">
        <v>55</v>
      </c>
      <c r="J2090" s="3">
        <v>2081.6799999999998</v>
      </c>
      <c r="K2090" s="3">
        <v>114492.4</v>
      </c>
      <c r="L2090" t="s">
        <v>52</v>
      </c>
      <c r="M2090" s="2">
        <v>45974</v>
      </c>
      <c r="N2090" s="2">
        <v>45973</v>
      </c>
      <c r="O2090" t="s">
        <v>76</v>
      </c>
      <c r="P2090" t="s">
        <v>44</v>
      </c>
      <c r="Q2090" t="s">
        <v>28</v>
      </c>
      <c r="R2090" t="s">
        <v>29</v>
      </c>
    </row>
    <row r="2091" spans="1:18">
      <c r="A2091" t="s">
        <v>2223</v>
      </c>
      <c r="B2091" s="2">
        <v>45919</v>
      </c>
      <c r="C2091" t="s">
        <v>71</v>
      </c>
      <c r="D2091" t="s">
        <v>72</v>
      </c>
      <c r="E2091" t="s">
        <v>31</v>
      </c>
      <c r="F2091" t="s">
        <v>57</v>
      </c>
      <c r="G2091" t="s">
        <v>58</v>
      </c>
      <c r="H2091" t="s">
        <v>59</v>
      </c>
      <c r="I2091">
        <v>4</v>
      </c>
      <c r="J2091" s="3">
        <v>52517.49</v>
      </c>
      <c r="K2091" s="3">
        <v>210069.96</v>
      </c>
      <c r="L2091" t="s">
        <v>34</v>
      </c>
      <c r="M2091" s="2">
        <v>45931</v>
      </c>
      <c r="N2091" s="2">
        <v>45928</v>
      </c>
      <c r="O2091" t="s">
        <v>76</v>
      </c>
      <c r="P2091" t="s">
        <v>35</v>
      </c>
      <c r="Q2091" t="s">
        <v>28</v>
      </c>
      <c r="R2091" t="s">
        <v>29</v>
      </c>
    </row>
    <row r="2092" spans="1:18">
      <c r="A2092" t="s">
        <v>2224</v>
      </c>
      <c r="B2092" s="2">
        <v>45842</v>
      </c>
      <c r="C2092" t="s">
        <v>104</v>
      </c>
      <c r="D2092" t="s">
        <v>105</v>
      </c>
      <c r="E2092" t="s">
        <v>73</v>
      </c>
      <c r="F2092" t="s">
        <v>49</v>
      </c>
      <c r="G2092" t="s">
        <v>50</v>
      </c>
      <c r="H2092" t="s">
        <v>51</v>
      </c>
      <c r="I2092">
        <v>1</v>
      </c>
      <c r="J2092" s="3">
        <v>52425.37</v>
      </c>
      <c r="K2092" s="3">
        <v>52425.37</v>
      </c>
      <c r="L2092" t="s">
        <v>25</v>
      </c>
      <c r="M2092" s="2">
        <v>45852</v>
      </c>
      <c r="N2092" s="2">
        <v>45851</v>
      </c>
      <c r="O2092" t="s">
        <v>60</v>
      </c>
      <c r="P2092" t="s">
        <v>77</v>
      </c>
      <c r="Q2092" t="s">
        <v>28</v>
      </c>
      <c r="R2092" t="s">
        <v>29</v>
      </c>
    </row>
    <row r="2093" spans="1:18">
      <c r="A2093" t="s">
        <v>2225</v>
      </c>
      <c r="B2093" s="2">
        <v>46195</v>
      </c>
      <c r="C2093" t="s">
        <v>55</v>
      </c>
      <c r="D2093" t="s">
        <v>56</v>
      </c>
      <c r="E2093" t="s">
        <v>31</v>
      </c>
      <c r="F2093" t="s">
        <v>57</v>
      </c>
      <c r="G2093" t="s">
        <v>58</v>
      </c>
      <c r="H2093" t="s">
        <v>59</v>
      </c>
      <c r="I2093">
        <v>8</v>
      </c>
      <c r="J2093" s="3">
        <v>62119.74</v>
      </c>
      <c r="K2093" s="3">
        <v>496957.92</v>
      </c>
      <c r="L2093" t="s">
        <v>25</v>
      </c>
      <c r="M2093" s="2">
        <v>46212</v>
      </c>
      <c r="N2093" s="2"/>
      <c r="O2093" t="s">
        <v>26</v>
      </c>
      <c r="P2093" t="s">
        <v>94</v>
      </c>
      <c r="Q2093" t="s">
        <v>167</v>
      </c>
      <c r="R2093" t="s">
        <v>167</v>
      </c>
    </row>
    <row r="2094" spans="1:18">
      <c r="A2094" t="s">
        <v>2226</v>
      </c>
      <c r="B2094" s="2">
        <v>46103</v>
      </c>
      <c r="C2094" t="s">
        <v>131</v>
      </c>
      <c r="D2094" t="s">
        <v>132</v>
      </c>
      <c r="E2094" t="s">
        <v>73</v>
      </c>
      <c r="F2094" t="s">
        <v>57</v>
      </c>
      <c r="G2094" t="s">
        <v>101</v>
      </c>
      <c r="H2094" t="s">
        <v>102</v>
      </c>
      <c r="I2094">
        <v>21</v>
      </c>
      <c r="J2094" s="3">
        <v>1910.26</v>
      </c>
      <c r="K2094" s="3">
        <v>40115.46</v>
      </c>
      <c r="L2094" t="s">
        <v>25</v>
      </c>
      <c r="M2094" s="2">
        <v>46114</v>
      </c>
      <c r="N2094" s="2">
        <v>46114</v>
      </c>
      <c r="O2094" t="s">
        <v>76</v>
      </c>
      <c r="P2094" t="s">
        <v>77</v>
      </c>
      <c r="Q2094" t="s">
        <v>28</v>
      </c>
      <c r="R2094" t="s">
        <v>29</v>
      </c>
    </row>
    <row r="2095" spans="1:18">
      <c r="A2095" t="s">
        <v>2227</v>
      </c>
      <c r="B2095" s="2">
        <v>45959</v>
      </c>
      <c r="C2095" t="s">
        <v>55</v>
      </c>
      <c r="D2095" t="s">
        <v>56</v>
      </c>
      <c r="E2095" t="s">
        <v>21</v>
      </c>
      <c r="F2095" t="s">
        <v>57</v>
      </c>
      <c r="G2095" t="s">
        <v>120</v>
      </c>
      <c r="H2095" t="s">
        <v>121</v>
      </c>
      <c r="I2095">
        <v>2</v>
      </c>
      <c r="J2095" s="3">
        <v>23587.88</v>
      </c>
      <c r="K2095" s="3">
        <v>47175.76</v>
      </c>
      <c r="L2095" t="s">
        <v>25</v>
      </c>
      <c r="M2095" s="2">
        <v>45969</v>
      </c>
      <c r="N2095" s="2">
        <v>45966</v>
      </c>
      <c r="O2095" t="s">
        <v>26</v>
      </c>
      <c r="P2095" t="s">
        <v>27</v>
      </c>
      <c r="Q2095" t="s">
        <v>28</v>
      </c>
      <c r="R2095" t="s">
        <v>29</v>
      </c>
    </row>
    <row r="2096" spans="1:18">
      <c r="A2096" t="s">
        <v>2228</v>
      </c>
      <c r="B2096" s="2">
        <v>46134</v>
      </c>
      <c r="C2096" t="s">
        <v>71</v>
      </c>
      <c r="D2096" t="s">
        <v>72</v>
      </c>
      <c r="E2096" t="s">
        <v>73</v>
      </c>
      <c r="F2096" t="s">
        <v>57</v>
      </c>
      <c r="G2096" t="s">
        <v>58</v>
      </c>
      <c r="H2096" t="s">
        <v>59</v>
      </c>
      <c r="I2096">
        <v>4</v>
      </c>
      <c r="J2096" s="3">
        <v>55256.6</v>
      </c>
      <c r="K2096" s="3">
        <v>221026.4</v>
      </c>
      <c r="L2096" t="s">
        <v>34</v>
      </c>
      <c r="M2096" s="2">
        <v>46140</v>
      </c>
      <c r="N2096" s="2">
        <v>46139</v>
      </c>
      <c r="O2096" t="s">
        <v>60</v>
      </c>
      <c r="P2096" t="s">
        <v>77</v>
      </c>
      <c r="Q2096" t="s">
        <v>28</v>
      </c>
      <c r="R2096" t="s">
        <v>29</v>
      </c>
    </row>
    <row r="2097" spans="1:18">
      <c r="A2097" t="s">
        <v>2229</v>
      </c>
      <c r="B2097" s="2">
        <v>45905</v>
      </c>
      <c r="C2097" t="s">
        <v>147</v>
      </c>
      <c r="D2097" t="s">
        <v>148</v>
      </c>
      <c r="E2097" t="s">
        <v>39</v>
      </c>
      <c r="F2097" t="s">
        <v>40</v>
      </c>
      <c r="G2097" t="s">
        <v>149</v>
      </c>
      <c r="H2097" t="s">
        <v>150</v>
      </c>
      <c r="I2097">
        <v>50</v>
      </c>
      <c r="J2097" s="3">
        <v>1350.72</v>
      </c>
      <c r="K2097" s="3">
        <v>67536</v>
      </c>
      <c r="L2097" t="s">
        <v>25</v>
      </c>
      <c r="M2097" s="2">
        <v>45922</v>
      </c>
      <c r="N2097" s="2">
        <v>45922</v>
      </c>
      <c r="O2097" t="s">
        <v>26</v>
      </c>
      <c r="P2097" t="s">
        <v>44</v>
      </c>
      <c r="Q2097" t="s">
        <v>28</v>
      </c>
      <c r="R2097" t="s">
        <v>29</v>
      </c>
    </row>
    <row r="2098" spans="1:18">
      <c r="A2098" t="s">
        <v>2230</v>
      </c>
      <c r="B2098" s="2">
        <v>45963</v>
      </c>
      <c r="C2098" t="s">
        <v>147</v>
      </c>
      <c r="D2098" t="s">
        <v>148</v>
      </c>
      <c r="E2098" t="s">
        <v>112</v>
      </c>
      <c r="F2098" t="s">
        <v>40</v>
      </c>
      <c r="G2098" t="s">
        <v>149</v>
      </c>
      <c r="H2098" t="s">
        <v>150</v>
      </c>
      <c r="I2098">
        <v>11</v>
      </c>
      <c r="J2098" s="3">
        <v>1337.45</v>
      </c>
      <c r="K2098" s="3">
        <v>14711.95</v>
      </c>
      <c r="L2098" t="s">
        <v>25</v>
      </c>
      <c r="M2098" s="2">
        <v>45970</v>
      </c>
      <c r="N2098" s="2">
        <v>45969</v>
      </c>
      <c r="O2098" t="s">
        <v>43</v>
      </c>
      <c r="P2098" t="s">
        <v>115</v>
      </c>
      <c r="Q2098" t="s">
        <v>28</v>
      </c>
      <c r="R2098" t="s">
        <v>29</v>
      </c>
    </row>
    <row r="2099" spans="1:18">
      <c r="A2099" t="s">
        <v>2231</v>
      </c>
      <c r="B2099" s="2">
        <v>45848</v>
      </c>
      <c r="C2099" t="s">
        <v>89</v>
      </c>
      <c r="D2099" t="s">
        <v>90</v>
      </c>
      <c r="E2099" t="s">
        <v>31</v>
      </c>
      <c r="F2099" t="s">
        <v>91</v>
      </c>
      <c r="G2099" t="s">
        <v>109</v>
      </c>
      <c r="H2099" t="s">
        <v>110</v>
      </c>
      <c r="I2099">
        <v>1</v>
      </c>
      <c r="J2099" s="3">
        <v>12358.82</v>
      </c>
      <c r="K2099" s="3">
        <v>12358.82</v>
      </c>
      <c r="L2099" t="s">
        <v>25</v>
      </c>
      <c r="M2099" s="2">
        <v>45858</v>
      </c>
      <c r="N2099" s="2">
        <v>45856</v>
      </c>
      <c r="O2099" t="s">
        <v>60</v>
      </c>
      <c r="P2099" t="s">
        <v>94</v>
      </c>
      <c r="Q2099" t="s">
        <v>28</v>
      </c>
      <c r="R2099" t="s">
        <v>29</v>
      </c>
    </row>
    <row r="2100" spans="1:18">
      <c r="A2100" t="s">
        <v>2232</v>
      </c>
      <c r="B2100" s="2">
        <v>46020</v>
      </c>
      <c r="C2100" t="s">
        <v>46</v>
      </c>
      <c r="D2100" t="s">
        <v>47</v>
      </c>
      <c r="E2100" t="s">
        <v>48</v>
      </c>
      <c r="F2100" t="s">
        <v>49</v>
      </c>
      <c r="G2100" t="s">
        <v>113</v>
      </c>
      <c r="H2100" t="s">
        <v>114</v>
      </c>
      <c r="I2100">
        <v>3</v>
      </c>
      <c r="J2100" s="3">
        <v>38772.92</v>
      </c>
      <c r="K2100" s="3">
        <v>116318.76</v>
      </c>
      <c r="L2100" t="s">
        <v>25</v>
      </c>
      <c r="M2100" s="2">
        <v>46035</v>
      </c>
      <c r="N2100" s="2">
        <v>46033</v>
      </c>
      <c r="O2100" t="s">
        <v>26</v>
      </c>
      <c r="P2100" t="s">
        <v>53</v>
      </c>
      <c r="Q2100" t="s">
        <v>28</v>
      </c>
      <c r="R2100" t="s">
        <v>29</v>
      </c>
    </row>
    <row r="2101" spans="1:18">
      <c r="A2101" t="s">
        <v>2233</v>
      </c>
      <c r="B2101" s="2">
        <v>46101</v>
      </c>
      <c r="C2101" t="s">
        <v>134</v>
      </c>
      <c r="D2101" t="s">
        <v>135</v>
      </c>
      <c r="E2101" t="s">
        <v>112</v>
      </c>
      <c r="F2101" t="s">
        <v>40</v>
      </c>
      <c r="G2101" t="s">
        <v>136</v>
      </c>
      <c r="H2101" t="s">
        <v>137</v>
      </c>
      <c r="I2101">
        <v>43</v>
      </c>
      <c r="J2101" s="3">
        <v>1720.97</v>
      </c>
      <c r="K2101" s="3">
        <v>74001.710000000006</v>
      </c>
      <c r="L2101" t="s">
        <v>25</v>
      </c>
      <c r="M2101" s="2">
        <v>46114</v>
      </c>
      <c r="N2101" s="2">
        <v>46113</v>
      </c>
      <c r="O2101" t="s">
        <v>26</v>
      </c>
      <c r="P2101" t="s">
        <v>115</v>
      </c>
      <c r="Q2101" t="s">
        <v>28</v>
      </c>
      <c r="R2101" t="s">
        <v>29</v>
      </c>
    </row>
    <row r="2102" spans="1:18">
      <c r="A2102" t="s">
        <v>2234</v>
      </c>
      <c r="B2102" s="2">
        <v>45994</v>
      </c>
      <c r="C2102" t="s">
        <v>71</v>
      </c>
      <c r="D2102" t="s">
        <v>72</v>
      </c>
      <c r="E2102" t="s">
        <v>21</v>
      </c>
      <c r="F2102" t="s">
        <v>57</v>
      </c>
      <c r="G2102" t="s">
        <v>86</v>
      </c>
      <c r="H2102" t="s">
        <v>87</v>
      </c>
      <c r="I2102">
        <v>8</v>
      </c>
      <c r="J2102" s="3">
        <v>9938.02</v>
      </c>
      <c r="K2102" s="3">
        <v>79504.160000000003</v>
      </c>
      <c r="L2102" t="s">
        <v>25</v>
      </c>
      <c r="M2102" s="2">
        <v>46000</v>
      </c>
      <c r="N2102" s="2">
        <v>45999</v>
      </c>
      <c r="O2102" t="s">
        <v>26</v>
      </c>
      <c r="P2102" t="s">
        <v>27</v>
      </c>
      <c r="Q2102" t="s">
        <v>28</v>
      </c>
      <c r="R2102" t="s">
        <v>29</v>
      </c>
    </row>
    <row r="2103" spans="1:18">
      <c r="A2103" t="s">
        <v>2235</v>
      </c>
      <c r="B2103" s="2">
        <v>46048</v>
      </c>
      <c r="C2103" t="s">
        <v>37</v>
      </c>
      <c r="D2103" t="s">
        <v>38</v>
      </c>
      <c r="E2103" t="s">
        <v>112</v>
      </c>
      <c r="F2103" t="s">
        <v>22</v>
      </c>
      <c r="G2103" t="s">
        <v>160</v>
      </c>
      <c r="H2103" t="s">
        <v>161</v>
      </c>
      <c r="I2103">
        <v>9</v>
      </c>
      <c r="J2103" s="3">
        <v>3670.65</v>
      </c>
      <c r="K2103" s="3">
        <v>33035.85</v>
      </c>
      <c r="L2103" t="s">
        <v>25</v>
      </c>
      <c r="M2103" s="2">
        <v>46059</v>
      </c>
      <c r="N2103" s="2">
        <v>46057</v>
      </c>
      <c r="O2103" t="s">
        <v>26</v>
      </c>
      <c r="P2103" t="s">
        <v>115</v>
      </c>
      <c r="Q2103" t="s">
        <v>28</v>
      </c>
      <c r="R2103" t="s">
        <v>29</v>
      </c>
    </row>
    <row r="2104" spans="1:18">
      <c r="A2104" t="s">
        <v>2236</v>
      </c>
      <c r="B2104" s="2">
        <v>45907</v>
      </c>
      <c r="C2104" t="s">
        <v>71</v>
      </c>
      <c r="D2104" t="s">
        <v>72</v>
      </c>
      <c r="E2104" t="s">
        <v>31</v>
      </c>
      <c r="F2104" t="s">
        <v>57</v>
      </c>
      <c r="G2104" t="s">
        <v>74</v>
      </c>
      <c r="H2104" t="s">
        <v>75</v>
      </c>
      <c r="I2104">
        <v>8</v>
      </c>
      <c r="J2104" s="3">
        <v>8380.8799999999992</v>
      </c>
      <c r="K2104" s="3">
        <v>67047.039999999994</v>
      </c>
      <c r="L2104" t="s">
        <v>25</v>
      </c>
      <c r="M2104" s="2">
        <v>45913</v>
      </c>
      <c r="N2104" s="2">
        <v>45913</v>
      </c>
      <c r="O2104" t="s">
        <v>26</v>
      </c>
      <c r="P2104" t="s">
        <v>94</v>
      </c>
      <c r="Q2104" t="s">
        <v>28</v>
      </c>
      <c r="R2104" t="s">
        <v>29</v>
      </c>
    </row>
    <row r="2105" spans="1:18">
      <c r="A2105" t="s">
        <v>2237</v>
      </c>
      <c r="B2105" s="2">
        <v>45930</v>
      </c>
      <c r="C2105" t="s">
        <v>55</v>
      </c>
      <c r="D2105" t="s">
        <v>56</v>
      </c>
      <c r="E2105" t="s">
        <v>21</v>
      </c>
      <c r="F2105" t="s">
        <v>57</v>
      </c>
      <c r="G2105" t="s">
        <v>120</v>
      </c>
      <c r="H2105" t="s">
        <v>121</v>
      </c>
      <c r="I2105">
        <v>7</v>
      </c>
      <c r="J2105" s="3">
        <v>23858.82</v>
      </c>
      <c r="K2105" s="3">
        <v>167011.74</v>
      </c>
      <c r="L2105" t="s">
        <v>52</v>
      </c>
      <c r="M2105" s="2">
        <v>45937</v>
      </c>
      <c r="N2105" s="2">
        <v>45936</v>
      </c>
      <c r="O2105" t="s">
        <v>60</v>
      </c>
      <c r="P2105" t="s">
        <v>27</v>
      </c>
      <c r="Q2105" t="s">
        <v>28</v>
      </c>
      <c r="R2105" t="s">
        <v>29</v>
      </c>
    </row>
    <row r="2106" spans="1:18">
      <c r="A2106" t="s">
        <v>2238</v>
      </c>
      <c r="B2106" s="2">
        <v>45695</v>
      </c>
      <c r="C2106" t="s">
        <v>46</v>
      </c>
      <c r="D2106" t="s">
        <v>47</v>
      </c>
      <c r="E2106" t="s">
        <v>21</v>
      </c>
      <c r="F2106" t="s">
        <v>49</v>
      </c>
      <c r="G2106" t="s">
        <v>165</v>
      </c>
      <c r="H2106" t="s">
        <v>166</v>
      </c>
      <c r="I2106">
        <v>1</v>
      </c>
      <c r="J2106" s="3">
        <v>47808.92</v>
      </c>
      <c r="K2106" s="3">
        <v>47808.92</v>
      </c>
      <c r="L2106" t="s">
        <v>34</v>
      </c>
      <c r="M2106" s="2">
        <v>45702</v>
      </c>
      <c r="N2106" s="2">
        <v>45701</v>
      </c>
      <c r="O2106" t="s">
        <v>26</v>
      </c>
      <c r="P2106" t="s">
        <v>27</v>
      </c>
      <c r="Q2106" t="s">
        <v>28</v>
      </c>
      <c r="R2106" t="s">
        <v>29</v>
      </c>
    </row>
    <row r="2107" spans="1:18">
      <c r="A2107" t="s">
        <v>2239</v>
      </c>
      <c r="B2107" s="2">
        <v>45681</v>
      </c>
      <c r="C2107" t="s">
        <v>147</v>
      </c>
      <c r="D2107" t="s">
        <v>148</v>
      </c>
      <c r="E2107" t="s">
        <v>39</v>
      </c>
      <c r="F2107" t="s">
        <v>40</v>
      </c>
      <c r="G2107" t="s">
        <v>41</v>
      </c>
      <c r="H2107" t="s">
        <v>42</v>
      </c>
      <c r="I2107">
        <v>6</v>
      </c>
      <c r="J2107" s="3">
        <v>5429.65</v>
      </c>
      <c r="K2107" s="3">
        <v>32577.9</v>
      </c>
      <c r="L2107" t="s">
        <v>25</v>
      </c>
      <c r="M2107" s="2">
        <v>45691</v>
      </c>
      <c r="N2107" s="2">
        <v>45688</v>
      </c>
      <c r="O2107" t="s">
        <v>26</v>
      </c>
      <c r="P2107" t="s">
        <v>44</v>
      </c>
      <c r="Q2107" t="s">
        <v>28</v>
      </c>
      <c r="R2107" t="s">
        <v>29</v>
      </c>
    </row>
    <row r="2108" spans="1:18">
      <c r="A2108" t="s">
        <v>2240</v>
      </c>
      <c r="B2108" s="2">
        <v>45958</v>
      </c>
      <c r="C2108" t="s">
        <v>131</v>
      </c>
      <c r="D2108" t="s">
        <v>132</v>
      </c>
      <c r="E2108" t="s">
        <v>73</v>
      </c>
      <c r="F2108" t="s">
        <v>57</v>
      </c>
      <c r="G2108" t="s">
        <v>127</v>
      </c>
      <c r="H2108" t="s">
        <v>128</v>
      </c>
      <c r="I2108">
        <v>7</v>
      </c>
      <c r="J2108" s="3">
        <v>16557.21</v>
      </c>
      <c r="K2108" s="3">
        <v>115900.47</v>
      </c>
      <c r="L2108" t="s">
        <v>25</v>
      </c>
      <c r="M2108" s="2">
        <v>45973</v>
      </c>
      <c r="N2108" s="2">
        <v>45971</v>
      </c>
      <c r="O2108" t="s">
        <v>60</v>
      </c>
      <c r="P2108" t="s">
        <v>77</v>
      </c>
      <c r="Q2108" t="s">
        <v>28</v>
      </c>
      <c r="R2108" t="s">
        <v>29</v>
      </c>
    </row>
    <row r="2109" spans="1:18">
      <c r="A2109" t="s">
        <v>2241</v>
      </c>
      <c r="B2109" s="2">
        <v>46198</v>
      </c>
      <c r="C2109" t="s">
        <v>46</v>
      </c>
      <c r="D2109" t="s">
        <v>47</v>
      </c>
      <c r="E2109" t="s">
        <v>48</v>
      </c>
      <c r="F2109" t="s">
        <v>49</v>
      </c>
      <c r="G2109" t="s">
        <v>68</v>
      </c>
      <c r="H2109" t="s">
        <v>69</v>
      </c>
      <c r="I2109">
        <v>1</v>
      </c>
      <c r="J2109" s="3">
        <v>50204.91</v>
      </c>
      <c r="K2109" s="3">
        <v>50204.91</v>
      </c>
      <c r="L2109" t="s">
        <v>25</v>
      </c>
      <c r="M2109" s="2">
        <v>46211</v>
      </c>
      <c r="N2109" s="2">
        <v>46209</v>
      </c>
      <c r="O2109" t="s">
        <v>26</v>
      </c>
      <c r="P2109" t="s">
        <v>53</v>
      </c>
      <c r="Q2109" t="s">
        <v>28</v>
      </c>
      <c r="R2109" t="s">
        <v>29</v>
      </c>
    </row>
    <row r="2110" spans="1:18">
      <c r="A2110" t="s">
        <v>2242</v>
      </c>
      <c r="B2110" s="2">
        <v>45824</v>
      </c>
      <c r="C2110" t="s">
        <v>71</v>
      </c>
      <c r="D2110" t="s">
        <v>72</v>
      </c>
      <c r="E2110" t="s">
        <v>31</v>
      </c>
      <c r="F2110" t="s">
        <v>57</v>
      </c>
      <c r="G2110" t="s">
        <v>127</v>
      </c>
      <c r="H2110" t="s">
        <v>128</v>
      </c>
      <c r="I2110">
        <v>1</v>
      </c>
      <c r="J2110" s="3">
        <v>15625.14</v>
      </c>
      <c r="K2110" s="3">
        <v>15625.14</v>
      </c>
      <c r="L2110" t="s">
        <v>52</v>
      </c>
      <c r="M2110" s="2">
        <v>45829</v>
      </c>
      <c r="N2110" s="2">
        <v>45826</v>
      </c>
      <c r="O2110" t="s">
        <v>26</v>
      </c>
      <c r="P2110" t="s">
        <v>35</v>
      </c>
      <c r="Q2110" t="s">
        <v>28</v>
      </c>
      <c r="R2110" t="s">
        <v>29</v>
      </c>
    </row>
    <row r="2111" spans="1:18">
      <c r="A2111" t="s">
        <v>2243</v>
      </c>
      <c r="B2111" s="2">
        <v>45978</v>
      </c>
      <c r="C2111" t="s">
        <v>71</v>
      </c>
      <c r="D2111" t="s">
        <v>72</v>
      </c>
      <c r="E2111" t="s">
        <v>31</v>
      </c>
      <c r="F2111" t="s">
        <v>57</v>
      </c>
      <c r="G2111" t="s">
        <v>86</v>
      </c>
      <c r="H2111" t="s">
        <v>87</v>
      </c>
      <c r="I2111">
        <v>7</v>
      </c>
      <c r="J2111" s="3">
        <v>9813.4699999999993</v>
      </c>
      <c r="K2111" s="3">
        <v>68694.289999999994</v>
      </c>
      <c r="L2111" t="s">
        <v>25</v>
      </c>
      <c r="M2111" s="2">
        <v>45983</v>
      </c>
      <c r="N2111" s="2">
        <v>45981</v>
      </c>
      <c r="O2111" t="s">
        <v>43</v>
      </c>
      <c r="P2111" t="s">
        <v>94</v>
      </c>
      <c r="Q2111" t="s">
        <v>28</v>
      </c>
      <c r="R2111" t="s">
        <v>29</v>
      </c>
    </row>
    <row r="2112" spans="1:18">
      <c r="A2112" t="s">
        <v>2244</v>
      </c>
      <c r="B2112" s="2">
        <v>45706</v>
      </c>
      <c r="C2112" t="s">
        <v>46</v>
      </c>
      <c r="D2112" t="s">
        <v>47</v>
      </c>
      <c r="E2112" t="s">
        <v>112</v>
      </c>
      <c r="F2112" t="s">
        <v>49</v>
      </c>
      <c r="G2112" t="s">
        <v>113</v>
      </c>
      <c r="H2112" t="s">
        <v>114</v>
      </c>
      <c r="I2112">
        <v>3</v>
      </c>
      <c r="J2112" s="3">
        <v>39543.65</v>
      </c>
      <c r="K2112" s="3">
        <v>118630.95</v>
      </c>
      <c r="L2112" t="s">
        <v>25</v>
      </c>
      <c r="M2112" s="2">
        <v>45718</v>
      </c>
      <c r="N2112" s="2">
        <v>45715</v>
      </c>
      <c r="O2112" t="s">
        <v>26</v>
      </c>
      <c r="P2112" t="s">
        <v>115</v>
      </c>
      <c r="Q2112" t="s">
        <v>28</v>
      </c>
      <c r="R2112" t="s">
        <v>29</v>
      </c>
    </row>
    <row r="2113" spans="1:18">
      <c r="A2113" t="s">
        <v>2245</v>
      </c>
      <c r="B2113" s="2">
        <v>46022</v>
      </c>
      <c r="C2113" t="s">
        <v>71</v>
      </c>
      <c r="D2113" t="s">
        <v>72</v>
      </c>
      <c r="E2113" t="s">
        <v>31</v>
      </c>
      <c r="F2113" t="s">
        <v>57</v>
      </c>
      <c r="G2113" t="s">
        <v>127</v>
      </c>
      <c r="H2113" t="s">
        <v>128</v>
      </c>
      <c r="I2113">
        <v>1</v>
      </c>
      <c r="J2113" s="3">
        <v>14780.63</v>
      </c>
      <c r="K2113" s="3">
        <v>14780.63</v>
      </c>
      <c r="L2113" t="s">
        <v>25</v>
      </c>
      <c r="M2113" s="2">
        <v>46028</v>
      </c>
      <c r="N2113" s="2">
        <v>46027</v>
      </c>
      <c r="O2113" t="s">
        <v>76</v>
      </c>
      <c r="P2113" t="s">
        <v>94</v>
      </c>
      <c r="Q2113" t="s">
        <v>28</v>
      </c>
      <c r="R2113" t="s">
        <v>29</v>
      </c>
    </row>
    <row r="2114" spans="1:18">
      <c r="A2114" t="s">
        <v>2246</v>
      </c>
      <c r="B2114" s="2">
        <v>45991</v>
      </c>
      <c r="C2114" t="s">
        <v>96</v>
      </c>
      <c r="D2114" t="s">
        <v>97</v>
      </c>
      <c r="E2114" t="s">
        <v>39</v>
      </c>
      <c r="F2114" t="s">
        <v>82</v>
      </c>
      <c r="G2114" t="s">
        <v>197</v>
      </c>
      <c r="H2114" t="s">
        <v>198</v>
      </c>
      <c r="I2114">
        <v>54</v>
      </c>
      <c r="J2114" s="3">
        <v>2067.79</v>
      </c>
      <c r="K2114" s="3">
        <v>111660.66</v>
      </c>
      <c r="L2114" t="s">
        <v>52</v>
      </c>
      <c r="M2114" s="2">
        <v>46003</v>
      </c>
      <c r="N2114" s="2">
        <v>46001</v>
      </c>
      <c r="O2114" t="s">
        <v>76</v>
      </c>
      <c r="P2114" t="s">
        <v>44</v>
      </c>
      <c r="Q2114" t="s">
        <v>28</v>
      </c>
      <c r="R2114" t="s">
        <v>29</v>
      </c>
    </row>
    <row r="2115" spans="1:18">
      <c r="A2115" t="s">
        <v>2247</v>
      </c>
      <c r="B2115" s="2">
        <v>46034</v>
      </c>
      <c r="C2115" t="s">
        <v>104</v>
      </c>
      <c r="D2115" t="s">
        <v>105</v>
      </c>
      <c r="E2115" t="s">
        <v>112</v>
      </c>
      <c r="F2115" t="s">
        <v>49</v>
      </c>
      <c r="G2115" t="s">
        <v>165</v>
      </c>
      <c r="H2115" t="s">
        <v>166</v>
      </c>
      <c r="I2115">
        <v>3</v>
      </c>
      <c r="J2115" s="3">
        <v>45203.28</v>
      </c>
      <c r="K2115" s="3">
        <v>135609.84</v>
      </c>
      <c r="L2115" t="s">
        <v>52</v>
      </c>
      <c r="M2115" s="2">
        <v>46044</v>
      </c>
      <c r="N2115" s="2">
        <v>46042</v>
      </c>
      <c r="O2115" t="s">
        <v>43</v>
      </c>
      <c r="P2115" t="s">
        <v>115</v>
      </c>
      <c r="Q2115" t="s">
        <v>28</v>
      </c>
      <c r="R2115" t="s">
        <v>29</v>
      </c>
    </row>
    <row r="2116" spans="1:18">
      <c r="A2116" t="s">
        <v>2248</v>
      </c>
      <c r="B2116" s="2">
        <v>46054</v>
      </c>
      <c r="C2116" t="s">
        <v>117</v>
      </c>
      <c r="D2116" t="s">
        <v>118</v>
      </c>
      <c r="E2116" t="s">
        <v>48</v>
      </c>
      <c r="F2116" t="s">
        <v>57</v>
      </c>
      <c r="G2116" t="s">
        <v>74</v>
      </c>
      <c r="H2116" t="s">
        <v>75</v>
      </c>
      <c r="I2116">
        <v>15</v>
      </c>
      <c r="J2116" s="3">
        <v>8776.56</v>
      </c>
      <c r="K2116" s="3">
        <v>131648.4</v>
      </c>
      <c r="L2116" t="s">
        <v>34</v>
      </c>
      <c r="M2116" s="2">
        <v>46072</v>
      </c>
      <c r="N2116" s="2">
        <v>46072</v>
      </c>
      <c r="O2116" t="s">
        <v>76</v>
      </c>
      <c r="P2116" t="s">
        <v>53</v>
      </c>
      <c r="Q2116" t="s">
        <v>28</v>
      </c>
      <c r="R2116" t="s">
        <v>29</v>
      </c>
    </row>
    <row r="2117" spans="1:18">
      <c r="A2117" t="s">
        <v>2249</v>
      </c>
      <c r="B2117" s="2">
        <v>45978</v>
      </c>
      <c r="C2117" t="s">
        <v>147</v>
      </c>
      <c r="D2117" t="s">
        <v>148</v>
      </c>
      <c r="E2117" t="s">
        <v>112</v>
      </c>
      <c r="F2117" t="s">
        <v>40</v>
      </c>
      <c r="G2117" t="s">
        <v>149</v>
      </c>
      <c r="H2117" t="s">
        <v>150</v>
      </c>
      <c r="I2117">
        <v>34</v>
      </c>
      <c r="J2117" s="3">
        <v>1251.3599999999999</v>
      </c>
      <c r="K2117" s="3">
        <v>42546.239999999998</v>
      </c>
      <c r="L2117" t="s">
        <v>34</v>
      </c>
      <c r="M2117" s="2">
        <v>45993</v>
      </c>
      <c r="N2117" s="2">
        <v>45992</v>
      </c>
      <c r="O2117" t="s">
        <v>43</v>
      </c>
      <c r="P2117" t="s">
        <v>115</v>
      </c>
      <c r="Q2117" t="s">
        <v>28</v>
      </c>
      <c r="R2117" t="s">
        <v>29</v>
      </c>
    </row>
    <row r="2118" spans="1:18">
      <c r="A2118" t="s">
        <v>2250</v>
      </c>
      <c r="B2118" s="2">
        <v>45978</v>
      </c>
      <c r="C2118" t="s">
        <v>96</v>
      </c>
      <c r="D2118" t="s">
        <v>97</v>
      </c>
      <c r="E2118" t="s">
        <v>39</v>
      </c>
      <c r="F2118" t="s">
        <v>82</v>
      </c>
      <c r="G2118" t="s">
        <v>197</v>
      </c>
      <c r="H2118" t="s">
        <v>198</v>
      </c>
      <c r="I2118">
        <v>28</v>
      </c>
      <c r="J2118" s="3">
        <v>2093.31</v>
      </c>
      <c r="K2118" s="3">
        <v>58612.68</v>
      </c>
      <c r="L2118" t="s">
        <v>25</v>
      </c>
      <c r="M2118" s="2">
        <v>45990</v>
      </c>
      <c r="N2118" s="2">
        <v>45988</v>
      </c>
      <c r="O2118" t="s">
        <v>43</v>
      </c>
      <c r="P2118" t="s">
        <v>64</v>
      </c>
      <c r="Q2118" t="s">
        <v>28</v>
      </c>
      <c r="R2118" t="s">
        <v>29</v>
      </c>
    </row>
    <row r="2119" spans="1:18">
      <c r="A2119" t="s">
        <v>2251</v>
      </c>
      <c r="B2119" s="2">
        <v>45796</v>
      </c>
      <c r="C2119" t="s">
        <v>71</v>
      </c>
      <c r="D2119" t="s">
        <v>72</v>
      </c>
      <c r="E2119" t="s">
        <v>73</v>
      </c>
      <c r="F2119" t="s">
        <v>57</v>
      </c>
      <c r="G2119" t="s">
        <v>58</v>
      </c>
      <c r="H2119" t="s">
        <v>59</v>
      </c>
      <c r="I2119">
        <v>3</v>
      </c>
      <c r="J2119" s="3">
        <v>51228.83</v>
      </c>
      <c r="K2119" s="3">
        <v>153686.49</v>
      </c>
      <c r="L2119" t="s">
        <v>34</v>
      </c>
      <c r="M2119" s="2">
        <v>45805</v>
      </c>
      <c r="N2119" s="2">
        <v>45804</v>
      </c>
      <c r="O2119" t="s">
        <v>76</v>
      </c>
      <c r="P2119" t="s">
        <v>77</v>
      </c>
      <c r="Q2119" t="s">
        <v>28</v>
      </c>
      <c r="R2119" t="s">
        <v>29</v>
      </c>
    </row>
    <row r="2120" spans="1:18">
      <c r="A2120" t="s">
        <v>2252</v>
      </c>
      <c r="B2120" s="2">
        <v>45950</v>
      </c>
      <c r="C2120" t="s">
        <v>55</v>
      </c>
      <c r="D2120" t="s">
        <v>56</v>
      </c>
      <c r="E2120" t="s">
        <v>48</v>
      </c>
      <c r="F2120" t="s">
        <v>57</v>
      </c>
      <c r="G2120" t="s">
        <v>74</v>
      </c>
      <c r="H2120" t="s">
        <v>75</v>
      </c>
      <c r="I2120">
        <v>13</v>
      </c>
      <c r="J2120" s="3">
        <v>9784.6200000000008</v>
      </c>
      <c r="K2120" s="3">
        <v>127200.06</v>
      </c>
      <c r="L2120" t="s">
        <v>25</v>
      </c>
      <c r="M2120" s="2">
        <v>45967</v>
      </c>
      <c r="N2120" s="2">
        <v>45973</v>
      </c>
      <c r="O2120" t="s">
        <v>43</v>
      </c>
      <c r="P2120" t="s">
        <v>53</v>
      </c>
      <c r="Q2120" t="s">
        <v>28</v>
      </c>
      <c r="R2120" t="s">
        <v>129</v>
      </c>
    </row>
    <row r="2121" spans="1:18">
      <c r="A2121" t="s">
        <v>2253</v>
      </c>
      <c r="B2121" s="2">
        <v>45826</v>
      </c>
      <c r="C2121" t="s">
        <v>142</v>
      </c>
      <c r="D2121" t="s">
        <v>143</v>
      </c>
      <c r="E2121" t="s">
        <v>31</v>
      </c>
      <c r="F2121" t="s">
        <v>22</v>
      </c>
      <c r="G2121" t="s">
        <v>32</v>
      </c>
      <c r="H2121" t="s">
        <v>33</v>
      </c>
      <c r="I2121">
        <v>15</v>
      </c>
      <c r="J2121" s="3">
        <v>7506.89</v>
      </c>
      <c r="K2121" s="3">
        <v>112603.35</v>
      </c>
      <c r="L2121" t="s">
        <v>25</v>
      </c>
      <c r="M2121" s="2">
        <v>45844</v>
      </c>
      <c r="N2121" s="2">
        <v>45842</v>
      </c>
      <c r="O2121" t="s">
        <v>26</v>
      </c>
      <c r="P2121" t="s">
        <v>94</v>
      </c>
      <c r="Q2121" t="s">
        <v>28</v>
      </c>
      <c r="R2121" t="s">
        <v>29</v>
      </c>
    </row>
    <row r="2122" spans="1:18">
      <c r="A2122" t="s">
        <v>2254</v>
      </c>
      <c r="B2122" s="2">
        <v>45990</v>
      </c>
      <c r="C2122" t="s">
        <v>96</v>
      </c>
      <c r="D2122" t="s">
        <v>97</v>
      </c>
      <c r="E2122" t="s">
        <v>39</v>
      </c>
      <c r="F2122" t="s">
        <v>82</v>
      </c>
      <c r="G2122" t="s">
        <v>197</v>
      </c>
      <c r="H2122" t="s">
        <v>198</v>
      </c>
      <c r="I2122">
        <v>12</v>
      </c>
      <c r="J2122" s="3">
        <v>2220.66</v>
      </c>
      <c r="K2122" s="3">
        <v>26647.919999999998</v>
      </c>
      <c r="L2122" t="s">
        <v>25</v>
      </c>
      <c r="M2122" s="2">
        <v>45998</v>
      </c>
      <c r="N2122" s="2">
        <v>45997</v>
      </c>
      <c r="O2122" t="s">
        <v>76</v>
      </c>
      <c r="P2122" t="s">
        <v>44</v>
      </c>
      <c r="Q2122" t="s">
        <v>28</v>
      </c>
      <c r="R2122" t="s">
        <v>29</v>
      </c>
    </row>
    <row r="2123" spans="1:18">
      <c r="A2123" t="s">
        <v>2255</v>
      </c>
      <c r="B2123" s="2">
        <v>45728</v>
      </c>
      <c r="C2123" t="s">
        <v>142</v>
      </c>
      <c r="D2123" t="s">
        <v>143</v>
      </c>
      <c r="E2123" t="s">
        <v>31</v>
      </c>
      <c r="F2123" t="s">
        <v>22</v>
      </c>
      <c r="G2123" t="s">
        <v>32</v>
      </c>
      <c r="H2123" t="s">
        <v>33</v>
      </c>
      <c r="I2123">
        <v>8</v>
      </c>
      <c r="J2123" s="3">
        <v>7611.48</v>
      </c>
      <c r="K2123" s="3">
        <v>60891.839999999997</v>
      </c>
      <c r="L2123" t="s">
        <v>25</v>
      </c>
      <c r="M2123" s="2">
        <v>45739</v>
      </c>
      <c r="N2123" s="2">
        <v>45739</v>
      </c>
      <c r="O2123" t="s">
        <v>26</v>
      </c>
      <c r="P2123" t="s">
        <v>35</v>
      </c>
      <c r="Q2123" t="s">
        <v>28</v>
      </c>
      <c r="R2123" t="s">
        <v>29</v>
      </c>
    </row>
    <row r="2124" spans="1:18">
      <c r="A2124" t="s">
        <v>2256</v>
      </c>
      <c r="B2124" s="2">
        <v>45789</v>
      </c>
      <c r="C2124" t="s">
        <v>19</v>
      </c>
      <c r="D2124" t="s">
        <v>20</v>
      </c>
      <c r="E2124" t="s">
        <v>39</v>
      </c>
      <c r="F2124" t="s">
        <v>22</v>
      </c>
      <c r="G2124" t="s">
        <v>23</v>
      </c>
      <c r="H2124" t="s">
        <v>24</v>
      </c>
      <c r="I2124">
        <v>50</v>
      </c>
      <c r="J2124" s="3">
        <v>236.84</v>
      </c>
      <c r="K2124" s="3">
        <v>11842</v>
      </c>
      <c r="L2124" t="s">
        <v>25</v>
      </c>
      <c r="M2124" s="2">
        <v>45797</v>
      </c>
      <c r="N2124" s="2">
        <v>45796</v>
      </c>
      <c r="O2124" t="s">
        <v>76</v>
      </c>
      <c r="P2124" t="s">
        <v>44</v>
      </c>
      <c r="Q2124" t="s">
        <v>28</v>
      </c>
      <c r="R2124" t="s">
        <v>29</v>
      </c>
    </row>
    <row r="2125" spans="1:18">
      <c r="A2125" t="s">
        <v>2257</v>
      </c>
      <c r="B2125" s="2">
        <v>45693</v>
      </c>
      <c r="C2125" t="s">
        <v>19</v>
      </c>
      <c r="D2125" t="s">
        <v>20</v>
      </c>
      <c r="E2125" t="s">
        <v>31</v>
      </c>
      <c r="F2125" t="s">
        <v>22</v>
      </c>
      <c r="G2125" t="s">
        <v>23</v>
      </c>
      <c r="H2125" t="s">
        <v>24</v>
      </c>
      <c r="I2125">
        <v>50</v>
      </c>
      <c r="J2125" s="3">
        <v>231.96</v>
      </c>
      <c r="K2125" s="3">
        <v>11598</v>
      </c>
      <c r="L2125" t="s">
        <v>25</v>
      </c>
      <c r="M2125" s="2">
        <v>45699</v>
      </c>
      <c r="N2125" s="2">
        <v>45696</v>
      </c>
      <c r="O2125" t="s">
        <v>76</v>
      </c>
      <c r="P2125" t="s">
        <v>94</v>
      </c>
      <c r="Q2125" t="s">
        <v>28</v>
      </c>
      <c r="R2125" t="s">
        <v>29</v>
      </c>
    </row>
    <row r="2126" spans="1:18">
      <c r="A2126" t="s">
        <v>2258</v>
      </c>
      <c r="B2126" s="2">
        <v>45850</v>
      </c>
      <c r="C2126" t="s">
        <v>37</v>
      </c>
      <c r="D2126" t="s">
        <v>38</v>
      </c>
      <c r="E2126" t="s">
        <v>31</v>
      </c>
      <c r="F2126" t="s">
        <v>22</v>
      </c>
      <c r="G2126" t="s">
        <v>32</v>
      </c>
      <c r="H2126" t="s">
        <v>33</v>
      </c>
      <c r="I2126">
        <v>3</v>
      </c>
      <c r="J2126" s="3">
        <v>8039.28</v>
      </c>
      <c r="K2126" s="3">
        <v>24117.84</v>
      </c>
      <c r="L2126" t="s">
        <v>25</v>
      </c>
      <c r="M2126" s="2">
        <v>45856</v>
      </c>
      <c r="N2126" s="2">
        <v>45855</v>
      </c>
      <c r="O2126" t="s">
        <v>26</v>
      </c>
      <c r="P2126" t="s">
        <v>94</v>
      </c>
      <c r="Q2126" t="s">
        <v>28</v>
      </c>
      <c r="R2126" t="s">
        <v>29</v>
      </c>
    </row>
    <row r="2127" spans="1:18">
      <c r="A2127" t="s">
        <v>2259</v>
      </c>
      <c r="B2127" s="2">
        <v>46066</v>
      </c>
      <c r="C2127" t="s">
        <v>66</v>
      </c>
      <c r="D2127" t="s">
        <v>67</v>
      </c>
      <c r="E2127" t="s">
        <v>112</v>
      </c>
      <c r="F2127" t="s">
        <v>49</v>
      </c>
      <c r="G2127" t="s">
        <v>113</v>
      </c>
      <c r="H2127" t="s">
        <v>114</v>
      </c>
      <c r="I2127">
        <v>1</v>
      </c>
      <c r="J2127" s="3">
        <v>35667.83</v>
      </c>
      <c r="K2127" s="3">
        <v>35667.83</v>
      </c>
      <c r="L2127" t="s">
        <v>34</v>
      </c>
      <c r="M2127" s="2">
        <v>46082</v>
      </c>
      <c r="N2127" s="2">
        <v>46082</v>
      </c>
      <c r="O2127" t="s">
        <v>60</v>
      </c>
      <c r="P2127" t="s">
        <v>115</v>
      </c>
      <c r="Q2127" t="s">
        <v>28</v>
      </c>
      <c r="R2127" t="s">
        <v>29</v>
      </c>
    </row>
    <row r="2128" spans="1:18">
      <c r="A2128" t="s">
        <v>2260</v>
      </c>
      <c r="B2128" s="2">
        <v>45694</v>
      </c>
      <c r="C2128" t="s">
        <v>19</v>
      </c>
      <c r="D2128" t="s">
        <v>20</v>
      </c>
      <c r="E2128" t="s">
        <v>112</v>
      </c>
      <c r="F2128" t="s">
        <v>22</v>
      </c>
      <c r="G2128" t="s">
        <v>23</v>
      </c>
      <c r="H2128" t="s">
        <v>24</v>
      </c>
      <c r="I2128">
        <v>6</v>
      </c>
      <c r="J2128" s="3">
        <v>248.85</v>
      </c>
      <c r="K2128" s="3">
        <v>1493.1</v>
      </c>
      <c r="L2128" t="s">
        <v>25</v>
      </c>
      <c r="M2128" s="2">
        <v>45711</v>
      </c>
      <c r="N2128" s="2">
        <v>45710</v>
      </c>
      <c r="O2128" t="s">
        <v>76</v>
      </c>
      <c r="P2128" t="s">
        <v>115</v>
      </c>
      <c r="Q2128" t="s">
        <v>28</v>
      </c>
      <c r="R2128" t="s">
        <v>29</v>
      </c>
    </row>
    <row r="2129" spans="1:18">
      <c r="A2129" t="s">
        <v>2261</v>
      </c>
      <c r="B2129" s="2">
        <v>46098</v>
      </c>
      <c r="C2129" t="s">
        <v>71</v>
      </c>
      <c r="D2129" t="s">
        <v>72</v>
      </c>
      <c r="E2129" t="s">
        <v>31</v>
      </c>
      <c r="F2129" t="s">
        <v>57</v>
      </c>
      <c r="G2129" t="s">
        <v>127</v>
      </c>
      <c r="H2129" t="s">
        <v>128</v>
      </c>
      <c r="I2129">
        <v>1</v>
      </c>
      <c r="J2129" s="3">
        <v>15214.25</v>
      </c>
      <c r="K2129" s="3">
        <v>15214.25</v>
      </c>
      <c r="L2129" t="s">
        <v>25</v>
      </c>
      <c r="M2129" s="2">
        <v>46116</v>
      </c>
      <c r="N2129" s="2">
        <v>46113</v>
      </c>
      <c r="O2129" t="s">
        <v>26</v>
      </c>
      <c r="P2129" t="s">
        <v>35</v>
      </c>
      <c r="Q2129" t="s">
        <v>28</v>
      </c>
      <c r="R2129" t="s">
        <v>29</v>
      </c>
    </row>
    <row r="2130" spans="1:18">
      <c r="A2130" t="s">
        <v>2262</v>
      </c>
      <c r="B2130" s="2">
        <v>46128</v>
      </c>
      <c r="C2130" t="s">
        <v>37</v>
      </c>
      <c r="D2130" t="s">
        <v>38</v>
      </c>
      <c r="E2130" t="s">
        <v>39</v>
      </c>
      <c r="F2130" t="s">
        <v>40</v>
      </c>
      <c r="G2130" t="s">
        <v>149</v>
      </c>
      <c r="H2130" t="s">
        <v>150</v>
      </c>
      <c r="I2130">
        <v>17</v>
      </c>
      <c r="J2130" s="3">
        <v>1390.11</v>
      </c>
      <c r="K2130" s="3">
        <v>23631.87</v>
      </c>
      <c r="L2130" t="s">
        <v>25</v>
      </c>
      <c r="M2130" s="2">
        <v>46143</v>
      </c>
      <c r="N2130" s="2">
        <v>46143</v>
      </c>
      <c r="O2130" t="s">
        <v>43</v>
      </c>
      <c r="P2130" t="s">
        <v>44</v>
      </c>
      <c r="Q2130" t="s">
        <v>28</v>
      </c>
      <c r="R2130" t="s">
        <v>29</v>
      </c>
    </row>
    <row r="2131" spans="1:18">
      <c r="A2131" t="s">
        <v>2263</v>
      </c>
      <c r="B2131" s="2">
        <v>45868</v>
      </c>
      <c r="C2131" t="s">
        <v>104</v>
      </c>
      <c r="D2131" t="s">
        <v>105</v>
      </c>
      <c r="E2131" t="s">
        <v>73</v>
      </c>
      <c r="F2131" t="s">
        <v>49</v>
      </c>
      <c r="G2131" t="s">
        <v>113</v>
      </c>
      <c r="H2131" t="s">
        <v>114</v>
      </c>
      <c r="I2131">
        <v>1</v>
      </c>
      <c r="J2131" s="3">
        <v>38510.82</v>
      </c>
      <c r="K2131" s="3">
        <v>38510.82</v>
      </c>
      <c r="L2131" t="s">
        <v>25</v>
      </c>
      <c r="M2131" s="2">
        <v>45879</v>
      </c>
      <c r="N2131" s="2">
        <v>45876</v>
      </c>
      <c r="O2131" t="s">
        <v>26</v>
      </c>
      <c r="P2131" t="s">
        <v>77</v>
      </c>
      <c r="Q2131" t="s">
        <v>28</v>
      </c>
      <c r="R2131" t="s">
        <v>29</v>
      </c>
    </row>
    <row r="2132" spans="1:18">
      <c r="A2132" t="s">
        <v>2264</v>
      </c>
      <c r="B2132" s="2">
        <v>45911</v>
      </c>
      <c r="C2132" t="s">
        <v>142</v>
      </c>
      <c r="D2132" t="s">
        <v>143</v>
      </c>
      <c r="E2132" t="s">
        <v>73</v>
      </c>
      <c r="F2132" t="s">
        <v>22</v>
      </c>
      <c r="G2132" t="s">
        <v>160</v>
      </c>
      <c r="H2132" t="s">
        <v>161</v>
      </c>
      <c r="I2132">
        <v>9</v>
      </c>
      <c r="J2132" s="3">
        <v>3217.12</v>
      </c>
      <c r="K2132" s="3">
        <v>28954.080000000002</v>
      </c>
      <c r="L2132" t="s">
        <v>34</v>
      </c>
      <c r="M2132" s="2">
        <v>45929</v>
      </c>
      <c r="N2132" s="2">
        <v>45931</v>
      </c>
      <c r="O2132" t="s">
        <v>43</v>
      </c>
      <c r="P2132" t="s">
        <v>77</v>
      </c>
      <c r="Q2132" t="s">
        <v>28</v>
      </c>
      <c r="R2132" t="s">
        <v>129</v>
      </c>
    </row>
    <row r="2133" spans="1:18">
      <c r="A2133" t="s">
        <v>2265</v>
      </c>
      <c r="B2133" s="2">
        <v>45707</v>
      </c>
      <c r="C2133" t="s">
        <v>142</v>
      </c>
      <c r="D2133" t="s">
        <v>143</v>
      </c>
      <c r="E2133" t="s">
        <v>39</v>
      </c>
      <c r="F2133" t="s">
        <v>22</v>
      </c>
      <c r="G2133" t="s">
        <v>23</v>
      </c>
      <c r="H2133" t="s">
        <v>24</v>
      </c>
      <c r="I2133">
        <v>56</v>
      </c>
      <c r="J2133" s="3">
        <v>253.82</v>
      </c>
      <c r="K2133" s="3">
        <v>14213.92</v>
      </c>
      <c r="L2133" t="s">
        <v>25</v>
      </c>
      <c r="M2133" s="2">
        <v>45724</v>
      </c>
      <c r="N2133" s="2">
        <v>45721</v>
      </c>
      <c r="O2133" t="s">
        <v>26</v>
      </c>
      <c r="P2133" t="s">
        <v>64</v>
      </c>
      <c r="Q2133" t="s">
        <v>28</v>
      </c>
      <c r="R2133" t="s">
        <v>29</v>
      </c>
    </row>
    <row r="2134" spans="1:18">
      <c r="A2134" t="s">
        <v>2266</v>
      </c>
      <c r="B2134" s="2">
        <v>45907</v>
      </c>
      <c r="C2134" t="s">
        <v>89</v>
      </c>
      <c r="D2134" t="s">
        <v>90</v>
      </c>
      <c r="E2134" t="s">
        <v>31</v>
      </c>
      <c r="F2134" t="s">
        <v>91</v>
      </c>
      <c r="G2134" t="s">
        <v>109</v>
      </c>
      <c r="H2134" t="s">
        <v>110</v>
      </c>
      <c r="I2134">
        <v>1</v>
      </c>
      <c r="J2134" s="3">
        <v>12590.17</v>
      </c>
      <c r="K2134" s="3">
        <v>12590.17</v>
      </c>
      <c r="L2134" t="s">
        <v>34</v>
      </c>
      <c r="M2134" s="2">
        <v>45920</v>
      </c>
      <c r="N2134" s="2">
        <v>45919</v>
      </c>
      <c r="O2134" t="s">
        <v>76</v>
      </c>
      <c r="P2134" t="s">
        <v>35</v>
      </c>
      <c r="Q2134" t="s">
        <v>28</v>
      </c>
      <c r="R2134" t="s">
        <v>29</v>
      </c>
    </row>
    <row r="2135" spans="1:18">
      <c r="A2135" t="s">
        <v>2267</v>
      </c>
      <c r="B2135" s="2">
        <v>46022</v>
      </c>
      <c r="C2135" t="s">
        <v>19</v>
      </c>
      <c r="D2135" t="s">
        <v>20</v>
      </c>
      <c r="E2135" t="s">
        <v>112</v>
      </c>
      <c r="F2135" t="s">
        <v>22</v>
      </c>
      <c r="G2135" t="s">
        <v>32</v>
      </c>
      <c r="H2135" t="s">
        <v>33</v>
      </c>
      <c r="I2135">
        <v>7</v>
      </c>
      <c r="J2135" s="3">
        <v>8000.46</v>
      </c>
      <c r="K2135" s="3">
        <v>56003.22</v>
      </c>
      <c r="L2135" t="s">
        <v>52</v>
      </c>
      <c r="M2135" s="2">
        <v>46039</v>
      </c>
      <c r="N2135" s="2">
        <v>46044</v>
      </c>
      <c r="O2135" t="s">
        <v>26</v>
      </c>
      <c r="P2135" t="s">
        <v>115</v>
      </c>
      <c r="Q2135" t="s">
        <v>28</v>
      </c>
      <c r="R2135" t="s">
        <v>129</v>
      </c>
    </row>
    <row r="2136" spans="1:18">
      <c r="A2136" t="s">
        <v>2268</v>
      </c>
      <c r="B2136" s="2">
        <v>46096</v>
      </c>
      <c r="C2136" t="s">
        <v>89</v>
      </c>
      <c r="D2136" t="s">
        <v>90</v>
      </c>
      <c r="E2136" t="s">
        <v>31</v>
      </c>
      <c r="F2136" t="s">
        <v>91</v>
      </c>
      <c r="G2136" t="s">
        <v>109</v>
      </c>
      <c r="H2136" t="s">
        <v>110</v>
      </c>
      <c r="I2136">
        <v>1</v>
      </c>
      <c r="J2136" s="3">
        <v>12987.79</v>
      </c>
      <c r="K2136" s="3">
        <v>12987.79</v>
      </c>
      <c r="L2136" t="s">
        <v>25</v>
      </c>
      <c r="M2136" s="2">
        <v>46103</v>
      </c>
      <c r="N2136" s="2">
        <v>46103</v>
      </c>
      <c r="O2136" t="s">
        <v>26</v>
      </c>
      <c r="P2136" t="s">
        <v>35</v>
      </c>
      <c r="Q2136" t="s">
        <v>28</v>
      </c>
      <c r="R2136" t="s">
        <v>29</v>
      </c>
    </row>
    <row r="2137" spans="1:18">
      <c r="A2137" t="s">
        <v>2269</v>
      </c>
      <c r="B2137" s="2">
        <v>45919</v>
      </c>
      <c r="C2137" t="s">
        <v>131</v>
      </c>
      <c r="D2137" t="s">
        <v>132</v>
      </c>
      <c r="E2137" t="s">
        <v>31</v>
      </c>
      <c r="F2137" t="s">
        <v>57</v>
      </c>
      <c r="G2137" t="s">
        <v>74</v>
      </c>
      <c r="H2137" t="s">
        <v>75</v>
      </c>
      <c r="I2137">
        <v>7</v>
      </c>
      <c r="J2137" s="3">
        <v>8938.31</v>
      </c>
      <c r="K2137" s="3">
        <v>62568.17</v>
      </c>
      <c r="L2137" t="s">
        <v>25</v>
      </c>
      <c r="M2137" s="2">
        <v>45935</v>
      </c>
      <c r="N2137" s="2">
        <v>45933</v>
      </c>
      <c r="O2137" t="s">
        <v>26</v>
      </c>
      <c r="P2137" t="s">
        <v>35</v>
      </c>
      <c r="Q2137" t="s">
        <v>28</v>
      </c>
      <c r="R2137" t="s">
        <v>29</v>
      </c>
    </row>
    <row r="2138" spans="1:18">
      <c r="A2138" t="s">
        <v>2270</v>
      </c>
      <c r="B2138" s="2">
        <v>45748</v>
      </c>
      <c r="C2138" t="s">
        <v>142</v>
      </c>
      <c r="D2138" t="s">
        <v>143</v>
      </c>
      <c r="E2138" t="s">
        <v>73</v>
      </c>
      <c r="F2138" t="s">
        <v>22</v>
      </c>
      <c r="G2138" t="s">
        <v>160</v>
      </c>
      <c r="H2138" t="s">
        <v>161</v>
      </c>
      <c r="I2138">
        <v>10</v>
      </c>
      <c r="J2138" s="3">
        <v>3276.39</v>
      </c>
      <c r="K2138" s="3">
        <v>32763.9</v>
      </c>
      <c r="L2138" t="s">
        <v>25</v>
      </c>
      <c r="M2138" s="2">
        <v>45760</v>
      </c>
      <c r="N2138" s="2">
        <v>45760</v>
      </c>
      <c r="O2138" t="s">
        <v>76</v>
      </c>
      <c r="P2138" t="s">
        <v>77</v>
      </c>
      <c r="Q2138" t="s">
        <v>28</v>
      </c>
      <c r="R2138" t="s">
        <v>29</v>
      </c>
    </row>
    <row r="2139" spans="1:18">
      <c r="A2139" t="s">
        <v>2271</v>
      </c>
      <c r="B2139" s="2">
        <v>45662</v>
      </c>
      <c r="C2139" t="s">
        <v>147</v>
      </c>
      <c r="D2139" t="s">
        <v>148</v>
      </c>
      <c r="E2139" t="s">
        <v>39</v>
      </c>
      <c r="F2139" t="s">
        <v>40</v>
      </c>
      <c r="G2139" t="s">
        <v>136</v>
      </c>
      <c r="H2139" t="s">
        <v>137</v>
      </c>
      <c r="I2139">
        <v>16</v>
      </c>
      <c r="J2139" s="3">
        <v>1573.37</v>
      </c>
      <c r="K2139" s="3">
        <v>25173.919999999998</v>
      </c>
      <c r="L2139" t="s">
        <v>34</v>
      </c>
      <c r="M2139" s="2">
        <v>45675</v>
      </c>
      <c r="N2139" s="2">
        <v>45681</v>
      </c>
      <c r="O2139" t="s">
        <v>60</v>
      </c>
      <c r="P2139" t="s">
        <v>64</v>
      </c>
      <c r="Q2139" t="s">
        <v>28</v>
      </c>
      <c r="R2139" t="s">
        <v>129</v>
      </c>
    </row>
    <row r="2140" spans="1:18">
      <c r="A2140" t="s">
        <v>2272</v>
      </c>
      <c r="B2140" s="2">
        <v>45732</v>
      </c>
      <c r="C2140" t="s">
        <v>142</v>
      </c>
      <c r="D2140" t="s">
        <v>143</v>
      </c>
      <c r="E2140" t="s">
        <v>73</v>
      </c>
      <c r="F2140" t="s">
        <v>22</v>
      </c>
      <c r="G2140" t="s">
        <v>160</v>
      </c>
      <c r="H2140" t="s">
        <v>161</v>
      </c>
      <c r="I2140">
        <v>4</v>
      </c>
      <c r="J2140" s="3">
        <v>3032.8</v>
      </c>
      <c r="K2140" s="3">
        <v>12131.2</v>
      </c>
      <c r="L2140" t="s">
        <v>34</v>
      </c>
      <c r="M2140" s="2">
        <v>45743</v>
      </c>
      <c r="N2140" s="2">
        <v>45753</v>
      </c>
      <c r="O2140" t="s">
        <v>60</v>
      </c>
      <c r="P2140" t="s">
        <v>77</v>
      </c>
      <c r="Q2140" t="s">
        <v>28</v>
      </c>
      <c r="R2140" t="s">
        <v>129</v>
      </c>
    </row>
    <row r="2141" spans="1:18">
      <c r="A2141" t="s">
        <v>2273</v>
      </c>
      <c r="B2141" s="2">
        <v>45998</v>
      </c>
      <c r="C2141" t="s">
        <v>66</v>
      </c>
      <c r="D2141" t="s">
        <v>67</v>
      </c>
      <c r="E2141" t="s">
        <v>48</v>
      </c>
      <c r="F2141" t="s">
        <v>49</v>
      </c>
      <c r="G2141" t="s">
        <v>68</v>
      </c>
      <c r="H2141" t="s">
        <v>69</v>
      </c>
      <c r="I2141">
        <v>1</v>
      </c>
      <c r="J2141" s="3">
        <v>48509.89</v>
      </c>
      <c r="K2141" s="3">
        <v>48509.89</v>
      </c>
      <c r="L2141" t="s">
        <v>25</v>
      </c>
      <c r="M2141" s="2">
        <v>46014</v>
      </c>
      <c r="N2141" s="2">
        <v>46013</v>
      </c>
      <c r="O2141" t="s">
        <v>76</v>
      </c>
      <c r="P2141" t="s">
        <v>53</v>
      </c>
      <c r="Q2141" t="s">
        <v>28</v>
      </c>
      <c r="R2141" t="s">
        <v>29</v>
      </c>
    </row>
    <row r="2142" spans="1:18">
      <c r="A2142" t="s">
        <v>2274</v>
      </c>
      <c r="B2142" s="2">
        <v>46169</v>
      </c>
      <c r="C2142" t="s">
        <v>142</v>
      </c>
      <c r="D2142" t="s">
        <v>143</v>
      </c>
      <c r="E2142" t="s">
        <v>112</v>
      </c>
      <c r="F2142" t="s">
        <v>22</v>
      </c>
      <c r="G2142" t="s">
        <v>23</v>
      </c>
      <c r="H2142" t="s">
        <v>24</v>
      </c>
      <c r="I2142">
        <v>22</v>
      </c>
      <c r="J2142" s="3">
        <v>267.99</v>
      </c>
      <c r="K2142" s="3">
        <v>5895.78</v>
      </c>
      <c r="L2142" t="s">
        <v>52</v>
      </c>
      <c r="M2142" s="2">
        <v>46184</v>
      </c>
      <c r="N2142" s="2">
        <v>46182</v>
      </c>
      <c r="O2142" t="s">
        <v>76</v>
      </c>
      <c r="P2142" t="s">
        <v>115</v>
      </c>
      <c r="Q2142" t="s">
        <v>28</v>
      </c>
      <c r="R2142" t="s">
        <v>29</v>
      </c>
    </row>
    <row r="2143" spans="1:18">
      <c r="A2143" t="s">
        <v>2275</v>
      </c>
      <c r="B2143" s="2">
        <v>46092</v>
      </c>
      <c r="C2143" t="s">
        <v>142</v>
      </c>
      <c r="D2143" t="s">
        <v>143</v>
      </c>
      <c r="E2143" t="s">
        <v>39</v>
      </c>
      <c r="F2143" t="s">
        <v>22</v>
      </c>
      <c r="G2143" t="s">
        <v>23</v>
      </c>
      <c r="H2143" t="s">
        <v>24</v>
      </c>
      <c r="I2143">
        <v>46</v>
      </c>
      <c r="J2143" s="3">
        <v>256.26</v>
      </c>
      <c r="K2143" s="3">
        <v>11787.96</v>
      </c>
      <c r="L2143" t="s">
        <v>52</v>
      </c>
      <c r="M2143" s="2">
        <v>46099</v>
      </c>
      <c r="N2143" s="2">
        <v>46098</v>
      </c>
      <c r="O2143" t="s">
        <v>60</v>
      </c>
      <c r="P2143" t="s">
        <v>44</v>
      </c>
      <c r="Q2143" t="s">
        <v>28</v>
      </c>
      <c r="R2143" t="s">
        <v>29</v>
      </c>
    </row>
    <row r="2144" spans="1:18">
      <c r="A2144" t="s">
        <v>2276</v>
      </c>
      <c r="B2144" s="2">
        <v>45931</v>
      </c>
      <c r="C2144" t="s">
        <v>104</v>
      </c>
      <c r="D2144" t="s">
        <v>105</v>
      </c>
      <c r="E2144" t="s">
        <v>48</v>
      </c>
      <c r="F2144" t="s">
        <v>49</v>
      </c>
      <c r="G2144" t="s">
        <v>50</v>
      </c>
      <c r="H2144" t="s">
        <v>51</v>
      </c>
      <c r="I2144">
        <v>3</v>
      </c>
      <c r="J2144" s="3">
        <v>52402.16</v>
      </c>
      <c r="K2144" s="3">
        <v>157206.48000000001</v>
      </c>
      <c r="L2144" t="s">
        <v>52</v>
      </c>
      <c r="M2144" s="2">
        <v>45941</v>
      </c>
      <c r="N2144" s="2">
        <v>45941</v>
      </c>
      <c r="O2144" t="s">
        <v>76</v>
      </c>
      <c r="P2144" t="s">
        <v>53</v>
      </c>
      <c r="Q2144" t="s">
        <v>28</v>
      </c>
      <c r="R2144" t="s">
        <v>29</v>
      </c>
    </row>
    <row r="2145" spans="1:18">
      <c r="A2145" t="s">
        <v>2277</v>
      </c>
      <c r="B2145" s="2">
        <v>45856</v>
      </c>
      <c r="C2145" t="s">
        <v>71</v>
      </c>
      <c r="D2145" t="s">
        <v>72</v>
      </c>
      <c r="E2145" t="s">
        <v>48</v>
      </c>
      <c r="F2145" t="s">
        <v>57</v>
      </c>
      <c r="G2145" t="s">
        <v>74</v>
      </c>
      <c r="H2145" t="s">
        <v>75</v>
      </c>
      <c r="I2145">
        <v>1</v>
      </c>
      <c r="J2145" s="3">
        <v>8436.08</v>
      </c>
      <c r="K2145" s="3">
        <v>8436.08</v>
      </c>
      <c r="L2145" t="s">
        <v>25</v>
      </c>
      <c r="M2145" s="2">
        <v>45869</v>
      </c>
      <c r="N2145" s="2">
        <v>45874</v>
      </c>
      <c r="O2145" t="s">
        <v>76</v>
      </c>
      <c r="P2145" t="s">
        <v>53</v>
      </c>
      <c r="Q2145" t="s">
        <v>28</v>
      </c>
      <c r="R2145" t="s">
        <v>129</v>
      </c>
    </row>
    <row r="2146" spans="1:18">
      <c r="A2146" t="s">
        <v>2278</v>
      </c>
      <c r="B2146" s="2">
        <v>45904</v>
      </c>
      <c r="C2146" t="s">
        <v>55</v>
      </c>
      <c r="D2146" t="s">
        <v>56</v>
      </c>
      <c r="E2146" t="s">
        <v>31</v>
      </c>
      <c r="F2146" t="s">
        <v>57</v>
      </c>
      <c r="G2146" t="s">
        <v>127</v>
      </c>
      <c r="H2146" t="s">
        <v>128</v>
      </c>
      <c r="I2146">
        <v>8</v>
      </c>
      <c r="J2146" s="3">
        <v>18841.54</v>
      </c>
      <c r="K2146" s="3">
        <v>150732.32</v>
      </c>
      <c r="L2146" t="s">
        <v>34</v>
      </c>
      <c r="M2146" s="2">
        <v>45922</v>
      </c>
      <c r="N2146" s="2">
        <v>45922</v>
      </c>
      <c r="O2146" t="s">
        <v>26</v>
      </c>
      <c r="P2146" t="s">
        <v>35</v>
      </c>
      <c r="Q2146" t="s">
        <v>28</v>
      </c>
      <c r="R2146" t="s">
        <v>29</v>
      </c>
    </row>
    <row r="2147" spans="1:18">
      <c r="A2147" t="s">
        <v>2279</v>
      </c>
      <c r="B2147" s="2">
        <v>45785</v>
      </c>
      <c r="C2147" t="s">
        <v>37</v>
      </c>
      <c r="D2147" t="s">
        <v>38</v>
      </c>
      <c r="E2147" t="s">
        <v>39</v>
      </c>
      <c r="F2147" t="s">
        <v>40</v>
      </c>
      <c r="G2147" t="s">
        <v>136</v>
      </c>
      <c r="H2147" t="s">
        <v>137</v>
      </c>
      <c r="I2147">
        <v>32</v>
      </c>
      <c r="J2147" s="3">
        <v>1813.87</v>
      </c>
      <c r="K2147" s="3">
        <v>58043.839999999997</v>
      </c>
      <c r="L2147" t="s">
        <v>34</v>
      </c>
      <c r="M2147" s="2">
        <v>45799</v>
      </c>
      <c r="N2147" s="2">
        <v>45798</v>
      </c>
      <c r="O2147" t="s">
        <v>60</v>
      </c>
      <c r="P2147" t="s">
        <v>44</v>
      </c>
      <c r="Q2147" t="s">
        <v>28</v>
      </c>
      <c r="R2147" t="s">
        <v>29</v>
      </c>
    </row>
    <row r="2148" spans="1:18">
      <c r="A2148" t="s">
        <v>2280</v>
      </c>
      <c r="B2148" s="2">
        <v>46103</v>
      </c>
      <c r="C2148" t="s">
        <v>131</v>
      </c>
      <c r="D2148" t="s">
        <v>132</v>
      </c>
      <c r="E2148" t="s">
        <v>21</v>
      </c>
      <c r="F2148" t="s">
        <v>57</v>
      </c>
      <c r="G2148" t="s">
        <v>101</v>
      </c>
      <c r="H2148" t="s">
        <v>102</v>
      </c>
      <c r="I2148">
        <v>52</v>
      </c>
      <c r="J2148" s="3">
        <v>1830.58</v>
      </c>
      <c r="K2148" s="3">
        <v>95190.16</v>
      </c>
      <c r="L2148" t="s">
        <v>25</v>
      </c>
      <c r="M2148" s="2">
        <v>46119</v>
      </c>
      <c r="N2148" s="2">
        <v>46116</v>
      </c>
      <c r="O2148" t="s">
        <v>76</v>
      </c>
      <c r="P2148" t="s">
        <v>2281</v>
      </c>
      <c r="Q2148" t="s">
        <v>28</v>
      </c>
      <c r="R2148" t="s">
        <v>29</v>
      </c>
    </row>
    <row r="2149" spans="1:18">
      <c r="A2149" t="s">
        <v>2282</v>
      </c>
      <c r="B2149" s="2">
        <v>45949</v>
      </c>
      <c r="C2149" t="s">
        <v>142</v>
      </c>
      <c r="D2149" t="s">
        <v>143</v>
      </c>
      <c r="E2149" t="s">
        <v>21</v>
      </c>
      <c r="F2149" t="s">
        <v>22</v>
      </c>
      <c r="G2149" t="s">
        <v>23</v>
      </c>
      <c r="H2149" t="s">
        <v>24</v>
      </c>
      <c r="I2149">
        <v>31</v>
      </c>
      <c r="J2149" s="3">
        <v>237.79</v>
      </c>
      <c r="K2149" s="3">
        <v>7371.49</v>
      </c>
      <c r="L2149" t="s">
        <v>34</v>
      </c>
      <c r="M2149" s="2">
        <v>45965</v>
      </c>
      <c r="N2149" s="2">
        <v>45964</v>
      </c>
      <c r="O2149" t="s">
        <v>60</v>
      </c>
      <c r="P2149" t="s">
        <v>27</v>
      </c>
      <c r="Q2149" t="s">
        <v>28</v>
      </c>
      <c r="R2149" t="s">
        <v>29</v>
      </c>
    </row>
    <row r="2150" spans="1:18">
      <c r="A2150" t="s">
        <v>2283</v>
      </c>
      <c r="B2150" s="2">
        <v>46184</v>
      </c>
      <c r="C2150" t="s">
        <v>117</v>
      </c>
      <c r="D2150" t="s">
        <v>118</v>
      </c>
      <c r="E2150" t="s">
        <v>48</v>
      </c>
      <c r="F2150" t="s">
        <v>57</v>
      </c>
      <c r="G2150" t="s">
        <v>101</v>
      </c>
      <c r="H2150" t="s">
        <v>102</v>
      </c>
      <c r="I2150">
        <v>40</v>
      </c>
      <c r="J2150" s="3">
        <v>1742.56</v>
      </c>
      <c r="K2150" s="3">
        <v>69702.399999999994</v>
      </c>
      <c r="L2150" t="s">
        <v>34</v>
      </c>
      <c r="M2150" s="2">
        <v>46190</v>
      </c>
      <c r="N2150" s="2">
        <v>46188</v>
      </c>
      <c r="O2150" t="s">
        <v>76</v>
      </c>
      <c r="P2150" t="s">
        <v>53</v>
      </c>
      <c r="Q2150" t="s">
        <v>28</v>
      </c>
      <c r="R2150" t="s">
        <v>29</v>
      </c>
    </row>
    <row r="2151" spans="1:18">
      <c r="A2151" t="s">
        <v>2284</v>
      </c>
      <c r="B2151" s="2">
        <v>45903</v>
      </c>
      <c r="C2151" t="s">
        <v>71</v>
      </c>
      <c r="D2151" t="s">
        <v>72</v>
      </c>
      <c r="E2151" t="s">
        <v>21</v>
      </c>
      <c r="F2151" t="s">
        <v>57</v>
      </c>
      <c r="G2151" t="s">
        <v>58</v>
      </c>
      <c r="H2151" t="s">
        <v>59</v>
      </c>
      <c r="I2151">
        <v>5</v>
      </c>
      <c r="J2151" s="3">
        <v>51536.14</v>
      </c>
      <c r="K2151" s="3">
        <v>257680.7</v>
      </c>
      <c r="L2151" t="s">
        <v>25</v>
      </c>
      <c r="M2151" s="2">
        <v>45910</v>
      </c>
      <c r="N2151" s="2">
        <v>45909</v>
      </c>
      <c r="O2151" t="s">
        <v>76</v>
      </c>
      <c r="P2151" t="s">
        <v>27</v>
      </c>
      <c r="Q2151" t="s">
        <v>28</v>
      </c>
      <c r="R2151" t="s">
        <v>29</v>
      </c>
    </row>
    <row r="2152" spans="1:18">
      <c r="A2152" t="s">
        <v>2285</v>
      </c>
      <c r="B2152" s="2">
        <v>45864</v>
      </c>
      <c r="C2152" t="s">
        <v>37</v>
      </c>
      <c r="D2152" t="s">
        <v>38</v>
      </c>
      <c r="E2152" t="s">
        <v>31</v>
      </c>
      <c r="F2152" t="s">
        <v>22</v>
      </c>
      <c r="G2152" t="s">
        <v>32</v>
      </c>
      <c r="H2152" t="s">
        <v>33</v>
      </c>
      <c r="I2152">
        <v>14</v>
      </c>
      <c r="J2152" s="3">
        <v>8547.68</v>
      </c>
      <c r="K2152" s="3">
        <v>119667.52</v>
      </c>
      <c r="L2152" t="s">
        <v>34</v>
      </c>
      <c r="M2152" s="2">
        <v>45875</v>
      </c>
      <c r="N2152" s="2">
        <v>45875</v>
      </c>
      <c r="O2152" t="s">
        <v>43</v>
      </c>
      <c r="P2152" t="s">
        <v>94</v>
      </c>
      <c r="Q2152" t="s">
        <v>28</v>
      </c>
      <c r="R2152" t="s">
        <v>29</v>
      </c>
    </row>
    <row r="2153" spans="1:18">
      <c r="A2153" t="s">
        <v>2286</v>
      </c>
      <c r="B2153" s="2">
        <v>46045</v>
      </c>
      <c r="C2153" t="s">
        <v>117</v>
      </c>
      <c r="D2153" t="s">
        <v>118</v>
      </c>
      <c r="E2153" t="s">
        <v>73</v>
      </c>
      <c r="F2153" t="s">
        <v>57</v>
      </c>
      <c r="G2153" t="s">
        <v>74</v>
      </c>
      <c r="H2153" t="s">
        <v>75</v>
      </c>
      <c r="I2153">
        <v>9</v>
      </c>
      <c r="J2153" s="3">
        <v>8438.11</v>
      </c>
      <c r="K2153" s="3">
        <v>75942.990000000005</v>
      </c>
      <c r="L2153" t="s">
        <v>34</v>
      </c>
      <c r="M2153" s="2">
        <v>46058</v>
      </c>
      <c r="N2153" s="2">
        <v>46058</v>
      </c>
      <c r="O2153" t="s">
        <v>60</v>
      </c>
      <c r="P2153" t="s">
        <v>77</v>
      </c>
      <c r="Q2153" t="s">
        <v>28</v>
      </c>
      <c r="R2153" t="s">
        <v>29</v>
      </c>
    </row>
    <row r="2154" spans="1:18">
      <c r="A2154" t="s">
        <v>2287</v>
      </c>
      <c r="B2154" s="2">
        <v>45942</v>
      </c>
      <c r="C2154" t="s">
        <v>71</v>
      </c>
      <c r="D2154" t="s">
        <v>72</v>
      </c>
      <c r="E2154" t="s">
        <v>48</v>
      </c>
      <c r="F2154" t="s">
        <v>57</v>
      </c>
      <c r="G2154" t="s">
        <v>74</v>
      </c>
      <c r="H2154" t="s">
        <v>75</v>
      </c>
      <c r="I2154">
        <v>7</v>
      </c>
      <c r="J2154" s="3">
        <v>7863.11</v>
      </c>
      <c r="K2154" s="3">
        <v>55041.77</v>
      </c>
      <c r="L2154" t="s">
        <v>25</v>
      </c>
      <c r="M2154" s="2">
        <v>45948</v>
      </c>
      <c r="N2154" s="2">
        <v>45956</v>
      </c>
      <c r="O2154" t="s">
        <v>60</v>
      </c>
      <c r="P2154" t="s">
        <v>53</v>
      </c>
      <c r="Q2154" t="s">
        <v>28</v>
      </c>
      <c r="R2154" t="s">
        <v>129</v>
      </c>
    </row>
    <row r="2155" spans="1:18">
      <c r="A2155" t="s">
        <v>2288</v>
      </c>
      <c r="B2155" s="2">
        <v>46174</v>
      </c>
      <c r="C2155" t="s">
        <v>66</v>
      </c>
      <c r="D2155" t="s">
        <v>67</v>
      </c>
      <c r="E2155" t="s">
        <v>48</v>
      </c>
      <c r="F2155" t="s">
        <v>49</v>
      </c>
      <c r="G2155" t="s">
        <v>165</v>
      </c>
      <c r="H2155" t="s">
        <v>166</v>
      </c>
      <c r="I2155">
        <v>1</v>
      </c>
      <c r="J2155" s="3">
        <v>42581.52</v>
      </c>
      <c r="K2155" s="3">
        <v>42581.52</v>
      </c>
      <c r="L2155" t="s">
        <v>52</v>
      </c>
      <c r="M2155" s="2">
        <v>46192</v>
      </c>
      <c r="N2155" s="2">
        <v>46191</v>
      </c>
      <c r="O2155" t="s">
        <v>76</v>
      </c>
      <c r="P2155" t="s">
        <v>53</v>
      </c>
      <c r="Q2155" t="s">
        <v>28</v>
      </c>
      <c r="R2155" t="s">
        <v>29</v>
      </c>
    </row>
    <row r="2156" spans="1:18">
      <c r="A2156" t="s">
        <v>2289</v>
      </c>
      <c r="B2156" s="2">
        <v>45904</v>
      </c>
      <c r="C2156" t="s">
        <v>46</v>
      </c>
      <c r="D2156" t="s">
        <v>47</v>
      </c>
      <c r="E2156" t="s">
        <v>48</v>
      </c>
      <c r="F2156" t="s">
        <v>49</v>
      </c>
      <c r="G2156" t="s">
        <v>165</v>
      </c>
      <c r="H2156" t="s">
        <v>166</v>
      </c>
      <c r="I2156">
        <v>2</v>
      </c>
      <c r="J2156" s="3">
        <v>49392.89</v>
      </c>
      <c r="K2156" s="3">
        <v>98785.78</v>
      </c>
      <c r="L2156" t="s">
        <v>34</v>
      </c>
      <c r="M2156" s="2">
        <v>45916</v>
      </c>
      <c r="N2156" s="2">
        <v>45925</v>
      </c>
      <c r="O2156" t="s">
        <v>43</v>
      </c>
      <c r="P2156" t="s">
        <v>53</v>
      </c>
      <c r="Q2156" t="s">
        <v>28</v>
      </c>
      <c r="R2156" t="s">
        <v>129</v>
      </c>
    </row>
    <row r="2157" spans="1:18">
      <c r="A2157" t="s">
        <v>2290</v>
      </c>
      <c r="B2157" s="2">
        <v>46006</v>
      </c>
      <c r="C2157" t="s">
        <v>142</v>
      </c>
      <c r="D2157" t="s">
        <v>143</v>
      </c>
      <c r="E2157" t="s">
        <v>21</v>
      </c>
      <c r="F2157" t="s">
        <v>22</v>
      </c>
      <c r="G2157" t="s">
        <v>23</v>
      </c>
      <c r="H2157" t="s">
        <v>24</v>
      </c>
      <c r="I2157">
        <v>54</v>
      </c>
      <c r="J2157" s="3">
        <v>249.53</v>
      </c>
      <c r="K2157" s="3">
        <v>13474.62</v>
      </c>
      <c r="L2157" t="s">
        <v>34</v>
      </c>
      <c r="M2157" s="2">
        <v>46019</v>
      </c>
      <c r="N2157" s="2">
        <v>46018</v>
      </c>
      <c r="O2157" t="s">
        <v>60</v>
      </c>
      <c r="P2157" t="s">
        <v>27</v>
      </c>
      <c r="Q2157" t="s">
        <v>28</v>
      </c>
      <c r="R2157" t="s">
        <v>29</v>
      </c>
    </row>
    <row r="2158" spans="1:18">
      <c r="A2158" t="s">
        <v>2291</v>
      </c>
      <c r="B2158" s="2">
        <v>45719</v>
      </c>
      <c r="C2158" t="s">
        <v>104</v>
      </c>
      <c r="D2158" t="s">
        <v>105</v>
      </c>
      <c r="E2158" t="s">
        <v>48</v>
      </c>
      <c r="F2158" t="s">
        <v>49</v>
      </c>
      <c r="G2158" t="s">
        <v>113</v>
      </c>
      <c r="H2158" t="s">
        <v>114</v>
      </c>
      <c r="I2158">
        <v>1</v>
      </c>
      <c r="J2158" s="3">
        <v>37951.89</v>
      </c>
      <c r="K2158" s="3">
        <v>37951.89</v>
      </c>
      <c r="L2158" t="s">
        <v>25</v>
      </c>
      <c r="M2158" s="2">
        <v>45732</v>
      </c>
      <c r="N2158" s="2">
        <v>45730</v>
      </c>
      <c r="O2158" t="s">
        <v>60</v>
      </c>
      <c r="P2158" t="s">
        <v>53</v>
      </c>
      <c r="Q2158" t="s">
        <v>28</v>
      </c>
      <c r="R2158" t="s">
        <v>29</v>
      </c>
    </row>
    <row r="2159" spans="1:18">
      <c r="A2159" t="s">
        <v>2292</v>
      </c>
      <c r="B2159" s="2">
        <v>46200</v>
      </c>
      <c r="C2159" t="s">
        <v>80</v>
      </c>
      <c r="D2159" t="s">
        <v>81</v>
      </c>
      <c r="E2159" t="s">
        <v>39</v>
      </c>
      <c r="F2159" t="s">
        <v>82</v>
      </c>
      <c r="G2159" t="s">
        <v>83</v>
      </c>
      <c r="H2159" t="s">
        <v>84</v>
      </c>
      <c r="I2159">
        <v>52</v>
      </c>
      <c r="J2159" s="3">
        <v>668.27</v>
      </c>
      <c r="K2159" s="3">
        <v>34750.04</v>
      </c>
      <c r="L2159" t="s">
        <v>34</v>
      </c>
      <c r="M2159" s="2">
        <v>46212</v>
      </c>
      <c r="N2159" s="2">
        <v>46226</v>
      </c>
      <c r="O2159" t="s">
        <v>43</v>
      </c>
      <c r="P2159" t="s">
        <v>44</v>
      </c>
      <c r="Q2159" t="s">
        <v>28</v>
      </c>
      <c r="R2159" t="s">
        <v>129</v>
      </c>
    </row>
    <row r="2160" spans="1:18">
      <c r="A2160" t="s">
        <v>2293</v>
      </c>
      <c r="B2160" s="2">
        <v>46157</v>
      </c>
      <c r="C2160" t="s">
        <v>80</v>
      </c>
      <c r="D2160" t="s">
        <v>81</v>
      </c>
      <c r="E2160" t="s">
        <v>39</v>
      </c>
      <c r="F2160" t="s">
        <v>82</v>
      </c>
      <c r="G2160" t="s">
        <v>197</v>
      </c>
      <c r="H2160" t="s">
        <v>198</v>
      </c>
      <c r="I2160">
        <v>50</v>
      </c>
      <c r="J2160" s="3">
        <v>1990.06</v>
      </c>
      <c r="K2160" s="3">
        <v>99503</v>
      </c>
      <c r="L2160" t="s">
        <v>25</v>
      </c>
      <c r="M2160" s="2">
        <v>46173</v>
      </c>
      <c r="N2160" s="2">
        <v>46172</v>
      </c>
      <c r="O2160" t="s">
        <v>60</v>
      </c>
      <c r="P2160" t="s">
        <v>64</v>
      </c>
      <c r="Q2160" t="s">
        <v>28</v>
      </c>
      <c r="R2160" t="s">
        <v>29</v>
      </c>
    </row>
    <row r="2161" spans="1:18">
      <c r="A2161" t="s">
        <v>2294</v>
      </c>
      <c r="B2161" s="2">
        <v>46185</v>
      </c>
      <c r="C2161" t="s">
        <v>19</v>
      </c>
      <c r="D2161" t="s">
        <v>20</v>
      </c>
      <c r="E2161" t="s">
        <v>31</v>
      </c>
      <c r="F2161" t="s">
        <v>22</v>
      </c>
      <c r="G2161" t="s">
        <v>23</v>
      </c>
      <c r="H2161" t="s">
        <v>24</v>
      </c>
      <c r="I2161">
        <v>36</v>
      </c>
      <c r="J2161" s="3">
        <v>232.92</v>
      </c>
      <c r="K2161" s="3">
        <v>8385.1200000000008</v>
      </c>
      <c r="L2161" t="s">
        <v>52</v>
      </c>
      <c r="M2161" s="2">
        <v>46201</v>
      </c>
      <c r="N2161" s="2">
        <v>46198</v>
      </c>
      <c r="O2161" t="s">
        <v>26</v>
      </c>
      <c r="P2161" t="s">
        <v>35</v>
      </c>
      <c r="Q2161" t="s">
        <v>28</v>
      </c>
      <c r="R2161" t="s">
        <v>29</v>
      </c>
    </row>
    <row r="2162" spans="1:18">
      <c r="A2162" t="s">
        <v>2295</v>
      </c>
      <c r="B2162" s="2">
        <v>46013</v>
      </c>
      <c r="C2162" t="s">
        <v>131</v>
      </c>
      <c r="D2162" t="s">
        <v>132</v>
      </c>
      <c r="E2162" t="s">
        <v>31</v>
      </c>
      <c r="F2162" t="s">
        <v>57</v>
      </c>
      <c r="G2162" t="s">
        <v>120</v>
      </c>
      <c r="H2162" t="s">
        <v>121</v>
      </c>
      <c r="I2162">
        <v>7</v>
      </c>
      <c r="J2162" s="3">
        <v>23709.34</v>
      </c>
      <c r="K2162" s="3">
        <v>165965.38</v>
      </c>
      <c r="L2162" t="s">
        <v>25</v>
      </c>
      <c r="M2162" s="2">
        <v>46023</v>
      </c>
      <c r="N2162" s="2">
        <v>46020</v>
      </c>
      <c r="O2162" t="s">
        <v>76</v>
      </c>
      <c r="P2162" t="s">
        <v>35</v>
      </c>
      <c r="Q2162" t="s">
        <v>28</v>
      </c>
      <c r="R2162" t="s">
        <v>29</v>
      </c>
    </row>
    <row r="2163" spans="1:18">
      <c r="A2163" t="s">
        <v>2296</v>
      </c>
      <c r="B2163" s="2">
        <v>46180</v>
      </c>
      <c r="C2163" t="s">
        <v>96</v>
      </c>
      <c r="D2163" t="s">
        <v>97</v>
      </c>
      <c r="E2163" t="s">
        <v>39</v>
      </c>
      <c r="F2163" t="s">
        <v>82</v>
      </c>
      <c r="G2163" t="s">
        <v>98</v>
      </c>
      <c r="H2163" t="s">
        <v>99</v>
      </c>
      <c r="I2163">
        <v>5</v>
      </c>
      <c r="J2163" s="3">
        <v>1175.4000000000001</v>
      </c>
      <c r="K2163" s="3">
        <v>5877</v>
      </c>
      <c r="L2163" t="s">
        <v>25</v>
      </c>
      <c r="M2163" s="2">
        <v>46198</v>
      </c>
      <c r="N2163" s="2">
        <v>46198</v>
      </c>
      <c r="O2163" t="s">
        <v>76</v>
      </c>
      <c r="P2163" t="s">
        <v>64</v>
      </c>
      <c r="Q2163" t="s">
        <v>28</v>
      </c>
      <c r="R2163" t="s">
        <v>29</v>
      </c>
    </row>
    <row r="2164" spans="1:18">
      <c r="A2164" t="s">
        <v>2297</v>
      </c>
      <c r="B2164" s="2">
        <v>45810</v>
      </c>
      <c r="C2164" t="s">
        <v>19</v>
      </c>
      <c r="D2164" t="s">
        <v>20</v>
      </c>
      <c r="E2164" t="s">
        <v>73</v>
      </c>
      <c r="F2164" t="s">
        <v>22</v>
      </c>
      <c r="G2164" t="s">
        <v>160</v>
      </c>
      <c r="H2164" t="s">
        <v>161</v>
      </c>
      <c r="I2164">
        <v>1</v>
      </c>
      <c r="J2164" s="3">
        <v>3069.83</v>
      </c>
      <c r="K2164" s="3">
        <v>3069.83</v>
      </c>
      <c r="L2164" t="s">
        <v>25</v>
      </c>
      <c r="M2164" s="2">
        <v>45818</v>
      </c>
      <c r="N2164" s="2">
        <v>45831</v>
      </c>
      <c r="O2164" t="s">
        <v>76</v>
      </c>
      <c r="P2164" t="s">
        <v>77</v>
      </c>
      <c r="Q2164" t="s">
        <v>28</v>
      </c>
      <c r="R2164" t="s">
        <v>129</v>
      </c>
    </row>
    <row r="2165" spans="1:18">
      <c r="A2165" t="s">
        <v>2298</v>
      </c>
      <c r="B2165" s="2">
        <v>45886</v>
      </c>
      <c r="C2165" t="s">
        <v>37</v>
      </c>
      <c r="D2165" t="s">
        <v>38</v>
      </c>
      <c r="E2165" t="s">
        <v>31</v>
      </c>
      <c r="F2165" t="s">
        <v>22</v>
      </c>
      <c r="G2165" t="s">
        <v>23</v>
      </c>
      <c r="H2165" t="s">
        <v>24</v>
      </c>
      <c r="I2165">
        <v>54</v>
      </c>
      <c r="J2165" s="3">
        <v>262.55</v>
      </c>
      <c r="K2165" s="3">
        <v>14177.7</v>
      </c>
      <c r="L2165" t="s">
        <v>34</v>
      </c>
      <c r="M2165" s="2">
        <v>45904</v>
      </c>
      <c r="N2165" s="2">
        <v>45904</v>
      </c>
      <c r="O2165" t="s">
        <v>26</v>
      </c>
      <c r="P2165" t="s">
        <v>35</v>
      </c>
      <c r="Q2165" t="s">
        <v>28</v>
      </c>
      <c r="R2165" t="s">
        <v>29</v>
      </c>
    </row>
    <row r="2166" spans="1:18">
      <c r="A2166" t="s">
        <v>2299</v>
      </c>
      <c r="B2166" s="2">
        <v>45746</v>
      </c>
      <c r="C2166" t="s">
        <v>55</v>
      </c>
      <c r="D2166" t="s">
        <v>56</v>
      </c>
      <c r="E2166" t="s">
        <v>21</v>
      </c>
      <c r="F2166" t="s">
        <v>57</v>
      </c>
      <c r="G2166" t="s">
        <v>86</v>
      </c>
      <c r="H2166" t="s">
        <v>87</v>
      </c>
      <c r="I2166">
        <v>8</v>
      </c>
      <c r="J2166" s="3">
        <v>12047.3</v>
      </c>
      <c r="K2166" s="3">
        <v>96378.4</v>
      </c>
      <c r="L2166" t="s">
        <v>34</v>
      </c>
      <c r="M2166" s="2">
        <v>45756</v>
      </c>
      <c r="N2166" s="2">
        <v>45754</v>
      </c>
      <c r="O2166" t="s">
        <v>26</v>
      </c>
      <c r="P2166" t="s">
        <v>27</v>
      </c>
      <c r="Q2166" t="s">
        <v>28</v>
      </c>
      <c r="R2166" t="s">
        <v>29</v>
      </c>
    </row>
    <row r="2167" spans="1:18">
      <c r="A2167" t="s">
        <v>2300</v>
      </c>
      <c r="B2167" s="2">
        <v>45683</v>
      </c>
      <c r="C2167" t="s">
        <v>71</v>
      </c>
      <c r="D2167" t="s">
        <v>72</v>
      </c>
      <c r="E2167" t="s">
        <v>48</v>
      </c>
      <c r="F2167" t="s">
        <v>57</v>
      </c>
      <c r="G2167" t="s">
        <v>74</v>
      </c>
      <c r="H2167" t="s">
        <v>75</v>
      </c>
      <c r="I2167">
        <v>10</v>
      </c>
      <c r="J2167" s="3">
        <v>8334.16</v>
      </c>
      <c r="K2167" s="3">
        <v>83341.600000000006</v>
      </c>
      <c r="L2167" t="s">
        <v>25</v>
      </c>
      <c r="M2167" s="2">
        <v>45691</v>
      </c>
      <c r="N2167" s="2">
        <v>45700</v>
      </c>
      <c r="O2167" t="s">
        <v>26</v>
      </c>
      <c r="P2167" t="s">
        <v>53</v>
      </c>
      <c r="Q2167" t="s">
        <v>28</v>
      </c>
      <c r="R2167" t="s">
        <v>129</v>
      </c>
    </row>
    <row r="2168" spans="1:18">
      <c r="A2168" t="s">
        <v>2301</v>
      </c>
      <c r="B2168" s="2">
        <v>45790</v>
      </c>
      <c r="C2168" t="s">
        <v>104</v>
      </c>
      <c r="D2168" t="s">
        <v>105</v>
      </c>
      <c r="E2168" t="s">
        <v>112</v>
      </c>
      <c r="F2168" t="s">
        <v>49</v>
      </c>
      <c r="G2168" t="s">
        <v>68</v>
      </c>
      <c r="H2168" t="s">
        <v>69</v>
      </c>
      <c r="I2168">
        <v>3</v>
      </c>
      <c r="J2168" s="3">
        <v>50168.74</v>
      </c>
      <c r="K2168" s="3">
        <v>150506.22</v>
      </c>
      <c r="L2168" t="s">
        <v>25</v>
      </c>
      <c r="M2168" s="2">
        <v>45798</v>
      </c>
      <c r="N2168" s="2">
        <v>45797</v>
      </c>
      <c r="O2168" t="s">
        <v>26</v>
      </c>
      <c r="P2168" t="s">
        <v>115</v>
      </c>
      <c r="Q2168" t="s">
        <v>28</v>
      </c>
      <c r="R2168" t="s">
        <v>29</v>
      </c>
    </row>
    <row r="2169" spans="1:18">
      <c r="A2169" t="s">
        <v>2302</v>
      </c>
      <c r="B2169" s="2">
        <v>45870</v>
      </c>
      <c r="C2169" t="s">
        <v>142</v>
      </c>
      <c r="D2169" t="s">
        <v>143</v>
      </c>
      <c r="E2169" t="s">
        <v>39</v>
      </c>
      <c r="F2169" t="s">
        <v>22</v>
      </c>
      <c r="G2169" t="s">
        <v>32</v>
      </c>
      <c r="H2169" t="s">
        <v>33</v>
      </c>
      <c r="I2169">
        <v>12</v>
      </c>
      <c r="J2169" s="3">
        <v>8026.31</v>
      </c>
      <c r="K2169" s="3">
        <v>96315.72</v>
      </c>
      <c r="L2169" t="s">
        <v>25</v>
      </c>
      <c r="M2169" s="2">
        <v>45886</v>
      </c>
      <c r="N2169" s="2">
        <v>45886</v>
      </c>
      <c r="O2169" t="s">
        <v>76</v>
      </c>
      <c r="P2169" t="s">
        <v>64</v>
      </c>
      <c r="Q2169" t="s">
        <v>28</v>
      </c>
      <c r="R2169" t="s">
        <v>29</v>
      </c>
    </row>
    <row r="2170" spans="1:18">
      <c r="A2170" t="s">
        <v>2303</v>
      </c>
      <c r="B2170" s="2">
        <v>45870</v>
      </c>
      <c r="C2170" t="s">
        <v>142</v>
      </c>
      <c r="D2170" t="s">
        <v>143</v>
      </c>
      <c r="E2170" t="s">
        <v>112</v>
      </c>
      <c r="F2170" t="s">
        <v>22</v>
      </c>
      <c r="G2170" t="s">
        <v>32</v>
      </c>
      <c r="H2170" t="s">
        <v>33</v>
      </c>
      <c r="I2170">
        <v>4</v>
      </c>
      <c r="J2170" s="3">
        <v>8136.03</v>
      </c>
      <c r="K2170" s="3">
        <v>32544.12</v>
      </c>
      <c r="L2170" t="s">
        <v>34</v>
      </c>
      <c r="M2170" s="2">
        <v>45878</v>
      </c>
      <c r="N2170" s="2">
        <v>45877</v>
      </c>
      <c r="O2170" t="s">
        <v>26</v>
      </c>
      <c r="P2170" t="s">
        <v>115</v>
      </c>
      <c r="Q2170" t="s">
        <v>28</v>
      </c>
      <c r="R2170" t="s">
        <v>29</v>
      </c>
    </row>
    <row r="2171" spans="1:18">
      <c r="A2171" t="s">
        <v>2304</v>
      </c>
      <c r="B2171" s="2">
        <v>46033</v>
      </c>
      <c r="C2171" t="s">
        <v>55</v>
      </c>
      <c r="D2171" t="s">
        <v>56</v>
      </c>
      <c r="E2171" t="s">
        <v>48</v>
      </c>
      <c r="F2171" t="s">
        <v>57</v>
      </c>
      <c r="G2171" t="s">
        <v>86</v>
      </c>
      <c r="H2171" t="s">
        <v>87</v>
      </c>
      <c r="I2171">
        <v>1</v>
      </c>
      <c r="J2171" s="3">
        <v>12142.18</v>
      </c>
      <c r="K2171" s="3">
        <v>12142.18</v>
      </c>
      <c r="L2171" t="s">
        <v>25</v>
      </c>
      <c r="M2171" s="2">
        <v>46042</v>
      </c>
      <c r="N2171" s="2">
        <v>46039</v>
      </c>
      <c r="O2171" t="s">
        <v>76</v>
      </c>
      <c r="P2171" t="s">
        <v>53</v>
      </c>
      <c r="Q2171" t="s">
        <v>28</v>
      </c>
      <c r="R2171" t="s">
        <v>29</v>
      </c>
    </row>
    <row r="2172" spans="1:18">
      <c r="A2172" t="s">
        <v>2305</v>
      </c>
      <c r="B2172" s="2">
        <v>46052</v>
      </c>
      <c r="C2172" t="s">
        <v>104</v>
      </c>
      <c r="D2172" t="s">
        <v>105</v>
      </c>
      <c r="E2172" t="s">
        <v>112</v>
      </c>
      <c r="F2172" t="s">
        <v>49</v>
      </c>
      <c r="G2172" t="s">
        <v>68</v>
      </c>
      <c r="H2172" t="s">
        <v>69</v>
      </c>
      <c r="I2172">
        <v>1</v>
      </c>
      <c r="J2172" s="3">
        <v>49726.73</v>
      </c>
      <c r="K2172" s="3">
        <v>49726.73</v>
      </c>
      <c r="L2172" t="s">
        <v>25</v>
      </c>
      <c r="M2172" s="2">
        <v>46061</v>
      </c>
      <c r="N2172" s="2">
        <v>46060</v>
      </c>
      <c r="O2172" t="s">
        <v>60</v>
      </c>
      <c r="P2172" t="s">
        <v>115</v>
      </c>
      <c r="Q2172" t="s">
        <v>28</v>
      </c>
      <c r="R2172" t="s">
        <v>29</v>
      </c>
    </row>
    <row r="2173" spans="1:18">
      <c r="A2173" t="s">
        <v>2306</v>
      </c>
      <c r="B2173" s="2">
        <v>46132</v>
      </c>
      <c r="C2173" t="s">
        <v>37</v>
      </c>
      <c r="D2173" t="s">
        <v>38</v>
      </c>
      <c r="E2173" t="s">
        <v>39</v>
      </c>
      <c r="F2173" t="s">
        <v>40</v>
      </c>
      <c r="G2173" t="s">
        <v>41</v>
      </c>
      <c r="H2173" t="s">
        <v>42</v>
      </c>
      <c r="I2173">
        <v>11</v>
      </c>
      <c r="J2173" s="3">
        <v>5917.8</v>
      </c>
      <c r="K2173" s="3">
        <v>65095.8</v>
      </c>
      <c r="L2173" t="s">
        <v>25</v>
      </c>
      <c r="M2173" s="2">
        <v>46150</v>
      </c>
      <c r="N2173" s="2">
        <v>46147</v>
      </c>
      <c r="O2173" t="s">
        <v>76</v>
      </c>
      <c r="P2173" t="s">
        <v>64</v>
      </c>
      <c r="Q2173" t="s">
        <v>28</v>
      </c>
      <c r="R2173" t="s">
        <v>29</v>
      </c>
    </row>
    <row r="2174" spans="1:18">
      <c r="A2174" t="s">
        <v>2307</v>
      </c>
      <c r="B2174" s="2">
        <v>45793</v>
      </c>
      <c r="C2174" t="s">
        <v>142</v>
      </c>
      <c r="D2174" t="s">
        <v>143</v>
      </c>
      <c r="E2174" t="s">
        <v>31</v>
      </c>
      <c r="F2174" t="s">
        <v>22</v>
      </c>
      <c r="G2174" t="s">
        <v>32</v>
      </c>
      <c r="H2174" t="s">
        <v>33</v>
      </c>
      <c r="I2174">
        <v>10</v>
      </c>
      <c r="J2174" s="3">
        <v>7911.47</v>
      </c>
      <c r="K2174" s="3">
        <v>79114.7</v>
      </c>
      <c r="L2174" t="s">
        <v>34</v>
      </c>
      <c r="M2174" s="2">
        <v>45807</v>
      </c>
      <c r="N2174" s="2">
        <v>45806</v>
      </c>
      <c r="O2174" t="s">
        <v>43</v>
      </c>
      <c r="P2174" t="s">
        <v>35</v>
      </c>
      <c r="Q2174" t="s">
        <v>28</v>
      </c>
      <c r="R2174" t="s">
        <v>29</v>
      </c>
    </row>
    <row r="2175" spans="1:18">
      <c r="A2175" t="s">
        <v>2308</v>
      </c>
      <c r="B2175" s="2">
        <v>45681</v>
      </c>
      <c r="C2175" t="s">
        <v>80</v>
      </c>
      <c r="D2175" t="s">
        <v>81</v>
      </c>
      <c r="E2175" t="s">
        <v>39</v>
      </c>
      <c r="F2175" t="s">
        <v>82</v>
      </c>
      <c r="G2175" t="s">
        <v>98</v>
      </c>
      <c r="H2175" t="s">
        <v>99</v>
      </c>
      <c r="I2175">
        <v>31</v>
      </c>
      <c r="J2175" s="3">
        <v>1129.8499999999999</v>
      </c>
      <c r="K2175" s="3">
        <v>35025.35</v>
      </c>
      <c r="L2175" t="s">
        <v>34</v>
      </c>
      <c r="M2175" s="2">
        <v>45691</v>
      </c>
      <c r="N2175" s="2">
        <v>45691</v>
      </c>
      <c r="O2175" t="s">
        <v>43</v>
      </c>
      <c r="P2175" t="s">
        <v>64</v>
      </c>
      <c r="Q2175" t="s">
        <v>28</v>
      </c>
      <c r="R2175" t="s">
        <v>29</v>
      </c>
    </row>
    <row r="2176" spans="1:18">
      <c r="A2176" t="s">
        <v>2309</v>
      </c>
      <c r="B2176" s="2">
        <v>45997</v>
      </c>
      <c r="C2176" t="s">
        <v>71</v>
      </c>
      <c r="D2176" t="s">
        <v>72</v>
      </c>
      <c r="E2176" t="s">
        <v>73</v>
      </c>
      <c r="F2176" t="s">
        <v>57</v>
      </c>
      <c r="G2176" t="s">
        <v>120</v>
      </c>
      <c r="H2176" t="s">
        <v>121</v>
      </c>
      <c r="I2176">
        <v>1</v>
      </c>
      <c r="J2176" s="3">
        <v>20831.48</v>
      </c>
      <c r="K2176" s="3">
        <v>20831.48</v>
      </c>
      <c r="L2176" t="s">
        <v>52</v>
      </c>
      <c r="M2176" s="2">
        <v>46008</v>
      </c>
      <c r="N2176" s="2">
        <v>46007</v>
      </c>
      <c r="O2176" t="s">
        <v>60</v>
      </c>
      <c r="P2176" t="s">
        <v>77</v>
      </c>
      <c r="Q2176" t="s">
        <v>28</v>
      </c>
      <c r="R2176" t="s">
        <v>29</v>
      </c>
    </row>
    <row r="2177" spans="1:18">
      <c r="A2177" t="s">
        <v>2310</v>
      </c>
      <c r="B2177" s="2">
        <v>46140</v>
      </c>
      <c r="C2177" t="s">
        <v>71</v>
      </c>
      <c r="D2177" t="s">
        <v>72</v>
      </c>
      <c r="E2177" t="s">
        <v>21</v>
      </c>
      <c r="F2177" t="s">
        <v>57</v>
      </c>
      <c r="G2177" t="s">
        <v>127</v>
      </c>
      <c r="H2177" t="s">
        <v>128</v>
      </c>
      <c r="I2177">
        <v>3</v>
      </c>
      <c r="J2177" s="3">
        <v>15266.15</v>
      </c>
      <c r="K2177" s="3">
        <v>45798.45</v>
      </c>
      <c r="L2177" t="s">
        <v>52</v>
      </c>
      <c r="M2177" s="2">
        <v>46153</v>
      </c>
      <c r="N2177" s="2">
        <v>46153</v>
      </c>
      <c r="O2177" t="s">
        <v>43</v>
      </c>
      <c r="P2177" t="s">
        <v>27</v>
      </c>
      <c r="Q2177" t="s">
        <v>28</v>
      </c>
      <c r="R2177" t="s">
        <v>29</v>
      </c>
    </row>
    <row r="2178" spans="1:18">
      <c r="A2178" t="s">
        <v>2311</v>
      </c>
      <c r="B2178" s="2">
        <v>46198</v>
      </c>
      <c r="C2178" t="s">
        <v>104</v>
      </c>
      <c r="D2178" t="s">
        <v>105</v>
      </c>
      <c r="E2178" t="s">
        <v>21</v>
      </c>
      <c r="F2178" t="s">
        <v>49</v>
      </c>
      <c r="G2178" t="s">
        <v>68</v>
      </c>
      <c r="H2178" t="s">
        <v>69</v>
      </c>
      <c r="I2178">
        <v>1</v>
      </c>
      <c r="J2178" s="3">
        <v>46525.67</v>
      </c>
      <c r="K2178" s="3">
        <v>46525.67</v>
      </c>
      <c r="L2178" t="s">
        <v>25</v>
      </c>
      <c r="M2178" s="2">
        <v>46212</v>
      </c>
      <c r="N2178" s="2">
        <v>46211</v>
      </c>
      <c r="O2178" t="s">
        <v>26</v>
      </c>
      <c r="P2178" t="s">
        <v>27</v>
      </c>
      <c r="Q2178" t="s">
        <v>28</v>
      </c>
      <c r="R2178" t="s">
        <v>29</v>
      </c>
    </row>
    <row r="2179" spans="1:18">
      <c r="A2179" t="s">
        <v>2312</v>
      </c>
      <c r="B2179" s="2">
        <v>45891</v>
      </c>
      <c r="C2179" t="s">
        <v>104</v>
      </c>
      <c r="D2179" t="s">
        <v>105</v>
      </c>
      <c r="E2179" t="s">
        <v>21</v>
      </c>
      <c r="F2179" t="s">
        <v>49</v>
      </c>
      <c r="G2179" t="s">
        <v>165</v>
      </c>
      <c r="H2179" t="s">
        <v>166</v>
      </c>
      <c r="I2179">
        <v>1</v>
      </c>
      <c r="J2179" s="3">
        <v>45453.14</v>
      </c>
      <c r="K2179" s="3">
        <v>45453.14</v>
      </c>
      <c r="L2179" t="s">
        <v>25</v>
      </c>
      <c r="M2179" s="2">
        <v>45901</v>
      </c>
      <c r="N2179" s="2">
        <v>45899</v>
      </c>
      <c r="O2179" t="s">
        <v>60</v>
      </c>
      <c r="P2179" t="s">
        <v>27</v>
      </c>
      <c r="Q2179" t="s">
        <v>28</v>
      </c>
      <c r="R2179" t="s">
        <v>29</v>
      </c>
    </row>
    <row r="2180" spans="1:18">
      <c r="A2180" t="s">
        <v>2313</v>
      </c>
      <c r="B2180" s="2">
        <v>45861</v>
      </c>
      <c r="C2180" t="s">
        <v>37</v>
      </c>
      <c r="D2180" t="s">
        <v>38</v>
      </c>
      <c r="E2180" t="s">
        <v>39</v>
      </c>
      <c r="F2180" t="s">
        <v>40</v>
      </c>
      <c r="G2180" t="s">
        <v>149</v>
      </c>
      <c r="H2180" t="s">
        <v>150</v>
      </c>
      <c r="I2180">
        <v>59</v>
      </c>
      <c r="J2180" s="3">
        <v>1406.17</v>
      </c>
      <c r="K2180" s="3">
        <v>82964.03</v>
      </c>
      <c r="L2180" t="s">
        <v>34</v>
      </c>
      <c r="M2180" s="2">
        <v>45867</v>
      </c>
      <c r="N2180" s="2">
        <v>45871</v>
      </c>
      <c r="O2180" t="s">
        <v>60</v>
      </c>
      <c r="P2180" t="s">
        <v>64</v>
      </c>
      <c r="Q2180" t="s">
        <v>28</v>
      </c>
      <c r="R2180" t="s">
        <v>129</v>
      </c>
    </row>
    <row r="2181" spans="1:18">
      <c r="A2181" t="s">
        <v>2314</v>
      </c>
      <c r="B2181" s="2">
        <v>45829</v>
      </c>
      <c r="C2181" t="s">
        <v>46</v>
      </c>
      <c r="D2181" t="s">
        <v>47</v>
      </c>
      <c r="E2181" t="s">
        <v>73</v>
      </c>
      <c r="F2181" t="s">
        <v>49</v>
      </c>
      <c r="G2181" t="s">
        <v>50</v>
      </c>
      <c r="H2181" t="s">
        <v>51</v>
      </c>
      <c r="I2181">
        <v>1</v>
      </c>
      <c r="J2181" s="3">
        <v>57016.94</v>
      </c>
      <c r="K2181" s="3">
        <v>57016.94</v>
      </c>
      <c r="L2181" t="s">
        <v>25</v>
      </c>
      <c r="M2181" s="2">
        <v>45845</v>
      </c>
      <c r="N2181" s="2">
        <v>45842</v>
      </c>
      <c r="O2181" t="s">
        <v>26</v>
      </c>
      <c r="P2181" t="s">
        <v>77</v>
      </c>
      <c r="Q2181" t="s">
        <v>28</v>
      </c>
      <c r="R2181" t="s">
        <v>29</v>
      </c>
    </row>
    <row r="2182" spans="1:18">
      <c r="A2182" t="s">
        <v>2315</v>
      </c>
      <c r="B2182" s="2">
        <v>46094</v>
      </c>
      <c r="C2182" t="s">
        <v>142</v>
      </c>
      <c r="D2182" t="s">
        <v>143</v>
      </c>
      <c r="E2182" t="s">
        <v>39</v>
      </c>
      <c r="F2182" t="s">
        <v>22</v>
      </c>
      <c r="G2182" t="s">
        <v>32</v>
      </c>
      <c r="H2182" t="s">
        <v>33</v>
      </c>
      <c r="I2182">
        <v>5</v>
      </c>
      <c r="J2182" s="3">
        <v>7911.45</v>
      </c>
      <c r="K2182" s="3">
        <v>39557.25</v>
      </c>
      <c r="L2182" t="s">
        <v>34</v>
      </c>
      <c r="M2182" s="2">
        <v>46107</v>
      </c>
      <c r="N2182" s="2">
        <v>46104</v>
      </c>
      <c r="O2182" t="s">
        <v>43</v>
      </c>
      <c r="P2182" t="s">
        <v>44</v>
      </c>
      <c r="Q2182" t="s">
        <v>28</v>
      </c>
      <c r="R2182" t="s">
        <v>29</v>
      </c>
    </row>
    <row r="2183" spans="1:18">
      <c r="A2183" t="s">
        <v>2316</v>
      </c>
      <c r="B2183" s="2">
        <v>45815</v>
      </c>
      <c r="C2183" t="s">
        <v>46</v>
      </c>
      <c r="D2183" t="s">
        <v>47</v>
      </c>
      <c r="E2183" t="s">
        <v>21</v>
      </c>
      <c r="F2183" t="s">
        <v>49</v>
      </c>
      <c r="G2183" t="s">
        <v>50</v>
      </c>
      <c r="H2183" t="s">
        <v>51</v>
      </c>
      <c r="I2183">
        <v>3</v>
      </c>
      <c r="J2183" s="3">
        <v>55465.54</v>
      </c>
      <c r="K2183" s="3">
        <v>166396.62</v>
      </c>
      <c r="L2183" t="s">
        <v>25</v>
      </c>
      <c r="M2183" s="2">
        <v>45825</v>
      </c>
      <c r="N2183" s="2">
        <v>45823</v>
      </c>
      <c r="O2183" t="s">
        <v>60</v>
      </c>
      <c r="P2183" t="s">
        <v>27</v>
      </c>
      <c r="Q2183" t="s">
        <v>28</v>
      </c>
      <c r="R2183" t="s">
        <v>29</v>
      </c>
    </row>
    <row r="2184" spans="1:18">
      <c r="A2184" t="s">
        <v>2317</v>
      </c>
      <c r="B2184" s="2">
        <v>45681</v>
      </c>
      <c r="C2184" t="s">
        <v>131</v>
      </c>
      <c r="D2184" t="s">
        <v>132</v>
      </c>
      <c r="E2184" t="s">
        <v>31</v>
      </c>
      <c r="F2184" t="s">
        <v>57</v>
      </c>
      <c r="G2184" t="s">
        <v>58</v>
      </c>
      <c r="H2184" t="s">
        <v>59</v>
      </c>
      <c r="I2184">
        <v>6</v>
      </c>
      <c r="J2184" s="3">
        <v>61424.58</v>
      </c>
      <c r="K2184" s="3">
        <v>368547.48</v>
      </c>
      <c r="L2184" t="s">
        <v>25</v>
      </c>
      <c r="M2184" s="2">
        <v>45696</v>
      </c>
      <c r="N2184" s="2">
        <v>45696</v>
      </c>
      <c r="O2184" t="s">
        <v>76</v>
      </c>
      <c r="P2184" t="s">
        <v>35</v>
      </c>
      <c r="Q2184" t="s">
        <v>28</v>
      </c>
      <c r="R2184" t="s">
        <v>29</v>
      </c>
    </row>
    <row r="2185" spans="1:18">
      <c r="A2185" t="s">
        <v>2318</v>
      </c>
      <c r="B2185" s="2">
        <v>46086</v>
      </c>
      <c r="C2185" t="s">
        <v>131</v>
      </c>
      <c r="D2185" t="s">
        <v>132</v>
      </c>
      <c r="E2185" t="s">
        <v>31</v>
      </c>
      <c r="F2185" t="s">
        <v>57</v>
      </c>
      <c r="G2185" t="s">
        <v>58</v>
      </c>
      <c r="H2185" t="s">
        <v>59</v>
      </c>
      <c r="I2185">
        <v>4</v>
      </c>
      <c r="J2185" s="3">
        <v>61540.639999999999</v>
      </c>
      <c r="K2185" s="3">
        <v>246162.56</v>
      </c>
      <c r="L2185" t="s">
        <v>34</v>
      </c>
      <c r="M2185" s="2">
        <v>46099</v>
      </c>
      <c r="N2185" s="2">
        <v>46099</v>
      </c>
      <c r="O2185" t="s">
        <v>76</v>
      </c>
      <c r="P2185" t="s">
        <v>94</v>
      </c>
      <c r="Q2185" t="s">
        <v>28</v>
      </c>
      <c r="R2185" t="s">
        <v>29</v>
      </c>
    </row>
    <row r="2186" spans="1:18">
      <c r="A2186" t="s">
        <v>2319</v>
      </c>
      <c r="B2186" s="2">
        <v>46056</v>
      </c>
      <c r="C2186" t="s">
        <v>142</v>
      </c>
      <c r="D2186" t="s">
        <v>143</v>
      </c>
      <c r="E2186" t="s">
        <v>112</v>
      </c>
      <c r="F2186" t="s">
        <v>22</v>
      </c>
      <c r="G2186" t="s">
        <v>32</v>
      </c>
      <c r="H2186" t="s">
        <v>33</v>
      </c>
      <c r="I2186">
        <v>15</v>
      </c>
      <c r="J2186" s="3">
        <v>8340.83</v>
      </c>
      <c r="K2186" s="3">
        <v>125112.45</v>
      </c>
      <c r="L2186" t="s">
        <v>25</v>
      </c>
      <c r="M2186" s="2">
        <v>46065</v>
      </c>
      <c r="N2186" s="2">
        <v>46062</v>
      </c>
      <c r="O2186" t="s">
        <v>26</v>
      </c>
      <c r="P2186" t="s">
        <v>115</v>
      </c>
      <c r="Q2186" t="s">
        <v>28</v>
      </c>
      <c r="R2186" t="s">
        <v>29</v>
      </c>
    </row>
    <row r="2187" spans="1:18">
      <c r="A2187" t="s">
        <v>2320</v>
      </c>
      <c r="B2187" s="2">
        <v>45938</v>
      </c>
      <c r="C2187" t="s">
        <v>37</v>
      </c>
      <c r="D2187" t="s">
        <v>38</v>
      </c>
      <c r="E2187" t="s">
        <v>21</v>
      </c>
      <c r="F2187" t="s">
        <v>22</v>
      </c>
      <c r="G2187" t="s">
        <v>32</v>
      </c>
      <c r="H2187" t="s">
        <v>33</v>
      </c>
      <c r="I2187">
        <v>10</v>
      </c>
      <c r="J2187" s="3">
        <v>8393.82</v>
      </c>
      <c r="K2187" s="3">
        <v>83938.2</v>
      </c>
      <c r="L2187" t="s">
        <v>25</v>
      </c>
      <c r="M2187" s="2">
        <v>45946</v>
      </c>
      <c r="N2187" s="2">
        <v>45943</v>
      </c>
      <c r="O2187" t="s">
        <v>76</v>
      </c>
      <c r="P2187" t="s">
        <v>27</v>
      </c>
      <c r="Q2187" t="s">
        <v>28</v>
      </c>
      <c r="R2187" t="s">
        <v>29</v>
      </c>
    </row>
    <row r="2188" spans="1:18">
      <c r="A2188" t="s">
        <v>2321</v>
      </c>
      <c r="B2188" s="2">
        <v>45811</v>
      </c>
      <c r="C2188" t="s">
        <v>19</v>
      </c>
      <c r="D2188" t="s">
        <v>20</v>
      </c>
      <c r="E2188" t="s">
        <v>31</v>
      </c>
      <c r="F2188" t="s">
        <v>22</v>
      </c>
      <c r="G2188" t="s">
        <v>32</v>
      </c>
      <c r="H2188" t="s">
        <v>33</v>
      </c>
      <c r="I2188">
        <v>5</v>
      </c>
      <c r="J2188" s="3">
        <v>7403.26</v>
      </c>
      <c r="K2188" s="3">
        <v>37016.300000000003</v>
      </c>
      <c r="L2188" t="s">
        <v>25</v>
      </c>
      <c r="M2188" s="2">
        <v>45822</v>
      </c>
      <c r="N2188" s="2">
        <v>45821</v>
      </c>
      <c r="O2188" t="s">
        <v>26</v>
      </c>
      <c r="P2188" t="s">
        <v>35</v>
      </c>
      <c r="Q2188" t="s">
        <v>28</v>
      </c>
      <c r="R2188" t="s">
        <v>29</v>
      </c>
    </row>
    <row r="2189" spans="1:18">
      <c r="A2189" t="s">
        <v>2322</v>
      </c>
      <c r="B2189" s="2">
        <v>45895</v>
      </c>
      <c r="C2189" t="s">
        <v>142</v>
      </c>
      <c r="D2189" t="s">
        <v>143</v>
      </c>
      <c r="E2189" t="s">
        <v>31</v>
      </c>
      <c r="F2189" t="s">
        <v>22</v>
      </c>
      <c r="G2189" t="s">
        <v>160</v>
      </c>
      <c r="H2189" t="s">
        <v>161</v>
      </c>
      <c r="I2189">
        <v>14</v>
      </c>
      <c r="J2189" s="3">
        <v>3055.78</v>
      </c>
      <c r="K2189" s="3">
        <v>42780.92</v>
      </c>
      <c r="L2189" t="s">
        <v>25</v>
      </c>
      <c r="M2189" s="2">
        <v>45901</v>
      </c>
      <c r="N2189" s="2">
        <v>45898</v>
      </c>
      <c r="O2189" t="s">
        <v>26</v>
      </c>
      <c r="P2189" t="s">
        <v>35</v>
      </c>
      <c r="Q2189" t="s">
        <v>28</v>
      </c>
      <c r="R2189" t="s">
        <v>29</v>
      </c>
    </row>
    <row r="2190" spans="1:18">
      <c r="A2190" t="s">
        <v>2323</v>
      </c>
      <c r="B2190" s="2">
        <v>45723</v>
      </c>
      <c r="C2190" t="s">
        <v>107</v>
      </c>
      <c r="D2190" t="s">
        <v>108</v>
      </c>
      <c r="E2190" t="s">
        <v>31</v>
      </c>
      <c r="F2190" t="s">
        <v>91</v>
      </c>
      <c r="G2190" t="s">
        <v>109</v>
      </c>
      <c r="H2190" t="s">
        <v>110</v>
      </c>
      <c r="I2190">
        <v>1</v>
      </c>
      <c r="J2190" s="3">
        <v>13719.26</v>
      </c>
      <c r="K2190" s="3">
        <v>13719.26</v>
      </c>
      <c r="L2190" t="s">
        <v>34</v>
      </c>
      <c r="M2190" s="2">
        <v>45734</v>
      </c>
      <c r="N2190" s="2">
        <v>45732</v>
      </c>
      <c r="O2190" t="s">
        <v>43</v>
      </c>
      <c r="P2190" t="s">
        <v>94</v>
      </c>
      <c r="Q2190" t="s">
        <v>28</v>
      </c>
      <c r="R2190" t="s">
        <v>29</v>
      </c>
    </row>
    <row r="2191" spans="1:18">
      <c r="A2191" t="s">
        <v>2324</v>
      </c>
      <c r="B2191" s="2">
        <v>46146</v>
      </c>
      <c r="C2191" t="s">
        <v>46</v>
      </c>
      <c r="D2191" t="s">
        <v>47</v>
      </c>
      <c r="E2191" t="s">
        <v>73</v>
      </c>
      <c r="F2191" t="s">
        <v>49</v>
      </c>
      <c r="G2191" t="s">
        <v>68</v>
      </c>
      <c r="H2191" t="s">
        <v>69</v>
      </c>
      <c r="I2191">
        <v>1</v>
      </c>
      <c r="J2191" s="3">
        <v>51513.74</v>
      </c>
      <c r="K2191" s="3">
        <v>51513.74</v>
      </c>
      <c r="L2191" t="s">
        <v>25</v>
      </c>
      <c r="M2191" s="2">
        <v>46157</v>
      </c>
      <c r="N2191" s="2">
        <v>46156</v>
      </c>
      <c r="O2191" t="s">
        <v>76</v>
      </c>
      <c r="P2191" t="s">
        <v>77</v>
      </c>
      <c r="Q2191" t="s">
        <v>28</v>
      </c>
      <c r="R2191" t="s">
        <v>29</v>
      </c>
    </row>
    <row r="2192" spans="1:18">
      <c r="A2192" t="s">
        <v>2325</v>
      </c>
      <c r="B2192" s="2">
        <v>46017</v>
      </c>
      <c r="C2192" t="s">
        <v>131</v>
      </c>
      <c r="D2192" t="s">
        <v>132</v>
      </c>
      <c r="E2192" t="s">
        <v>73</v>
      </c>
      <c r="F2192" t="s">
        <v>57</v>
      </c>
      <c r="G2192" t="s">
        <v>120</v>
      </c>
      <c r="H2192" t="s">
        <v>121</v>
      </c>
      <c r="I2192">
        <v>1</v>
      </c>
      <c r="J2192" s="3">
        <v>22176.85</v>
      </c>
      <c r="K2192" s="3">
        <v>22176.85</v>
      </c>
      <c r="L2192" t="s">
        <v>25</v>
      </c>
      <c r="M2192" s="2">
        <v>46022</v>
      </c>
      <c r="N2192" s="2">
        <v>46020</v>
      </c>
      <c r="O2192" t="s">
        <v>26</v>
      </c>
      <c r="P2192" t="s">
        <v>77</v>
      </c>
      <c r="Q2192" t="s">
        <v>28</v>
      </c>
      <c r="R2192" t="s">
        <v>29</v>
      </c>
    </row>
    <row r="2193" spans="1:18">
      <c r="A2193" t="s">
        <v>2326</v>
      </c>
      <c r="B2193" s="2">
        <v>45879</v>
      </c>
      <c r="C2193" t="s">
        <v>104</v>
      </c>
      <c r="D2193" t="s">
        <v>105</v>
      </c>
      <c r="E2193" t="s">
        <v>48</v>
      </c>
      <c r="F2193" t="s">
        <v>49</v>
      </c>
      <c r="G2193" t="s">
        <v>68</v>
      </c>
      <c r="H2193" t="s">
        <v>69</v>
      </c>
      <c r="I2193">
        <v>3</v>
      </c>
      <c r="J2193" s="3">
        <v>49600.47</v>
      </c>
      <c r="K2193" s="3">
        <v>148801.41</v>
      </c>
      <c r="L2193" t="s">
        <v>34</v>
      </c>
      <c r="M2193" s="2">
        <v>45889</v>
      </c>
      <c r="N2193" s="2">
        <v>45889</v>
      </c>
      <c r="O2193" t="s">
        <v>43</v>
      </c>
      <c r="P2193" t="s">
        <v>53</v>
      </c>
      <c r="Q2193" t="s">
        <v>28</v>
      </c>
      <c r="R2193" t="s">
        <v>29</v>
      </c>
    </row>
    <row r="2194" spans="1:18">
      <c r="A2194" t="s">
        <v>2327</v>
      </c>
      <c r="B2194" s="2">
        <v>46151</v>
      </c>
      <c r="C2194" t="s">
        <v>89</v>
      </c>
      <c r="D2194" t="s">
        <v>90</v>
      </c>
      <c r="E2194" t="s">
        <v>31</v>
      </c>
      <c r="F2194" t="s">
        <v>91</v>
      </c>
      <c r="G2194" t="s">
        <v>92</v>
      </c>
      <c r="H2194" t="s">
        <v>93</v>
      </c>
      <c r="I2194">
        <v>1</v>
      </c>
      <c r="J2194" s="3">
        <v>43554.04</v>
      </c>
      <c r="K2194" s="3">
        <v>43554.04</v>
      </c>
      <c r="L2194" t="s">
        <v>52</v>
      </c>
      <c r="M2194" s="2">
        <v>46169</v>
      </c>
      <c r="N2194" s="2">
        <v>46169</v>
      </c>
      <c r="O2194" t="s">
        <v>43</v>
      </c>
      <c r="P2194" t="s">
        <v>35</v>
      </c>
      <c r="Q2194" t="s">
        <v>28</v>
      </c>
      <c r="R2194" t="s">
        <v>29</v>
      </c>
    </row>
    <row r="2195" spans="1:18">
      <c r="A2195" t="s">
        <v>2328</v>
      </c>
      <c r="B2195" s="2">
        <v>45750</v>
      </c>
      <c r="C2195" t="s">
        <v>142</v>
      </c>
      <c r="D2195" t="s">
        <v>143</v>
      </c>
      <c r="E2195" t="s">
        <v>31</v>
      </c>
      <c r="F2195" t="s">
        <v>22</v>
      </c>
      <c r="G2195" t="s">
        <v>23</v>
      </c>
      <c r="H2195" t="s">
        <v>24</v>
      </c>
      <c r="I2195">
        <v>55</v>
      </c>
      <c r="J2195" s="3">
        <v>244.05</v>
      </c>
      <c r="K2195" s="3">
        <v>13422.75</v>
      </c>
      <c r="L2195" t="s">
        <v>25</v>
      </c>
      <c r="M2195" s="2">
        <v>45766</v>
      </c>
      <c r="N2195" s="2">
        <v>45764</v>
      </c>
      <c r="O2195" t="s">
        <v>43</v>
      </c>
      <c r="P2195" t="s">
        <v>94</v>
      </c>
      <c r="Q2195" t="s">
        <v>28</v>
      </c>
      <c r="R2195" t="s">
        <v>29</v>
      </c>
    </row>
    <row r="2196" spans="1:18">
      <c r="A2196" t="s">
        <v>2329</v>
      </c>
      <c r="B2196" s="2">
        <v>46079</v>
      </c>
      <c r="C2196" t="s">
        <v>37</v>
      </c>
      <c r="D2196" t="s">
        <v>38</v>
      </c>
      <c r="E2196" t="s">
        <v>39</v>
      </c>
      <c r="F2196" t="s">
        <v>40</v>
      </c>
      <c r="G2196" t="s">
        <v>62</v>
      </c>
      <c r="H2196" t="s">
        <v>63</v>
      </c>
      <c r="I2196">
        <v>1</v>
      </c>
      <c r="J2196" s="3">
        <v>19017.07</v>
      </c>
      <c r="K2196" s="3">
        <v>19017.07</v>
      </c>
      <c r="L2196" t="s">
        <v>34</v>
      </c>
      <c r="M2196" s="2">
        <v>46094</v>
      </c>
      <c r="N2196" s="2">
        <v>46093</v>
      </c>
      <c r="O2196" t="s">
        <v>26</v>
      </c>
      <c r="P2196" t="s">
        <v>64</v>
      </c>
      <c r="Q2196" t="s">
        <v>28</v>
      </c>
      <c r="R2196" t="s">
        <v>29</v>
      </c>
    </row>
    <row r="2197" spans="1:18">
      <c r="A2197" t="s">
        <v>2330</v>
      </c>
      <c r="B2197" s="2">
        <v>46032</v>
      </c>
      <c r="C2197" t="s">
        <v>46</v>
      </c>
      <c r="D2197" t="s">
        <v>47</v>
      </c>
      <c r="E2197" t="s">
        <v>112</v>
      </c>
      <c r="F2197" t="s">
        <v>49</v>
      </c>
      <c r="G2197" t="s">
        <v>113</v>
      </c>
      <c r="H2197" t="s">
        <v>114</v>
      </c>
      <c r="I2197">
        <v>3</v>
      </c>
      <c r="J2197" s="3">
        <v>38972.339999999997</v>
      </c>
      <c r="K2197" s="3">
        <v>116917.02</v>
      </c>
      <c r="L2197" t="s">
        <v>25</v>
      </c>
      <c r="M2197" s="2">
        <v>46040</v>
      </c>
      <c r="N2197" s="2">
        <v>46039</v>
      </c>
      <c r="O2197" t="s">
        <v>26</v>
      </c>
      <c r="P2197" t="s">
        <v>115</v>
      </c>
      <c r="Q2197" t="s">
        <v>28</v>
      </c>
      <c r="R2197" t="s">
        <v>29</v>
      </c>
    </row>
    <row r="2198" spans="1:18">
      <c r="A2198" t="s">
        <v>2331</v>
      </c>
      <c r="B2198" s="2">
        <v>46019</v>
      </c>
      <c r="C2198" t="s">
        <v>96</v>
      </c>
      <c r="D2198" t="s">
        <v>97</v>
      </c>
      <c r="E2198" t="s">
        <v>39</v>
      </c>
      <c r="F2198" t="s">
        <v>82</v>
      </c>
      <c r="G2198" t="s">
        <v>98</v>
      </c>
      <c r="H2198" t="s">
        <v>99</v>
      </c>
      <c r="I2198">
        <v>57</v>
      </c>
      <c r="J2198" s="3">
        <v>1120.49</v>
      </c>
      <c r="K2198" s="3">
        <v>63867.93</v>
      </c>
      <c r="L2198" t="s">
        <v>52</v>
      </c>
      <c r="M2198" s="2">
        <v>46027</v>
      </c>
      <c r="N2198" s="2">
        <v>46027</v>
      </c>
      <c r="O2198" t="s">
        <v>60</v>
      </c>
      <c r="P2198" t="s">
        <v>44</v>
      </c>
      <c r="Q2198" t="s">
        <v>28</v>
      </c>
      <c r="R2198" t="s">
        <v>29</v>
      </c>
    </row>
    <row r="2199" spans="1:18">
      <c r="A2199" t="s">
        <v>2332</v>
      </c>
      <c r="B2199" s="2">
        <v>46029</v>
      </c>
      <c r="C2199" t="s">
        <v>142</v>
      </c>
      <c r="D2199" t="s">
        <v>143</v>
      </c>
      <c r="E2199" t="s">
        <v>21</v>
      </c>
      <c r="F2199" t="s">
        <v>22</v>
      </c>
      <c r="G2199" t="s">
        <v>32</v>
      </c>
      <c r="H2199" t="s">
        <v>33</v>
      </c>
      <c r="I2199">
        <v>7</v>
      </c>
      <c r="J2199" s="3">
        <v>7867.71</v>
      </c>
      <c r="K2199" s="3">
        <v>55073.97</v>
      </c>
      <c r="L2199" t="s">
        <v>52</v>
      </c>
      <c r="M2199" s="2">
        <v>46040</v>
      </c>
      <c r="N2199" s="2">
        <v>46039</v>
      </c>
      <c r="O2199" t="s">
        <v>26</v>
      </c>
      <c r="P2199" t="s">
        <v>27</v>
      </c>
      <c r="Q2199" t="s">
        <v>28</v>
      </c>
      <c r="R2199" t="s">
        <v>29</v>
      </c>
    </row>
    <row r="2200" spans="1:18">
      <c r="A2200" t="s">
        <v>2333</v>
      </c>
      <c r="B2200" s="2">
        <v>46055</v>
      </c>
      <c r="C2200" t="s">
        <v>55</v>
      </c>
      <c r="D2200" t="s">
        <v>56</v>
      </c>
      <c r="E2200" t="s">
        <v>48</v>
      </c>
      <c r="F2200" t="s">
        <v>57</v>
      </c>
      <c r="G2200" t="s">
        <v>74</v>
      </c>
      <c r="H2200" t="s">
        <v>75</v>
      </c>
      <c r="I2200">
        <v>3</v>
      </c>
      <c r="J2200" s="3">
        <v>9810.39</v>
      </c>
      <c r="K2200" s="3">
        <v>29431.17</v>
      </c>
      <c r="L2200" t="s">
        <v>25</v>
      </c>
      <c r="M2200" s="2">
        <v>46061</v>
      </c>
      <c r="N2200" s="2">
        <v>46058</v>
      </c>
      <c r="O2200" t="s">
        <v>43</v>
      </c>
      <c r="P2200" t="s">
        <v>53</v>
      </c>
      <c r="Q2200" t="s">
        <v>28</v>
      </c>
      <c r="R2200" t="s">
        <v>29</v>
      </c>
    </row>
    <row r="2201" spans="1:18">
      <c r="A2201" t="s">
        <v>2334</v>
      </c>
      <c r="B2201" s="2">
        <v>45884</v>
      </c>
      <c r="C2201" t="s">
        <v>134</v>
      </c>
      <c r="D2201" t="s">
        <v>135</v>
      </c>
      <c r="E2201" t="s">
        <v>39</v>
      </c>
      <c r="F2201" t="s">
        <v>40</v>
      </c>
      <c r="G2201" t="s">
        <v>62</v>
      </c>
      <c r="H2201" t="s">
        <v>63</v>
      </c>
      <c r="I2201">
        <v>1</v>
      </c>
      <c r="J2201" s="3">
        <v>19283.93</v>
      </c>
      <c r="K2201" s="3">
        <v>19283.93</v>
      </c>
      <c r="L2201" t="s">
        <v>25</v>
      </c>
      <c r="M2201" s="2">
        <v>45895</v>
      </c>
      <c r="N2201" s="2">
        <v>45894</v>
      </c>
      <c r="O2201" t="s">
        <v>76</v>
      </c>
      <c r="P2201" t="s">
        <v>44</v>
      </c>
      <c r="Q2201" t="s">
        <v>28</v>
      </c>
      <c r="R2201" t="s">
        <v>29</v>
      </c>
    </row>
    <row r="2202" spans="1:18">
      <c r="A2202" t="s">
        <v>2335</v>
      </c>
      <c r="B2202" s="2">
        <v>46098</v>
      </c>
      <c r="C2202" t="s">
        <v>131</v>
      </c>
      <c r="D2202" t="s">
        <v>132</v>
      </c>
      <c r="E2202" t="s">
        <v>48</v>
      </c>
      <c r="F2202" t="s">
        <v>57</v>
      </c>
      <c r="G2202" t="s">
        <v>101</v>
      </c>
      <c r="H2202" t="s">
        <v>102</v>
      </c>
      <c r="I2202">
        <v>45</v>
      </c>
      <c r="J2202" s="3">
        <v>1931.06</v>
      </c>
      <c r="K2202" s="3">
        <v>86897.7</v>
      </c>
      <c r="L2202" t="s">
        <v>52</v>
      </c>
      <c r="M2202" s="2">
        <v>46104</v>
      </c>
      <c r="N2202" s="2">
        <v>46101</v>
      </c>
      <c r="O2202" t="s">
        <v>43</v>
      </c>
      <c r="P2202" t="s">
        <v>53</v>
      </c>
      <c r="Q2202" t="s">
        <v>28</v>
      </c>
      <c r="R2202" t="s">
        <v>29</v>
      </c>
    </row>
    <row r="2203" spans="1:18">
      <c r="A2203" t="s">
        <v>2336</v>
      </c>
      <c r="B2203" s="2">
        <v>46025</v>
      </c>
      <c r="C2203" t="s">
        <v>19</v>
      </c>
      <c r="D2203" t="s">
        <v>20</v>
      </c>
      <c r="E2203" t="s">
        <v>39</v>
      </c>
      <c r="F2203" t="s">
        <v>22</v>
      </c>
      <c r="G2203" t="s">
        <v>23</v>
      </c>
      <c r="H2203" t="s">
        <v>24</v>
      </c>
      <c r="I2203">
        <v>55</v>
      </c>
      <c r="J2203" s="3">
        <v>236.01</v>
      </c>
      <c r="K2203" s="3">
        <v>12980.55</v>
      </c>
      <c r="L2203" t="s">
        <v>25</v>
      </c>
      <c r="M2203" s="2">
        <v>46036</v>
      </c>
      <c r="N2203" s="2">
        <v>46039</v>
      </c>
      <c r="O2203" t="s">
        <v>76</v>
      </c>
      <c r="P2203" t="s">
        <v>64</v>
      </c>
      <c r="Q2203" t="s">
        <v>28</v>
      </c>
      <c r="R2203" t="s">
        <v>129</v>
      </c>
    </row>
    <row r="2204" spans="1:18">
      <c r="A2204" t="s">
        <v>2337</v>
      </c>
      <c r="B2204" s="2">
        <v>45671</v>
      </c>
      <c r="C2204" t="s">
        <v>66</v>
      </c>
      <c r="D2204" t="s">
        <v>67</v>
      </c>
      <c r="E2204" t="s">
        <v>48</v>
      </c>
      <c r="F2204" t="s">
        <v>49</v>
      </c>
      <c r="G2204" t="s">
        <v>113</v>
      </c>
      <c r="H2204" t="s">
        <v>114</v>
      </c>
      <c r="I2204">
        <v>3</v>
      </c>
      <c r="J2204" s="3">
        <v>37712.65</v>
      </c>
      <c r="K2204" s="3">
        <v>113137.95</v>
      </c>
      <c r="L2204" t="s">
        <v>25</v>
      </c>
      <c r="M2204" s="2">
        <v>45683</v>
      </c>
      <c r="N2204" s="2">
        <v>45681</v>
      </c>
      <c r="O2204" t="s">
        <v>26</v>
      </c>
      <c r="P2204" t="s">
        <v>53</v>
      </c>
      <c r="Q2204" t="s">
        <v>28</v>
      </c>
      <c r="R2204" t="s">
        <v>29</v>
      </c>
    </row>
    <row r="2205" spans="1:18">
      <c r="A2205" t="s">
        <v>2338</v>
      </c>
      <c r="B2205" s="2">
        <v>46093</v>
      </c>
      <c r="C2205" t="s">
        <v>117</v>
      </c>
      <c r="D2205" t="s">
        <v>118</v>
      </c>
      <c r="E2205" t="s">
        <v>21</v>
      </c>
      <c r="F2205" t="s">
        <v>57</v>
      </c>
      <c r="G2205" t="s">
        <v>58</v>
      </c>
      <c r="H2205" t="s">
        <v>59</v>
      </c>
      <c r="I2205">
        <v>6</v>
      </c>
      <c r="J2205" s="3">
        <v>57121.01</v>
      </c>
      <c r="K2205" s="3">
        <v>342726.06</v>
      </c>
      <c r="L2205" t="s">
        <v>25</v>
      </c>
      <c r="M2205" s="2">
        <v>46111</v>
      </c>
      <c r="N2205" s="2">
        <v>46111</v>
      </c>
      <c r="O2205" t="s">
        <v>26</v>
      </c>
      <c r="P2205" t="s">
        <v>27</v>
      </c>
      <c r="Q2205" t="s">
        <v>28</v>
      </c>
      <c r="R2205" t="s">
        <v>29</v>
      </c>
    </row>
    <row r="2206" spans="1:18">
      <c r="A2206" t="s">
        <v>2339</v>
      </c>
      <c r="B2206" s="2">
        <v>45926</v>
      </c>
      <c r="C2206" t="s">
        <v>71</v>
      </c>
      <c r="D2206" t="s">
        <v>72</v>
      </c>
      <c r="E2206" t="s">
        <v>73</v>
      </c>
      <c r="F2206" t="s">
        <v>57</v>
      </c>
      <c r="G2206" t="s">
        <v>86</v>
      </c>
      <c r="H2206" t="s">
        <v>87</v>
      </c>
      <c r="I2206">
        <v>6</v>
      </c>
      <c r="J2206" s="3">
        <v>10369.25</v>
      </c>
      <c r="K2206" s="3">
        <v>62215.5</v>
      </c>
      <c r="L2206" t="s">
        <v>25</v>
      </c>
      <c r="M2206" s="2">
        <v>45940</v>
      </c>
      <c r="N2206" s="2">
        <v>45937</v>
      </c>
      <c r="O2206" t="s">
        <v>76</v>
      </c>
      <c r="P2206" t="s">
        <v>77</v>
      </c>
      <c r="Q2206" t="s">
        <v>28</v>
      </c>
      <c r="R2206" t="s">
        <v>29</v>
      </c>
    </row>
    <row r="2207" spans="1:18">
      <c r="A2207" t="s">
        <v>2340</v>
      </c>
      <c r="B2207" s="2">
        <v>45970</v>
      </c>
      <c r="C2207" t="s">
        <v>107</v>
      </c>
      <c r="D2207" t="s">
        <v>108</v>
      </c>
      <c r="E2207" t="s">
        <v>31</v>
      </c>
      <c r="F2207" t="s">
        <v>91</v>
      </c>
      <c r="G2207" t="s">
        <v>109</v>
      </c>
      <c r="H2207" t="s">
        <v>110</v>
      </c>
      <c r="I2207">
        <v>2</v>
      </c>
      <c r="J2207" s="3">
        <v>13762.2</v>
      </c>
      <c r="K2207" s="3">
        <v>27524.400000000001</v>
      </c>
      <c r="L2207" t="s">
        <v>34</v>
      </c>
      <c r="M2207" s="2">
        <v>45981</v>
      </c>
      <c r="N2207" s="2">
        <v>45980</v>
      </c>
      <c r="O2207" t="s">
        <v>76</v>
      </c>
      <c r="P2207" t="s">
        <v>35</v>
      </c>
      <c r="Q2207" t="s">
        <v>28</v>
      </c>
      <c r="R2207" t="s">
        <v>29</v>
      </c>
    </row>
    <row r="2208" spans="1:18">
      <c r="A2208" t="s">
        <v>2341</v>
      </c>
      <c r="B2208" s="2">
        <v>46011</v>
      </c>
      <c r="C2208" t="s">
        <v>37</v>
      </c>
      <c r="D2208" t="s">
        <v>38</v>
      </c>
      <c r="E2208" t="s">
        <v>39</v>
      </c>
      <c r="F2208" t="s">
        <v>40</v>
      </c>
      <c r="G2208" t="s">
        <v>62</v>
      </c>
      <c r="H2208" t="s">
        <v>63</v>
      </c>
      <c r="I2208">
        <v>7</v>
      </c>
      <c r="J2208" s="3">
        <v>20749.849999999999</v>
      </c>
      <c r="K2208" s="3">
        <v>145248.95000000001</v>
      </c>
      <c r="L2208" t="s">
        <v>34</v>
      </c>
      <c r="M2208" s="2">
        <v>46017</v>
      </c>
      <c r="N2208" s="2">
        <v>46015</v>
      </c>
      <c r="O2208" t="s">
        <v>60</v>
      </c>
      <c r="P2208" t="s">
        <v>44</v>
      </c>
      <c r="Q2208" t="s">
        <v>28</v>
      </c>
      <c r="R2208" t="s">
        <v>29</v>
      </c>
    </row>
    <row r="2209" spans="1:18">
      <c r="A2209" t="s">
        <v>2342</v>
      </c>
      <c r="B2209" s="2">
        <v>45672</v>
      </c>
      <c r="C2209" t="s">
        <v>46</v>
      </c>
      <c r="D2209" t="s">
        <v>47</v>
      </c>
      <c r="E2209" t="s">
        <v>48</v>
      </c>
      <c r="F2209" t="s">
        <v>49</v>
      </c>
      <c r="G2209" t="s">
        <v>50</v>
      </c>
      <c r="H2209" t="s">
        <v>51</v>
      </c>
      <c r="I2209">
        <v>2</v>
      </c>
      <c r="J2209" s="3">
        <v>55127.67</v>
      </c>
      <c r="K2209" s="3">
        <v>110255.34</v>
      </c>
      <c r="L2209" t="s">
        <v>25</v>
      </c>
      <c r="M2209" s="2">
        <v>45678</v>
      </c>
      <c r="N2209" s="2">
        <v>45675</v>
      </c>
      <c r="O2209" t="s">
        <v>60</v>
      </c>
      <c r="P2209" t="s">
        <v>53</v>
      </c>
      <c r="Q2209" t="s">
        <v>28</v>
      </c>
      <c r="R2209" t="s">
        <v>29</v>
      </c>
    </row>
    <row r="2210" spans="1:18">
      <c r="A2210" t="s">
        <v>2343</v>
      </c>
      <c r="B2210" s="2">
        <v>45973</v>
      </c>
      <c r="C2210" t="s">
        <v>134</v>
      </c>
      <c r="D2210" t="s">
        <v>135</v>
      </c>
      <c r="E2210" t="s">
        <v>39</v>
      </c>
      <c r="F2210" t="s">
        <v>40</v>
      </c>
      <c r="G2210" t="s">
        <v>62</v>
      </c>
      <c r="H2210" t="s">
        <v>63</v>
      </c>
      <c r="I2210">
        <v>7</v>
      </c>
      <c r="J2210" s="3">
        <v>17836.54</v>
      </c>
      <c r="K2210" s="3">
        <v>124855.78</v>
      </c>
      <c r="L2210" t="s">
        <v>34</v>
      </c>
      <c r="M2210" s="2">
        <v>45983</v>
      </c>
      <c r="N2210" s="2">
        <v>45980</v>
      </c>
      <c r="O2210" t="s">
        <v>76</v>
      </c>
      <c r="P2210" t="s">
        <v>64</v>
      </c>
      <c r="Q2210" t="s">
        <v>28</v>
      </c>
      <c r="R2210" t="s">
        <v>29</v>
      </c>
    </row>
    <row r="2211" spans="1:18">
      <c r="A2211" t="s">
        <v>2344</v>
      </c>
      <c r="B2211" s="2">
        <v>45819</v>
      </c>
      <c r="C2211" t="s">
        <v>104</v>
      </c>
      <c r="D2211" t="s">
        <v>105</v>
      </c>
      <c r="E2211" t="s">
        <v>73</v>
      </c>
      <c r="F2211" t="s">
        <v>49</v>
      </c>
      <c r="G2211" t="s">
        <v>50</v>
      </c>
      <c r="H2211" t="s">
        <v>51</v>
      </c>
      <c r="I2211">
        <v>1</v>
      </c>
      <c r="J2211" s="3">
        <v>53274.62</v>
      </c>
      <c r="K2211" s="3">
        <v>53274.62</v>
      </c>
      <c r="L2211" t="s">
        <v>52</v>
      </c>
      <c r="M2211" s="2">
        <v>45829</v>
      </c>
      <c r="N2211" s="2">
        <v>45828</v>
      </c>
      <c r="O2211" t="s">
        <v>76</v>
      </c>
      <c r="P2211" t="s">
        <v>77</v>
      </c>
      <c r="Q2211" t="s">
        <v>28</v>
      </c>
      <c r="R2211" t="s">
        <v>29</v>
      </c>
    </row>
    <row r="2212" spans="1:18">
      <c r="A2212" t="s">
        <v>2345</v>
      </c>
      <c r="B2212" s="2">
        <v>45658</v>
      </c>
      <c r="C2212" t="s">
        <v>66</v>
      </c>
      <c r="D2212" t="s">
        <v>67</v>
      </c>
      <c r="E2212" t="s">
        <v>48</v>
      </c>
      <c r="F2212" t="s">
        <v>49</v>
      </c>
      <c r="G2212" t="s">
        <v>68</v>
      </c>
      <c r="H2212" t="s">
        <v>69</v>
      </c>
      <c r="I2212">
        <v>1</v>
      </c>
      <c r="J2212" s="3">
        <v>46594.239999999998</v>
      </c>
      <c r="K2212" s="3">
        <v>46594.239999999998</v>
      </c>
      <c r="L2212" t="s">
        <v>25</v>
      </c>
      <c r="M2212" s="2">
        <v>45668</v>
      </c>
      <c r="N2212" s="2">
        <v>45668</v>
      </c>
      <c r="O2212" t="s">
        <v>26</v>
      </c>
      <c r="P2212" t="s">
        <v>53</v>
      </c>
      <c r="Q2212" t="s">
        <v>28</v>
      </c>
      <c r="R2212" t="s">
        <v>29</v>
      </c>
    </row>
    <row r="2213" spans="1:18">
      <c r="A2213" t="s">
        <v>2346</v>
      </c>
      <c r="B2213" s="2">
        <v>45891</v>
      </c>
      <c r="C2213" t="s">
        <v>117</v>
      </c>
      <c r="D2213" t="s">
        <v>118</v>
      </c>
      <c r="E2213" t="s">
        <v>48</v>
      </c>
      <c r="F2213" t="s">
        <v>57</v>
      </c>
      <c r="G2213" t="s">
        <v>120</v>
      </c>
      <c r="H2213" t="s">
        <v>121</v>
      </c>
      <c r="I2213">
        <v>7</v>
      </c>
      <c r="J2213" s="3">
        <v>21708.17</v>
      </c>
      <c r="K2213" s="3">
        <v>151957.19</v>
      </c>
      <c r="L2213" t="s">
        <v>25</v>
      </c>
      <c r="M2213" s="2">
        <v>45896</v>
      </c>
      <c r="N2213" s="2">
        <v>45895</v>
      </c>
      <c r="O2213" t="s">
        <v>26</v>
      </c>
      <c r="P2213" t="s">
        <v>53</v>
      </c>
      <c r="Q2213" t="s">
        <v>28</v>
      </c>
      <c r="R2213" t="s">
        <v>29</v>
      </c>
    </row>
    <row r="2214" spans="1:18">
      <c r="A2214" t="s">
        <v>2347</v>
      </c>
      <c r="B2214" s="2">
        <v>45811</v>
      </c>
      <c r="C2214" t="s">
        <v>71</v>
      </c>
      <c r="D2214" t="s">
        <v>72</v>
      </c>
      <c r="E2214" t="s">
        <v>48</v>
      </c>
      <c r="F2214" t="s">
        <v>57</v>
      </c>
      <c r="G2214" t="s">
        <v>101</v>
      </c>
      <c r="H2214" t="s">
        <v>102</v>
      </c>
      <c r="I2214">
        <v>42</v>
      </c>
      <c r="J2214" s="3">
        <v>1749.98</v>
      </c>
      <c r="K2214" s="3">
        <v>73499.16</v>
      </c>
      <c r="L2214" t="s">
        <v>34</v>
      </c>
      <c r="M2214" s="2">
        <v>45820</v>
      </c>
      <c r="N2214" s="2">
        <v>45819</v>
      </c>
      <c r="O2214" t="s">
        <v>76</v>
      </c>
      <c r="P2214" t="s">
        <v>53</v>
      </c>
      <c r="Q2214" t="s">
        <v>28</v>
      </c>
      <c r="R2214" t="s">
        <v>29</v>
      </c>
    </row>
    <row r="2215" spans="1:18">
      <c r="A2215" t="s">
        <v>2348</v>
      </c>
      <c r="B2215" s="2">
        <v>46155</v>
      </c>
      <c r="C2215" t="s">
        <v>37</v>
      </c>
      <c r="D2215" t="s">
        <v>38</v>
      </c>
      <c r="E2215" t="s">
        <v>21</v>
      </c>
      <c r="F2215" t="s">
        <v>22</v>
      </c>
      <c r="G2215" t="s">
        <v>32</v>
      </c>
      <c r="H2215" t="s">
        <v>33</v>
      </c>
      <c r="I2215">
        <v>14</v>
      </c>
      <c r="J2215" s="3">
        <v>8361.8700000000008</v>
      </c>
      <c r="K2215" s="3">
        <v>117066.18</v>
      </c>
      <c r="L2215" t="s">
        <v>34</v>
      </c>
      <c r="M2215" s="2">
        <v>46167</v>
      </c>
      <c r="N2215" s="2">
        <v>46166</v>
      </c>
      <c r="O2215" t="s">
        <v>76</v>
      </c>
      <c r="P2215" t="s">
        <v>27</v>
      </c>
      <c r="Q2215" t="s">
        <v>28</v>
      </c>
      <c r="R2215" t="s">
        <v>29</v>
      </c>
    </row>
    <row r="2216" spans="1:18">
      <c r="A2216" t="s">
        <v>2349</v>
      </c>
      <c r="B2216" s="2">
        <v>45810</v>
      </c>
      <c r="C2216" t="s">
        <v>96</v>
      </c>
      <c r="D2216" t="s">
        <v>97</v>
      </c>
      <c r="E2216" t="s">
        <v>39</v>
      </c>
      <c r="F2216" t="s">
        <v>82</v>
      </c>
      <c r="G2216" t="s">
        <v>83</v>
      </c>
      <c r="H2216" t="s">
        <v>84</v>
      </c>
      <c r="I2216">
        <v>44</v>
      </c>
      <c r="J2216" s="3">
        <v>712.31</v>
      </c>
      <c r="K2216" s="3">
        <v>31341.64</v>
      </c>
      <c r="L2216" t="s">
        <v>25</v>
      </c>
      <c r="M2216" s="2">
        <v>45824</v>
      </c>
      <c r="N2216" s="2">
        <v>45824</v>
      </c>
      <c r="O2216" t="s">
        <v>43</v>
      </c>
      <c r="P2216" t="s">
        <v>64</v>
      </c>
      <c r="Q2216" t="s">
        <v>28</v>
      </c>
      <c r="R2216" t="s">
        <v>29</v>
      </c>
    </row>
    <row r="2217" spans="1:18">
      <c r="A2217" t="s">
        <v>2350</v>
      </c>
      <c r="B2217" s="2">
        <v>46050</v>
      </c>
      <c r="C2217" t="s">
        <v>66</v>
      </c>
      <c r="D2217" t="s">
        <v>67</v>
      </c>
      <c r="E2217" t="s">
        <v>21</v>
      </c>
      <c r="F2217" t="s">
        <v>49</v>
      </c>
      <c r="G2217" t="s">
        <v>165</v>
      </c>
      <c r="H2217" t="s">
        <v>166</v>
      </c>
      <c r="I2217">
        <v>3</v>
      </c>
      <c r="J2217" s="3">
        <v>43944.14</v>
      </c>
      <c r="K2217" s="3">
        <v>131832.42000000001</v>
      </c>
      <c r="L2217" t="s">
        <v>34</v>
      </c>
      <c r="M2217" s="2">
        <v>46067</v>
      </c>
      <c r="N2217" s="2">
        <v>46066</v>
      </c>
      <c r="O2217" t="s">
        <v>76</v>
      </c>
      <c r="P2217" t="s">
        <v>27</v>
      </c>
      <c r="Q2217" t="s">
        <v>28</v>
      </c>
      <c r="R2217" t="s">
        <v>29</v>
      </c>
    </row>
    <row r="2218" spans="1:18">
      <c r="A2218" t="s">
        <v>2351</v>
      </c>
      <c r="B2218" s="2">
        <v>46085</v>
      </c>
      <c r="C2218" t="s">
        <v>71</v>
      </c>
      <c r="D2218" t="s">
        <v>72</v>
      </c>
      <c r="E2218" t="s">
        <v>48</v>
      </c>
      <c r="F2218" t="s">
        <v>57</v>
      </c>
      <c r="G2218" t="s">
        <v>86</v>
      </c>
      <c r="H2218" t="s">
        <v>87</v>
      </c>
      <c r="I2218">
        <v>3</v>
      </c>
      <c r="J2218" s="3">
        <v>10694.39</v>
      </c>
      <c r="K2218" s="3">
        <v>32083.17</v>
      </c>
      <c r="L2218" t="s">
        <v>25</v>
      </c>
      <c r="M2218" s="2">
        <v>46095</v>
      </c>
      <c r="N2218" s="2">
        <v>46094</v>
      </c>
      <c r="O2218" t="s">
        <v>76</v>
      </c>
      <c r="P2218" t="s">
        <v>53</v>
      </c>
      <c r="Q2218" t="s">
        <v>28</v>
      </c>
      <c r="R2218" t="s">
        <v>29</v>
      </c>
    </row>
    <row r="2219" spans="1:18">
      <c r="A2219" t="s">
        <v>2352</v>
      </c>
      <c r="B2219" s="2">
        <v>45992</v>
      </c>
      <c r="C2219" t="s">
        <v>46</v>
      </c>
      <c r="D2219" t="s">
        <v>47</v>
      </c>
      <c r="E2219" t="s">
        <v>112</v>
      </c>
      <c r="F2219" t="s">
        <v>49</v>
      </c>
      <c r="G2219" t="s">
        <v>50</v>
      </c>
      <c r="H2219" t="s">
        <v>51</v>
      </c>
      <c r="I2219">
        <v>1</v>
      </c>
      <c r="J2219" s="3">
        <v>54557.81</v>
      </c>
      <c r="K2219" s="3">
        <v>54557.81</v>
      </c>
      <c r="L2219" t="s">
        <v>34</v>
      </c>
      <c r="M2219" s="2">
        <v>46001</v>
      </c>
      <c r="N2219" s="2">
        <v>46000</v>
      </c>
      <c r="O2219" t="s">
        <v>26</v>
      </c>
      <c r="P2219" t="s">
        <v>115</v>
      </c>
      <c r="Q2219" t="s">
        <v>28</v>
      </c>
      <c r="R2219" t="s">
        <v>29</v>
      </c>
    </row>
    <row r="2220" spans="1:18">
      <c r="A2220" t="s">
        <v>2353</v>
      </c>
      <c r="B2220" s="2">
        <v>45820</v>
      </c>
      <c r="C2220" t="s">
        <v>104</v>
      </c>
      <c r="D2220" t="s">
        <v>105</v>
      </c>
      <c r="E2220" t="s">
        <v>21</v>
      </c>
      <c r="F2220" t="s">
        <v>49</v>
      </c>
      <c r="G2220" t="s">
        <v>68</v>
      </c>
      <c r="H2220" t="s">
        <v>69</v>
      </c>
      <c r="I2220">
        <v>1</v>
      </c>
      <c r="J2220" s="3">
        <v>50033.15</v>
      </c>
      <c r="K2220" s="3">
        <v>50033.15</v>
      </c>
      <c r="L2220" t="s">
        <v>25</v>
      </c>
      <c r="M2220" s="2">
        <v>45833</v>
      </c>
      <c r="N2220" s="2">
        <v>45830</v>
      </c>
      <c r="O2220" t="s">
        <v>60</v>
      </c>
      <c r="P2220" t="s">
        <v>27</v>
      </c>
      <c r="Q2220" t="s">
        <v>28</v>
      </c>
      <c r="R2220" t="s">
        <v>29</v>
      </c>
    </row>
    <row r="2221" spans="1:18">
      <c r="A2221" t="s">
        <v>2354</v>
      </c>
      <c r="B2221" s="2">
        <v>45790</v>
      </c>
      <c r="C2221" t="s">
        <v>107</v>
      </c>
      <c r="D2221" t="s">
        <v>108</v>
      </c>
      <c r="E2221" t="s">
        <v>31</v>
      </c>
      <c r="F2221" t="s">
        <v>91</v>
      </c>
      <c r="G2221" t="s">
        <v>92</v>
      </c>
      <c r="H2221" t="s">
        <v>93</v>
      </c>
      <c r="I2221">
        <v>2</v>
      </c>
      <c r="J2221" s="3">
        <v>47768.01</v>
      </c>
      <c r="K2221" s="3">
        <v>95536.02</v>
      </c>
      <c r="L2221" t="s">
        <v>25</v>
      </c>
      <c r="M2221" s="2">
        <v>45803</v>
      </c>
      <c r="N2221" s="2">
        <v>45802</v>
      </c>
      <c r="O2221" t="s">
        <v>26</v>
      </c>
      <c r="P2221" t="s">
        <v>35</v>
      </c>
      <c r="Q2221" t="s">
        <v>28</v>
      </c>
      <c r="R2221" t="s">
        <v>29</v>
      </c>
    </row>
    <row r="2222" spans="1:18">
      <c r="A2222" t="s">
        <v>2355</v>
      </c>
      <c r="B2222" s="2">
        <v>45789</v>
      </c>
      <c r="C2222" t="s">
        <v>46</v>
      </c>
      <c r="D2222" t="s">
        <v>47</v>
      </c>
      <c r="E2222" t="s">
        <v>48</v>
      </c>
      <c r="F2222" t="s">
        <v>49</v>
      </c>
      <c r="G2222" t="s">
        <v>165</v>
      </c>
      <c r="H2222" t="s">
        <v>166</v>
      </c>
      <c r="I2222">
        <v>1</v>
      </c>
      <c r="J2222" s="3">
        <v>49829.86</v>
      </c>
      <c r="K2222" s="3">
        <v>49829.86</v>
      </c>
      <c r="L2222" t="s">
        <v>25</v>
      </c>
      <c r="M2222" s="2">
        <v>45806</v>
      </c>
      <c r="N2222" s="2">
        <v>45805</v>
      </c>
      <c r="O2222" t="s">
        <v>43</v>
      </c>
      <c r="P2222" t="s">
        <v>53</v>
      </c>
      <c r="Q2222" t="s">
        <v>28</v>
      </c>
      <c r="R2222" t="s">
        <v>29</v>
      </c>
    </row>
    <row r="2223" spans="1:18">
      <c r="A2223" t="s">
        <v>2356</v>
      </c>
      <c r="B2223" s="2">
        <v>46054</v>
      </c>
      <c r="C2223" t="s">
        <v>134</v>
      </c>
      <c r="D2223" t="s">
        <v>135</v>
      </c>
      <c r="E2223" t="s">
        <v>112</v>
      </c>
      <c r="F2223" t="s">
        <v>40</v>
      </c>
      <c r="G2223" t="s">
        <v>149</v>
      </c>
      <c r="H2223" t="s">
        <v>150</v>
      </c>
      <c r="I2223">
        <v>29</v>
      </c>
      <c r="J2223" s="3">
        <v>1401.37</v>
      </c>
      <c r="K2223" s="3">
        <v>40639.730000000003</v>
      </c>
      <c r="L2223" t="s">
        <v>25</v>
      </c>
      <c r="M2223" s="2">
        <v>46063</v>
      </c>
      <c r="N2223" s="2">
        <v>46060</v>
      </c>
      <c r="O2223" t="s">
        <v>26</v>
      </c>
      <c r="P2223" t="s">
        <v>115</v>
      </c>
      <c r="Q2223" t="s">
        <v>28</v>
      </c>
      <c r="R2223" t="s">
        <v>29</v>
      </c>
    </row>
    <row r="2224" spans="1:18">
      <c r="A2224" t="s">
        <v>2357</v>
      </c>
      <c r="B2224" s="2">
        <v>45728</v>
      </c>
      <c r="C2224" t="s">
        <v>71</v>
      </c>
      <c r="D2224" t="s">
        <v>72</v>
      </c>
      <c r="E2224" t="s">
        <v>31</v>
      </c>
      <c r="F2224" t="s">
        <v>57</v>
      </c>
      <c r="G2224" t="s">
        <v>101</v>
      </c>
      <c r="H2224" t="s">
        <v>102</v>
      </c>
      <c r="I2224">
        <v>28</v>
      </c>
      <c r="J2224" s="3">
        <v>1719.72</v>
      </c>
      <c r="K2224" s="3">
        <v>48152.160000000003</v>
      </c>
      <c r="L2224" t="s">
        <v>52</v>
      </c>
      <c r="M2224" s="2">
        <v>45736</v>
      </c>
      <c r="N2224" s="2">
        <v>45741</v>
      </c>
      <c r="O2224" t="s">
        <v>60</v>
      </c>
      <c r="P2224" t="s">
        <v>94</v>
      </c>
      <c r="Q2224" t="s">
        <v>28</v>
      </c>
      <c r="R2224" t="s">
        <v>129</v>
      </c>
    </row>
    <row r="2225" spans="1:18">
      <c r="A2225" t="s">
        <v>2358</v>
      </c>
      <c r="B2225" s="2">
        <v>46136</v>
      </c>
      <c r="C2225" t="s">
        <v>142</v>
      </c>
      <c r="D2225" t="s">
        <v>143</v>
      </c>
      <c r="E2225" t="s">
        <v>39</v>
      </c>
      <c r="F2225" t="s">
        <v>22</v>
      </c>
      <c r="G2225" t="s">
        <v>32</v>
      </c>
      <c r="H2225" t="s">
        <v>33</v>
      </c>
      <c r="I2225">
        <v>4</v>
      </c>
      <c r="J2225" s="3">
        <v>7932.49</v>
      </c>
      <c r="K2225" s="3">
        <v>31729.96</v>
      </c>
      <c r="L2225" t="s">
        <v>25</v>
      </c>
      <c r="M2225" s="2">
        <v>46145</v>
      </c>
      <c r="N2225" s="2">
        <v>46142</v>
      </c>
      <c r="O2225" t="s">
        <v>76</v>
      </c>
      <c r="P2225" t="s">
        <v>44</v>
      </c>
      <c r="Q2225" t="s">
        <v>28</v>
      </c>
      <c r="R2225" t="s">
        <v>29</v>
      </c>
    </row>
    <row r="2226" spans="1:18">
      <c r="A2226" t="s">
        <v>2359</v>
      </c>
      <c r="B2226" s="2">
        <v>45728</v>
      </c>
      <c r="C2226" t="s">
        <v>107</v>
      </c>
      <c r="D2226" t="s">
        <v>108</v>
      </c>
      <c r="E2226" t="s">
        <v>31</v>
      </c>
      <c r="F2226" t="s">
        <v>91</v>
      </c>
      <c r="G2226" t="s">
        <v>109</v>
      </c>
      <c r="H2226" t="s">
        <v>110</v>
      </c>
      <c r="I2226">
        <v>1</v>
      </c>
      <c r="J2226" s="3">
        <v>13266.44</v>
      </c>
      <c r="K2226" s="3">
        <v>13266.44</v>
      </c>
      <c r="L2226" t="s">
        <v>25</v>
      </c>
      <c r="M2226" s="2">
        <v>45734</v>
      </c>
      <c r="N2226" s="2">
        <v>45733</v>
      </c>
      <c r="O2226" t="s">
        <v>76</v>
      </c>
      <c r="P2226" t="s">
        <v>94</v>
      </c>
      <c r="Q2226" t="s">
        <v>28</v>
      </c>
      <c r="R2226" t="s">
        <v>29</v>
      </c>
    </row>
    <row r="2227" spans="1:18">
      <c r="A2227" t="s">
        <v>2360</v>
      </c>
      <c r="B2227" s="2">
        <v>46125</v>
      </c>
      <c r="C2227" t="s">
        <v>104</v>
      </c>
      <c r="D2227" t="s">
        <v>105</v>
      </c>
      <c r="E2227" t="s">
        <v>112</v>
      </c>
      <c r="F2227" t="s">
        <v>49</v>
      </c>
      <c r="G2227" t="s">
        <v>50</v>
      </c>
      <c r="H2227" t="s">
        <v>51</v>
      </c>
      <c r="I2227">
        <v>1</v>
      </c>
      <c r="J2227" s="3">
        <v>51270.02</v>
      </c>
      <c r="K2227" s="3">
        <v>51270.02</v>
      </c>
      <c r="L2227" t="s">
        <v>25</v>
      </c>
      <c r="M2227" s="2">
        <v>46133</v>
      </c>
      <c r="N2227" s="2">
        <v>46132</v>
      </c>
      <c r="O2227" t="s">
        <v>26</v>
      </c>
      <c r="P2227" t="s">
        <v>115</v>
      </c>
      <c r="Q2227" t="s">
        <v>28</v>
      </c>
      <c r="R2227" t="s">
        <v>29</v>
      </c>
    </row>
    <row r="2228" spans="1:18">
      <c r="A2228" t="s">
        <v>2361</v>
      </c>
      <c r="B2228" s="2">
        <v>45928</v>
      </c>
      <c r="C2228" t="s">
        <v>37</v>
      </c>
      <c r="D2228" t="s">
        <v>38</v>
      </c>
      <c r="E2228" t="s">
        <v>112</v>
      </c>
      <c r="F2228" t="s">
        <v>40</v>
      </c>
      <c r="G2228" t="s">
        <v>41</v>
      </c>
      <c r="H2228" t="s">
        <v>42</v>
      </c>
      <c r="I2228">
        <v>2</v>
      </c>
      <c r="J2228" s="3">
        <v>5654.39</v>
      </c>
      <c r="K2228" s="3">
        <v>11308.78</v>
      </c>
      <c r="L2228" t="s">
        <v>34</v>
      </c>
      <c r="M2228" s="2">
        <v>45937</v>
      </c>
      <c r="N2228" s="2">
        <v>45936</v>
      </c>
      <c r="O2228" t="s">
        <v>60</v>
      </c>
      <c r="P2228" t="s">
        <v>115</v>
      </c>
      <c r="Q2228" t="s">
        <v>28</v>
      </c>
      <c r="R2228" t="s">
        <v>29</v>
      </c>
    </row>
    <row r="2229" spans="1:18">
      <c r="A2229" t="s">
        <v>2362</v>
      </c>
      <c r="B2229" s="2">
        <v>46128</v>
      </c>
      <c r="C2229" t="s">
        <v>134</v>
      </c>
      <c r="D2229" t="s">
        <v>135</v>
      </c>
      <c r="E2229" t="s">
        <v>112</v>
      </c>
      <c r="F2229" t="s">
        <v>40</v>
      </c>
      <c r="G2229" t="s">
        <v>41</v>
      </c>
      <c r="H2229" t="s">
        <v>42</v>
      </c>
      <c r="I2229">
        <v>7</v>
      </c>
      <c r="J2229" s="3">
        <v>5291.49</v>
      </c>
      <c r="K2229" s="3">
        <v>37040.43</v>
      </c>
      <c r="L2229" t="s">
        <v>25</v>
      </c>
      <c r="M2229" s="2">
        <v>46139</v>
      </c>
      <c r="N2229" s="2">
        <v>46137</v>
      </c>
      <c r="O2229" t="s">
        <v>43</v>
      </c>
      <c r="P2229" t="s">
        <v>115</v>
      </c>
      <c r="Q2229" t="s">
        <v>28</v>
      </c>
      <c r="R2229" t="s">
        <v>29</v>
      </c>
    </row>
    <row r="2230" spans="1:18">
      <c r="A2230" t="s">
        <v>2363</v>
      </c>
      <c r="B2230" s="2">
        <v>45800</v>
      </c>
      <c r="C2230" t="s">
        <v>37</v>
      </c>
      <c r="D2230" t="s">
        <v>38</v>
      </c>
      <c r="E2230" t="s">
        <v>112</v>
      </c>
      <c r="F2230" t="s">
        <v>22</v>
      </c>
      <c r="G2230" t="s">
        <v>23</v>
      </c>
      <c r="H2230" t="s">
        <v>24</v>
      </c>
      <c r="I2230">
        <v>48</v>
      </c>
      <c r="J2230" s="3">
        <v>271.29000000000002</v>
      </c>
      <c r="K2230" s="3">
        <v>13021.92</v>
      </c>
      <c r="L2230" t="s">
        <v>34</v>
      </c>
      <c r="M2230" s="2">
        <v>45815</v>
      </c>
      <c r="N2230" s="2">
        <v>45815</v>
      </c>
      <c r="O2230" t="s">
        <v>26</v>
      </c>
      <c r="P2230" t="s">
        <v>115</v>
      </c>
      <c r="Q2230" t="s">
        <v>28</v>
      </c>
      <c r="R2230" t="s">
        <v>29</v>
      </c>
    </row>
    <row r="2231" spans="1:18">
      <c r="A2231" t="s">
        <v>2364</v>
      </c>
      <c r="B2231" s="2">
        <v>45826</v>
      </c>
      <c r="C2231" t="s">
        <v>104</v>
      </c>
      <c r="D2231" t="s">
        <v>105</v>
      </c>
      <c r="E2231" t="s">
        <v>48</v>
      </c>
      <c r="F2231" t="s">
        <v>49</v>
      </c>
      <c r="G2231" t="s">
        <v>50</v>
      </c>
      <c r="H2231" t="s">
        <v>51</v>
      </c>
      <c r="I2231">
        <v>1</v>
      </c>
      <c r="J2231" s="3">
        <v>53234.91</v>
      </c>
      <c r="K2231" s="3">
        <v>53234.91</v>
      </c>
      <c r="L2231" t="s">
        <v>52</v>
      </c>
      <c r="M2231" s="2">
        <v>45840</v>
      </c>
      <c r="N2231" s="2">
        <v>45840</v>
      </c>
      <c r="O2231" t="s">
        <v>76</v>
      </c>
      <c r="P2231" t="s">
        <v>53</v>
      </c>
      <c r="Q2231" t="s">
        <v>28</v>
      </c>
      <c r="R2231" t="s">
        <v>29</v>
      </c>
    </row>
    <row r="2232" spans="1:18">
      <c r="A2232" t="s">
        <v>2365</v>
      </c>
      <c r="B2232" s="2">
        <v>46064</v>
      </c>
      <c r="C2232" t="s">
        <v>104</v>
      </c>
      <c r="D2232" t="s">
        <v>105</v>
      </c>
      <c r="E2232" t="s">
        <v>21</v>
      </c>
      <c r="F2232" t="s">
        <v>49</v>
      </c>
      <c r="G2232" t="s">
        <v>50</v>
      </c>
      <c r="H2232" t="s">
        <v>51</v>
      </c>
      <c r="I2232">
        <v>1</v>
      </c>
      <c r="J2232" s="3">
        <v>50867.16</v>
      </c>
      <c r="K2232" s="3">
        <v>50867.16</v>
      </c>
      <c r="L2232" t="s">
        <v>34</v>
      </c>
      <c r="M2232" s="2">
        <v>46072</v>
      </c>
      <c r="N2232" s="2">
        <v>46070</v>
      </c>
      <c r="O2232" t="s">
        <v>43</v>
      </c>
      <c r="P2232" t="s">
        <v>27</v>
      </c>
      <c r="Q2232" t="s">
        <v>28</v>
      </c>
      <c r="R2232" t="s">
        <v>29</v>
      </c>
    </row>
    <row r="2233" spans="1:18">
      <c r="A2233" t="s">
        <v>2366</v>
      </c>
      <c r="B2233" s="2">
        <v>46101</v>
      </c>
      <c r="C2233" t="s">
        <v>37</v>
      </c>
      <c r="D2233" t="s">
        <v>38</v>
      </c>
      <c r="E2233" t="s">
        <v>39</v>
      </c>
      <c r="F2233" t="s">
        <v>40</v>
      </c>
      <c r="G2233" t="s">
        <v>149</v>
      </c>
      <c r="H2233" t="s">
        <v>150</v>
      </c>
      <c r="I2233">
        <v>52</v>
      </c>
      <c r="J2233" s="3">
        <v>1500.2</v>
      </c>
      <c r="K2233" s="3">
        <v>78010.399999999994</v>
      </c>
      <c r="L2233" t="s">
        <v>25</v>
      </c>
      <c r="M2233" s="2">
        <v>46109</v>
      </c>
      <c r="N2233" s="2">
        <v>46109</v>
      </c>
      <c r="O2233" t="s">
        <v>43</v>
      </c>
      <c r="P2233" t="s">
        <v>44</v>
      </c>
      <c r="Q2233" t="s">
        <v>28</v>
      </c>
      <c r="R2233" t="s">
        <v>29</v>
      </c>
    </row>
    <row r="2234" spans="1:18">
      <c r="A2234" t="s">
        <v>2367</v>
      </c>
      <c r="B2234" s="2">
        <v>45916</v>
      </c>
      <c r="C2234" t="s">
        <v>107</v>
      </c>
      <c r="D2234" t="s">
        <v>108</v>
      </c>
      <c r="E2234" t="s">
        <v>31</v>
      </c>
      <c r="F2234" t="s">
        <v>91</v>
      </c>
      <c r="G2234" t="s">
        <v>109</v>
      </c>
      <c r="H2234" t="s">
        <v>110</v>
      </c>
      <c r="I2234">
        <v>1</v>
      </c>
      <c r="J2234" s="3">
        <v>13916.99</v>
      </c>
      <c r="K2234" s="3">
        <v>13916.99</v>
      </c>
      <c r="L2234" t="s">
        <v>34</v>
      </c>
      <c r="M2234" s="2">
        <v>45932</v>
      </c>
      <c r="N2234" s="2">
        <v>45930</v>
      </c>
      <c r="O2234" t="s">
        <v>76</v>
      </c>
      <c r="P2234" t="s">
        <v>94</v>
      </c>
      <c r="Q2234" t="s">
        <v>28</v>
      </c>
      <c r="R2234" t="s">
        <v>29</v>
      </c>
    </row>
    <row r="2235" spans="1:18">
      <c r="A2235" t="s">
        <v>2368</v>
      </c>
      <c r="B2235" s="2">
        <v>45733</v>
      </c>
      <c r="C2235" t="s">
        <v>89</v>
      </c>
      <c r="D2235" t="s">
        <v>90</v>
      </c>
      <c r="E2235" t="s">
        <v>31</v>
      </c>
      <c r="F2235" t="s">
        <v>91</v>
      </c>
      <c r="G2235" t="s">
        <v>92</v>
      </c>
      <c r="H2235" t="s">
        <v>93</v>
      </c>
      <c r="I2235">
        <v>1</v>
      </c>
      <c r="J2235" s="3">
        <v>43544.99</v>
      </c>
      <c r="K2235" s="3">
        <v>43544.99</v>
      </c>
      <c r="L2235" t="s">
        <v>25</v>
      </c>
      <c r="M2235" s="2">
        <v>45749</v>
      </c>
      <c r="N2235" s="2">
        <v>45746</v>
      </c>
      <c r="O2235" t="s">
        <v>60</v>
      </c>
      <c r="P2235" t="s">
        <v>35</v>
      </c>
      <c r="Q2235" t="s">
        <v>28</v>
      </c>
      <c r="R2235" t="s">
        <v>29</v>
      </c>
    </row>
    <row r="2236" spans="1:18">
      <c r="A2236" t="s">
        <v>2369</v>
      </c>
      <c r="B2236" s="2">
        <v>46095</v>
      </c>
      <c r="C2236" t="s">
        <v>117</v>
      </c>
      <c r="D2236" t="s">
        <v>118</v>
      </c>
      <c r="E2236" t="s">
        <v>31</v>
      </c>
      <c r="F2236" t="s">
        <v>57</v>
      </c>
      <c r="G2236" t="s">
        <v>127</v>
      </c>
      <c r="H2236" t="s">
        <v>128</v>
      </c>
      <c r="I2236">
        <v>7</v>
      </c>
      <c r="J2236" s="3">
        <v>16973.53</v>
      </c>
      <c r="K2236" s="3">
        <v>118814.71</v>
      </c>
      <c r="L2236" t="s">
        <v>25</v>
      </c>
      <c r="M2236" s="2">
        <v>46101</v>
      </c>
      <c r="N2236" s="2">
        <v>46099</v>
      </c>
      <c r="O2236" t="s">
        <v>76</v>
      </c>
      <c r="P2236" t="s">
        <v>94</v>
      </c>
      <c r="Q2236" t="s">
        <v>28</v>
      </c>
      <c r="R2236" t="s">
        <v>29</v>
      </c>
    </row>
    <row r="2237" spans="1:18">
      <c r="A2237" t="s">
        <v>2370</v>
      </c>
      <c r="B2237" s="2">
        <v>46012</v>
      </c>
      <c r="C2237" t="s">
        <v>71</v>
      </c>
      <c r="D2237" t="s">
        <v>72</v>
      </c>
      <c r="E2237" t="s">
        <v>48</v>
      </c>
      <c r="F2237" t="s">
        <v>57</v>
      </c>
      <c r="G2237" t="s">
        <v>127</v>
      </c>
      <c r="H2237" t="s">
        <v>128</v>
      </c>
      <c r="I2237">
        <v>3</v>
      </c>
      <c r="J2237" s="3">
        <v>15776.46</v>
      </c>
      <c r="K2237" s="3">
        <v>47329.38</v>
      </c>
      <c r="L2237" t="s">
        <v>25</v>
      </c>
      <c r="M2237" s="2">
        <v>46023</v>
      </c>
      <c r="N2237" s="2">
        <v>46022</v>
      </c>
      <c r="O2237" t="s">
        <v>43</v>
      </c>
      <c r="P2237" t="s">
        <v>53</v>
      </c>
      <c r="Q2237" t="s">
        <v>28</v>
      </c>
      <c r="R2237" t="s">
        <v>29</v>
      </c>
    </row>
    <row r="2238" spans="1:18">
      <c r="A2238" t="s">
        <v>2371</v>
      </c>
      <c r="B2238" s="2">
        <v>46073</v>
      </c>
      <c r="C2238" t="s">
        <v>142</v>
      </c>
      <c r="D2238" t="s">
        <v>143</v>
      </c>
      <c r="E2238" t="s">
        <v>112</v>
      </c>
      <c r="F2238" t="s">
        <v>22</v>
      </c>
      <c r="G2238" t="s">
        <v>23</v>
      </c>
      <c r="H2238" t="s">
        <v>24</v>
      </c>
      <c r="I2238">
        <v>11</v>
      </c>
      <c r="J2238" s="3">
        <v>254.55</v>
      </c>
      <c r="K2238" s="3">
        <v>2800.05</v>
      </c>
      <c r="L2238" t="s">
        <v>25</v>
      </c>
      <c r="M2238" s="2">
        <v>46083</v>
      </c>
      <c r="N2238" s="2">
        <v>46083</v>
      </c>
      <c r="O2238" t="s">
        <v>26</v>
      </c>
      <c r="P2238" t="s">
        <v>115</v>
      </c>
      <c r="Q2238" t="s">
        <v>28</v>
      </c>
      <c r="R2238" t="s">
        <v>29</v>
      </c>
    </row>
    <row r="2239" spans="1:18">
      <c r="A2239" t="s">
        <v>2372</v>
      </c>
      <c r="B2239" s="2">
        <v>46169</v>
      </c>
      <c r="C2239" t="s">
        <v>104</v>
      </c>
      <c r="D2239" t="s">
        <v>105</v>
      </c>
      <c r="E2239" t="s">
        <v>48</v>
      </c>
      <c r="F2239" t="s">
        <v>49</v>
      </c>
      <c r="G2239" t="s">
        <v>113</v>
      </c>
      <c r="H2239" t="s">
        <v>114</v>
      </c>
      <c r="I2239">
        <v>3</v>
      </c>
      <c r="J2239" s="3">
        <v>39434.9</v>
      </c>
      <c r="K2239" s="3">
        <v>118304.7</v>
      </c>
      <c r="L2239" t="s">
        <v>34</v>
      </c>
      <c r="M2239" s="2">
        <v>46180</v>
      </c>
      <c r="N2239" s="2">
        <v>46177</v>
      </c>
      <c r="O2239" t="s">
        <v>76</v>
      </c>
      <c r="P2239" t="s">
        <v>53</v>
      </c>
      <c r="Q2239" t="s">
        <v>28</v>
      </c>
      <c r="R2239" t="s">
        <v>29</v>
      </c>
    </row>
    <row r="2240" spans="1:18">
      <c r="A2240" t="s">
        <v>2373</v>
      </c>
      <c r="B2240" s="2">
        <v>45676</v>
      </c>
      <c r="C2240" t="s">
        <v>19</v>
      </c>
      <c r="D2240" t="s">
        <v>20</v>
      </c>
      <c r="E2240" t="s">
        <v>31</v>
      </c>
      <c r="F2240" t="s">
        <v>22</v>
      </c>
      <c r="G2240" t="s">
        <v>32</v>
      </c>
      <c r="H2240" t="s">
        <v>33</v>
      </c>
      <c r="I2240">
        <v>15</v>
      </c>
      <c r="J2240" s="3">
        <v>7022.31</v>
      </c>
      <c r="K2240" s="3">
        <v>105334.65</v>
      </c>
      <c r="L2240" t="s">
        <v>25</v>
      </c>
      <c r="M2240" s="2">
        <v>45688</v>
      </c>
      <c r="N2240" s="2">
        <v>45688</v>
      </c>
      <c r="O2240" t="s">
        <v>60</v>
      </c>
      <c r="P2240" t="s">
        <v>35</v>
      </c>
      <c r="Q2240" t="s">
        <v>28</v>
      </c>
      <c r="R2240" t="s">
        <v>29</v>
      </c>
    </row>
    <row r="2241" spans="1:18">
      <c r="A2241" t="s">
        <v>2374</v>
      </c>
      <c r="B2241" s="2">
        <v>45894</v>
      </c>
      <c r="C2241" t="s">
        <v>19</v>
      </c>
      <c r="D2241" t="s">
        <v>20</v>
      </c>
      <c r="E2241" t="s">
        <v>39</v>
      </c>
      <c r="F2241" t="s">
        <v>22</v>
      </c>
      <c r="G2241" t="s">
        <v>32</v>
      </c>
      <c r="H2241" t="s">
        <v>33</v>
      </c>
      <c r="I2241">
        <v>13</v>
      </c>
      <c r="J2241" s="3">
        <v>7040.99</v>
      </c>
      <c r="K2241" s="3">
        <v>91532.87</v>
      </c>
      <c r="L2241" t="s">
        <v>25</v>
      </c>
      <c r="M2241" s="2">
        <v>45901</v>
      </c>
      <c r="N2241" s="2">
        <v>45898</v>
      </c>
      <c r="O2241" t="s">
        <v>76</v>
      </c>
      <c r="P2241" t="s">
        <v>64</v>
      </c>
      <c r="Q2241" t="s">
        <v>28</v>
      </c>
      <c r="R2241" t="s">
        <v>29</v>
      </c>
    </row>
    <row r="2242" spans="1:18">
      <c r="A2242" t="s">
        <v>2375</v>
      </c>
      <c r="B2242" s="2">
        <v>45835</v>
      </c>
      <c r="C2242" t="s">
        <v>71</v>
      </c>
      <c r="D2242" t="s">
        <v>72</v>
      </c>
      <c r="E2242" t="s">
        <v>31</v>
      </c>
      <c r="F2242" t="s">
        <v>57</v>
      </c>
      <c r="G2242" t="s">
        <v>127</v>
      </c>
      <c r="H2242" t="s">
        <v>128</v>
      </c>
      <c r="I2242">
        <v>5</v>
      </c>
      <c r="J2242" s="3">
        <v>16026.14</v>
      </c>
      <c r="K2242" s="3">
        <v>80130.7</v>
      </c>
      <c r="L2242" t="s">
        <v>25</v>
      </c>
      <c r="M2242" s="2">
        <v>45845</v>
      </c>
      <c r="N2242" s="2">
        <v>45842</v>
      </c>
      <c r="O2242" t="s">
        <v>76</v>
      </c>
      <c r="P2242" t="s">
        <v>35</v>
      </c>
      <c r="Q2242" t="s">
        <v>28</v>
      </c>
      <c r="R2242" t="s">
        <v>29</v>
      </c>
    </row>
    <row r="2243" spans="1:18">
      <c r="A2243" t="s">
        <v>2376</v>
      </c>
      <c r="B2243" s="2">
        <v>46112</v>
      </c>
      <c r="C2243" t="s">
        <v>37</v>
      </c>
      <c r="D2243" t="s">
        <v>38</v>
      </c>
      <c r="E2243" t="s">
        <v>39</v>
      </c>
      <c r="F2243" t="s">
        <v>40</v>
      </c>
      <c r="G2243" t="s">
        <v>62</v>
      </c>
      <c r="H2243" t="s">
        <v>63</v>
      </c>
      <c r="I2243">
        <v>6</v>
      </c>
      <c r="J2243" s="3">
        <v>19209.2</v>
      </c>
      <c r="K2243" s="3">
        <v>115255.2</v>
      </c>
      <c r="L2243" t="s">
        <v>34</v>
      </c>
      <c r="M2243" s="2">
        <v>46121</v>
      </c>
      <c r="N2243" s="2">
        <v>46121</v>
      </c>
      <c r="O2243" t="s">
        <v>60</v>
      </c>
      <c r="P2243" t="s">
        <v>44</v>
      </c>
      <c r="Q2243" t="s">
        <v>28</v>
      </c>
      <c r="R2243" t="s">
        <v>29</v>
      </c>
    </row>
    <row r="2244" spans="1:18">
      <c r="A2244" t="s">
        <v>2377</v>
      </c>
      <c r="B2244" s="2">
        <v>45868</v>
      </c>
      <c r="C2244" t="s">
        <v>147</v>
      </c>
      <c r="D2244" t="s">
        <v>148</v>
      </c>
      <c r="E2244" t="s">
        <v>39</v>
      </c>
      <c r="F2244" t="s">
        <v>40</v>
      </c>
      <c r="G2244" t="s">
        <v>41</v>
      </c>
      <c r="H2244" t="s">
        <v>42</v>
      </c>
      <c r="I2244">
        <v>9</v>
      </c>
      <c r="J2244" s="3">
        <v>5250.16</v>
      </c>
      <c r="K2244" s="3">
        <v>47251.44</v>
      </c>
      <c r="L2244" t="s">
        <v>34</v>
      </c>
      <c r="M2244" s="2">
        <v>45878</v>
      </c>
      <c r="N2244" s="2">
        <v>45875</v>
      </c>
      <c r="O2244" t="s">
        <v>43</v>
      </c>
      <c r="P2244" t="s">
        <v>44</v>
      </c>
      <c r="Q2244" t="s">
        <v>28</v>
      </c>
      <c r="R2244" t="s">
        <v>29</v>
      </c>
    </row>
    <row r="2245" spans="1:18">
      <c r="A2245" t="s">
        <v>2378</v>
      </c>
      <c r="B2245" s="2">
        <v>46143</v>
      </c>
      <c r="C2245" t="s">
        <v>66</v>
      </c>
      <c r="D2245" t="s">
        <v>67</v>
      </c>
      <c r="E2245" t="s">
        <v>21</v>
      </c>
      <c r="F2245" t="s">
        <v>49</v>
      </c>
      <c r="G2245" t="s">
        <v>68</v>
      </c>
      <c r="H2245" t="s">
        <v>69</v>
      </c>
      <c r="I2245">
        <v>3</v>
      </c>
      <c r="J2245" s="3">
        <v>48124.75</v>
      </c>
      <c r="K2245" s="3">
        <v>144374.25</v>
      </c>
      <c r="L2245" t="s">
        <v>52</v>
      </c>
      <c r="M2245" s="2">
        <v>46152</v>
      </c>
      <c r="N2245" s="2">
        <v>46151</v>
      </c>
      <c r="O2245" t="s">
        <v>60</v>
      </c>
      <c r="P2245" t="s">
        <v>27</v>
      </c>
      <c r="Q2245" t="s">
        <v>28</v>
      </c>
      <c r="R2245" t="s">
        <v>29</v>
      </c>
    </row>
    <row r="2246" spans="1:18">
      <c r="A2246" t="s">
        <v>2379</v>
      </c>
      <c r="B2246" s="2">
        <v>45710</v>
      </c>
      <c r="C2246" t="s">
        <v>147</v>
      </c>
      <c r="D2246" t="s">
        <v>148</v>
      </c>
      <c r="E2246" t="s">
        <v>39</v>
      </c>
      <c r="F2246" t="s">
        <v>40</v>
      </c>
      <c r="G2246" t="s">
        <v>62</v>
      </c>
      <c r="H2246" t="s">
        <v>63</v>
      </c>
      <c r="I2246">
        <v>6</v>
      </c>
      <c r="J2246" s="3">
        <v>18101.11</v>
      </c>
      <c r="K2246" s="3">
        <v>108606.66</v>
      </c>
      <c r="L2246" t="s">
        <v>34</v>
      </c>
      <c r="M2246" s="2">
        <v>45724</v>
      </c>
      <c r="N2246" s="2">
        <v>45722</v>
      </c>
      <c r="O2246" t="s">
        <v>60</v>
      </c>
      <c r="P2246" t="s">
        <v>44</v>
      </c>
      <c r="Q2246" t="s">
        <v>28</v>
      </c>
      <c r="R2246" t="s">
        <v>29</v>
      </c>
    </row>
    <row r="2247" spans="1:18">
      <c r="A2247" t="s">
        <v>2380</v>
      </c>
      <c r="B2247" s="2">
        <v>46052</v>
      </c>
      <c r="C2247" t="s">
        <v>46</v>
      </c>
      <c r="D2247" t="s">
        <v>47</v>
      </c>
      <c r="E2247" t="s">
        <v>48</v>
      </c>
      <c r="F2247" t="s">
        <v>49</v>
      </c>
      <c r="G2247" t="s">
        <v>68</v>
      </c>
      <c r="H2247" t="s">
        <v>69</v>
      </c>
      <c r="I2247">
        <v>1</v>
      </c>
      <c r="J2247" s="3">
        <v>50442.35</v>
      </c>
      <c r="K2247" s="3">
        <v>50442.35</v>
      </c>
      <c r="L2247" t="s">
        <v>52</v>
      </c>
      <c r="M2247" s="2">
        <v>46061</v>
      </c>
      <c r="N2247" s="2">
        <v>46059</v>
      </c>
      <c r="O2247" t="s">
        <v>43</v>
      </c>
      <c r="P2247" t="s">
        <v>53</v>
      </c>
      <c r="Q2247" t="s">
        <v>28</v>
      </c>
      <c r="R2247" t="s">
        <v>29</v>
      </c>
    </row>
    <row r="2248" spans="1:18">
      <c r="A2248" t="s">
        <v>2381</v>
      </c>
      <c r="B2248" s="2">
        <v>45917</v>
      </c>
      <c r="C2248" t="s">
        <v>104</v>
      </c>
      <c r="D2248" t="s">
        <v>105</v>
      </c>
      <c r="E2248" t="s">
        <v>73</v>
      </c>
      <c r="F2248" t="s">
        <v>49</v>
      </c>
      <c r="G2248" t="s">
        <v>68</v>
      </c>
      <c r="H2248" t="s">
        <v>69</v>
      </c>
      <c r="I2248">
        <v>3</v>
      </c>
      <c r="J2248" s="3">
        <v>48877</v>
      </c>
      <c r="K2248" s="3">
        <v>146631</v>
      </c>
      <c r="L2248" t="s">
        <v>25</v>
      </c>
      <c r="M2248" s="2">
        <v>45933</v>
      </c>
      <c r="N2248" s="2">
        <v>45930</v>
      </c>
      <c r="O2248" t="s">
        <v>26</v>
      </c>
      <c r="P2248" t="s">
        <v>77</v>
      </c>
      <c r="Q2248" t="s">
        <v>28</v>
      </c>
      <c r="R2248" t="s">
        <v>29</v>
      </c>
    </row>
    <row r="2249" spans="1:18">
      <c r="A2249" t="s">
        <v>2382</v>
      </c>
      <c r="B2249" s="2">
        <v>45900</v>
      </c>
      <c r="C2249" t="s">
        <v>66</v>
      </c>
      <c r="D2249" t="s">
        <v>67</v>
      </c>
      <c r="E2249" t="s">
        <v>48</v>
      </c>
      <c r="F2249" t="s">
        <v>49</v>
      </c>
      <c r="G2249" t="s">
        <v>113</v>
      </c>
      <c r="H2249" t="s">
        <v>114</v>
      </c>
      <c r="I2249">
        <v>1</v>
      </c>
      <c r="J2249" s="3">
        <v>36984.720000000001</v>
      </c>
      <c r="K2249" s="3">
        <v>36984.720000000001</v>
      </c>
      <c r="L2249" t="s">
        <v>25</v>
      </c>
      <c r="M2249" s="2">
        <v>45910</v>
      </c>
      <c r="N2249" s="2">
        <v>45909</v>
      </c>
      <c r="O2249" t="s">
        <v>76</v>
      </c>
      <c r="P2249" t="s">
        <v>53</v>
      </c>
      <c r="Q2249" t="s">
        <v>28</v>
      </c>
      <c r="R2249" t="s">
        <v>29</v>
      </c>
    </row>
    <row r="2250" spans="1:18">
      <c r="A2250" t="s">
        <v>2383</v>
      </c>
      <c r="B2250" s="2">
        <v>45851</v>
      </c>
      <c r="C2250" t="s">
        <v>107</v>
      </c>
      <c r="D2250" t="s">
        <v>108</v>
      </c>
      <c r="E2250" t="s">
        <v>31</v>
      </c>
      <c r="F2250" t="s">
        <v>91</v>
      </c>
      <c r="G2250" t="s">
        <v>109</v>
      </c>
      <c r="H2250" t="s">
        <v>110</v>
      </c>
      <c r="I2250">
        <v>3</v>
      </c>
      <c r="J2250" s="3">
        <v>13574.89</v>
      </c>
      <c r="K2250" s="3">
        <v>40724.67</v>
      </c>
      <c r="L2250" t="s">
        <v>34</v>
      </c>
      <c r="M2250" s="2">
        <v>45856</v>
      </c>
      <c r="N2250" s="2">
        <v>45854</v>
      </c>
      <c r="O2250" t="s">
        <v>43</v>
      </c>
      <c r="P2250" t="s">
        <v>35</v>
      </c>
      <c r="Q2250" t="s">
        <v>28</v>
      </c>
      <c r="R2250" t="s">
        <v>29</v>
      </c>
    </row>
    <row r="2251" spans="1:18">
      <c r="A2251" t="s">
        <v>2384</v>
      </c>
      <c r="B2251" s="2">
        <v>45884</v>
      </c>
      <c r="C2251" t="s">
        <v>134</v>
      </c>
      <c r="D2251" t="s">
        <v>135</v>
      </c>
      <c r="E2251" t="s">
        <v>39</v>
      </c>
      <c r="F2251" t="s">
        <v>40</v>
      </c>
      <c r="G2251" t="s">
        <v>41</v>
      </c>
      <c r="H2251" t="s">
        <v>42</v>
      </c>
      <c r="I2251">
        <v>7</v>
      </c>
      <c r="J2251" s="3">
        <v>5534.75</v>
      </c>
      <c r="K2251" s="3">
        <v>38743.25</v>
      </c>
      <c r="L2251" t="s">
        <v>34</v>
      </c>
      <c r="M2251" s="2">
        <v>45892</v>
      </c>
      <c r="N2251" s="2">
        <v>45890</v>
      </c>
      <c r="O2251" t="s">
        <v>76</v>
      </c>
      <c r="P2251" t="s">
        <v>64</v>
      </c>
      <c r="Q2251" t="s">
        <v>28</v>
      </c>
      <c r="R2251" t="s">
        <v>29</v>
      </c>
    </row>
    <row r="2252" spans="1:18">
      <c r="A2252" t="s">
        <v>2385</v>
      </c>
      <c r="B2252" s="2">
        <v>45802</v>
      </c>
      <c r="C2252" t="s">
        <v>19</v>
      </c>
      <c r="D2252" t="s">
        <v>20</v>
      </c>
      <c r="E2252" t="s">
        <v>31</v>
      </c>
      <c r="F2252" t="s">
        <v>22</v>
      </c>
      <c r="G2252" t="s">
        <v>160</v>
      </c>
      <c r="H2252" t="s">
        <v>161</v>
      </c>
      <c r="I2252">
        <v>4</v>
      </c>
      <c r="J2252" s="3">
        <v>2926.19</v>
      </c>
      <c r="K2252" s="3">
        <v>11704.76</v>
      </c>
      <c r="L2252" t="s">
        <v>25</v>
      </c>
      <c r="M2252" s="2">
        <v>45811</v>
      </c>
      <c r="N2252" s="2">
        <v>45808</v>
      </c>
      <c r="O2252" t="s">
        <v>60</v>
      </c>
      <c r="P2252" t="s">
        <v>35</v>
      </c>
      <c r="Q2252" t="s">
        <v>28</v>
      </c>
      <c r="R2252" t="s">
        <v>29</v>
      </c>
    </row>
    <row r="2253" spans="1:18">
      <c r="A2253" t="s">
        <v>2386</v>
      </c>
      <c r="B2253" s="2">
        <v>45696</v>
      </c>
      <c r="C2253" t="s">
        <v>142</v>
      </c>
      <c r="D2253" t="s">
        <v>143</v>
      </c>
      <c r="E2253" t="s">
        <v>112</v>
      </c>
      <c r="F2253" t="s">
        <v>22</v>
      </c>
      <c r="G2253" t="s">
        <v>160</v>
      </c>
      <c r="H2253" t="s">
        <v>161</v>
      </c>
      <c r="I2253">
        <v>10</v>
      </c>
      <c r="J2253" s="3">
        <v>3440.98</v>
      </c>
      <c r="K2253" s="3">
        <v>34409.800000000003</v>
      </c>
      <c r="L2253" t="s">
        <v>34</v>
      </c>
      <c r="M2253" s="2">
        <v>45708</v>
      </c>
      <c r="N2253" s="2">
        <v>45706</v>
      </c>
      <c r="O2253" t="s">
        <v>43</v>
      </c>
      <c r="P2253" t="s">
        <v>115</v>
      </c>
      <c r="Q2253" t="s">
        <v>28</v>
      </c>
      <c r="R2253" t="s">
        <v>29</v>
      </c>
    </row>
    <row r="2254" spans="1:18">
      <c r="A2254" t="s">
        <v>2387</v>
      </c>
      <c r="B2254" s="2">
        <v>45729</v>
      </c>
      <c r="C2254" t="s">
        <v>19</v>
      </c>
      <c r="D2254" t="s">
        <v>20</v>
      </c>
      <c r="E2254" t="s">
        <v>39</v>
      </c>
      <c r="F2254" t="s">
        <v>22</v>
      </c>
      <c r="G2254" t="s">
        <v>32</v>
      </c>
      <c r="H2254" t="s">
        <v>33</v>
      </c>
      <c r="I2254">
        <v>13</v>
      </c>
      <c r="J2254" s="3">
        <v>6993.17</v>
      </c>
      <c r="K2254" s="3">
        <v>90911.21</v>
      </c>
      <c r="L2254" t="s">
        <v>34</v>
      </c>
      <c r="M2254" s="2">
        <v>45742</v>
      </c>
      <c r="N2254" s="2">
        <v>45757</v>
      </c>
      <c r="O2254" t="s">
        <v>43</v>
      </c>
      <c r="P2254" t="s">
        <v>44</v>
      </c>
      <c r="Q2254" t="s">
        <v>28</v>
      </c>
      <c r="R2254" t="s">
        <v>129</v>
      </c>
    </row>
    <row r="2255" spans="1:18">
      <c r="A2255" t="s">
        <v>2388</v>
      </c>
      <c r="B2255" s="2">
        <v>45926</v>
      </c>
      <c r="C2255" t="s">
        <v>71</v>
      </c>
      <c r="D2255" t="s">
        <v>72</v>
      </c>
      <c r="E2255" t="s">
        <v>73</v>
      </c>
      <c r="F2255" t="s">
        <v>57</v>
      </c>
      <c r="G2255" t="s">
        <v>120</v>
      </c>
      <c r="H2255" t="s">
        <v>121</v>
      </c>
      <c r="I2255">
        <v>4</v>
      </c>
      <c r="J2255" s="3">
        <v>20611.23</v>
      </c>
      <c r="K2255" s="3">
        <v>82444.92</v>
      </c>
      <c r="L2255" t="s">
        <v>25</v>
      </c>
      <c r="M2255" s="2">
        <v>45944</v>
      </c>
      <c r="N2255" s="2">
        <v>45941</v>
      </c>
      <c r="O2255" t="s">
        <v>76</v>
      </c>
      <c r="P2255" t="s">
        <v>77</v>
      </c>
      <c r="Q2255" t="s">
        <v>28</v>
      </c>
      <c r="R2255" t="s">
        <v>29</v>
      </c>
    </row>
    <row r="2256" spans="1:18">
      <c r="A2256" t="s">
        <v>2389</v>
      </c>
      <c r="B2256" s="2">
        <v>45987</v>
      </c>
      <c r="C2256" t="s">
        <v>46</v>
      </c>
      <c r="D2256" t="s">
        <v>47</v>
      </c>
      <c r="E2256" t="s">
        <v>48</v>
      </c>
      <c r="F2256" t="s">
        <v>49</v>
      </c>
      <c r="G2256" t="s">
        <v>68</v>
      </c>
      <c r="H2256" t="s">
        <v>69</v>
      </c>
      <c r="I2256">
        <v>1</v>
      </c>
      <c r="J2256" s="3">
        <v>49808.14</v>
      </c>
      <c r="K2256" s="3">
        <v>49808.14</v>
      </c>
      <c r="L2256" t="s">
        <v>34</v>
      </c>
      <c r="M2256" s="2">
        <v>45992</v>
      </c>
      <c r="N2256" s="2">
        <v>45990</v>
      </c>
      <c r="O2256" t="s">
        <v>26</v>
      </c>
      <c r="P2256" t="s">
        <v>53</v>
      </c>
      <c r="Q2256" t="s">
        <v>28</v>
      </c>
      <c r="R2256" t="s">
        <v>29</v>
      </c>
    </row>
    <row r="2257" spans="1:18">
      <c r="A2257" t="s">
        <v>2390</v>
      </c>
      <c r="B2257" s="2">
        <v>45690</v>
      </c>
      <c r="C2257" t="s">
        <v>131</v>
      </c>
      <c r="D2257" t="s">
        <v>132</v>
      </c>
      <c r="E2257" t="s">
        <v>73</v>
      </c>
      <c r="F2257" t="s">
        <v>57</v>
      </c>
      <c r="G2257" t="s">
        <v>74</v>
      </c>
      <c r="H2257" t="s">
        <v>75</v>
      </c>
      <c r="I2257">
        <v>7</v>
      </c>
      <c r="J2257" s="3">
        <v>9099.18</v>
      </c>
      <c r="K2257" s="3">
        <v>63694.26</v>
      </c>
      <c r="L2257" t="s">
        <v>25</v>
      </c>
      <c r="M2257" s="2">
        <v>45707</v>
      </c>
      <c r="N2257" s="2">
        <v>45704</v>
      </c>
      <c r="O2257" t="s">
        <v>43</v>
      </c>
      <c r="P2257" t="s">
        <v>77</v>
      </c>
      <c r="Q2257" t="s">
        <v>28</v>
      </c>
      <c r="R2257" t="s">
        <v>29</v>
      </c>
    </row>
    <row r="2258" spans="1:18">
      <c r="A2258" t="s">
        <v>2391</v>
      </c>
      <c r="B2258" s="2">
        <v>45844</v>
      </c>
      <c r="C2258" t="s">
        <v>71</v>
      </c>
      <c r="D2258" t="s">
        <v>72</v>
      </c>
      <c r="E2258" t="s">
        <v>48</v>
      </c>
      <c r="F2258" t="s">
        <v>57</v>
      </c>
      <c r="G2258" t="s">
        <v>86</v>
      </c>
      <c r="H2258" t="s">
        <v>87</v>
      </c>
      <c r="I2258">
        <v>8</v>
      </c>
      <c r="J2258" s="3">
        <v>9901.16</v>
      </c>
      <c r="K2258" s="3">
        <v>79209.279999999999</v>
      </c>
      <c r="L2258" t="s">
        <v>52</v>
      </c>
      <c r="M2258" s="2">
        <v>45856</v>
      </c>
      <c r="N2258" s="2">
        <v>45854</v>
      </c>
      <c r="O2258" t="s">
        <v>43</v>
      </c>
      <c r="P2258" t="s">
        <v>53</v>
      </c>
      <c r="Q2258" t="s">
        <v>28</v>
      </c>
      <c r="R2258" t="s">
        <v>29</v>
      </c>
    </row>
    <row r="2259" spans="1:18">
      <c r="A2259" t="s">
        <v>2392</v>
      </c>
      <c r="B2259" s="2">
        <v>45912</v>
      </c>
      <c r="C2259" t="s">
        <v>134</v>
      </c>
      <c r="D2259" t="s">
        <v>135</v>
      </c>
      <c r="E2259" t="s">
        <v>112</v>
      </c>
      <c r="F2259" t="s">
        <v>40</v>
      </c>
      <c r="G2259" t="s">
        <v>41</v>
      </c>
      <c r="H2259" t="s">
        <v>42</v>
      </c>
      <c r="I2259">
        <v>13</v>
      </c>
      <c r="J2259" s="3">
        <v>5521</v>
      </c>
      <c r="K2259" s="3">
        <v>71773</v>
      </c>
      <c r="L2259" t="s">
        <v>34</v>
      </c>
      <c r="M2259" s="2">
        <v>45917</v>
      </c>
      <c r="N2259" s="2">
        <v>45917</v>
      </c>
      <c r="O2259" t="s">
        <v>60</v>
      </c>
      <c r="P2259" t="s">
        <v>115</v>
      </c>
      <c r="Q2259" t="s">
        <v>28</v>
      </c>
      <c r="R2259" t="s">
        <v>29</v>
      </c>
    </row>
    <row r="2260" spans="1:18">
      <c r="A2260" t="s">
        <v>2393</v>
      </c>
      <c r="B2260" s="2">
        <v>46095</v>
      </c>
      <c r="C2260" t="s">
        <v>117</v>
      </c>
      <c r="D2260" t="s">
        <v>118</v>
      </c>
      <c r="E2260" t="s">
        <v>31</v>
      </c>
      <c r="F2260" t="s">
        <v>57</v>
      </c>
      <c r="G2260" t="s">
        <v>127</v>
      </c>
      <c r="H2260" t="s">
        <v>128</v>
      </c>
      <c r="I2260">
        <v>5</v>
      </c>
      <c r="J2260" s="3">
        <v>16602.39</v>
      </c>
      <c r="K2260" s="3">
        <v>83011.95</v>
      </c>
      <c r="L2260" t="s">
        <v>25</v>
      </c>
      <c r="M2260" s="2">
        <v>46107</v>
      </c>
      <c r="N2260" s="2">
        <v>46105</v>
      </c>
      <c r="O2260" t="s">
        <v>26</v>
      </c>
      <c r="P2260" t="s">
        <v>94</v>
      </c>
      <c r="Q2260" t="s">
        <v>28</v>
      </c>
      <c r="R2260" t="s">
        <v>29</v>
      </c>
    </row>
    <row r="2261" spans="1:18">
      <c r="A2261" t="s">
        <v>2394</v>
      </c>
      <c r="B2261" s="2">
        <v>45891</v>
      </c>
      <c r="C2261" t="s">
        <v>104</v>
      </c>
      <c r="D2261" t="s">
        <v>105</v>
      </c>
      <c r="E2261" t="s">
        <v>48</v>
      </c>
      <c r="F2261" t="s">
        <v>49</v>
      </c>
      <c r="G2261" t="s">
        <v>68</v>
      </c>
      <c r="H2261" t="s">
        <v>69</v>
      </c>
      <c r="I2261">
        <v>1</v>
      </c>
      <c r="J2261" s="3">
        <v>50096.29</v>
      </c>
      <c r="K2261" s="3">
        <v>50096.29</v>
      </c>
      <c r="L2261" t="s">
        <v>52</v>
      </c>
      <c r="M2261" s="2">
        <v>45906</v>
      </c>
      <c r="N2261" s="2">
        <v>45906</v>
      </c>
      <c r="O2261" t="s">
        <v>76</v>
      </c>
      <c r="P2261" t="s">
        <v>53</v>
      </c>
      <c r="Q2261" t="s">
        <v>28</v>
      </c>
      <c r="R2261" t="s">
        <v>29</v>
      </c>
    </row>
    <row r="2262" spans="1:18">
      <c r="A2262" t="s">
        <v>2395</v>
      </c>
      <c r="B2262" s="2">
        <v>46148</v>
      </c>
      <c r="C2262" t="s">
        <v>142</v>
      </c>
      <c r="D2262" t="s">
        <v>143</v>
      </c>
      <c r="E2262" t="s">
        <v>39</v>
      </c>
      <c r="F2262" t="s">
        <v>22</v>
      </c>
      <c r="G2262" t="s">
        <v>23</v>
      </c>
      <c r="H2262" t="s">
        <v>24</v>
      </c>
      <c r="I2262">
        <v>60</v>
      </c>
      <c r="J2262" s="3">
        <v>245.16</v>
      </c>
      <c r="K2262" s="3">
        <v>14709.6</v>
      </c>
      <c r="L2262" t="s">
        <v>34</v>
      </c>
      <c r="M2262" s="2">
        <v>46166</v>
      </c>
      <c r="N2262" s="2">
        <v>46163</v>
      </c>
      <c r="O2262" t="s">
        <v>76</v>
      </c>
      <c r="P2262" t="s">
        <v>64</v>
      </c>
      <c r="Q2262" t="s">
        <v>28</v>
      </c>
      <c r="R2262" t="s">
        <v>29</v>
      </c>
    </row>
    <row r="2263" spans="1:18">
      <c r="A2263" t="s">
        <v>2396</v>
      </c>
      <c r="B2263" s="2">
        <v>45742</v>
      </c>
      <c r="C2263" t="s">
        <v>66</v>
      </c>
      <c r="D2263" t="s">
        <v>67</v>
      </c>
      <c r="E2263" t="s">
        <v>48</v>
      </c>
      <c r="F2263" t="s">
        <v>49</v>
      </c>
      <c r="G2263" t="s">
        <v>165</v>
      </c>
      <c r="H2263" t="s">
        <v>166</v>
      </c>
      <c r="I2263">
        <v>1</v>
      </c>
      <c r="J2263" s="3">
        <v>45808.33</v>
      </c>
      <c r="K2263" s="3">
        <v>45808.33</v>
      </c>
      <c r="L2263" t="s">
        <v>52</v>
      </c>
      <c r="M2263" s="2">
        <v>45755</v>
      </c>
      <c r="N2263" s="2">
        <v>45753</v>
      </c>
      <c r="O2263" t="s">
        <v>26</v>
      </c>
      <c r="P2263" t="s">
        <v>53</v>
      </c>
      <c r="Q2263" t="s">
        <v>28</v>
      </c>
      <c r="R2263" t="s">
        <v>29</v>
      </c>
    </row>
    <row r="2264" spans="1:18">
      <c r="A2264" t="s">
        <v>2397</v>
      </c>
      <c r="B2264" s="2">
        <v>45692</v>
      </c>
      <c r="C2264" t="s">
        <v>147</v>
      </c>
      <c r="D2264" t="s">
        <v>148</v>
      </c>
      <c r="E2264" t="s">
        <v>112</v>
      </c>
      <c r="F2264" t="s">
        <v>40</v>
      </c>
      <c r="G2264" t="s">
        <v>41</v>
      </c>
      <c r="H2264" t="s">
        <v>42</v>
      </c>
      <c r="I2264">
        <v>3</v>
      </c>
      <c r="J2264" s="3">
        <v>5361.48</v>
      </c>
      <c r="K2264" s="3">
        <v>16084.44</v>
      </c>
      <c r="L2264" t="s">
        <v>25</v>
      </c>
      <c r="M2264" s="2">
        <v>45703</v>
      </c>
      <c r="N2264" s="2">
        <v>45703</v>
      </c>
      <c r="O2264" t="s">
        <v>76</v>
      </c>
      <c r="P2264" t="s">
        <v>115</v>
      </c>
      <c r="Q2264" t="s">
        <v>28</v>
      </c>
      <c r="R2264" t="s">
        <v>29</v>
      </c>
    </row>
    <row r="2265" spans="1:18">
      <c r="A2265" t="s">
        <v>2398</v>
      </c>
      <c r="B2265" s="2">
        <v>46069</v>
      </c>
      <c r="C2265" t="s">
        <v>80</v>
      </c>
      <c r="D2265" t="s">
        <v>81</v>
      </c>
      <c r="E2265" t="s">
        <v>39</v>
      </c>
      <c r="F2265" t="s">
        <v>82</v>
      </c>
      <c r="G2265" t="s">
        <v>83</v>
      </c>
      <c r="H2265" t="s">
        <v>84</v>
      </c>
      <c r="I2265">
        <v>30</v>
      </c>
      <c r="J2265" s="3">
        <v>678.69</v>
      </c>
      <c r="K2265" s="3">
        <v>20360.7</v>
      </c>
      <c r="L2265" t="s">
        <v>52</v>
      </c>
      <c r="M2265" s="2">
        <v>46079</v>
      </c>
      <c r="N2265" s="2">
        <v>46079</v>
      </c>
      <c r="O2265" t="s">
        <v>43</v>
      </c>
      <c r="P2265" t="s">
        <v>44</v>
      </c>
      <c r="Q2265" t="s">
        <v>28</v>
      </c>
      <c r="R2265" t="s">
        <v>29</v>
      </c>
    </row>
    <row r="2266" spans="1:18">
      <c r="A2266" t="s">
        <v>2399</v>
      </c>
      <c r="B2266" s="2">
        <v>45939</v>
      </c>
      <c r="C2266" t="s">
        <v>71</v>
      </c>
      <c r="D2266" t="s">
        <v>72</v>
      </c>
      <c r="E2266" t="s">
        <v>48</v>
      </c>
      <c r="F2266" t="s">
        <v>57</v>
      </c>
      <c r="G2266" t="s">
        <v>120</v>
      </c>
      <c r="H2266" t="s">
        <v>121</v>
      </c>
      <c r="I2266">
        <v>1</v>
      </c>
      <c r="J2266" s="3">
        <v>21359.42</v>
      </c>
      <c r="K2266" s="3">
        <v>21359.42</v>
      </c>
      <c r="L2266" t="s">
        <v>34</v>
      </c>
      <c r="M2266" s="2">
        <v>45945</v>
      </c>
      <c r="N2266" s="2">
        <v>45957</v>
      </c>
      <c r="O2266" t="s">
        <v>26</v>
      </c>
      <c r="P2266" t="s">
        <v>53</v>
      </c>
      <c r="Q2266" t="s">
        <v>28</v>
      </c>
      <c r="R2266" t="s">
        <v>129</v>
      </c>
    </row>
    <row r="2267" spans="1:18">
      <c r="A2267" t="s">
        <v>2400</v>
      </c>
      <c r="B2267" s="2">
        <v>45992</v>
      </c>
      <c r="C2267" t="s">
        <v>19</v>
      </c>
      <c r="D2267" t="s">
        <v>20</v>
      </c>
      <c r="E2267" t="s">
        <v>21</v>
      </c>
      <c r="F2267" t="s">
        <v>22</v>
      </c>
      <c r="G2267" t="s">
        <v>23</v>
      </c>
      <c r="H2267" t="s">
        <v>24</v>
      </c>
      <c r="I2267">
        <v>49</v>
      </c>
      <c r="J2267" s="3">
        <v>229.64</v>
      </c>
      <c r="K2267" s="3">
        <v>11252.36</v>
      </c>
      <c r="L2267" t="s">
        <v>52</v>
      </c>
      <c r="M2267" s="2">
        <v>45997</v>
      </c>
      <c r="N2267" s="2">
        <v>45994</v>
      </c>
      <c r="O2267" t="s">
        <v>26</v>
      </c>
      <c r="P2267" t="s">
        <v>27</v>
      </c>
      <c r="Q2267" t="s">
        <v>28</v>
      </c>
      <c r="R2267" t="s">
        <v>29</v>
      </c>
    </row>
    <row r="2268" spans="1:18">
      <c r="A2268" t="s">
        <v>2401</v>
      </c>
      <c r="B2268" s="2">
        <v>45966</v>
      </c>
      <c r="C2268" t="s">
        <v>80</v>
      </c>
      <c r="D2268" t="s">
        <v>81</v>
      </c>
      <c r="E2268" t="s">
        <v>39</v>
      </c>
      <c r="F2268" t="s">
        <v>82</v>
      </c>
      <c r="G2268" t="s">
        <v>83</v>
      </c>
      <c r="H2268" t="s">
        <v>84</v>
      </c>
      <c r="I2268">
        <v>8</v>
      </c>
      <c r="J2268" s="3">
        <v>712.66</v>
      </c>
      <c r="K2268" s="3">
        <v>5701.28</v>
      </c>
      <c r="L2268" t="s">
        <v>34</v>
      </c>
      <c r="M2268" s="2">
        <v>45976</v>
      </c>
      <c r="N2268" s="2">
        <v>45974</v>
      </c>
      <c r="O2268" t="s">
        <v>26</v>
      </c>
      <c r="P2268" t="s">
        <v>44</v>
      </c>
      <c r="Q2268" t="s">
        <v>28</v>
      </c>
      <c r="R2268" t="s">
        <v>29</v>
      </c>
    </row>
    <row r="2269" spans="1:18">
      <c r="A2269" t="s">
        <v>2402</v>
      </c>
      <c r="B2269" s="2">
        <v>46112</v>
      </c>
      <c r="C2269" t="s">
        <v>71</v>
      </c>
      <c r="D2269" t="s">
        <v>72</v>
      </c>
      <c r="E2269" t="s">
        <v>31</v>
      </c>
      <c r="F2269" t="s">
        <v>57</v>
      </c>
      <c r="G2269" t="s">
        <v>86</v>
      </c>
      <c r="H2269" t="s">
        <v>87</v>
      </c>
      <c r="I2269">
        <v>3</v>
      </c>
      <c r="J2269" s="3">
        <v>10266.290000000001</v>
      </c>
      <c r="K2269" s="3">
        <v>30798.87</v>
      </c>
      <c r="L2269" t="s">
        <v>34</v>
      </c>
      <c r="M2269" s="2">
        <v>46121</v>
      </c>
      <c r="N2269" s="2">
        <v>46119</v>
      </c>
      <c r="O2269" t="s">
        <v>76</v>
      </c>
      <c r="P2269" t="s">
        <v>94</v>
      </c>
      <c r="Q2269" t="s">
        <v>28</v>
      </c>
      <c r="R2269" t="s">
        <v>29</v>
      </c>
    </row>
    <row r="2270" spans="1:18">
      <c r="A2270" t="s">
        <v>2403</v>
      </c>
      <c r="B2270" s="2">
        <v>45818</v>
      </c>
      <c r="C2270" t="s">
        <v>37</v>
      </c>
      <c r="D2270" t="s">
        <v>38</v>
      </c>
      <c r="E2270" t="s">
        <v>112</v>
      </c>
      <c r="F2270" t="s">
        <v>22</v>
      </c>
      <c r="G2270" t="s">
        <v>32</v>
      </c>
      <c r="H2270" t="s">
        <v>33</v>
      </c>
      <c r="I2270">
        <v>5</v>
      </c>
      <c r="J2270" s="3">
        <v>8840.51</v>
      </c>
      <c r="K2270" s="3">
        <v>44202.55</v>
      </c>
      <c r="L2270" t="s">
        <v>52</v>
      </c>
      <c r="M2270" s="2">
        <v>45836</v>
      </c>
      <c r="N2270" s="2">
        <v>45834</v>
      </c>
      <c r="O2270" t="s">
        <v>43</v>
      </c>
      <c r="P2270" t="s">
        <v>115</v>
      </c>
      <c r="Q2270" t="s">
        <v>28</v>
      </c>
      <c r="R2270" t="s">
        <v>29</v>
      </c>
    </row>
    <row r="2271" spans="1:18">
      <c r="A2271" t="s">
        <v>2404</v>
      </c>
      <c r="B2271" s="2">
        <v>46086</v>
      </c>
      <c r="C2271" t="s">
        <v>131</v>
      </c>
      <c r="D2271" t="s">
        <v>132</v>
      </c>
      <c r="E2271" t="s">
        <v>48</v>
      </c>
      <c r="F2271" t="s">
        <v>57</v>
      </c>
      <c r="G2271" t="s">
        <v>58</v>
      </c>
      <c r="H2271" t="s">
        <v>59</v>
      </c>
      <c r="I2271">
        <v>4</v>
      </c>
      <c r="J2271" s="3">
        <v>60461.07</v>
      </c>
      <c r="K2271" s="3">
        <v>241844.28</v>
      </c>
      <c r="L2271" t="s">
        <v>34</v>
      </c>
      <c r="M2271" s="2">
        <v>46091</v>
      </c>
      <c r="N2271" s="2">
        <v>46091</v>
      </c>
      <c r="O2271" t="s">
        <v>76</v>
      </c>
      <c r="P2271" t="s">
        <v>53</v>
      </c>
      <c r="Q2271" t="s">
        <v>28</v>
      </c>
      <c r="R2271" t="s">
        <v>29</v>
      </c>
    </row>
    <row r="2272" spans="1:18">
      <c r="A2272" t="s">
        <v>2405</v>
      </c>
      <c r="B2272" s="2">
        <v>46122</v>
      </c>
      <c r="C2272" t="s">
        <v>66</v>
      </c>
      <c r="D2272" t="s">
        <v>67</v>
      </c>
      <c r="E2272" t="s">
        <v>48</v>
      </c>
      <c r="F2272" t="s">
        <v>49</v>
      </c>
      <c r="G2272" t="s">
        <v>113</v>
      </c>
      <c r="H2272" t="s">
        <v>114</v>
      </c>
      <c r="I2272">
        <v>3</v>
      </c>
      <c r="J2272" s="3">
        <v>37914.15</v>
      </c>
      <c r="K2272" s="3">
        <v>113742.45</v>
      </c>
      <c r="L2272" t="s">
        <v>52</v>
      </c>
      <c r="M2272" s="2">
        <v>46135</v>
      </c>
      <c r="N2272" s="2">
        <v>46135</v>
      </c>
      <c r="O2272" t="s">
        <v>76</v>
      </c>
      <c r="P2272" t="s">
        <v>53</v>
      </c>
      <c r="Q2272" t="s">
        <v>28</v>
      </c>
      <c r="R2272" t="s">
        <v>29</v>
      </c>
    </row>
    <row r="2273" spans="1:18">
      <c r="A2273" t="s">
        <v>2406</v>
      </c>
      <c r="B2273" s="2">
        <v>46180</v>
      </c>
      <c r="C2273" t="s">
        <v>46</v>
      </c>
      <c r="D2273" t="s">
        <v>47</v>
      </c>
      <c r="E2273" t="s">
        <v>48</v>
      </c>
      <c r="F2273" t="s">
        <v>49</v>
      </c>
      <c r="G2273" t="s">
        <v>68</v>
      </c>
      <c r="H2273" t="s">
        <v>69</v>
      </c>
      <c r="I2273">
        <v>1</v>
      </c>
      <c r="J2273" s="3">
        <v>49032.87</v>
      </c>
      <c r="K2273" s="3">
        <v>49032.87</v>
      </c>
      <c r="L2273" t="s">
        <v>34</v>
      </c>
      <c r="M2273" s="2">
        <v>46185</v>
      </c>
      <c r="N2273" s="2">
        <v>46182</v>
      </c>
      <c r="O2273" t="s">
        <v>76</v>
      </c>
      <c r="P2273" t="s">
        <v>53</v>
      </c>
      <c r="Q2273" t="s">
        <v>28</v>
      </c>
      <c r="R2273" t="s">
        <v>29</v>
      </c>
    </row>
    <row r="2274" spans="1:18">
      <c r="A2274" t="s">
        <v>2407</v>
      </c>
      <c r="B2274" s="2">
        <v>46018</v>
      </c>
      <c r="C2274" t="s">
        <v>131</v>
      </c>
      <c r="D2274" t="s">
        <v>132</v>
      </c>
      <c r="E2274" t="s">
        <v>48</v>
      </c>
      <c r="F2274" t="s">
        <v>57</v>
      </c>
      <c r="G2274" t="s">
        <v>58</v>
      </c>
      <c r="H2274" t="s">
        <v>59</v>
      </c>
      <c r="I2274">
        <v>2</v>
      </c>
      <c r="J2274" s="3">
        <v>60012.94</v>
      </c>
      <c r="K2274" s="3">
        <v>120025.88</v>
      </c>
      <c r="L2274" t="s">
        <v>34</v>
      </c>
      <c r="M2274" s="2">
        <v>46036</v>
      </c>
      <c r="N2274" s="2">
        <v>46050</v>
      </c>
      <c r="O2274" t="s">
        <v>26</v>
      </c>
      <c r="P2274" t="s">
        <v>53</v>
      </c>
      <c r="Q2274" t="s">
        <v>28</v>
      </c>
      <c r="R2274" t="s">
        <v>129</v>
      </c>
    </row>
    <row r="2275" spans="1:18">
      <c r="A2275" t="s">
        <v>2408</v>
      </c>
      <c r="B2275" s="2">
        <v>46107</v>
      </c>
      <c r="C2275" t="s">
        <v>66</v>
      </c>
      <c r="D2275" t="s">
        <v>67</v>
      </c>
      <c r="E2275" t="s">
        <v>21</v>
      </c>
      <c r="F2275" t="s">
        <v>49</v>
      </c>
      <c r="G2275" t="s">
        <v>68</v>
      </c>
      <c r="H2275" t="s">
        <v>69</v>
      </c>
      <c r="I2275">
        <v>3</v>
      </c>
      <c r="J2275" s="3">
        <v>45835.33</v>
      </c>
      <c r="K2275" s="3">
        <v>137505.99</v>
      </c>
      <c r="L2275" t="s">
        <v>52</v>
      </c>
      <c r="M2275" s="2">
        <v>46125</v>
      </c>
      <c r="N2275" s="2">
        <v>46123</v>
      </c>
      <c r="O2275" t="s">
        <v>43</v>
      </c>
      <c r="P2275" t="s">
        <v>27</v>
      </c>
      <c r="Q2275" t="s">
        <v>28</v>
      </c>
      <c r="R2275" t="s">
        <v>29</v>
      </c>
    </row>
    <row r="2276" spans="1:18">
      <c r="A2276" t="s">
        <v>2409</v>
      </c>
      <c r="B2276" s="2">
        <v>45880</v>
      </c>
      <c r="C2276" t="s">
        <v>134</v>
      </c>
      <c r="D2276" t="s">
        <v>135</v>
      </c>
      <c r="E2276" t="s">
        <v>39</v>
      </c>
      <c r="F2276" t="s">
        <v>40</v>
      </c>
      <c r="G2276" t="s">
        <v>149</v>
      </c>
      <c r="H2276" t="s">
        <v>150</v>
      </c>
      <c r="I2276">
        <v>7</v>
      </c>
      <c r="J2276" s="3">
        <v>1353.1</v>
      </c>
      <c r="K2276" s="3">
        <v>9471.7000000000007</v>
      </c>
      <c r="L2276" t="s">
        <v>52</v>
      </c>
      <c r="M2276" s="2">
        <v>45885</v>
      </c>
      <c r="N2276" s="2">
        <v>45883</v>
      </c>
      <c r="O2276" t="s">
        <v>76</v>
      </c>
      <c r="P2276" t="s">
        <v>44</v>
      </c>
      <c r="Q2276" t="s">
        <v>28</v>
      </c>
      <c r="R2276" t="s">
        <v>29</v>
      </c>
    </row>
    <row r="2277" spans="1:18">
      <c r="A2277" t="s">
        <v>2410</v>
      </c>
      <c r="B2277" s="2">
        <v>45975</v>
      </c>
      <c r="C2277" t="s">
        <v>66</v>
      </c>
      <c r="D2277" t="s">
        <v>67</v>
      </c>
      <c r="E2277" t="s">
        <v>48</v>
      </c>
      <c r="F2277" t="s">
        <v>49</v>
      </c>
      <c r="G2277" t="s">
        <v>165</v>
      </c>
      <c r="H2277" t="s">
        <v>166</v>
      </c>
      <c r="I2277">
        <v>1</v>
      </c>
      <c r="J2277" s="3">
        <v>45225.36</v>
      </c>
      <c r="K2277" s="3">
        <v>45225.36</v>
      </c>
      <c r="L2277" t="s">
        <v>34</v>
      </c>
      <c r="M2277" s="2">
        <v>45986</v>
      </c>
      <c r="N2277" s="2">
        <v>45985</v>
      </c>
      <c r="O2277" t="s">
        <v>76</v>
      </c>
      <c r="P2277" t="s">
        <v>53</v>
      </c>
      <c r="Q2277" t="s">
        <v>28</v>
      </c>
      <c r="R2277" t="s">
        <v>29</v>
      </c>
    </row>
    <row r="2278" spans="1:18">
      <c r="A2278" t="s">
        <v>2411</v>
      </c>
      <c r="B2278" s="2">
        <v>46158</v>
      </c>
      <c r="C2278" t="s">
        <v>55</v>
      </c>
      <c r="D2278" t="s">
        <v>56</v>
      </c>
      <c r="E2278" t="s">
        <v>21</v>
      </c>
      <c r="F2278" t="s">
        <v>57</v>
      </c>
      <c r="G2278" t="s">
        <v>86</v>
      </c>
      <c r="H2278" t="s">
        <v>87</v>
      </c>
      <c r="I2278">
        <v>3</v>
      </c>
      <c r="J2278" s="3">
        <v>11644.68</v>
      </c>
      <c r="K2278" s="3">
        <v>34934.04</v>
      </c>
      <c r="L2278" t="s">
        <v>25</v>
      </c>
      <c r="M2278" s="2">
        <v>46175</v>
      </c>
      <c r="N2278" s="2">
        <v>46172</v>
      </c>
      <c r="O2278" t="s">
        <v>43</v>
      </c>
      <c r="P2278" t="s">
        <v>27</v>
      </c>
      <c r="Q2278" t="s">
        <v>28</v>
      </c>
      <c r="R2278" t="s">
        <v>29</v>
      </c>
    </row>
    <row r="2279" spans="1:18">
      <c r="A2279" t="s">
        <v>2412</v>
      </c>
      <c r="B2279" s="2">
        <v>45966</v>
      </c>
      <c r="C2279" t="s">
        <v>142</v>
      </c>
      <c r="D2279" t="s">
        <v>143</v>
      </c>
      <c r="E2279" t="s">
        <v>39</v>
      </c>
      <c r="F2279" t="s">
        <v>22</v>
      </c>
      <c r="G2279" t="s">
        <v>160</v>
      </c>
      <c r="H2279" t="s">
        <v>161</v>
      </c>
      <c r="I2279">
        <v>6</v>
      </c>
      <c r="J2279" s="3">
        <v>3160.84</v>
      </c>
      <c r="K2279" s="3">
        <v>18965.04</v>
      </c>
      <c r="L2279" t="s">
        <v>34</v>
      </c>
      <c r="M2279" s="2">
        <v>45974</v>
      </c>
      <c r="N2279" s="2">
        <v>45972</v>
      </c>
      <c r="O2279" t="s">
        <v>43</v>
      </c>
      <c r="P2279" t="s">
        <v>64</v>
      </c>
      <c r="Q2279" t="s">
        <v>28</v>
      </c>
      <c r="R2279" t="s">
        <v>29</v>
      </c>
    </row>
    <row r="2280" spans="1:18">
      <c r="A2280" t="s">
        <v>2413</v>
      </c>
      <c r="B2280" s="2">
        <v>45940</v>
      </c>
      <c r="C2280" t="s">
        <v>104</v>
      </c>
      <c r="D2280" t="s">
        <v>105</v>
      </c>
      <c r="E2280" t="s">
        <v>112</v>
      </c>
      <c r="F2280" t="s">
        <v>49</v>
      </c>
      <c r="G2280" t="s">
        <v>113</v>
      </c>
      <c r="H2280" t="s">
        <v>114</v>
      </c>
      <c r="I2280">
        <v>1</v>
      </c>
      <c r="J2280" s="3">
        <v>37447.58</v>
      </c>
      <c r="K2280" s="3">
        <v>37447.58</v>
      </c>
      <c r="L2280" t="s">
        <v>25</v>
      </c>
      <c r="M2280" s="2">
        <v>45950</v>
      </c>
      <c r="N2280" s="2">
        <v>45948</v>
      </c>
      <c r="O2280" t="s">
        <v>76</v>
      </c>
      <c r="P2280" t="s">
        <v>115</v>
      </c>
      <c r="Q2280" t="s">
        <v>28</v>
      </c>
      <c r="R2280" t="s">
        <v>29</v>
      </c>
    </row>
    <row r="2281" spans="1:18">
      <c r="A2281" t="s">
        <v>2414</v>
      </c>
      <c r="B2281" s="2">
        <v>46103</v>
      </c>
      <c r="C2281" t="s">
        <v>37</v>
      </c>
      <c r="D2281" t="s">
        <v>38</v>
      </c>
      <c r="E2281" t="s">
        <v>112</v>
      </c>
      <c r="F2281" t="s">
        <v>40</v>
      </c>
      <c r="G2281" t="s">
        <v>149</v>
      </c>
      <c r="H2281" t="s">
        <v>150</v>
      </c>
      <c r="I2281">
        <v>47</v>
      </c>
      <c r="J2281" s="3">
        <v>1489.99</v>
      </c>
      <c r="K2281" s="3">
        <v>70029.53</v>
      </c>
      <c r="L2281" t="s">
        <v>25</v>
      </c>
      <c r="M2281" s="2">
        <v>46115</v>
      </c>
      <c r="N2281" s="2">
        <v>46112</v>
      </c>
      <c r="O2281" t="s">
        <v>43</v>
      </c>
      <c r="P2281" t="s">
        <v>115</v>
      </c>
      <c r="Q2281" t="s">
        <v>28</v>
      </c>
      <c r="R2281" t="s">
        <v>29</v>
      </c>
    </row>
    <row r="2282" spans="1:18">
      <c r="A2282" t="s">
        <v>2415</v>
      </c>
      <c r="B2282" s="2">
        <v>45665</v>
      </c>
      <c r="C2282" t="s">
        <v>71</v>
      </c>
      <c r="D2282" t="s">
        <v>72</v>
      </c>
      <c r="E2282" t="s">
        <v>48</v>
      </c>
      <c r="F2282" t="s">
        <v>57</v>
      </c>
      <c r="G2282" t="s">
        <v>101</v>
      </c>
      <c r="H2282" t="s">
        <v>102</v>
      </c>
      <c r="I2282">
        <v>8</v>
      </c>
      <c r="J2282" s="3">
        <v>1731.18</v>
      </c>
      <c r="K2282" s="3">
        <v>13849.44</v>
      </c>
      <c r="L2282" t="s">
        <v>25</v>
      </c>
      <c r="M2282" s="2">
        <v>45674</v>
      </c>
      <c r="N2282" s="2">
        <v>45683</v>
      </c>
      <c r="O2282" t="s">
        <v>76</v>
      </c>
      <c r="P2282" t="s">
        <v>53</v>
      </c>
      <c r="Q2282" t="s">
        <v>28</v>
      </c>
      <c r="R2282" t="s">
        <v>129</v>
      </c>
    </row>
    <row r="2283" spans="1:18">
      <c r="A2283" t="s">
        <v>2416</v>
      </c>
      <c r="B2283" s="2">
        <v>45986</v>
      </c>
      <c r="C2283" t="s">
        <v>96</v>
      </c>
      <c r="D2283" t="s">
        <v>97</v>
      </c>
      <c r="E2283" t="s">
        <v>39</v>
      </c>
      <c r="F2283" t="s">
        <v>82</v>
      </c>
      <c r="G2283" t="s">
        <v>197</v>
      </c>
      <c r="H2283" t="s">
        <v>198</v>
      </c>
      <c r="I2283">
        <v>30</v>
      </c>
      <c r="J2283" s="3">
        <v>2080.35</v>
      </c>
      <c r="K2283" s="3">
        <v>62410.5</v>
      </c>
      <c r="L2283" t="s">
        <v>34</v>
      </c>
      <c r="M2283" s="2">
        <v>45999</v>
      </c>
      <c r="N2283" s="2">
        <v>45999</v>
      </c>
      <c r="O2283" t="s">
        <v>26</v>
      </c>
      <c r="P2283" t="s">
        <v>64</v>
      </c>
      <c r="Q2283" t="s">
        <v>28</v>
      </c>
      <c r="R2283" t="s">
        <v>29</v>
      </c>
    </row>
    <row r="2284" spans="1:18">
      <c r="A2284" t="s">
        <v>2417</v>
      </c>
      <c r="B2284" s="2">
        <v>46088</v>
      </c>
      <c r="C2284" t="s">
        <v>19</v>
      </c>
      <c r="D2284" t="s">
        <v>20</v>
      </c>
      <c r="E2284" t="s">
        <v>31</v>
      </c>
      <c r="F2284" t="s">
        <v>22</v>
      </c>
      <c r="G2284" t="s">
        <v>32</v>
      </c>
      <c r="H2284" t="s">
        <v>33</v>
      </c>
      <c r="I2284">
        <v>1</v>
      </c>
      <c r="J2284" s="3">
        <v>7385.74</v>
      </c>
      <c r="K2284" s="3">
        <v>7385.74</v>
      </c>
      <c r="L2284" t="s">
        <v>34</v>
      </c>
      <c r="M2284" s="2">
        <v>46094</v>
      </c>
      <c r="N2284" s="2">
        <v>46101</v>
      </c>
      <c r="O2284" t="s">
        <v>26</v>
      </c>
      <c r="P2284" t="s">
        <v>94</v>
      </c>
      <c r="Q2284" t="s">
        <v>28</v>
      </c>
      <c r="R2284" t="s">
        <v>129</v>
      </c>
    </row>
    <row r="2285" spans="1:18">
      <c r="A2285" t="s">
        <v>2418</v>
      </c>
      <c r="B2285" s="2">
        <v>45753</v>
      </c>
      <c r="C2285" t="s">
        <v>117</v>
      </c>
      <c r="D2285" t="s">
        <v>118</v>
      </c>
      <c r="E2285" t="s">
        <v>48</v>
      </c>
      <c r="F2285" t="s">
        <v>57</v>
      </c>
      <c r="G2285" t="s">
        <v>101</v>
      </c>
      <c r="H2285" t="s">
        <v>102</v>
      </c>
      <c r="I2285">
        <v>7</v>
      </c>
      <c r="J2285" s="3">
        <v>1786.99</v>
      </c>
      <c r="K2285" s="3">
        <v>12508.93</v>
      </c>
      <c r="L2285" t="s">
        <v>34</v>
      </c>
      <c r="M2285" s="2">
        <v>45767</v>
      </c>
      <c r="N2285" s="2">
        <v>45766</v>
      </c>
      <c r="O2285" t="s">
        <v>60</v>
      </c>
      <c r="P2285" t="s">
        <v>53</v>
      </c>
      <c r="Q2285" t="s">
        <v>28</v>
      </c>
      <c r="R2285" t="s">
        <v>29</v>
      </c>
    </row>
    <row r="2286" spans="1:18">
      <c r="A2286" t="s">
        <v>2419</v>
      </c>
      <c r="B2286" s="2">
        <v>46169</v>
      </c>
      <c r="C2286" t="s">
        <v>19</v>
      </c>
      <c r="D2286" t="s">
        <v>20</v>
      </c>
      <c r="E2286" t="s">
        <v>39</v>
      </c>
      <c r="F2286" t="s">
        <v>22</v>
      </c>
      <c r="G2286" t="s">
        <v>32</v>
      </c>
      <c r="H2286" t="s">
        <v>33</v>
      </c>
      <c r="I2286">
        <v>9</v>
      </c>
      <c r="J2286" s="3">
        <v>7118.05</v>
      </c>
      <c r="K2286" s="3">
        <v>64062.45</v>
      </c>
      <c r="L2286" t="s">
        <v>52</v>
      </c>
      <c r="M2286" s="2">
        <v>46184</v>
      </c>
      <c r="N2286" s="2">
        <v>46183</v>
      </c>
      <c r="O2286" t="s">
        <v>43</v>
      </c>
      <c r="P2286" t="s">
        <v>64</v>
      </c>
      <c r="Q2286" t="s">
        <v>28</v>
      </c>
      <c r="R2286" t="s">
        <v>29</v>
      </c>
    </row>
    <row r="2287" spans="1:18">
      <c r="A2287" t="s">
        <v>2420</v>
      </c>
      <c r="B2287" s="2">
        <v>46198</v>
      </c>
      <c r="C2287" t="s">
        <v>147</v>
      </c>
      <c r="D2287" t="s">
        <v>148</v>
      </c>
      <c r="E2287" t="s">
        <v>112</v>
      </c>
      <c r="F2287" t="s">
        <v>40</v>
      </c>
      <c r="G2287" t="s">
        <v>41</v>
      </c>
      <c r="H2287" t="s">
        <v>42</v>
      </c>
      <c r="I2287">
        <v>8</v>
      </c>
      <c r="J2287" s="3">
        <v>5168.96</v>
      </c>
      <c r="K2287" s="3">
        <v>41351.68</v>
      </c>
      <c r="L2287" t="s">
        <v>34</v>
      </c>
      <c r="M2287" s="2">
        <v>46209</v>
      </c>
      <c r="N2287" s="2">
        <v>46207</v>
      </c>
      <c r="O2287" t="s">
        <v>43</v>
      </c>
      <c r="P2287" t="s">
        <v>115</v>
      </c>
      <c r="Q2287" t="s">
        <v>28</v>
      </c>
      <c r="R2287" t="s">
        <v>29</v>
      </c>
    </row>
    <row r="2288" spans="1:18">
      <c r="A2288" t="s">
        <v>2421</v>
      </c>
      <c r="B2288" s="2">
        <v>45964</v>
      </c>
      <c r="C2288" t="s">
        <v>147</v>
      </c>
      <c r="D2288" t="s">
        <v>148</v>
      </c>
      <c r="E2288" t="s">
        <v>39</v>
      </c>
      <c r="F2288" t="s">
        <v>40</v>
      </c>
      <c r="G2288" t="s">
        <v>149</v>
      </c>
      <c r="H2288" t="s">
        <v>150</v>
      </c>
      <c r="I2288">
        <v>23</v>
      </c>
      <c r="J2288" s="3">
        <v>1291.3699999999999</v>
      </c>
      <c r="K2288" s="3">
        <v>29701.51</v>
      </c>
      <c r="L2288" t="s">
        <v>25</v>
      </c>
      <c r="M2288" s="2">
        <v>45976</v>
      </c>
      <c r="N2288" s="2">
        <v>45973</v>
      </c>
      <c r="O2288" t="s">
        <v>43</v>
      </c>
      <c r="P2288" t="s">
        <v>44</v>
      </c>
      <c r="Q2288" t="s">
        <v>28</v>
      </c>
      <c r="R2288" t="s">
        <v>29</v>
      </c>
    </row>
    <row r="2289" spans="1:18">
      <c r="A2289" t="s">
        <v>2422</v>
      </c>
      <c r="B2289" s="2">
        <v>46102</v>
      </c>
      <c r="C2289" t="s">
        <v>71</v>
      </c>
      <c r="D2289" t="s">
        <v>72</v>
      </c>
      <c r="E2289" t="s">
        <v>73</v>
      </c>
      <c r="F2289" t="s">
        <v>57</v>
      </c>
      <c r="G2289" t="s">
        <v>58</v>
      </c>
      <c r="H2289" t="s">
        <v>59</v>
      </c>
      <c r="I2289">
        <v>8</v>
      </c>
      <c r="J2289" s="3">
        <v>54378.43</v>
      </c>
      <c r="K2289" s="3">
        <v>435027.44</v>
      </c>
      <c r="L2289" t="s">
        <v>25</v>
      </c>
      <c r="M2289" s="2">
        <v>46114</v>
      </c>
      <c r="N2289" s="2">
        <v>46112</v>
      </c>
      <c r="O2289" t="s">
        <v>26</v>
      </c>
      <c r="P2289" t="s">
        <v>77</v>
      </c>
      <c r="Q2289" t="s">
        <v>28</v>
      </c>
      <c r="R2289" t="s">
        <v>29</v>
      </c>
    </row>
    <row r="2290" spans="1:18">
      <c r="A2290" t="s">
        <v>2423</v>
      </c>
      <c r="B2290" s="2">
        <v>46055</v>
      </c>
      <c r="C2290" t="s">
        <v>104</v>
      </c>
      <c r="D2290" t="s">
        <v>105</v>
      </c>
      <c r="E2290" t="s">
        <v>48</v>
      </c>
      <c r="F2290" t="s">
        <v>49</v>
      </c>
      <c r="G2290" t="s">
        <v>165</v>
      </c>
      <c r="H2290" t="s">
        <v>166</v>
      </c>
      <c r="I2290">
        <v>3</v>
      </c>
      <c r="J2290" s="3">
        <v>45669.93</v>
      </c>
      <c r="K2290" s="3">
        <v>137009.79</v>
      </c>
      <c r="L2290" t="s">
        <v>25</v>
      </c>
      <c r="M2290" s="2">
        <v>46069</v>
      </c>
      <c r="N2290" s="2">
        <v>46068</v>
      </c>
      <c r="O2290" t="s">
        <v>76</v>
      </c>
      <c r="P2290" t="s">
        <v>53</v>
      </c>
      <c r="Q2290" t="s">
        <v>28</v>
      </c>
      <c r="R2290" t="s">
        <v>29</v>
      </c>
    </row>
    <row r="2291" spans="1:18">
      <c r="A2291" t="s">
        <v>2424</v>
      </c>
      <c r="B2291" s="2">
        <v>46105</v>
      </c>
      <c r="C2291" t="s">
        <v>55</v>
      </c>
      <c r="D2291" t="s">
        <v>56</v>
      </c>
      <c r="E2291" t="s">
        <v>48</v>
      </c>
      <c r="F2291" t="s">
        <v>57</v>
      </c>
      <c r="G2291" t="s">
        <v>127</v>
      </c>
      <c r="H2291" t="s">
        <v>128</v>
      </c>
      <c r="I2291">
        <v>7</v>
      </c>
      <c r="J2291" s="3">
        <v>18955.75</v>
      </c>
      <c r="K2291" s="3">
        <v>132690.25</v>
      </c>
      <c r="L2291" t="s">
        <v>34</v>
      </c>
      <c r="M2291" s="2">
        <v>46122</v>
      </c>
      <c r="N2291" s="2">
        <v>46122</v>
      </c>
      <c r="O2291" t="s">
        <v>60</v>
      </c>
      <c r="P2291" t="s">
        <v>53</v>
      </c>
      <c r="Q2291" t="s">
        <v>28</v>
      </c>
      <c r="R2291" t="s">
        <v>29</v>
      </c>
    </row>
    <row r="2292" spans="1:18">
      <c r="A2292" t="s">
        <v>2425</v>
      </c>
      <c r="B2292" s="2">
        <v>46055</v>
      </c>
      <c r="C2292" t="s">
        <v>71</v>
      </c>
      <c r="D2292" t="s">
        <v>72</v>
      </c>
      <c r="E2292" t="s">
        <v>48</v>
      </c>
      <c r="F2292" t="s">
        <v>57</v>
      </c>
      <c r="G2292" t="s">
        <v>101</v>
      </c>
      <c r="H2292" t="s">
        <v>102</v>
      </c>
      <c r="I2292">
        <v>58</v>
      </c>
      <c r="J2292" s="3">
        <v>1697.64</v>
      </c>
      <c r="K2292" s="3">
        <v>98463.12</v>
      </c>
      <c r="L2292" t="s">
        <v>25</v>
      </c>
      <c r="M2292" s="2">
        <v>46062</v>
      </c>
      <c r="N2292" s="2">
        <v>46061</v>
      </c>
      <c r="O2292" t="s">
        <v>26</v>
      </c>
      <c r="P2292" t="s">
        <v>53</v>
      </c>
      <c r="Q2292" t="s">
        <v>28</v>
      </c>
      <c r="R2292" t="s">
        <v>29</v>
      </c>
    </row>
    <row r="2293" spans="1:18">
      <c r="A2293" t="s">
        <v>2426</v>
      </c>
      <c r="B2293" s="2">
        <v>46050</v>
      </c>
      <c r="C2293" t="s">
        <v>142</v>
      </c>
      <c r="D2293" t="s">
        <v>143</v>
      </c>
      <c r="E2293" t="s">
        <v>39</v>
      </c>
      <c r="F2293" t="s">
        <v>22</v>
      </c>
      <c r="G2293" t="s">
        <v>23</v>
      </c>
      <c r="H2293" t="s">
        <v>24</v>
      </c>
      <c r="I2293">
        <v>50</v>
      </c>
      <c r="J2293" s="3">
        <v>240.28</v>
      </c>
      <c r="K2293" s="3">
        <v>12014</v>
      </c>
      <c r="L2293" t="s">
        <v>52</v>
      </c>
      <c r="M2293" s="2">
        <v>46063</v>
      </c>
      <c r="N2293" s="2">
        <v>46063</v>
      </c>
      <c r="O2293" t="s">
        <v>43</v>
      </c>
      <c r="P2293" t="s">
        <v>64</v>
      </c>
      <c r="Q2293" t="s">
        <v>28</v>
      </c>
      <c r="R2293" t="s">
        <v>29</v>
      </c>
    </row>
    <row r="2294" spans="1:18">
      <c r="A2294" t="s">
        <v>2427</v>
      </c>
      <c r="B2294" s="2">
        <v>46185</v>
      </c>
      <c r="C2294" t="s">
        <v>104</v>
      </c>
      <c r="D2294" t="s">
        <v>105</v>
      </c>
      <c r="E2294" t="s">
        <v>112</v>
      </c>
      <c r="F2294" t="s">
        <v>49</v>
      </c>
      <c r="G2294" t="s">
        <v>165</v>
      </c>
      <c r="H2294" t="s">
        <v>166</v>
      </c>
      <c r="I2294">
        <v>1</v>
      </c>
      <c r="J2294" s="3">
        <v>44190.66</v>
      </c>
      <c r="K2294" s="3">
        <v>44190.66</v>
      </c>
      <c r="L2294" t="s">
        <v>34</v>
      </c>
      <c r="M2294" s="2">
        <v>46202</v>
      </c>
      <c r="N2294" s="2">
        <v>46199</v>
      </c>
      <c r="O2294" t="s">
        <v>76</v>
      </c>
      <c r="P2294" t="s">
        <v>115</v>
      </c>
      <c r="Q2294" t="s">
        <v>28</v>
      </c>
      <c r="R2294" t="s">
        <v>29</v>
      </c>
    </row>
    <row r="2295" spans="1:18">
      <c r="A2295" t="s">
        <v>2428</v>
      </c>
      <c r="B2295" s="2">
        <v>46129</v>
      </c>
      <c r="C2295" t="s">
        <v>107</v>
      </c>
      <c r="D2295" t="s">
        <v>108</v>
      </c>
      <c r="E2295" t="s">
        <v>31</v>
      </c>
      <c r="F2295" t="s">
        <v>91</v>
      </c>
      <c r="G2295" t="s">
        <v>92</v>
      </c>
      <c r="H2295" t="s">
        <v>93</v>
      </c>
      <c r="I2295">
        <v>1</v>
      </c>
      <c r="J2295" s="3">
        <v>45754.59</v>
      </c>
      <c r="K2295" s="3">
        <v>45754.59</v>
      </c>
      <c r="L2295" t="s">
        <v>34</v>
      </c>
      <c r="M2295" s="2">
        <v>46140</v>
      </c>
      <c r="N2295" s="2">
        <v>46137</v>
      </c>
      <c r="O2295" t="s">
        <v>76</v>
      </c>
      <c r="P2295" t="s">
        <v>35</v>
      </c>
      <c r="Q2295" t="s">
        <v>28</v>
      </c>
      <c r="R2295" t="s">
        <v>29</v>
      </c>
    </row>
    <row r="2296" spans="1:18">
      <c r="A2296" t="s">
        <v>2429</v>
      </c>
      <c r="B2296" s="2">
        <v>45928</v>
      </c>
      <c r="C2296" t="s">
        <v>142</v>
      </c>
      <c r="D2296" t="s">
        <v>143</v>
      </c>
      <c r="E2296" t="s">
        <v>73</v>
      </c>
      <c r="F2296" t="s">
        <v>22</v>
      </c>
      <c r="G2296" t="s">
        <v>23</v>
      </c>
      <c r="H2296" t="s">
        <v>24</v>
      </c>
      <c r="I2296">
        <v>11</v>
      </c>
      <c r="J2296" s="3">
        <v>243.31</v>
      </c>
      <c r="K2296" s="3">
        <v>2676.41</v>
      </c>
      <c r="L2296" t="s">
        <v>25</v>
      </c>
      <c r="M2296" s="2">
        <v>45937</v>
      </c>
      <c r="N2296" s="2">
        <v>45935</v>
      </c>
      <c r="O2296" t="s">
        <v>76</v>
      </c>
      <c r="P2296" t="s">
        <v>77</v>
      </c>
      <c r="Q2296" t="s">
        <v>28</v>
      </c>
      <c r="R2296" t="s">
        <v>29</v>
      </c>
    </row>
    <row r="2297" spans="1:18">
      <c r="A2297" t="s">
        <v>2430</v>
      </c>
      <c r="B2297" s="2">
        <v>45839</v>
      </c>
      <c r="C2297" t="s">
        <v>19</v>
      </c>
      <c r="D2297" t="s">
        <v>20</v>
      </c>
      <c r="E2297" t="s">
        <v>21</v>
      </c>
      <c r="F2297" t="s">
        <v>22</v>
      </c>
      <c r="G2297" t="s">
        <v>32</v>
      </c>
      <c r="H2297" t="s">
        <v>33</v>
      </c>
      <c r="I2297">
        <v>8</v>
      </c>
      <c r="J2297" s="3">
        <v>7253.11</v>
      </c>
      <c r="K2297" s="3">
        <v>58024.88</v>
      </c>
      <c r="L2297" t="s">
        <v>25</v>
      </c>
      <c r="M2297" s="2">
        <v>45855</v>
      </c>
      <c r="N2297" s="2">
        <v>45862</v>
      </c>
      <c r="O2297" t="s">
        <v>26</v>
      </c>
      <c r="P2297" t="s">
        <v>27</v>
      </c>
      <c r="Q2297" t="s">
        <v>28</v>
      </c>
      <c r="R2297" t="s">
        <v>129</v>
      </c>
    </row>
    <row r="2298" spans="1:18">
      <c r="A2298" t="s">
        <v>2431</v>
      </c>
      <c r="B2298" s="2">
        <v>45742</v>
      </c>
      <c r="C2298" t="s">
        <v>80</v>
      </c>
      <c r="D2298" t="s">
        <v>81</v>
      </c>
      <c r="E2298" t="s">
        <v>39</v>
      </c>
      <c r="F2298" t="s">
        <v>82</v>
      </c>
      <c r="G2298" t="s">
        <v>98</v>
      </c>
      <c r="H2298" t="s">
        <v>99</v>
      </c>
      <c r="I2298">
        <v>56</v>
      </c>
      <c r="J2298" s="3">
        <v>1113.44</v>
      </c>
      <c r="K2298" s="3">
        <v>62352.639999999999</v>
      </c>
      <c r="L2298" t="s">
        <v>25</v>
      </c>
      <c r="M2298" s="2">
        <v>45752</v>
      </c>
      <c r="N2298" s="2">
        <v>45752</v>
      </c>
      <c r="O2298" t="s">
        <v>76</v>
      </c>
      <c r="P2298" t="s">
        <v>44</v>
      </c>
      <c r="Q2298" t="s">
        <v>28</v>
      </c>
      <c r="R2298" t="s">
        <v>29</v>
      </c>
    </row>
    <row r="2299" spans="1:18">
      <c r="A2299" t="s">
        <v>2432</v>
      </c>
      <c r="B2299" s="2">
        <v>45708</v>
      </c>
      <c r="C2299" t="s">
        <v>107</v>
      </c>
      <c r="D2299" t="s">
        <v>108</v>
      </c>
      <c r="E2299" t="s">
        <v>31</v>
      </c>
      <c r="F2299" t="s">
        <v>91</v>
      </c>
      <c r="G2299" t="s">
        <v>92</v>
      </c>
      <c r="H2299" t="s">
        <v>93</v>
      </c>
      <c r="I2299">
        <v>3</v>
      </c>
      <c r="J2299" s="3">
        <v>47302.400000000001</v>
      </c>
      <c r="K2299" s="3">
        <v>141907.20000000001</v>
      </c>
      <c r="L2299" t="s">
        <v>25</v>
      </c>
      <c r="M2299" s="2">
        <v>45726</v>
      </c>
      <c r="N2299" s="2">
        <v>45723</v>
      </c>
      <c r="O2299" t="s">
        <v>26</v>
      </c>
      <c r="P2299" t="s">
        <v>94</v>
      </c>
      <c r="Q2299" t="s">
        <v>28</v>
      </c>
      <c r="R2299" t="s">
        <v>29</v>
      </c>
    </row>
    <row r="2300" spans="1:18">
      <c r="A2300" t="s">
        <v>2433</v>
      </c>
      <c r="B2300" s="2">
        <v>45789</v>
      </c>
      <c r="C2300" t="s">
        <v>89</v>
      </c>
      <c r="D2300" t="s">
        <v>90</v>
      </c>
      <c r="E2300" t="s">
        <v>31</v>
      </c>
      <c r="F2300" t="s">
        <v>91</v>
      </c>
      <c r="G2300" t="s">
        <v>109</v>
      </c>
      <c r="H2300" t="s">
        <v>110</v>
      </c>
      <c r="I2300">
        <v>3</v>
      </c>
      <c r="J2300" s="3">
        <v>13104.42</v>
      </c>
      <c r="K2300" s="3">
        <v>39313.26</v>
      </c>
      <c r="L2300" t="s">
        <v>25</v>
      </c>
      <c r="M2300" s="2">
        <v>45803</v>
      </c>
      <c r="N2300" s="2">
        <v>45800</v>
      </c>
      <c r="O2300" t="s">
        <v>76</v>
      </c>
      <c r="P2300" t="s">
        <v>94</v>
      </c>
      <c r="Q2300" t="s">
        <v>28</v>
      </c>
      <c r="R2300" t="s">
        <v>29</v>
      </c>
    </row>
    <row r="2301" spans="1:18">
      <c r="A2301" t="s">
        <v>2434</v>
      </c>
      <c r="B2301" s="2">
        <v>45787</v>
      </c>
      <c r="C2301" t="s">
        <v>131</v>
      </c>
      <c r="D2301" t="s">
        <v>132</v>
      </c>
      <c r="E2301" t="s">
        <v>31</v>
      </c>
      <c r="F2301" t="s">
        <v>57</v>
      </c>
      <c r="G2301" t="s">
        <v>74</v>
      </c>
      <c r="H2301" t="s">
        <v>75</v>
      </c>
      <c r="I2301">
        <v>14</v>
      </c>
      <c r="J2301" s="3">
        <v>9249.4699999999993</v>
      </c>
      <c r="K2301" s="3">
        <v>129492.58</v>
      </c>
      <c r="L2301" t="s">
        <v>25</v>
      </c>
      <c r="M2301" s="2">
        <v>45796</v>
      </c>
      <c r="N2301" s="2">
        <v>45793</v>
      </c>
      <c r="O2301" t="s">
        <v>43</v>
      </c>
      <c r="P2301" t="s">
        <v>35</v>
      </c>
      <c r="Q2301" t="s">
        <v>28</v>
      </c>
      <c r="R2301" t="s">
        <v>29</v>
      </c>
    </row>
    <row r="2302" spans="1:18">
      <c r="A2302" t="s">
        <v>2435</v>
      </c>
      <c r="B2302" s="2">
        <v>45793</v>
      </c>
      <c r="C2302" t="s">
        <v>104</v>
      </c>
      <c r="D2302" t="s">
        <v>105</v>
      </c>
      <c r="E2302" t="s">
        <v>48</v>
      </c>
      <c r="F2302" t="s">
        <v>49</v>
      </c>
      <c r="G2302" t="s">
        <v>68</v>
      </c>
      <c r="H2302" t="s">
        <v>69</v>
      </c>
      <c r="I2302">
        <v>1</v>
      </c>
      <c r="J2302" s="3">
        <v>46568.44</v>
      </c>
      <c r="K2302" s="3">
        <v>46568.44</v>
      </c>
      <c r="L2302" t="s">
        <v>25</v>
      </c>
      <c r="M2302" s="2">
        <v>45801</v>
      </c>
      <c r="N2302" s="2">
        <v>45800</v>
      </c>
      <c r="O2302" t="s">
        <v>43</v>
      </c>
      <c r="P2302" t="s">
        <v>53</v>
      </c>
      <c r="Q2302" t="s">
        <v>28</v>
      </c>
      <c r="R2302" t="s">
        <v>29</v>
      </c>
    </row>
    <row r="2303" spans="1:18">
      <c r="A2303" t="s">
        <v>2436</v>
      </c>
      <c r="B2303" s="2">
        <v>46033</v>
      </c>
      <c r="C2303" t="s">
        <v>19</v>
      </c>
      <c r="D2303" t="s">
        <v>20</v>
      </c>
      <c r="E2303" t="s">
        <v>39</v>
      </c>
      <c r="F2303" t="s">
        <v>22</v>
      </c>
      <c r="G2303" t="s">
        <v>23</v>
      </c>
      <c r="H2303" t="s">
        <v>24</v>
      </c>
      <c r="I2303">
        <v>13</v>
      </c>
      <c r="J2303" s="3">
        <v>221.88</v>
      </c>
      <c r="K2303" s="3">
        <v>2884.44</v>
      </c>
      <c r="L2303" t="s">
        <v>25</v>
      </c>
      <c r="M2303" s="2">
        <v>46039</v>
      </c>
      <c r="N2303" s="2">
        <v>46036</v>
      </c>
      <c r="O2303" t="s">
        <v>26</v>
      </c>
      <c r="P2303" t="s">
        <v>44</v>
      </c>
      <c r="Q2303" t="s">
        <v>28</v>
      </c>
      <c r="R2303" t="s">
        <v>29</v>
      </c>
    </row>
    <row r="2304" spans="1:18">
      <c r="A2304" t="s">
        <v>2437</v>
      </c>
      <c r="B2304" s="2">
        <v>45770</v>
      </c>
      <c r="C2304" t="s">
        <v>142</v>
      </c>
      <c r="D2304" t="s">
        <v>143</v>
      </c>
      <c r="E2304" t="s">
        <v>73</v>
      </c>
      <c r="F2304" t="s">
        <v>22</v>
      </c>
      <c r="G2304" t="s">
        <v>23</v>
      </c>
      <c r="H2304" t="s">
        <v>24</v>
      </c>
      <c r="I2304">
        <v>13</v>
      </c>
      <c r="J2304" s="3">
        <v>237.02</v>
      </c>
      <c r="K2304" s="3">
        <v>3081.26</v>
      </c>
      <c r="L2304" t="s">
        <v>25</v>
      </c>
      <c r="M2304" s="2">
        <v>45782</v>
      </c>
      <c r="N2304" s="2">
        <v>45782</v>
      </c>
      <c r="O2304" t="s">
        <v>60</v>
      </c>
      <c r="P2304" t="s">
        <v>77</v>
      </c>
      <c r="Q2304" t="s">
        <v>28</v>
      </c>
      <c r="R2304" t="s">
        <v>29</v>
      </c>
    </row>
    <row r="2305" spans="1:18">
      <c r="A2305" t="s">
        <v>2438</v>
      </c>
      <c r="B2305" s="2">
        <v>46017</v>
      </c>
      <c r="C2305" t="s">
        <v>142</v>
      </c>
      <c r="D2305" t="s">
        <v>143</v>
      </c>
      <c r="E2305" t="s">
        <v>39</v>
      </c>
      <c r="F2305" t="s">
        <v>22</v>
      </c>
      <c r="G2305" t="s">
        <v>23</v>
      </c>
      <c r="H2305" t="s">
        <v>24</v>
      </c>
      <c r="I2305">
        <v>27</v>
      </c>
      <c r="J2305" s="3">
        <v>255.14</v>
      </c>
      <c r="K2305" s="3">
        <v>6888.78</v>
      </c>
      <c r="L2305" t="s">
        <v>34</v>
      </c>
      <c r="M2305" s="2">
        <v>46027</v>
      </c>
      <c r="N2305" s="2">
        <v>46024</v>
      </c>
      <c r="O2305" t="s">
        <v>76</v>
      </c>
      <c r="P2305" t="s">
        <v>44</v>
      </c>
      <c r="Q2305" t="s">
        <v>28</v>
      </c>
      <c r="R2305" t="s">
        <v>29</v>
      </c>
    </row>
    <row r="2306" spans="1:18">
      <c r="A2306" t="s">
        <v>2439</v>
      </c>
      <c r="B2306" s="2">
        <v>45991</v>
      </c>
      <c r="C2306" t="s">
        <v>147</v>
      </c>
      <c r="D2306" t="s">
        <v>148</v>
      </c>
      <c r="E2306" t="s">
        <v>39</v>
      </c>
      <c r="F2306" t="s">
        <v>40</v>
      </c>
      <c r="G2306" t="s">
        <v>149</v>
      </c>
      <c r="H2306" t="s">
        <v>150</v>
      </c>
      <c r="I2306">
        <v>30</v>
      </c>
      <c r="J2306" s="3">
        <v>1322.83</v>
      </c>
      <c r="K2306" s="3">
        <v>39684.9</v>
      </c>
      <c r="L2306" t="s">
        <v>25</v>
      </c>
      <c r="M2306" s="2">
        <v>46006</v>
      </c>
      <c r="N2306" s="2">
        <v>46006</v>
      </c>
      <c r="O2306" t="s">
        <v>76</v>
      </c>
      <c r="P2306" t="s">
        <v>64</v>
      </c>
      <c r="Q2306" t="s">
        <v>28</v>
      </c>
      <c r="R2306" t="s">
        <v>29</v>
      </c>
    </row>
    <row r="2307" spans="1:18">
      <c r="A2307" t="s">
        <v>2440</v>
      </c>
      <c r="B2307" s="2">
        <v>45665</v>
      </c>
      <c r="C2307" t="s">
        <v>46</v>
      </c>
      <c r="D2307" t="s">
        <v>47</v>
      </c>
      <c r="E2307" t="s">
        <v>112</v>
      </c>
      <c r="F2307" t="s">
        <v>49</v>
      </c>
      <c r="G2307" t="s">
        <v>68</v>
      </c>
      <c r="H2307" t="s">
        <v>69</v>
      </c>
      <c r="I2307">
        <v>3</v>
      </c>
      <c r="J2307" s="3">
        <v>49035.61</v>
      </c>
      <c r="K2307" s="3">
        <v>147106.82999999999</v>
      </c>
      <c r="L2307" t="s">
        <v>34</v>
      </c>
      <c r="M2307" s="2">
        <v>45670</v>
      </c>
      <c r="N2307" s="2">
        <v>45670</v>
      </c>
      <c r="O2307" t="s">
        <v>26</v>
      </c>
      <c r="P2307" t="s">
        <v>115</v>
      </c>
      <c r="Q2307" t="s">
        <v>28</v>
      </c>
      <c r="R2307" t="s">
        <v>29</v>
      </c>
    </row>
    <row r="2308" spans="1:18">
      <c r="A2308" t="s">
        <v>2441</v>
      </c>
      <c r="B2308" s="2">
        <v>46193</v>
      </c>
      <c r="C2308" t="s">
        <v>117</v>
      </c>
      <c r="D2308" t="s">
        <v>118</v>
      </c>
      <c r="E2308" t="s">
        <v>73</v>
      </c>
      <c r="F2308" t="s">
        <v>57</v>
      </c>
      <c r="G2308" t="s">
        <v>127</v>
      </c>
      <c r="H2308" t="s">
        <v>128</v>
      </c>
      <c r="I2308">
        <v>4</v>
      </c>
      <c r="J2308" s="3">
        <v>16072.5</v>
      </c>
      <c r="K2308" s="3">
        <v>64290</v>
      </c>
      <c r="L2308" t="s">
        <v>25</v>
      </c>
      <c r="M2308" s="2">
        <v>46203</v>
      </c>
      <c r="N2308" s="2">
        <v>46202</v>
      </c>
      <c r="O2308" t="s">
        <v>26</v>
      </c>
      <c r="P2308" t="s">
        <v>77</v>
      </c>
      <c r="Q2308" t="s">
        <v>28</v>
      </c>
      <c r="R2308" t="s">
        <v>29</v>
      </c>
    </row>
    <row r="2309" spans="1:18">
      <c r="A2309" t="s">
        <v>2442</v>
      </c>
      <c r="B2309" s="2">
        <v>46037</v>
      </c>
      <c r="C2309" t="s">
        <v>55</v>
      </c>
      <c r="D2309" t="s">
        <v>56</v>
      </c>
      <c r="E2309" t="s">
        <v>21</v>
      </c>
      <c r="F2309" t="s">
        <v>57</v>
      </c>
      <c r="G2309" t="s">
        <v>120</v>
      </c>
      <c r="H2309" t="s">
        <v>121</v>
      </c>
      <c r="I2309">
        <v>7</v>
      </c>
      <c r="J2309" s="3">
        <v>23507.119999999999</v>
      </c>
      <c r="K2309" s="3">
        <v>164549.84</v>
      </c>
      <c r="L2309" t="s">
        <v>52</v>
      </c>
      <c r="M2309" s="2">
        <v>46047</v>
      </c>
      <c r="N2309" s="2">
        <v>46047</v>
      </c>
      <c r="O2309" t="s">
        <v>76</v>
      </c>
      <c r="P2309" t="s">
        <v>27</v>
      </c>
      <c r="Q2309" t="s">
        <v>28</v>
      </c>
      <c r="R2309" t="s">
        <v>29</v>
      </c>
    </row>
    <row r="2310" spans="1:18">
      <c r="A2310" t="s">
        <v>2443</v>
      </c>
      <c r="B2310" s="2">
        <v>46198</v>
      </c>
      <c r="C2310" t="s">
        <v>19</v>
      </c>
      <c r="D2310" t="s">
        <v>20</v>
      </c>
      <c r="E2310" t="s">
        <v>39</v>
      </c>
      <c r="F2310" t="s">
        <v>22</v>
      </c>
      <c r="G2310" t="s">
        <v>160</v>
      </c>
      <c r="H2310" t="s">
        <v>161</v>
      </c>
      <c r="I2310">
        <v>9</v>
      </c>
      <c r="J2310" s="3">
        <v>2921.02</v>
      </c>
      <c r="K2310" s="3">
        <v>26289.18</v>
      </c>
      <c r="L2310" t="s">
        <v>34</v>
      </c>
      <c r="M2310" s="2">
        <v>46215</v>
      </c>
      <c r="N2310" s="2">
        <v>46213</v>
      </c>
      <c r="O2310" t="s">
        <v>26</v>
      </c>
      <c r="P2310" t="s">
        <v>64</v>
      </c>
      <c r="Q2310" t="s">
        <v>28</v>
      </c>
      <c r="R2310" t="s">
        <v>29</v>
      </c>
    </row>
    <row r="2311" spans="1:18">
      <c r="A2311" t="s">
        <v>2444</v>
      </c>
      <c r="B2311" s="2">
        <v>45969</v>
      </c>
      <c r="C2311" t="s">
        <v>71</v>
      </c>
      <c r="D2311" t="s">
        <v>72</v>
      </c>
      <c r="E2311" t="s">
        <v>48</v>
      </c>
      <c r="F2311" t="s">
        <v>57</v>
      </c>
      <c r="G2311" t="s">
        <v>58</v>
      </c>
      <c r="H2311" t="s">
        <v>59</v>
      </c>
      <c r="I2311">
        <v>1</v>
      </c>
      <c r="J2311" s="3">
        <v>53713.77</v>
      </c>
      <c r="K2311" s="3">
        <v>53713.77</v>
      </c>
      <c r="L2311" t="s">
        <v>34</v>
      </c>
      <c r="M2311" s="2">
        <v>45986</v>
      </c>
      <c r="N2311" s="2">
        <v>45986</v>
      </c>
      <c r="O2311" t="s">
        <v>26</v>
      </c>
      <c r="P2311" t="s">
        <v>53</v>
      </c>
      <c r="Q2311" t="s">
        <v>28</v>
      </c>
      <c r="R2311" t="s">
        <v>29</v>
      </c>
    </row>
    <row r="2312" spans="1:18">
      <c r="A2312" t="s">
        <v>2445</v>
      </c>
      <c r="B2312" s="2">
        <v>45911</v>
      </c>
      <c r="C2312" t="s">
        <v>142</v>
      </c>
      <c r="D2312" t="s">
        <v>143</v>
      </c>
      <c r="E2312" t="s">
        <v>73</v>
      </c>
      <c r="F2312" t="s">
        <v>22</v>
      </c>
      <c r="G2312" t="s">
        <v>23</v>
      </c>
      <c r="H2312" t="s">
        <v>24</v>
      </c>
      <c r="I2312">
        <v>28</v>
      </c>
      <c r="J2312" s="3">
        <v>250.83</v>
      </c>
      <c r="K2312" s="3">
        <v>7023.24</v>
      </c>
      <c r="L2312" t="s">
        <v>34</v>
      </c>
      <c r="M2312" s="2">
        <v>45927</v>
      </c>
      <c r="N2312" s="2">
        <v>45924</v>
      </c>
      <c r="O2312" t="s">
        <v>43</v>
      </c>
      <c r="P2312" t="s">
        <v>77</v>
      </c>
      <c r="Q2312" t="s">
        <v>28</v>
      </c>
      <c r="R2312" t="s">
        <v>29</v>
      </c>
    </row>
    <row r="2313" spans="1:18">
      <c r="A2313" t="s">
        <v>2446</v>
      </c>
      <c r="B2313" s="2">
        <v>45946</v>
      </c>
      <c r="C2313" t="s">
        <v>104</v>
      </c>
      <c r="D2313" t="s">
        <v>105</v>
      </c>
      <c r="E2313" t="s">
        <v>48</v>
      </c>
      <c r="F2313" t="s">
        <v>49</v>
      </c>
      <c r="G2313" t="s">
        <v>50</v>
      </c>
      <c r="H2313" t="s">
        <v>51</v>
      </c>
      <c r="I2313">
        <v>1</v>
      </c>
      <c r="J2313" s="3">
        <v>52021.2</v>
      </c>
      <c r="K2313" s="3">
        <v>52021.2</v>
      </c>
      <c r="L2313" t="s">
        <v>34</v>
      </c>
      <c r="M2313" s="2">
        <v>45952</v>
      </c>
      <c r="N2313" s="2">
        <v>45952</v>
      </c>
      <c r="O2313" t="s">
        <v>76</v>
      </c>
      <c r="P2313" t="s">
        <v>53</v>
      </c>
      <c r="Q2313" t="s">
        <v>28</v>
      </c>
      <c r="R2313" t="s">
        <v>29</v>
      </c>
    </row>
    <row r="2314" spans="1:18">
      <c r="A2314" t="s">
        <v>2447</v>
      </c>
      <c r="B2314" s="2">
        <v>45720</v>
      </c>
      <c r="C2314" t="s">
        <v>80</v>
      </c>
      <c r="D2314" t="s">
        <v>81</v>
      </c>
      <c r="E2314" t="s">
        <v>39</v>
      </c>
      <c r="F2314" t="s">
        <v>82</v>
      </c>
      <c r="G2314" t="s">
        <v>197</v>
      </c>
      <c r="H2314" t="s">
        <v>198</v>
      </c>
      <c r="I2314">
        <v>48</v>
      </c>
      <c r="J2314" s="3">
        <v>1945.65</v>
      </c>
      <c r="K2314" s="3">
        <v>93391.2</v>
      </c>
      <c r="L2314" t="s">
        <v>52</v>
      </c>
      <c r="M2314" s="2">
        <v>45738</v>
      </c>
      <c r="N2314" s="2">
        <v>45737</v>
      </c>
      <c r="O2314" t="s">
        <v>60</v>
      </c>
      <c r="P2314" t="s">
        <v>64</v>
      </c>
      <c r="Q2314" t="s">
        <v>28</v>
      </c>
      <c r="R2314" t="s">
        <v>29</v>
      </c>
    </row>
    <row r="2315" spans="1:18">
      <c r="A2315" t="s">
        <v>2448</v>
      </c>
      <c r="B2315" s="2">
        <v>46041</v>
      </c>
      <c r="C2315" t="s">
        <v>134</v>
      </c>
      <c r="D2315" t="s">
        <v>135</v>
      </c>
      <c r="E2315" t="s">
        <v>39</v>
      </c>
      <c r="F2315" t="s">
        <v>40</v>
      </c>
      <c r="G2315" t="s">
        <v>62</v>
      </c>
      <c r="H2315" t="s">
        <v>63</v>
      </c>
      <c r="I2315">
        <v>2</v>
      </c>
      <c r="J2315" s="3">
        <v>18350.419999999998</v>
      </c>
      <c r="K2315" s="3">
        <v>36700.839999999997</v>
      </c>
      <c r="L2315" t="s">
        <v>52</v>
      </c>
      <c r="M2315" s="2">
        <v>46053</v>
      </c>
      <c r="N2315" s="2">
        <v>46052</v>
      </c>
      <c r="O2315" t="s">
        <v>26</v>
      </c>
      <c r="P2315" t="s">
        <v>64</v>
      </c>
      <c r="Q2315" t="s">
        <v>28</v>
      </c>
      <c r="R2315" t="s">
        <v>29</v>
      </c>
    </row>
    <row r="2316" spans="1:18">
      <c r="A2316" t="s">
        <v>2449</v>
      </c>
      <c r="B2316" s="2">
        <v>45743</v>
      </c>
      <c r="C2316" t="s">
        <v>142</v>
      </c>
      <c r="D2316" t="s">
        <v>143</v>
      </c>
      <c r="E2316" t="s">
        <v>31</v>
      </c>
      <c r="F2316" t="s">
        <v>22</v>
      </c>
      <c r="G2316" t="s">
        <v>23</v>
      </c>
      <c r="H2316" t="s">
        <v>24</v>
      </c>
      <c r="I2316">
        <v>36</v>
      </c>
      <c r="J2316" s="3">
        <v>249.54</v>
      </c>
      <c r="K2316" s="3">
        <v>8983.44</v>
      </c>
      <c r="L2316" t="s">
        <v>25</v>
      </c>
      <c r="M2316" s="2">
        <v>45757</v>
      </c>
      <c r="N2316" s="2">
        <v>45754</v>
      </c>
      <c r="O2316" t="s">
        <v>60</v>
      </c>
      <c r="P2316" t="s">
        <v>94</v>
      </c>
      <c r="Q2316" t="s">
        <v>28</v>
      </c>
      <c r="R2316" t="s">
        <v>29</v>
      </c>
    </row>
    <row r="2317" spans="1:18">
      <c r="A2317" t="s">
        <v>2450</v>
      </c>
      <c r="B2317" s="2">
        <v>46189</v>
      </c>
      <c r="C2317" t="s">
        <v>104</v>
      </c>
      <c r="D2317" t="s">
        <v>105</v>
      </c>
      <c r="E2317" t="s">
        <v>48</v>
      </c>
      <c r="F2317" t="s">
        <v>49</v>
      </c>
      <c r="G2317" t="s">
        <v>113</v>
      </c>
      <c r="H2317" t="s">
        <v>114</v>
      </c>
      <c r="I2317">
        <v>1</v>
      </c>
      <c r="J2317" s="3">
        <v>38888.39</v>
      </c>
      <c r="K2317" s="3">
        <v>38888.39</v>
      </c>
      <c r="L2317" t="s">
        <v>25</v>
      </c>
      <c r="M2317" s="2">
        <v>46207</v>
      </c>
      <c r="N2317" s="2">
        <v>46206</v>
      </c>
      <c r="O2317" t="s">
        <v>26</v>
      </c>
      <c r="P2317" t="s">
        <v>53</v>
      </c>
      <c r="Q2317" t="s">
        <v>28</v>
      </c>
      <c r="R2317" t="s">
        <v>29</v>
      </c>
    </row>
    <row r="2318" spans="1:18">
      <c r="A2318" t="s">
        <v>2451</v>
      </c>
      <c r="B2318" s="2">
        <v>46136</v>
      </c>
      <c r="C2318" t="s">
        <v>117</v>
      </c>
      <c r="D2318" t="s">
        <v>118</v>
      </c>
      <c r="E2318" t="s">
        <v>31</v>
      </c>
      <c r="F2318" t="s">
        <v>57</v>
      </c>
      <c r="G2318" t="s">
        <v>58</v>
      </c>
      <c r="H2318" t="s">
        <v>59</v>
      </c>
      <c r="I2318">
        <v>3</v>
      </c>
      <c r="J2318" s="3">
        <v>56383.27</v>
      </c>
      <c r="K2318" s="3">
        <v>169149.81</v>
      </c>
      <c r="L2318" t="s">
        <v>52</v>
      </c>
      <c r="M2318" s="2">
        <v>46154</v>
      </c>
      <c r="N2318" s="2">
        <v>46164</v>
      </c>
      <c r="O2318" t="s">
        <v>76</v>
      </c>
      <c r="P2318" t="s">
        <v>35</v>
      </c>
      <c r="Q2318" t="s">
        <v>28</v>
      </c>
      <c r="R2318" t="s">
        <v>129</v>
      </c>
    </row>
    <row r="2319" spans="1:18">
      <c r="A2319" t="s">
        <v>2452</v>
      </c>
      <c r="B2319" s="2">
        <v>45844</v>
      </c>
      <c r="C2319" t="s">
        <v>89</v>
      </c>
      <c r="D2319" t="s">
        <v>90</v>
      </c>
      <c r="E2319" t="s">
        <v>31</v>
      </c>
      <c r="F2319" t="s">
        <v>91</v>
      </c>
      <c r="G2319" t="s">
        <v>109</v>
      </c>
      <c r="H2319" t="s">
        <v>110</v>
      </c>
      <c r="I2319">
        <v>2</v>
      </c>
      <c r="J2319" s="3">
        <v>12144.75</v>
      </c>
      <c r="K2319" s="3">
        <v>24289.5</v>
      </c>
      <c r="L2319" t="s">
        <v>25</v>
      </c>
      <c r="M2319" s="2">
        <v>45861</v>
      </c>
      <c r="N2319" s="2">
        <v>45861</v>
      </c>
      <c r="O2319" t="s">
        <v>60</v>
      </c>
      <c r="P2319" t="s">
        <v>94</v>
      </c>
      <c r="Q2319" t="s">
        <v>28</v>
      </c>
      <c r="R2319" t="s">
        <v>29</v>
      </c>
    </row>
    <row r="2320" spans="1:18">
      <c r="A2320" t="s">
        <v>2453</v>
      </c>
      <c r="B2320" s="2">
        <v>45778</v>
      </c>
      <c r="C2320" t="s">
        <v>107</v>
      </c>
      <c r="D2320" t="s">
        <v>108</v>
      </c>
      <c r="E2320" t="s">
        <v>31</v>
      </c>
      <c r="F2320" t="s">
        <v>91</v>
      </c>
      <c r="G2320" t="s">
        <v>109</v>
      </c>
      <c r="H2320" t="s">
        <v>110</v>
      </c>
      <c r="I2320">
        <v>1</v>
      </c>
      <c r="J2320" s="3">
        <v>13927.2</v>
      </c>
      <c r="K2320" s="3">
        <v>13927.2</v>
      </c>
      <c r="L2320" t="s">
        <v>34</v>
      </c>
      <c r="M2320" s="2">
        <v>45792</v>
      </c>
      <c r="N2320" s="2">
        <v>45792</v>
      </c>
      <c r="O2320" t="s">
        <v>43</v>
      </c>
      <c r="P2320" t="s">
        <v>35</v>
      </c>
      <c r="Q2320" t="s">
        <v>28</v>
      </c>
      <c r="R2320" t="s">
        <v>29</v>
      </c>
    </row>
    <row r="2321" spans="1:18">
      <c r="A2321" t="s">
        <v>2454</v>
      </c>
      <c r="B2321" s="2">
        <v>45708</v>
      </c>
      <c r="C2321" t="s">
        <v>19</v>
      </c>
      <c r="D2321" t="s">
        <v>20</v>
      </c>
      <c r="E2321" t="s">
        <v>39</v>
      </c>
      <c r="F2321" t="s">
        <v>22</v>
      </c>
      <c r="G2321" t="s">
        <v>160</v>
      </c>
      <c r="H2321" t="s">
        <v>161</v>
      </c>
      <c r="I2321">
        <v>9</v>
      </c>
      <c r="J2321" s="3">
        <v>2988.12</v>
      </c>
      <c r="K2321" s="3">
        <v>26893.08</v>
      </c>
      <c r="L2321" t="s">
        <v>25</v>
      </c>
      <c r="M2321" s="2">
        <v>45713</v>
      </c>
      <c r="N2321" s="2">
        <v>45710</v>
      </c>
      <c r="O2321" t="s">
        <v>60</v>
      </c>
      <c r="P2321" t="s">
        <v>44</v>
      </c>
      <c r="Q2321" t="s">
        <v>28</v>
      </c>
      <c r="R2321" t="s">
        <v>29</v>
      </c>
    </row>
    <row r="2322" spans="1:18">
      <c r="A2322" t="s">
        <v>2455</v>
      </c>
      <c r="B2322" s="2">
        <v>45708</v>
      </c>
      <c r="C2322" t="s">
        <v>46</v>
      </c>
      <c r="D2322" t="s">
        <v>47</v>
      </c>
      <c r="E2322" t="s">
        <v>48</v>
      </c>
      <c r="F2322" t="s">
        <v>49</v>
      </c>
      <c r="G2322" t="s">
        <v>50</v>
      </c>
      <c r="H2322" t="s">
        <v>51</v>
      </c>
      <c r="I2322">
        <v>1</v>
      </c>
      <c r="J2322" s="3">
        <v>55427.95</v>
      </c>
      <c r="K2322" s="3">
        <v>55427.95</v>
      </c>
      <c r="L2322" t="s">
        <v>34</v>
      </c>
      <c r="M2322" s="2">
        <v>45714</v>
      </c>
      <c r="N2322" s="2">
        <v>45711</v>
      </c>
      <c r="O2322" t="s">
        <v>60</v>
      </c>
      <c r="P2322" t="s">
        <v>53</v>
      </c>
      <c r="Q2322" t="s">
        <v>28</v>
      </c>
      <c r="R2322" t="s">
        <v>29</v>
      </c>
    </row>
    <row r="2323" spans="1:18">
      <c r="A2323" t="s">
        <v>2456</v>
      </c>
      <c r="B2323" s="2">
        <v>46102</v>
      </c>
      <c r="C2323" t="s">
        <v>107</v>
      </c>
      <c r="D2323" t="s">
        <v>108</v>
      </c>
      <c r="E2323" t="s">
        <v>31</v>
      </c>
      <c r="F2323" t="s">
        <v>91</v>
      </c>
      <c r="G2323" t="s">
        <v>109</v>
      </c>
      <c r="H2323" t="s">
        <v>110</v>
      </c>
      <c r="I2323">
        <v>3</v>
      </c>
      <c r="J2323" s="3">
        <v>13648</v>
      </c>
      <c r="K2323" s="3">
        <v>40944</v>
      </c>
      <c r="L2323" t="s">
        <v>25</v>
      </c>
      <c r="M2323" s="2">
        <v>46117</v>
      </c>
      <c r="N2323" s="2">
        <v>46116</v>
      </c>
      <c r="O2323" t="s">
        <v>76</v>
      </c>
      <c r="P2323" t="s">
        <v>94</v>
      </c>
      <c r="Q2323" t="s">
        <v>28</v>
      </c>
      <c r="R2323" t="s">
        <v>29</v>
      </c>
    </row>
    <row r="2324" spans="1:18">
      <c r="A2324" t="s">
        <v>2457</v>
      </c>
      <c r="B2324" s="2">
        <v>45867</v>
      </c>
      <c r="C2324" t="s">
        <v>131</v>
      </c>
      <c r="D2324" t="s">
        <v>132</v>
      </c>
      <c r="E2324" t="s">
        <v>21</v>
      </c>
      <c r="F2324" t="s">
        <v>57</v>
      </c>
      <c r="G2324" t="s">
        <v>127</v>
      </c>
      <c r="H2324" t="s">
        <v>128</v>
      </c>
      <c r="I2324">
        <v>5</v>
      </c>
      <c r="J2324" s="3">
        <v>17472.900000000001</v>
      </c>
      <c r="K2324" s="3">
        <v>87364.5</v>
      </c>
      <c r="L2324" t="s">
        <v>25</v>
      </c>
      <c r="M2324" s="2">
        <v>45883</v>
      </c>
      <c r="N2324" s="2">
        <v>45882</v>
      </c>
      <c r="O2324" t="s">
        <v>43</v>
      </c>
      <c r="P2324" t="s">
        <v>27</v>
      </c>
      <c r="Q2324" t="s">
        <v>28</v>
      </c>
      <c r="R2324" t="s">
        <v>29</v>
      </c>
    </row>
    <row r="2325" spans="1:18">
      <c r="A2325" t="s">
        <v>2458</v>
      </c>
      <c r="B2325" s="2">
        <v>46023</v>
      </c>
      <c r="C2325" t="s">
        <v>46</v>
      </c>
      <c r="D2325" t="s">
        <v>47</v>
      </c>
      <c r="E2325" t="s">
        <v>73</v>
      </c>
      <c r="F2325" t="s">
        <v>49</v>
      </c>
      <c r="G2325" t="s">
        <v>68</v>
      </c>
      <c r="H2325" t="s">
        <v>69</v>
      </c>
      <c r="I2325">
        <v>3</v>
      </c>
      <c r="J2325" s="3">
        <v>49710.89</v>
      </c>
      <c r="K2325" s="3">
        <v>149132.67000000001</v>
      </c>
      <c r="L2325" t="s">
        <v>25</v>
      </c>
      <c r="M2325" s="2">
        <v>46029</v>
      </c>
      <c r="N2325" s="2">
        <v>46029</v>
      </c>
      <c r="O2325" t="s">
        <v>60</v>
      </c>
      <c r="P2325" t="s">
        <v>77</v>
      </c>
      <c r="Q2325" t="s">
        <v>28</v>
      </c>
      <c r="R2325" t="s">
        <v>29</v>
      </c>
    </row>
    <row r="2326" spans="1:18">
      <c r="A2326" t="s">
        <v>2459</v>
      </c>
      <c r="B2326" s="2">
        <v>46179</v>
      </c>
      <c r="C2326" t="s">
        <v>134</v>
      </c>
      <c r="D2326" t="s">
        <v>135</v>
      </c>
      <c r="E2326" t="s">
        <v>112</v>
      </c>
      <c r="F2326" t="s">
        <v>40</v>
      </c>
      <c r="G2326" t="s">
        <v>62</v>
      </c>
      <c r="H2326" t="s">
        <v>63</v>
      </c>
      <c r="I2326">
        <v>6</v>
      </c>
      <c r="J2326" s="3">
        <v>18382.400000000001</v>
      </c>
      <c r="K2326" s="3">
        <v>110294.39999999999</v>
      </c>
      <c r="L2326" t="s">
        <v>25</v>
      </c>
      <c r="M2326" s="2">
        <v>46194</v>
      </c>
      <c r="N2326" s="2">
        <v>46193</v>
      </c>
      <c r="O2326" t="s">
        <v>76</v>
      </c>
      <c r="P2326" t="s">
        <v>115</v>
      </c>
      <c r="Q2326" t="s">
        <v>28</v>
      </c>
      <c r="R2326" t="s">
        <v>29</v>
      </c>
    </row>
    <row r="2327" spans="1:18">
      <c r="A2327" t="s">
        <v>2460</v>
      </c>
      <c r="B2327" s="2">
        <v>45839</v>
      </c>
      <c r="C2327" t="s">
        <v>117</v>
      </c>
      <c r="D2327" t="s">
        <v>118</v>
      </c>
      <c r="E2327" t="s">
        <v>48</v>
      </c>
      <c r="F2327" t="s">
        <v>57</v>
      </c>
      <c r="G2327" t="s">
        <v>127</v>
      </c>
      <c r="H2327" t="s">
        <v>128</v>
      </c>
      <c r="I2327">
        <v>5</v>
      </c>
      <c r="J2327" s="3">
        <v>16838.27</v>
      </c>
      <c r="K2327" s="3">
        <v>84191.35</v>
      </c>
      <c r="L2327" t="s">
        <v>25</v>
      </c>
      <c r="M2327" s="2">
        <v>45850</v>
      </c>
      <c r="N2327" s="2">
        <v>45850</v>
      </c>
      <c r="O2327" t="s">
        <v>60</v>
      </c>
      <c r="P2327" t="s">
        <v>53</v>
      </c>
      <c r="Q2327" t="s">
        <v>28</v>
      </c>
      <c r="R2327" t="s">
        <v>29</v>
      </c>
    </row>
    <row r="2328" spans="1:18">
      <c r="A2328" t="s">
        <v>2461</v>
      </c>
      <c r="B2328" s="2">
        <v>45749</v>
      </c>
      <c r="C2328" t="s">
        <v>104</v>
      </c>
      <c r="D2328" t="s">
        <v>105</v>
      </c>
      <c r="E2328" t="s">
        <v>112</v>
      </c>
      <c r="F2328" t="s">
        <v>49</v>
      </c>
      <c r="G2328" t="s">
        <v>50</v>
      </c>
      <c r="H2328" t="s">
        <v>51</v>
      </c>
      <c r="I2328">
        <v>1</v>
      </c>
      <c r="J2328" s="3">
        <v>51038.41</v>
      </c>
      <c r="K2328" s="3">
        <v>51038.41</v>
      </c>
      <c r="L2328" t="s">
        <v>34</v>
      </c>
      <c r="M2328" s="2">
        <v>45757</v>
      </c>
      <c r="N2328" s="2">
        <v>45756</v>
      </c>
      <c r="O2328" t="s">
        <v>60</v>
      </c>
      <c r="P2328" t="s">
        <v>115</v>
      </c>
      <c r="Q2328" t="s">
        <v>28</v>
      </c>
      <c r="R2328" t="s">
        <v>29</v>
      </c>
    </row>
    <row r="2329" spans="1:18">
      <c r="A2329" t="s">
        <v>2462</v>
      </c>
      <c r="B2329" s="2">
        <v>45698</v>
      </c>
      <c r="C2329" t="s">
        <v>37</v>
      </c>
      <c r="D2329" t="s">
        <v>38</v>
      </c>
      <c r="E2329" t="s">
        <v>73</v>
      </c>
      <c r="F2329" t="s">
        <v>22</v>
      </c>
      <c r="G2329" t="s">
        <v>32</v>
      </c>
      <c r="H2329" t="s">
        <v>33</v>
      </c>
      <c r="I2329">
        <v>8</v>
      </c>
      <c r="J2329" s="3">
        <v>8555.76</v>
      </c>
      <c r="K2329" s="3">
        <v>68446.080000000002</v>
      </c>
      <c r="L2329" t="s">
        <v>34</v>
      </c>
      <c r="M2329" s="2">
        <v>45708</v>
      </c>
      <c r="N2329" s="2">
        <v>45706</v>
      </c>
      <c r="O2329" t="s">
        <v>26</v>
      </c>
      <c r="P2329" t="s">
        <v>77</v>
      </c>
      <c r="Q2329" t="s">
        <v>28</v>
      </c>
      <c r="R2329" t="s">
        <v>29</v>
      </c>
    </row>
    <row r="2330" spans="1:18">
      <c r="A2330" t="s">
        <v>2463</v>
      </c>
      <c r="B2330" s="2">
        <v>45833</v>
      </c>
      <c r="C2330" t="s">
        <v>131</v>
      </c>
      <c r="D2330" t="s">
        <v>132</v>
      </c>
      <c r="E2330" t="s">
        <v>31</v>
      </c>
      <c r="F2330" t="s">
        <v>57</v>
      </c>
      <c r="G2330" t="s">
        <v>127</v>
      </c>
      <c r="H2330" t="s">
        <v>128</v>
      </c>
      <c r="I2330">
        <v>2</v>
      </c>
      <c r="J2330" s="3">
        <v>16841.64</v>
      </c>
      <c r="K2330" s="3">
        <v>33683.279999999999</v>
      </c>
      <c r="L2330" t="s">
        <v>25</v>
      </c>
      <c r="M2330" s="2">
        <v>45839</v>
      </c>
      <c r="N2330" s="2">
        <v>45838</v>
      </c>
      <c r="O2330" t="s">
        <v>26</v>
      </c>
      <c r="P2330" t="s">
        <v>35</v>
      </c>
      <c r="Q2330" t="s">
        <v>28</v>
      </c>
      <c r="R2330" t="s">
        <v>29</v>
      </c>
    </row>
    <row r="2331" spans="1:18">
      <c r="A2331" t="s">
        <v>2464</v>
      </c>
      <c r="B2331" s="2">
        <v>46035</v>
      </c>
      <c r="C2331" t="s">
        <v>142</v>
      </c>
      <c r="D2331" t="s">
        <v>143</v>
      </c>
      <c r="E2331" t="s">
        <v>39</v>
      </c>
      <c r="F2331" t="s">
        <v>22</v>
      </c>
      <c r="G2331" t="s">
        <v>23</v>
      </c>
      <c r="H2331" t="s">
        <v>24</v>
      </c>
      <c r="I2331">
        <v>33</v>
      </c>
      <c r="J2331" s="3">
        <v>240.07</v>
      </c>
      <c r="K2331" s="3">
        <v>7922.31</v>
      </c>
      <c r="L2331" t="s">
        <v>25</v>
      </c>
      <c r="M2331" s="2">
        <v>46050</v>
      </c>
      <c r="N2331" s="2">
        <v>46047</v>
      </c>
      <c r="O2331" t="s">
        <v>43</v>
      </c>
      <c r="P2331" t="s">
        <v>64</v>
      </c>
      <c r="Q2331" t="s">
        <v>28</v>
      </c>
      <c r="R2331" t="s">
        <v>29</v>
      </c>
    </row>
    <row r="2332" spans="1:18">
      <c r="A2332" t="s">
        <v>2465</v>
      </c>
      <c r="B2332" s="2">
        <v>45941</v>
      </c>
      <c r="C2332" t="s">
        <v>66</v>
      </c>
      <c r="D2332" t="s">
        <v>67</v>
      </c>
      <c r="E2332" t="s">
        <v>48</v>
      </c>
      <c r="F2332" t="s">
        <v>49</v>
      </c>
      <c r="G2332" t="s">
        <v>165</v>
      </c>
      <c r="H2332" t="s">
        <v>166</v>
      </c>
      <c r="I2332">
        <v>1</v>
      </c>
      <c r="J2332" s="3">
        <v>44434.62</v>
      </c>
      <c r="K2332" s="3">
        <v>44434.62</v>
      </c>
      <c r="L2332" t="s">
        <v>34</v>
      </c>
      <c r="M2332" s="2">
        <v>45951</v>
      </c>
      <c r="N2332" s="2">
        <v>45948</v>
      </c>
      <c r="O2332" t="s">
        <v>60</v>
      </c>
      <c r="P2332" t="s">
        <v>53</v>
      </c>
      <c r="Q2332" t="s">
        <v>28</v>
      </c>
      <c r="R2332" t="s">
        <v>29</v>
      </c>
    </row>
    <row r="2333" spans="1:18">
      <c r="A2333" t="s">
        <v>2466</v>
      </c>
      <c r="B2333" s="2">
        <v>45738</v>
      </c>
      <c r="C2333" t="s">
        <v>142</v>
      </c>
      <c r="D2333" t="s">
        <v>143</v>
      </c>
      <c r="E2333" t="s">
        <v>39</v>
      </c>
      <c r="F2333" t="s">
        <v>22</v>
      </c>
      <c r="G2333" t="s">
        <v>32</v>
      </c>
      <c r="H2333" t="s">
        <v>33</v>
      </c>
      <c r="I2333">
        <v>6</v>
      </c>
      <c r="J2333" s="3">
        <v>7699.87</v>
      </c>
      <c r="K2333" s="3">
        <v>46199.22</v>
      </c>
      <c r="L2333" t="s">
        <v>25</v>
      </c>
      <c r="M2333" s="2">
        <v>45746</v>
      </c>
      <c r="N2333" s="2">
        <v>45746</v>
      </c>
      <c r="O2333" t="s">
        <v>76</v>
      </c>
      <c r="P2333" t="s">
        <v>44</v>
      </c>
      <c r="Q2333" t="s">
        <v>28</v>
      </c>
      <c r="R2333" t="s">
        <v>29</v>
      </c>
    </row>
    <row r="2334" spans="1:18">
      <c r="A2334" t="s">
        <v>2467</v>
      </c>
      <c r="B2334" s="2">
        <v>46018</v>
      </c>
      <c r="C2334" t="s">
        <v>117</v>
      </c>
      <c r="D2334" t="s">
        <v>118</v>
      </c>
      <c r="E2334" t="s">
        <v>31</v>
      </c>
      <c r="F2334" t="s">
        <v>57</v>
      </c>
      <c r="G2334" t="s">
        <v>86</v>
      </c>
      <c r="H2334" t="s">
        <v>87</v>
      </c>
      <c r="I2334">
        <v>1</v>
      </c>
      <c r="J2334" s="3">
        <v>10805.33</v>
      </c>
      <c r="K2334" s="3">
        <v>10805.33</v>
      </c>
      <c r="L2334" t="s">
        <v>34</v>
      </c>
      <c r="M2334" s="2">
        <v>46034</v>
      </c>
      <c r="N2334" s="2">
        <v>46031</v>
      </c>
      <c r="O2334" t="s">
        <v>76</v>
      </c>
      <c r="P2334" t="s">
        <v>35</v>
      </c>
      <c r="Q2334" t="s">
        <v>28</v>
      </c>
      <c r="R2334" t="s">
        <v>29</v>
      </c>
    </row>
    <row r="2335" spans="1:18">
      <c r="A2335" t="s">
        <v>2468</v>
      </c>
      <c r="B2335" s="2">
        <v>45920</v>
      </c>
      <c r="C2335" t="s">
        <v>71</v>
      </c>
      <c r="D2335" t="s">
        <v>72</v>
      </c>
      <c r="E2335" t="s">
        <v>31</v>
      </c>
      <c r="F2335" t="s">
        <v>57</v>
      </c>
      <c r="G2335" t="s">
        <v>127</v>
      </c>
      <c r="H2335" t="s">
        <v>128</v>
      </c>
      <c r="I2335">
        <v>8</v>
      </c>
      <c r="J2335" s="3">
        <v>15814.07</v>
      </c>
      <c r="K2335" s="3">
        <v>126512.56</v>
      </c>
      <c r="L2335" t="s">
        <v>25</v>
      </c>
      <c r="M2335" s="2">
        <v>45925</v>
      </c>
      <c r="N2335" s="2">
        <v>45923</v>
      </c>
      <c r="O2335" t="s">
        <v>60</v>
      </c>
      <c r="P2335" t="s">
        <v>35</v>
      </c>
      <c r="Q2335" t="s">
        <v>28</v>
      </c>
      <c r="R2335" t="s">
        <v>29</v>
      </c>
    </row>
    <row r="2336" spans="1:18">
      <c r="A2336" t="s">
        <v>2469</v>
      </c>
      <c r="B2336" s="2">
        <v>45937</v>
      </c>
      <c r="C2336" t="s">
        <v>96</v>
      </c>
      <c r="D2336" t="s">
        <v>97</v>
      </c>
      <c r="E2336" t="s">
        <v>39</v>
      </c>
      <c r="F2336" t="s">
        <v>82</v>
      </c>
      <c r="G2336" t="s">
        <v>83</v>
      </c>
      <c r="H2336" t="s">
        <v>84</v>
      </c>
      <c r="I2336">
        <v>36</v>
      </c>
      <c r="J2336" s="3">
        <v>707.66</v>
      </c>
      <c r="K2336" s="3">
        <v>25475.759999999998</v>
      </c>
      <c r="L2336" t="s">
        <v>25</v>
      </c>
      <c r="M2336" s="2">
        <v>45954</v>
      </c>
      <c r="N2336" s="2">
        <v>45951</v>
      </c>
      <c r="O2336" t="s">
        <v>26</v>
      </c>
      <c r="P2336" t="s">
        <v>44</v>
      </c>
      <c r="Q2336" t="s">
        <v>28</v>
      </c>
      <c r="R2336" t="s">
        <v>29</v>
      </c>
    </row>
    <row r="2337" spans="1:18">
      <c r="A2337" t="s">
        <v>2470</v>
      </c>
      <c r="B2337" s="2">
        <v>45811</v>
      </c>
      <c r="C2337" t="s">
        <v>37</v>
      </c>
      <c r="D2337" t="s">
        <v>38</v>
      </c>
      <c r="E2337" t="s">
        <v>112</v>
      </c>
      <c r="F2337" t="s">
        <v>22</v>
      </c>
      <c r="G2337" t="s">
        <v>32</v>
      </c>
      <c r="H2337" t="s">
        <v>33</v>
      </c>
      <c r="I2337">
        <v>15</v>
      </c>
      <c r="J2337" s="3">
        <v>8894.92</v>
      </c>
      <c r="K2337" s="3">
        <v>133423.79999999999</v>
      </c>
      <c r="L2337" t="s">
        <v>25</v>
      </c>
      <c r="M2337" s="2">
        <v>45826</v>
      </c>
      <c r="N2337" s="2">
        <v>45826</v>
      </c>
      <c r="O2337" t="s">
        <v>26</v>
      </c>
      <c r="P2337" t="s">
        <v>115</v>
      </c>
      <c r="Q2337" t="s">
        <v>28</v>
      </c>
      <c r="R2337" t="s">
        <v>29</v>
      </c>
    </row>
    <row r="2338" spans="1:18">
      <c r="A2338" t="s">
        <v>2471</v>
      </c>
      <c r="B2338" s="2">
        <v>46036</v>
      </c>
      <c r="C2338" t="s">
        <v>142</v>
      </c>
      <c r="D2338" t="s">
        <v>143</v>
      </c>
      <c r="E2338" t="s">
        <v>112</v>
      </c>
      <c r="F2338" t="s">
        <v>22</v>
      </c>
      <c r="G2338" t="s">
        <v>32</v>
      </c>
      <c r="H2338" t="s">
        <v>33</v>
      </c>
      <c r="I2338">
        <v>11</v>
      </c>
      <c r="J2338" s="3">
        <v>8311.42</v>
      </c>
      <c r="K2338" s="3">
        <v>91425.62</v>
      </c>
      <c r="L2338" t="s">
        <v>34</v>
      </c>
      <c r="M2338" s="2">
        <v>46042</v>
      </c>
      <c r="N2338" s="2">
        <v>46040</v>
      </c>
      <c r="O2338" t="s">
        <v>43</v>
      </c>
      <c r="P2338" t="s">
        <v>115</v>
      </c>
      <c r="Q2338" t="s">
        <v>28</v>
      </c>
      <c r="R2338" t="s">
        <v>29</v>
      </c>
    </row>
    <row r="2339" spans="1:18">
      <c r="A2339" t="s">
        <v>2472</v>
      </c>
      <c r="B2339" s="2">
        <v>45964</v>
      </c>
      <c r="C2339" t="s">
        <v>131</v>
      </c>
      <c r="D2339" t="s">
        <v>132</v>
      </c>
      <c r="E2339" t="s">
        <v>73</v>
      </c>
      <c r="F2339" t="s">
        <v>57</v>
      </c>
      <c r="G2339" t="s">
        <v>101</v>
      </c>
      <c r="H2339" t="s">
        <v>102</v>
      </c>
      <c r="I2339">
        <v>23</v>
      </c>
      <c r="J2339" s="3">
        <v>1953.69</v>
      </c>
      <c r="K2339" s="3">
        <v>44934.87</v>
      </c>
      <c r="L2339" t="s">
        <v>25</v>
      </c>
      <c r="M2339" s="2">
        <v>45982</v>
      </c>
      <c r="N2339" s="2">
        <v>45981</v>
      </c>
      <c r="O2339" t="s">
        <v>76</v>
      </c>
      <c r="P2339" t="s">
        <v>77</v>
      </c>
      <c r="Q2339" t="s">
        <v>28</v>
      </c>
      <c r="R2339" t="s">
        <v>29</v>
      </c>
    </row>
    <row r="2340" spans="1:18">
      <c r="A2340" t="s">
        <v>2473</v>
      </c>
      <c r="B2340" s="2">
        <v>45989</v>
      </c>
      <c r="C2340" t="s">
        <v>37</v>
      </c>
      <c r="D2340" t="s">
        <v>38</v>
      </c>
      <c r="E2340" t="s">
        <v>112</v>
      </c>
      <c r="F2340" t="s">
        <v>22</v>
      </c>
      <c r="G2340" t="s">
        <v>23</v>
      </c>
      <c r="H2340" t="s">
        <v>24</v>
      </c>
      <c r="I2340">
        <v>26</v>
      </c>
      <c r="J2340" s="3">
        <v>287.52999999999997</v>
      </c>
      <c r="K2340" s="3">
        <v>7475.78</v>
      </c>
      <c r="L2340" t="s">
        <v>34</v>
      </c>
      <c r="M2340" s="2">
        <v>46005</v>
      </c>
      <c r="N2340" s="2">
        <v>46002</v>
      </c>
      <c r="O2340" t="s">
        <v>26</v>
      </c>
      <c r="P2340" t="s">
        <v>115</v>
      </c>
      <c r="Q2340" t="s">
        <v>28</v>
      </c>
      <c r="R2340" t="s">
        <v>29</v>
      </c>
    </row>
    <row r="2341" spans="1:18">
      <c r="A2341" t="s">
        <v>2474</v>
      </c>
      <c r="B2341" s="2">
        <v>45913</v>
      </c>
      <c r="C2341" t="s">
        <v>142</v>
      </c>
      <c r="D2341" t="s">
        <v>143</v>
      </c>
      <c r="E2341" t="s">
        <v>39</v>
      </c>
      <c r="F2341" t="s">
        <v>22</v>
      </c>
      <c r="G2341" t="s">
        <v>160</v>
      </c>
      <c r="H2341" t="s">
        <v>161</v>
      </c>
      <c r="I2341">
        <v>5</v>
      </c>
      <c r="J2341" s="3">
        <v>3107.66</v>
      </c>
      <c r="K2341" s="3">
        <v>15538.3</v>
      </c>
      <c r="L2341" t="s">
        <v>52</v>
      </c>
      <c r="M2341" s="2">
        <v>45924</v>
      </c>
      <c r="N2341" s="2">
        <v>45924</v>
      </c>
      <c r="O2341" t="s">
        <v>76</v>
      </c>
      <c r="P2341" t="s">
        <v>44</v>
      </c>
      <c r="Q2341" t="s">
        <v>28</v>
      </c>
      <c r="R2341" t="s">
        <v>29</v>
      </c>
    </row>
    <row r="2342" spans="1:18">
      <c r="A2342" t="s">
        <v>2475</v>
      </c>
      <c r="B2342" s="2">
        <v>45709</v>
      </c>
      <c r="C2342" t="s">
        <v>71</v>
      </c>
      <c r="D2342" t="s">
        <v>72</v>
      </c>
      <c r="E2342" t="s">
        <v>48</v>
      </c>
      <c r="F2342" t="s">
        <v>57</v>
      </c>
      <c r="G2342" t="s">
        <v>127</v>
      </c>
      <c r="H2342" t="s">
        <v>128</v>
      </c>
      <c r="I2342">
        <v>1</v>
      </c>
      <c r="J2342" s="3">
        <v>16032.15</v>
      </c>
      <c r="K2342" s="3">
        <v>16032.15</v>
      </c>
      <c r="L2342" t="s">
        <v>25</v>
      </c>
      <c r="M2342" s="2">
        <v>45721</v>
      </c>
      <c r="N2342" s="2">
        <v>45719</v>
      </c>
      <c r="O2342" t="s">
        <v>26</v>
      </c>
      <c r="P2342" t="s">
        <v>53</v>
      </c>
      <c r="Q2342" t="s">
        <v>28</v>
      </c>
      <c r="R2342" t="s">
        <v>29</v>
      </c>
    </row>
    <row r="2343" spans="1:18">
      <c r="A2343" t="s">
        <v>2476</v>
      </c>
      <c r="B2343" s="2">
        <v>45794</v>
      </c>
      <c r="C2343" t="s">
        <v>19</v>
      </c>
      <c r="D2343" t="s">
        <v>20</v>
      </c>
      <c r="E2343" t="s">
        <v>31</v>
      </c>
      <c r="F2343" t="s">
        <v>22</v>
      </c>
      <c r="G2343" t="s">
        <v>23</v>
      </c>
      <c r="H2343" t="s">
        <v>24</v>
      </c>
      <c r="I2343">
        <v>15</v>
      </c>
      <c r="J2343" s="3">
        <v>218.75</v>
      </c>
      <c r="K2343" s="3">
        <v>3281.25</v>
      </c>
      <c r="L2343" t="s">
        <v>25</v>
      </c>
      <c r="M2343" s="2">
        <v>45801</v>
      </c>
      <c r="N2343" s="2">
        <v>45801</v>
      </c>
      <c r="O2343" t="s">
        <v>60</v>
      </c>
      <c r="P2343" t="s">
        <v>94</v>
      </c>
      <c r="Q2343" t="s">
        <v>28</v>
      </c>
      <c r="R2343" t="s">
        <v>29</v>
      </c>
    </row>
    <row r="2344" spans="1:18">
      <c r="A2344" t="s">
        <v>2477</v>
      </c>
      <c r="B2344" s="2">
        <v>46050</v>
      </c>
      <c r="C2344" t="s">
        <v>37</v>
      </c>
      <c r="D2344" t="s">
        <v>38</v>
      </c>
      <c r="E2344" t="s">
        <v>112</v>
      </c>
      <c r="F2344" t="s">
        <v>40</v>
      </c>
      <c r="G2344" t="s">
        <v>62</v>
      </c>
      <c r="H2344" t="s">
        <v>63</v>
      </c>
      <c r="I2344">
        <v>6</v>
      </c>
      <c r="J2344" s="3">
        <v>20481.89</v>
      </c>
      <c r="K2344" s="3">
        <v>122891.34</v>
      </c>
      <c r="L2344" t="s">
        <v>34</v>
      </c>
      <c r="M2344" s="2">
        <v>46059</v>
      </c>
      <c r="N2344" s="2">
        <v>46058</v>
      </c>
      <c r="O2344" t="s">
        <v>60</v>
      </c>
      <c r="P2344" t="s">
        <v>115</v>
      </c>
      <c r="Q2344" t="s">
        <v>28</v>
      </c>
      <c r="R2344" t="s">
        <v>29</v>
      </c>
    </row>
    <row r="2345" spans="1:18">
      <c r="A2345" t="s">
        <v>2478</v>
      </c>
      <c r="B2345" s="2">
        <v>45670</v>
      </c>
      <c r="C2345" t="s">
        <v>55</v>
      </c>
      <c r="D2345" t="s">
        <v>56</v>
      </c>
      <c r="E2345" t="s">
        <v>21</v>
      </c>
      <c r="F2345" t="s">
        <v>57</v>
      </c>
      <c r="G2345" t="s">
        <v>101</v>
      </c>
      <c r="H2345" t="s">
        <v>102</v>
      </c>
      <c r="I2345">
        <v>53</v>
      </c>
      <c r="J2345" s="3">
        <v>1995.6</v>
      </c>
      <c r="K2345" s="3">
        <v>105766.8</v>
      </c>
      <c r="L2345" t="s">
        <v>34</v>
      </c>
      <c r="M2345" s="2">
        <v>45680</v>
      </c>
      <c r="N2345" s="2">
        <v>45677</v>
      </c>
      <c r="O2345" t="s">
        <v>43</v>
      </c>
      <c r="P2345" t="s">
        <v>27</v>
      </c>
      <c r="Q2345" t="s">
        <v>28</v>
      </c>
      <c r="R2345" t="s">
        <v>29</v>
      </c>
    </row>
    <row r="2346" spans="1:18">
      <c r="A2346" t="s">
        <v>2479</v>
      </c>
      <c r="B2346" s="2">
        <v>46142</v>
      </c>
      <c r="C2346" t="s">
        <v>142</v>
      </c>
      <c r="D2346" t="s">
        <v>143</v>
      </c>
      <c r="E2346" t="s">
        <v>31</v>
      </c>
      <c r="F2346" t="s">
        <v>22</v>
      </c>
      <c r="G2346" t="s">
        <v>160</v>
      </c>
      <c r="H2346" t="s">
        <v>161</v>
      </c>
      <c r="I2346">
        <v>10</v>
      </c>
      <c r="J2346" s="3">
        <v>3251.65</v>
      </c>
      <c r="K2346" s="3">
        <v>32516.5</v>
      </c>
      <c r="L2346" t="s">
        <v>34</v>
      </c>
      <c r="M2346" s="2">
        <v>46149</v>
      </c>
      <c r="N2346" s="2">
        <v>46149</v>
      </c>
      <c r="O2346" t="s">
        <v>43</v>
      </c>
      <c r="P2346" t="s">
        <v>35</v>
      </c>
      <c r="Q2346" t="s">
        <v>28</v>
      </c>
      <c r="R2346" t="s">
        <v>29</v>
      </c>
    </row>
    <row r="2347" spans="1:18">
      <c r="A2347" t="s">
        <v>2480</v>
      </c>
      <c r="B2347" s="2">
        <v>45821</v>
      </c>
      <c r="C2347" t="s">
        <v>37</v>
      </c>
      <c r="D2347" t="s">
        <v>38</v>
      </c>
      <c r="E2347" t="s">
        <v>112</v>
      </c>
      <c r="F2347" t="s">
        <v>40</v>
      </c>
      <c r="G2347" t="s">
        <v>41</v>
      </c>
      <c r="H2347" t="s">
        <v>42</v>
      </c>
      <c r="I2347">
        <v>13</v>
      </c>
      <c r="J2347" s="3">
        <v>5694.69</v>
      </c>
      <c r="K2347" s="3">
        <v>74030.97</v>
      </c>
      <c r="L2347" t="s">
        <v>34</v>
      </c>
      <c r="M2347" s="2">
        <v>45827</v>
      </c>
      <c r="N2347" s="2">
        <v>45825</v>
      </c>
      <c r="O2347" t="s">
        <v>60</v>
      </c>
      <c r="P2347" t="s">
        <v>115</v>
      </c>
      <c r="Q2347" t="s">
        <v>28</v>
      </c>
      <c r="R2347" t="s">
        <v>29</v>
      </c>
    </row>
    <row r="2348" spans="1:18">
      <c r="A2348" t="s">
        <v>2481</v>
      </c>
      <c r="B2348" s="2">
        <v>45781</v>
      </c>
      <c r="C2348" t="s">
        <v>37</v>
      </c>
      <c r="D2348" t="s">
        <v>38</v>
      </c>
      <c r="E2348" t="s">
        <v>39</v>
      </c>
      <c r="F2348" t="s">
        <v>40</v>
      </c>
      <c r="G2348" t="s">
        <v>149</v>
      </c>
      <c r="H2348" t="s">
        <v>150</v>
      </c>
      <c r="I2348">
        <v>15</v>
      </c>
      <c r="J2348" s="3">
        <v>1402.41</v>
      </c>
      <c r="K2348" s="3">
        <v>21036.15</v>
      </c>
      <c r="L2348" t="s">
        <v>25</v>
      </c>
      <c r="M2348" s="2">
        <v>45799</v>
      </c>
      <c r="N2348" s="2">
        <v>45799</v>
      </c>
      <c r="O2348" t="s">
        <v>43</v>
      </c>
      <c r="P2348" t="s">
        <v>64</v>
      </c>
      <c r="Q2348" t="s">
        <v>28</v>
      </c>
      <c r="R2348" t="s">
        <v>29</v>
      </c>
    </row>
    <row r="2349" spans="1:18">
      <c r="A2349" t="s">
        <v>2482</v>
      </c>
      <c r="B2349" s="2">
        <v>45710</v>
      </c>
      <c r="C2349" t="s">
        <v>55</v>
      </c>
      <c r="D2349" t="s">
        <v>56</v>
      </c>
      <c r="E2349" t="s">
        <v>31</v>
      </c>
      <c r="F2349" t="s">
        <v>57</v>
      </c>
      <c r="G2349" t="s">
        <v>120</v>
      </c>
      <c r="H2349" t="s">
        <v>121</v>
      </c>
      <c r="I2349">
        <v>7</v>
      </c>
      <c r="J2349" s="3">
        <v>24680.16</v>
      </c>
      <c r="K2349" s="3">
        <v>172761.12</v>
      </c>
      <c r="L2349" t="s">
        <v>25</v>
      </c>
      <c r="M2349" s="2">
        <v>45721</v>
      </c>
      <c r="N2349" s="2">
        <v>45719</v>
      </c>
      <c r="O2349" t="s">
        <v>26</v>
      </c>
      <c r="P2349" t="s">
        <v>35</v>
      </c>
      <c r="Q2349" t="s">
        <v>28</v>
      </c>
      <c r="R2349" t="s">
        <v>29</v>
      </c>
    </row>
    <row r="2350" spans="1:18">
      <c r="A2350" t="s">
        <v>2483</v>
      </c>
      <c r="B2350" s="2">
        <v>45785</v>
      </c>
      <c r="C2350" t="s">
        <v>131</v>
      </c>
      <c r="D2350" t="s">
        <v>132</v>
      </c>
      <c r="E2350" t="s">
        <v>73</v>
      </c>
      <c r="F2350" t="s">
        <v>57</v>
      </c>
      <c r="G2350" t="s">
        <v>58</v>
      </c>
      <c r="H2350" t="s">
        <v>59</v>
      </c>
      <c r="I2350">
        <v>7</v>
      </c>
      <c r="J2350" s="3">
        <v>62393.83</v>
      </c>
      <c r="K2350" s="3">
        <v>436756.81</v>
      </c>
      <c r="L2350" t="s">
        <v>52</v>
      </c>
      <c r="M2350" s="2">
        <v>45794</v>
      </c>
      <c r="N2350" s="2">
        <v>45794</v>
      </c>
      <c r="O2350" t="s">
        <v>76</v>
      </c>
      <c r="P2350" t="s">
        <v>77</v>
      </c>
      <c r="Q2350" t="s">
        <v>28</v>
      </c>
      <c r="R2350" t="s">
        <v>29</v>
      </c>
    </row>
    <row r="2351" spans="1:18">
      <c r="A2351" t="s">
        <v>2484</v>
      </c>
      <c r="B2351" s="2">
        <v>45758</v>
      </c>
      <c r="C2351" t="s">
        <v>89</v>
      </c>
      <c r="D2351" t="s">
        <v>90</v>
      </c>
      <c r="E2351" t="s">
        <v>31</v>
      </c>
      <c r="F2351" t="s">
        <v>91</v>
      </c>
      <c r="G2351" t="s">
        <v>92</v>
      </c>
      <c r="H2351" t="s">
        <v>93</v>
      </c>
      <c r="I2351">
        <v>3</v>
      </c>
      <c r="J2351" s="3">
        <v>41841.99</v>
      </c>
      <c r="K2351" s="3">
        <v>125525.97</v>
      </c>
      <c r="L2351" t="s">
        <v>25</v>
      </c>
      <c r="M2351" s="2">
        <v>45775</v>
      </c>
      <c r="N2351" s="2">
        <v>45774</v>
      </c>
      <c r="O2351" t="s">
        <v>76</v>
      </c>
      <c r="P2351" t="s">
        <v>94</v>
      </c>
      <c r="Q2351" t="s">
        <v>28</v>
      </c>
      <c r="R2351" t="s">
        <v>29</v>
      </c>
    </row>
    <row r="2352" spans="1:18">
      <c r="A2352" t="s">
        <v>2485</v>
      </c>
      <c r="B2352" s="2">
        <v>45786</v>
      </c>
      <c r="C2352" t="s">
        <v>104</v>
      </c>
      <c r="D2352" t="s">
        <v>105</v>
      </c>
      <c r="E2352" t="s">
        <v>48</v>
      </c>
      <c r="F2352" t="s">
        <v>49</v>
      </c>
      <c r="G2352" t="s">
        <v>68</v>
      </c>
      <c r="H2352" t="s">
        <v>69</v>
      </c>
      <c r="I2352">
        <v>1</v>
      </c>
      <c r="J2352" s="3">
        <v>47778.04</v>
      </c>
      <c r="K2352" s="3">
        <v>47778.04</v>
      </c>
      <c r="L2352" t="s">
        <v>25</v>
      </c>
      <c r="M2352" s="2">
        <v>45801</v>
      </c>
      <c r="N2352" s="2">
        <v>45800</v>
      </c>
      <c r="O2352" t="s">
        <v>26</v>
      </c>
      <c r="P2352" t="s">
        <v>53</v>
      </c>
      <c r="Q2352" t="s">
        <v>28</v>
      </c>
      <c r="R2352" t="s">
        <v>29</v>
      </c>
    </row>
    <row r="2353" spans="1:18">
      <c r="A2353" t="s">
        <v>2486</v>
      </c>
      <c r="B2353" s="2">
        <v>45917</v>
      </c>
      <c r="C2353" t="s">
        <v>71</v>
      </c>
      <c r="D2353" t="s">
        <v>72</v>
      </c>
      <c r="E2353" t="s">
        <v>31</v>
      </c>
      <c r="F2353" t="s">
        <v>57</v>
      </c>
      <c r="G2353" t="s">
        <v>101</v>
      </c>
      <c r="H2353" t="s">
        <v>102</v>
      </c>
      <c r="I2353">
        <v>6</v>
      </c>
      <c r="J2353" s="3">
        <v>1687.99</v>
      </c>
      <c r="K2353" s="3">
        <v>10127.94</v>
      </c>
      <c r="L2353" t="s">
        <v>34</v>
      </c>
      <c r="M2353" s="2">
        <v>45926</v>
      </c>
      <c r="N2353" s="2">
        <v>45925</v>
      </c>
      <c r="O2353" t="s">
        <v>60</v>
      </c>
      <c r="P2353" t="s">
        <v>35</v>
      </c>
      <c r="Q2353" t="s">
        <v>28</v>
      </c>
      <c r="R2353" t="s">
        <v>29</v>
      </c>
    </row>
    <row r="2354" spans="1:18">
      <c r="A2354" t="s">
        <v>2487</v>
      </c>
      <c r="B2354" s="2">
        <v>45967</v>
      </c>
      <c r="C2354" t="s">
        <v>131</v>
      </c>
      <c r="D2354" t="s">
        <v>132</v>
      </c>
      <c r="E2354" t="s">
        <v>31</v>
      </c>
      <c r="F2354" t="s">
        <v>57</v>
      </c>
      <c r="G2354" t="s">
        <v>74</v>
      </c>
      <c r="H2354" t="s">
        <v>75</v>
      </c>
      <c r="I2354">
        <v>8</v>
      </c>
      <c r="J2354" s="3">
        <v>8776.19</v>
      </c>
      <c r="K2354" s="3">
        <v>70209.52</v>
      </c>
      <c r="L2354" t="s">
        <v>34</v>
      </c>
      <c r="M2354" s="2">
        <v>45982</v>
      </c>
      <c r="N2354" s="2">
        <v>45980</v>
      </c>
      <c r="O2354" t="s">
        <v>43</v>
      </c>
      <c r="P2354" t="s">
        <v>94</v>
      </c>
      <c r="Q2354" t="s">
        <v>28</v>
      </c>
      <c r="R2354" t="s">
        <v>29</v>
      </c>
    </row>
    <row r="2355" spans="1:18">
      <c r="A2355" t="s">
        <v>2488</v>
      </c>
      <c r="B2355" s="2">
        <v>45806</v>
      </c>
      <c r="C2355" t="s">
        <v>142</v>
      </c>
      <c r="D2355" t="s">
        <v>143</v>
      </c>
      <c r="E2355" t="s">
        <v>73</v>
      </c>
      <c r="F2355" t="s">
        <v>22</v>
      </c>
      <c r="G2355" t="s">
        <v>160</v>
      </c>
      <c r="H2355" t="s">
        <v>161</v>
      </c>
      <c r="I2355">
        <v>5</v>
      </c>
      <c r="J2355" s="3">
        <v>3146.55</v>
      </c>
      <c r="K2355" s="3">
        <v>15732.75</v>
      </c>
      <c r="L2355" t="s">
        <v>34</v>
      </c>
      <c r="M2355" s="2">
        <v>45812</v>
      </c>
      <c r="N2355" s="2">
        <v>45811</v>
      </c>
      <c r="O2355" t="s">
        <v>60</v>
      </c>
      <c r="P2355" t="s">
        <v>77</v>
      </c>
      <c r="Q2355" t="s">
        <v>28</v>
      </c>
      <c r="R2355" t="s">
        <v>29</v>
      </c>
    </row>
    <row r="2356" spans="1:18">
      <c r="A2356" t="s">
        <v>2489</v>
      </c>
      <c r="B2356" s="2">
        <v>45897</v>
      </c>
      <c r="C2356" t="s">
        <v>19</v>
      </c>
      <c r="D2356" t="s">
        <v>20</v>
      </c>
      <c r="E2356" t="s">
        <v>21</v>
      </c>
      <c r="F2356" t="s">
        <v>22</v>
      </c>
      <c r="G2356" t="s">
        <v>23</v>
      </c>
      <c r="H2356" t="s">
        <v>24</v>
      </c>
      <c r="I2356">
        <v>40</v>
      </c>
      <c r="J2356" s="3">
        <v>220.86</v>
      </c>
      <c r="K2356" s="3">
        <v>8834.4</v>
      </c>
      <c r="L2356" t="s">
        <v>52</v>
      </c>
      <c r="M2356" s="2">
        <v>45904</v>
      </c>
      <c r="N2356" s="2">
        <v>45903</v>
      </c>
      <c r="O2356" t="s">
        <v>26</v>
      </c>
      <c r="P2356" t="s">
        <v>27</v>
      </c>
      <c r="Q2356" t="s">
        <v>28</v>
      </c>
      <c r="R2356" t="s">
        <v>29</v>
      </c>
    </row>
    <row r="2357" spans="1:18">
      <c r="A2357" t="s">
        <v>2490</v>
      </c>
      <c r="B2357" s="2">
        <v>46128</v>
      </c>
      <c r="C2357" t="s">
        <v>37</v>
      </c>
      <c r="D2357" t="s">
        <v>38</v>
      </c>
      <c r="E2357" t="s">
        <v>73</v>
      </c>
      <c r="F2357" t="s">
        <v>22</v>
      </c>
      <c r="G2357" t="s">
        <v>160</v>
      </c>
      <c r="H2357" t="s">
        <v>161</v>
      </c>
      <c r="I2357">
        <v>1</v>
      </c>
      <c r="J2357" s="3">
        <v>3459.43</v>
      </c>
      <c r="K2357" s="3">
        <v>3459.43</v>
      </c>
      <c r="L2357" t="s">
        <v>25</v>
      </c>
      <c r="M2357" s="2">
        <v>46137</v>
      </c>
      <c r="N2357" s="2">
        <v>46136</v>
      </c>
      <c r="O2357" t="s">
        <v>60</v>
      </c>
      <c r="P2357" t="s">
        <v>77</v>
      </c>
      <c r="Q2357" t="s">
        <v>28</v>
      </c>
      <c r="R2357" t="s">
        <v>29</v>
      </c>
    </row>
    <row r="2358" spans="1:18">
      <c r="A2358" t="s">
        <v>2491</v>
      </c>
      <c r="B2358" s="2">
        <v>45738</v>
      </c>
      <c r="C2358" t="s">
        <v>142</v>
      </c>
      <c r="D2358" t="s">
        <v>143</v>
      </c>
      <c r="E2358" t="s">
        <v>31</v>
      </c>
      <c r="F2358" t="s">
        <v>22</v>
      </c>
      <c r="G2358" t="s">
        <v>23</v>
      </c>
      <c r="H2358" t="s">
        <v>24</v>
      </c>
      <c r="I2358">
        <v>32</v>
      </c>
      <c r="J2358" s="3">
        <v>236.98</v>
      </c>
      <c r="K2358" s="3">
        <v>7583.36</v>
      </c>
      <c r="L2358" t="s">
        <v>34</v>
      </c>
      <c r="M2358" s="2">
        <v>45753</v>
      </c>
      <c r="N2358" s="2">
        <v>45752</v>
      </c>
      <c r="O2358" t="s">
        <v>26</v>
      </c>
      <c r="P2358" t="s">
        <v>35</v>
      </c>
      <c r="Q2358" t="s">
        <v>28</v>
      </c>
      <c r="R2358" t="s">
        <v>29</v>
      </c>
    </row>
    <row r="2359" spans="1:18">
      <c r="A2359" t="s">
        <v>2492</v>
      </c>
      <c r="B2359" s="2">
        <v>45913</v>
      </c>
      <c r="C2359" t="s">
        <v>142</v>
      </c>
      <c r="D2359" t="s">
        <v>143</v>
      </c>
      <c r="E2359" t="s">
        <v>73</v>
      </c>
      <c r="F2359" t="s">
        <v>22</v>
      </c>
      <c r="G2359" t="s">
        <v>160</v>
      </c>
      <c r="H2359" t="s">
        <v>161</v>
      </c>
      <c r="I2359">
        <v>14</v>
      </c>
      <c r="J2359" s="3">
        <v>3157.04</v>
      </c>
      <c r="K2359" s="3">
        <v>44198.559999999998</v>
      </c>
      <c r="L2359" t="s">
        <v>25</v>
      </c>
      <c r="M2359" s="2">
        <v>45928</v>
      </c>
      <c r="N2359" s="2">
        <v>45937</v>
      </c>
      <c r="O2359" t="s">
        <v>76</v>
      </c>
      <c r="P2359" t="s">
        <v>77</v>
      </c>
      <c r="Q2359" t="s">
        <v>28</v>
      </c>
      <c r="R2359" t="s">
        <v>129</v>
      </c>
    </row>
    <row r="2360" spans="1:18">
      <c r="A2360" t="s">
        <v>2493</v>
      </c>
      <c r="B2360" s="2">
        <v>46067</v>
      </c>
      <c r="C2360" t="s">
        <v>46</v>
      </c>
      <c r="D2360" t="s">
        <v>47</v>
      </c>
      <c r="E2360" t="s">
        <v>21</v>
      </c>
      <c r="F2360" t="s">
        <v>49</v>
      </c>
      <c r="G2360" t="s">
        <v>68</v>
      </c>
      <c r="H2360" t="s">
        <v>69</v>
      </c>
      <c r="I2360">
        <v>1</v>
      </c>
      <c r="J2360" s="3">
        <v>50743.35</v>
      </c>
      <c r="K2360" s="3">
        <v>50743.35</v>
      </c>
      <c r="L2360" t="s">
        <v>34</v>
      </c>
      <c r="M2360" s="2">
        <v>46075</v>
      </c>
      <c r="N2360" s="2">
        <v>46075</v>
      </c>
      <c r="O2360" t="s">
        <v>76</v>
      </c>
      <c r="P2360" t="s">
        <v>27</v>
      </c>
      <c r="Q2360" t="s">
        <v>28</v>
      </c>
      <c r="R2360" t="s">
        <v>29</v>
      </c>
    </row>
    <row r="2361" spans="1:18">
      <c r="A2361" t="s">
        <v>2494</v>
      </c>
      <c r="B2361" s="2">
        <v>45921</v>
      </c>
      <c r="C2361" t="s">
        <v>104</v>
      </c>
      <c r="D2361" t="s">
        <v>105</v>
      </c>
      <c r="E2361" t="s">
        <v>48</v>
      </c>
      <c r="F2361" t="s">
        <v>49</v>
      </c>
      <c r="G2361" t="s">
        <v>50</v>
      </c>
      <c r="H2361" t="s">
        <v>51</v>
      </c>
      <c r="I2361">
        <v>1</v>
      </c>
      <c r="J2361" s="3">
        <v>51655.28</v>
      </c>
      <c r="K2361" s="3">
        <v>51655.28</v>
      </c>
      <c r="L2361" t="s">
        <v>34</v>
      </c>
      <c r="M2361" s="2">
        <v>45931</v>
      </c>
      <c r="N2361" s="2">
        <v>45930</v>
      </c>
      <c r="O2361" t="s">
        <v>76</v>
      </c>
      <c r="P2361" t="s">
        <v>53</v>
      </c>
      <c r="Q2361" t="s">
        <v>28</v>
      </c>
      <c r="R2361" t="s">
        <v>29</v>
      </c>
    </row>
    <row r="2362" spans="1:18">
      <c r="A2362" t="s">
        <v>2495</v>
      </c>
      <c r="B2362" s="2">
        <v>46017</v>
      </c>
      <c r="C2362" t="s">
        <v>89</v>
      </c>
      <c r="D2362" t="s">
        <v>90</v>
      </c>
      <c r="E2362" t="s">
        <v>31</v>
      </c>
      <c r="F2362" t="s">
        <v>91</v>
      </c>
      <c r="G2362" t="s">
        <v>109</v>
      </c>
      <c r="H2362" t="s">
        <v>110</v>
      </c>
      <c r="I2362">
        <v>1</v>
      </c>
      <c r="J2362" s="3">
        <v>12841.12</v>
      </c>
      <c r="K2362" s="3">
        <v>12841.12</v>
      </c>
      <c r="L2362" t="s">
        <v>25</v>
      </c>
      <c r="M2362" s="2">
        <v>46022</v>
      </c>
      <c r="N2362" s="2">
        <v>46019</v>
      </c>
      <c r="O2362" t="s">
        <v>43</v>
      </c>
      <c r="P2362" t="s">
        <v>94</v>
      </c>
      <c r="Q2362" t="s">
        <v>28</v>
      </c>
      <c r="R2362" t="s">
        <v>29</v>
      </c>
    </row>
    <row r="2363" spans="1:18">
      <c r="A2363" t="s">
        <v>2496</v>
      </c>
      <c r="B2363" s="2">
        <v>46097</v>
      </c>
      <c r="C2363" t="s">
        <v>71</v>
      </c>
      <c r="D2363" t="s">
        <v>72</v>
      </c>
      <c r="E2363" t="s">
        <v>48</v>
      </c>
      <c r="F2363" t="s">
        <v>57</v>
      </c>
      <c r="G2363" t="s">
        <v>58</v>
      </c>
      <c r="H2363" t="s">
        <v>59</v>
      </c>
      <c r="I2363">
        <v>8</v>
      </c>
      <c r="J2363" s="3">
        <v>52312.05</v>
      </c>
      <c r="K2363" s="3">
        <v>418496.4</v>
      </c>
      <c r="L2363" t="s">
        <v>25</v>
      </c>
      <c r="M2363" s="2">
        <v>46105</v>
      </c>
      <c r="N2363" s="2">
        <v>46104</v>
      </c>
      <c r="O2363" t="s">
        <v>76</v>
      </c>
      <c r="P2363" t="s">
        <v>53</v>
      </c>
      <c r="Q2363" t="s">
        <v>28</v>
      </c>
      <c r="R2363" t="s">
        <v>29</v>
      </c>
    </row>
    <row r="2364" spans="1:18">
      <c r="A2364" t="s">
        <v>2497</v>
      </c>
      <c r="B2364" s="2">
        <v>45834</v>
      </c>
      <c r="C2364" t="s">
        <v>71</v>
      </c>
      <c r="D2364" t="s">
        <v>72</v>
      </c>
      <c r="E2364" t="s">
        <v>48</v>
      </c>
      <c r="F2364" t="s">
        <v>57</v>
      </c>
      <c r="G2364" t="s">
        <v>86</v>
      </c>
      <c r="H2364" t="s">
        <v>87</v>
      </c>
      <c r="I2364">
        <v>4</v>
      </c>
      <c r="J2364" s="3">
        <v>10189.16</v>
      </c>
      <c r="K2364" s="3">
        <v>40756.639999999999</v>
      </c>
      <c r="L2364" t="s">
        <v>34</v>
      </c>
      <c r="M2364" s="2">
        <v>45844</v>
      </c>
      <c r="N2364" s="2">
        <v>45842</v>
      </c>
      <c r="O2364" t="s">
        <v>76</v>
      </c>
      <c r="P2364" t="s">
        <v>53</v>
      </c>
      <c r="Q2364" t="s">
        <v>28</v>
      </c>
      <c r="R2364" t="s">
        <v>29</v>
      </c>
    </row>
    <row r="2365" spans="1:18">
      <c r="A2365" t="s">
        <v>2498</v>
      </c>
      <c r="B2365" s="2">
        <v>45780</v>
      </c>
      <c r="C2365" t="s">
        <v>80</v>
      </c>
      <c r="D2365" t="s">
        <v>81</v>
      </c>
      <c r="E2365" t="s">
        <v>39</v>
      </c>
      <c r="F2365" t="s">
        <v>82</v>
      </c>
      <c r="G2365" t="s">
        <v>98</v>
      </c>
      <c r="H2365" t="s">
        <v>99</v>
      </c>
      <c r="I2365">
        <v>53</v>
      </c>
      <c r="J2365" s="3">
        <v>1090.4000000000001</v>
      </c>
      <c r="K2365" s="3">
        <v>57791.199999999997</v>
      </c>
      <c r="L2365" t="s">
        <v>25</v>
      </c>
      <c r="M2365" s="2">
        <v>45798</v>
      </c>
      <c r="N2365" s="2">
        <v>45797</v>
      </c>
      <c r="O2365" t="s">
        <v>76</v>
      </c>
      <c r="P2365" t="s">
        <v>64</v>
      </c>
      <c r="Q2365" t="s">
        <v>28</v>
      </c>
      <c r="R2365" t="s">
        <v>29</v>
      </c>
    </row>
    <row r="2366" spans="1:18">
      <c r="A2366" t="s">
        <v>2499</v>
      </c>
      <c r="B2366" s="2">
        <v>46173</v>
      </c>
      <c r="C2366" t="s">
        <v>19</v>
      </c>
      <c r="D2366" t="s">
        <v>20</v>
      </c>
      <c r="E2366" t="s">
        <v>112</v>
      </c>
      <c r="F2366" t="s">
        <v>22</v>
      </c>
      <c r="G2366" t="s">
        <v>160</v>
      </c>
      <c r="H2366" t="s">
        <v>161</v>
      </c>
      <c r="I2366">
        <v>10</v>
      </c>
      <c r="J2366" s="3">
        <v>3074.5</v>
      </c>
      <c r="K2366" s="3">
        <v>30745</v>
      </c>
      <c r="L2366" t="s">
        <v>25</v>
      </c>
      <c r="M2366" s="2">
        <v>46182</v>
      </c>
      <c r="N2366" s="2">
        <v>46182</v>
      </c>
      <c r="O2366" t="s">
        <v>43</v>
      </c>
      <c r="P2366" t="s">
        <v>115</v>
      </c>
      <c r="Q2366" t="s">
        <v>28</v>
      </c>
      <c r="R2366" t="s">
        <v>29</v>
      </c>
    </row>
    <row r="2367" spans="1:18">
      <c r="A2367" t="s">
        <v>2500</v>
      </c>
      <c r="B2367" s="2">
        <v>45962</v>
      </c>
      <c r="C2367" t="s">
        <v>142</v>
      </c>
      <c r="D2367" t="s">
        <v>143</v>
      </c>
      <c r="E2367" t="s">
        <v>73</v>
      </c>
      <c r="F2367" t="s">
        <v>22</v>
      </c>
      <c r="G2367" t="s">
        <v>32</v>
      </c>
      <c r="H2367" t="s">
        <v>33</v>
      </c>
      <c r="I2367">
        <v>2</v>
      </c>
      <c r="J2367" s="3">
        <v>7519.26</v>
      </c>
      <c r="K2367" s="3">
        <v>15038.52</v>
      </c>
      <c r="L2367" t="s">
        <v>34</v>
      </c>
      <c r="M2367" s="2">
        <v>45975</v>
      </c>
      <c r="N2367" s="2">
        <v>45975</v>
      </c>
      <c r="O2367" t="s">
        <v>43</v>
      </c>
      <c r="P2367" t="s">
        <v>77</v>
      </c>
      <c r="Q2367" t="s">
        <v>28</v>
      </c>
      <c r="R2367" t="s">
        <v>29</v>
      </c>
    </row>
    <row r="2368" spans="1:18">
      <c r="A2368" t="s">
        <v>2501</v>
      </c>
      <c r="B2368" s="2">
        <v>46116</v>
      </c>
      <c r="C2368" t="s">
        <v>71</v>
      </c>
      <c r="D2368" t="s">
        <v>72</v>
      </c>
      <c r="E2368" t="s">
        <v>31</v>
      </c>
      <c r="F2368" t="s">
        <v>57</v>
      </c>
      <c r="G2368" t="s">
        <v>101</v>
      </c>
      <c r="H2368" t="s">
        <v>102</v>
      </c>
      <c r="I2368">
        <v>39</v>
      </c>
      <c r="J2368" s="3">
        <v>1699.52</v>
      </c>
      <c r="K2368" s="3">
        <v>66281.279999999999</v>
      </c>
      <c r="L2368" t="s">
        <v>25</v>
      </c>
      <c r="M2368" s="2">
        <v>46128</v>
      </c>
      <c r="N2368" s="2">
        <v>46127</v>
      </c>
      <c r="O2368" t="s">
        <v>43</v>
      </c>
      <c r="P2368" t="s">
        <v>35</v>
      </c>
      <c r="Q2368" t="s">
        <v>28</v>
      </c>
      <c r="R2368" t="s">
        <v>29</v>
      </c>
    </row>
    <row r="2369" spans="1:18">
      <c r="A2369" t="s">
        <v>2502</v>
      </c>
      <c r="B2369" s="2">
        <v>45669</v>
      </c>
      <c r="C2369" t="s">
        <v>142</v>
      </c>
      <c r="D2369" t="s">
        <v>143</v>
      </c>
      <c r="E2369" t="s">
        <v>39</v>
      </c>
      <c r="F2369" t="s">
        <v>22</v>
      </c>
      <c r="G2369" t="s">
        <v>160</v>
      </c>
      <c r="H2369" t="s">
        <v>161</v>
      </c>
      <c r="I2369">
        <v>8</v>
      </c>
      <c r="J2369" s="3">
        <v>3112.28</v>
      </c>
      <c r="K2369" s="3">
        <v>24898.240000000002</v>
      </c>
      <c r="L2369" t="s">
        <v>25</v>
      </c>
      <c r="M2369" s="2">
        <v>45678</v>
      </c>
      <c r="N2369" s="2">
        <v>45677</v>
      </c>
      <c r="O2369" t="s">
        <v>26</v>
      </c>
      <c r="P2369" t="s">
        <v>64</v>
      </c>
      <c r="Q2369" t="s">
        <v>28</v>
      </c>
      <c r="R2369" t="s">
        <v>29</v>
      </c>
    </row>
    <row r="2370" spans="1:18">
      <c r="A2370" t="s">
        <v>2503</v>
      </c>
      <c r="B2370" s="2">
        <v>45702</v>
      </c>
      <c r="C2370" t="s">
        <v>142</v>
      </c>
      <c r="D2370" t="s">
        <v>143</v>
      </c>
      <c r="E2370" t="s">
        <v>39</v>
      </c>
      <c r="F2370" t="s">
        <v>22</v>
      </c>
      <c r="G2370" t="s">
        <v>23</v>
      </c>
      <c r="H2370" t="s">
        <v>24</v>
      </c>
      <c r="I2370">
        <v>9</v>
      </c>
      <c r="J2370" s="3">
        <v>243.91</v>
      </c>
      <c r="K2370" s="3">
        <v>2195.19</v>
      </c>
      <c r="L2370" t="s">
        <v>25</v>
      </c>
      <c r="M2370" s="2">
        <v>45707</v>
      </c>
      <c r="N2370" s="2">
        <v>45707</v>
      </c>
      <c r="O2370" t="s">
        <v>26</v>
      </c>
      <c r="P2370" t="s">
        <v>44</v>
      </c>
      <c r="Q2370" t="s">
        <v>28</v>
      </c>
      <c r="R2370" t="s">
        <v>29</v>
      </c>
    </row>
    <row r="2371" spans="1:18">
      <c r="A2371" t="s">
        <v>2504</v>
      </c>
      <c r="B2371" s="2">
        <v>46033</v>
      </c>
      <c r="C2371" t="s">
        <v>104</v>
      </c>
      <c r="D2371" t="s">
        <v>105</v>
      </c>
      <c r="E2371" t="s">
        <v>48</v>
      </c>
      <c r="F2371" t="s">
        <v>49</v>
      </c>
      <c r="G2371" t="s">
        <v>50</v>
      </c>
      <c r="H2371" t="s">
        <v>51</v>
      </c>
      <c r="I2371">
        <v>1</v>
      </c>
      <c r="J2371" s="3">
        <v>52130.64</v>
      </c>
      <c r="K2371" s="3">
        <v>52130.64</v>
      </c>
      <c r="L2371" t="s">
        <v>34</v>
      </c>
      <c r="M2371" s="2">
        <v>46048</v>
      </c>
      <c r="N2371" s="2">
        <v>46047</v>
      </c>
      <c r="O2371" t="s">
        <v>76</v>
      </c>
      <c r="P2371" t="s">
        <v>53</v>
      </c>
      <c r="Q2371" t="s">
        <v>28</v>
      </c>
      <c r="R2371" t="s">
        <v>29</v>
      </c>
    </row>
    <row r="2372" spans="1:18">
      <c r="A2372" t="s">
        <v>2505</v>
      </c>
      <c r="B2372" s="2">
        <v>46133</v>
      </c>
      <c r="C2372" t="s">
        <v>147</v>
      </c>
      <c r="D2372" t="s">
        <v>148</v>
      </c>
      <c r="E2372" t="s">
        <v>39</v>
      </c>
      <c r="F2372" t="s">
        <v>40</v>
      </c>
      <c r="G2372" t="s">
        <v>41</v>
      </c>
      <c r="H2372" t="s">
        <v>42</v>
      </c>
      <c r="I2372">
        <v>10</v>
      </c>
      <c r="J2372" s="3">
        <v>5350.23</v>
      </c>
      <c r="K2372" s="3">
        <v>53502.3</v>
      </c>
      <c r="L2372" t="s">
        <v>34</v>
      </c>
      <c r="M2372" s="2">
        <v>46150</v>
      </c>
      <c r="N2372" s="2">
        <v>46147</v>
      </c>
      <c r="O2372" t="s">
        <v>60</v>
      </c>
      <c r="P2372" t="s">
        <v>44</v>
      </c>
      <c r="Q2372" t="s">
        <v>28</v>
      </c>
      <c r="R2372" t="s">
        <v>29</v>
      </c>
    </row>
    <row r="2373" spans="1:18">
      <c r="A2373" t="s">
        <v>2506</v>
      </c>
      <c r="B2373" s="2">
        <v>46091</v>
      </c>
      <c r="C2373" t="s">
        <v>104</v>
      </c>
      <c r="D2373" t="s">
        <v>105</v>
      </c>
      <c r="E2373" t="s">
        <v>73</v>
      </c>
      <c r="F2373" t="s">
        <v>49</v>
      </c>
      <c r="G2373" t="s">
        <v>113</v>
      </c>
      <c r="H2373" t="s">
        <v>114</v>
      </c>
      <c r="I2373">
        <v>1</v>
      </c>
      <c r="J2373" s="3">
        <v>38122.910000000003</v>
      </c>
      <c r="K2373" s="3">
        <v>38122.910000000003</v>
      </c>
      <c r="L2373" t="s">
        <v>25</v>
      </c>
      <c r="M2373" s="2">
        <v>46098</v>
      </c>
      <c r="N2373" s="2">
        <v>46098</v>
      </c>
      <c r="O2373" t="s">
        <v>26</v>
      </c>
      <c r="P2373" t="s">
        <v>77</v>
      </c>
      <c r="Q2373" t="s">
        <v>28</v>
      </c>
      <c r="R2373" t="s">
        <v>29</v>
      </c>
    </row>
    <row r="2374" spans="1:18">
      <c r="A2374" t="s">
        <v>2507</v>
      </c>
      <c r="B2374" s="2">
        <v>45822</v>
      </c>
      <c r="C2374" t="s">
        <v>89</v>
      </c>
      <c r="D2374" t="s">
        <v>90</v>
      </c>
      <c r="E2374" t="s">
        <v>31</v>
      </c>
      <c r="F2374" t="s">
        <v>91</v>
      </c>
      <c r="G2374" t="s">
        <v>92</v>
      </c>
      <c r="H2374" t="s">
        <v>93</v>
      </c>
      <c r="I2374">
        <v>1</v>
      </c>
      <c r="J2374" s="3">
        <v>40761.919999999998</v>
      </c>
      <c r="K2374" s="3">
        <v>40761.919999999998</v>
      </c>
      <c r="L2374" t="s">
        <v>52</v>
      </c>
      <c r="M2374" s="2">
        <v>45832</v>
      </c>
      <c r="N2374" s="2">
        <v>45829</v>
      </c>
      <c r="O2374" t="s">
        <v>43</v>
      </c>
      <c r="P2374" t="s">
        <v>35</v>
      </c>
      <c r="Q2374" t="s">
        <v>28</v>
      </c>
      <c r="R2374" t="s">
        <v>29</v>
      </c>
    </row>
    <row r="2375" spans="1:18">
      <c r="A2375" t="s">
        <v>2508</v>
      </c>
      <c r="B2375" s="2">
        <v>45886</v>
      </c>
      <c r="C2375" t="s">
        <v>19</v>
      </c>
      <c r="D2375" t="s">
        <v>20</v>
      </c>
      <c r="E2375" t="s">
        <v>31</v>
      </c>
      <c r="F2375" t="s">
        <v>22</v>
      </c>
      <c r="G2375" t="s">
        <v>23</v>
      </c>
      <c r="H2375" t="s">
        <v>24</v>
      </c>
      <c r="I2375">
        <v>47</v>
      </c>
      <c r="J2375" s="3">
        <v>238.72</v>
      </c>
      <c r="K2375" s="3">
        <v>11219.84</v>
      </c>
      <c r="L2375" t="s">
        <v>25</v>
      </c>
      <c r="M2375" s="2">
        <v>45897</v>
      </c>
      <c r="N2375" s="2">
        <v>45897</v>
      </c>
      <c r="O2375" t="s">
        <v>43</v>
      </c>
      <c r="P2375" t="s">
        <v>35</v>
      </c>
      <c r="Q2375" t="s">
        <v>28</v>
      </c>
      <c r="R2375" t="s">
        <v>29</v>
      </c>
    </row>
    <row r="2376" spans="1:18">
      <c r="A2376" t="s">
        <v>2509</v>
      </c>
      <c r="B2376" s="2">
        <v>46180</v>
      </c>
      <c r="C2376" t="s">
        <v>80</v>
      </c>
      <c r="D2376" t="s">
        <v>81</v>
      </c>
      <c r="E2376" t="s">
        <v>39</v>
      </c>
      <c r="F2376" t="s">
        <v>82</v>
      </c>
      <c r="G2376" t="s">
        <v>83</v>
      </c>
      <c r="H2376" t="s">
        <v>84</v>
      </c>
      <c r="I2376">
        <v>25</v>
      </c>
      <c r="J2376" s="3">
        <v>689.84</v>
      </c>
      <c r="K2376" s="3">
        <v>17246</v>
      </c>
      <c r="L2376" t="s">
        <v>25</v>
      </c>
      <c r="M2376" s="2">
        <v>46188</v>
      </c>
      <c r="N2376" s="2">
        <v>46187</v>
      </c>
      <c r="O2376" t="s">
        <v>76</v>
      </c>
      <c r="P2376" t="s">
        <v>44</v>
      </c>
      <c r="Q2376" t="s">
        <v>28</v>
      </c>
      <c r="R2376" t="s">
        <v>29</v>
      </c>
    </row>
    <row r="2377" spans="1:18">
      <c r="A2377" t="s">
        <v>2510</v>
      </c>
      <c r="B2377" s="2">
        <v>45845</v>
      </c>
      <c r="C2377" t="s">
        <v>104</v>
      </c>
      <c r="D2377" t="s">
        <v>105</v>
      </c>
      <c r="E2377" t="s">
        <v>48</v>
      </c>
      <c r="F2377" t="s">
        <v>49</v>
      </c>
      <c r="G2377" t="s">
        <v>165</v>
      </c>
      <c r="H2377" t="s">
        <v>166</v>
      </c>
      <c r="I2377">
        <v>3</v>
      </c>
      <c r="J2377" s="3">
        <v>44862.84</v>
      </c>
      <c r="K2377" s="3">
        <v>134588.51999999999</v>
      </c>
      <c r="L2377" t="s">
        <v>25</v>
      </c>
      <c r="M2377" s="2">
        <v>45855</v>
      </c>
      <c r="N2377" s="2">
        <v>45852</v>
      </c>
      <c r="O2377" t="s">
        <v>43</v>
      </c>
      <c r="P2377" t="s">
        <v>53</v>
      </c>
      <c r="Q2377" t="s">
        <v>28</v>
      </c>
      <c r="R2377" t="s">
        <v>29</v>
      </c>
    </row>
    <row r="2378" spans="1:18">
      <c r="A2378" t="s">
        <v>2511</v>
      </c>
      <c r="B2378" s="2">
        <v>45734</v>
      </c>
      <c r="C2378" t="s">
        <v>96</v>
      </c>
      <c r="D2378" t="s">
        <v>97</v>
      </c>
      <c r="E2378" t="s">
        <v>39</v>
      </c>
      <c r="F2378" t="s">
        <v>82</v>
      </c>
      <c r="G2378" t="s">
        <v>197</v>
      </c>
      <c r="H2378" t="s">
        <v>198</v>
      </c>
      <c r="I2378">
        <v>27</v>
      </c>
      <c r="J2378" s="3">
        <v>2046.69</v>
      </c>
      <c r="K2378" s="3">
        <v>55260.63</v>
      </c>
      <c r="L2378" t="s">
        <v>34</v>
      </c>
      <c r="M2378" s="2">
        <v>45744</v>
      </c>
      <c r="N2378" s="2">
        <v>45742</v>
      </c>
      <c r="O2378" t="s">
        <v>26</v>
      </c>
      <c r="P2378" t="s">
        <v>44</v>
      </c>
      <c r="Q2378" t="s">
        <v>28</v>
      </c>
      <c r="R2378" t="s">
        <v>29</v>
      </c>
    </row>
    <row r="2379" spans="1:18">
      <c r="A2379" t="s">
        <v>2512</v>
      </c>
      <c r="B2379" s="2">
        <v>45931</v>
      </c>
      <c r="C2379" t="s">
        <v>71</v>
      </c>
      <c r="D2379" t="s">
        <v>72</v>
      </c>
      <c r="E2379" t="s">
        <v>48</v>
      </c>
      <c r="F2379" t="s">
        <v>57</v>
      </c>
      <c r="G2379" t="s">
        <v>74</v>
      </c>
      <c r="H2379" t="s">
        <v>75</v>
      </c>
      <c r="I2379">
        <v>12</v>
      </c>
      <c r="J2379" s="3">
        <v>8444.4699999999993</v>
      </c>
      <c r="K2379" s="3">
        <v>101333.64</v>
      </c>
      <c r="L2379" t="s">
        <v>25</v>
      </c>
      <c r="M2379" s="2">
        <v>45945</v>
      </c>
      <c r="N2379" s="2">
        <v>45942</v>
      </c>
      <c r="O2379" t="s">
        <v>26</v>
      </c>
      <c r="P2379" t="s">
        <v>53</v>
      </c>
      <c r="Q2379" t="s">
        <v>28</v>
      </c>
      <c r="R2379" t="s">
        <v>29</v>
      </c>
    </row>
    <row r="2380" spans="1:18">
      <c r="A2380" t="s">
        <v>2513</v>
      </c>
      <c r="B2380" s="2">
        <v>45975</v>
      </c>
      <c r="C2380" t="s">
        <v>142</v>
      </c>
      <c r="D2380" t="s">
        <v>143</v>
      </c>
      <c r="E2380" t="s">
        <v>112</v>
      </c>
      <c r="F2380" t="s">
        <v>22</v>
      </c>
      <c r="G2380" t="s">
        <v>23</v>
      </c>
      <c r="H2380" t="s">
        <v>24</v>
      </c>
      <c r="I2380">
        <v>33</v>
      </c>
      <c r="J2380" s="3">
        <v>251.78</v>
      </c>
      <c r="K2380" s="3">
        <v>8308.74</v>
      </c>
      <c r="L2380" t="s">
        <v>52</v>
      </c>
      <c r="M2380" s="2">
        <v>45985</v>
      </c>
      <c r="N2380" s="2">
        <v>45985</v>
      </c>
      <c r="O2380" t="s">
        <v>76</v>
      </c>
      <c r="P2380" t="s">
        <v>115</v>
      </c>
      <c r="Q2380" t="s">
        <v>28</v>
      </c>
      <c r="R2380" t="s">
        <v>29</v>
      </c>
    </row>
    <row r="2381" spans="1:18">
      <c r="A2381" t="s">
        <v>2514</v>
      </c>
      <c r="B2381" s="2">
        <v>45976</v>
      </c>
      <c r="C2381" t="s">
        <v>142</v>
      </c>
      <c r="D2381" t="s">
        <v>143</v>
      </c>
      <c r="E2381" t="s">
        <v>73</v>
      </c>
      <c r="F2381" t="s">
        <v>22</v>
      </c>
      <c r="G2381" t="s">
        <v>32</v>
      </c>
      <c r="H2381" t="s">
        <v>33</v>
      </c>
      <c r="I2381">
        <v>3</v>
      </c>
      <c r="J2381" s="3">
        <v>8155.63</v>
      </c>
      <c r="K2381" s="3">
        <v>24466.89</v>
      </c>
      <c r="L2381" t="s">
        <v>25</v>
      </c>
      <c r="M2381" s="2">
        <v>45987</v>
      </c>
      <c r="N2381" s="2">
        <v>45985</v>
      </c>
      <c r="O2381" t="s">
        <v>60</v>
      </c>
      <c r="P2381" t="s">
        <v>77</v>
      </c>
      <c r="Q2381" t="s">
        <v>28</v>
      </c>
      <c r="R2381" t="s">
        <v>29</v>
      </c>
    </row>
    <row r="2382" spans="1:18">
      <c r="A2382" t="s">
        <v>2515</v>
      </c>
      <c r="B2382" s="2">
        <v>45922</v>
      </c>
      <c r="C2382" t="s">
        <v>37</v>
      </c>
      <c r="D2382" t="s">
        <v>38</v>
      </c>
      <c r="E2382" t="s">
        <v>73</v>
      </c>
      <c r="F2382" t="s">
        <v>22</v>
      </c>
      <c r="G2382" t="s">
        <v>23</v>
      </c>
      <c r="H2382" t="s">
        <v>24</v>
      </c>
      <c r="I2382">
        <v>37</v>
      </c>
      <c r="J2382" s="3">
        <v>274.77999999999997</v>
      </c>
      <c r="K2382" s="3">
        <v>10166.86</v>
      </c>
      <c r="L2382" t="s">
        <v>25</v>
      </c>
      <c r="M2382" s="2">
        <v>45934</v>
      </c>
      <c r="N2382" s="2">
        <v>45934</v>
      </c>
      <c r="O2382" t="s">
        <v>26</v>
      </c>
      <c r="P2382" t="s">
        <v>77</v>
      </c>
      <c r="Q2382" t="s">
        <v>28</v>
      </c>
      <c r="R2382" t="s">
        <v>29</v>
      </c>
    </row>
    <row r="2383" spans="1:18">
      <c r="A2383" t="s">
        <v>2516</v>
      </c>
      <c r="B2383" s="2">
        <v>45950</v>
      </c>
      <c r="C2383" t="s">
        <v>142</v>
      </c>
      <c r="D2383" t="s">
        <v>143</v>
      </c>
      <c r="E2383" t="s">
        <v>39</v>
      </c>
      <c r="F2383" t="s">
        <v>22</v>
      </c>
      <c r="G2383" t="s">
        <v>160</v>
      </c>
      <c r="H2383" t="s">
        <v>161</v>
      </c>
      <c r="I2383">
        <v>7</v>
      </c>
      <c r="J2383" s="3">
        <v>3111.31</v>
      </c>
      <c r="K2383" s="3">
        <v>21779.17</v>
      </c>
      <c r="L2383" t="s">
        <v>34</v>
      </c>
      <c r="M2383" s="2">
        <v>45965</v>
      </c>
      <c r="N2383" s="2">
        <v>45962</v>
      </c>
      <c r="O2383" t="s">
        <v>76</v>
      </c>
      <c r="P2383" t="s">
        <v>64</v>
      </c>
      <c r="Q2383" t="s">
        <v>28</v>
      </c>
      <c r="R2383" t="s">
        <v>29</v>
      </c>
    </row>
    <row r="2384" spans="1:18">
      <c r="A2384" t="s">
        <v>2517</v>
      </c>
      <c r="B2384" s="2">
        <v>45876</v>
      </c>
      <c r="C2384" t="s">
        <v>37</v>
      </c>
      <c r="D2384" t="s">
        <v>38</v>
      </c>
      <c r="E2384" t="s">
        <v>39</v>
      </c>
      <c r="F2384" t="s">
        <v>22</v>
      </c>
      <c r="G2384" t="s">
        <v>32</v>
      </c>
      <c r="H2384" t="s">
        <v>33</v>
      </c>
      <c r="I2384">
        <v>8</v>
      </c>
      <c r="J2384" s="3">
        <v>8615.17</v>
      </c>
      <c r="K2384" s="3">
        <v>68921.36</v>
      </c>
      <c r="L2384" t="s">
        <v>25</v>
      </c>
      <c r="M2384" s="2">
        <v>45890</v>
      </c>
      <c r="N2384" s="2">
        <v>45889</v>
      </c>
      <c r="O2384" t="s">
        <v>26</v>
      </c>
      <c r="P2384" t="s">
        <v>44</v>
      </c>
      <c r="Q2384" t="s">
        <v>28</v>
      </c>
      <c r="R2384" t="s">
        <v>29</v>
      </c>
    </row>
    <row r="2385" spans="1:18">
      <c r="A2385" t="s">
        <v>2518</v>
      </c>
      <c r="B2385" s="2">
        <v>46136</v>
      </c>
      <c r="C2385" t="s">
        <v>37</v>
      </c>
      <c r="D2385" t="s">
        <v>38</v>
      </c>
      <c r="E2385" t="s">
        <v>112</v>
      </c>
      <c r="F2385" t="s">
        <v>22</v>
      </c>
      <c r="G2385" t="s">
        <v>23</v>
      </c>
      <c r="H2385" t="s">
        <v>24</v>
      </c>
      <c r="I2385">
        <v>8</v>
      </c>
      <c r="J2385" s="3">
        <v>283.77</v>
      </c>
      <c r="K2385" s="3">
        <v>2270.16</v>
      </c>
      <c r="L2385" t="s">
        <v>25</v>
      </c>
      <c r="M2385" s="2">
        <v>46142</v>
      </c>
      <c r="N2385" s="2">
        <v>46140</v>
      </c>
      <c r="O2385" t="s">
        <v>26</v>
      </c>
      <c r="P2385" t="s">
        <v>115</v>
      </c>
      <c r="Q2385" t="s">
        <v>28</v>
      </c>
      <c r="R2385" t="s">
        <v>29</v>
      </c>
    </row>
    <row r="2386" spans="1:18">
      <c r="A2386" t="s">
        <v>2519</v>
      </c>
      <c r="B2386" s="2">
        <v>45757</v>
      </c>
      <c r="C2386" t="s">
        <v>134</v>
      </c>
      <c r="D2386" t="s">
        <v>135</v>
      </c>
      <c r="E2386" t="s">
        <v>39</v>
      </c>
      <c r="F2386" t="s">
        <v>40</v>
      </c>
      <c r="G2386" t="s">
        <v>136</v>
      </c>
      <c r="H2386" t="s">
        <v>137</v>
      </c>
      <c r="I2386">
        <v>35</v>
      </c>
      <c r="J2386" s="3">
        <v>1717.28</v>
      </c>
      <c r="K2386" s="3">
        <v>60104.800000000003</v>
      </c>
      <c r="L2386" t="s">
        <v>25</v>
      </c>
      <c r="M2386" s="2">
        <v>45762</v>
      </c>
      <c r="N2386" s="2">
        <v>45768</v>
      </c>
      <c r="O2386" t="s">
        <v>60</v>
      </c>
      <c r="P2386" t="s">
        <v>44</v>
      </c>
      <c r="Q2386" t="s">
        <v>28</v>
      </c>
      <c r="R2386" t="s">
        <v>129</v>
      </c>
    </row>
    <row r="2387" spans="1:18">
      <c r="A2387" t="s">
        <v>2520</v>
      </c>
      <c r="B2387" s="2">
        <v>45816</v>
      </c>
      <c r="C2387" t="s">
        <v>55</v>
      </c>
      <c r="D2387" t="s">
        <v>56</v>
      </c>
      <c r="E2387" t="s">
        <v>73</v>
      </c>
      <c r="F2387" t="s">
        <v>57</v>
      </c>
      <c r="G2387" t="s">
        <v>74</v>
      </c>
      <c r="H2387" t="s">
        <v>75</v>
      </c>
      <c r="I2387">
        <v>13</v>
      </c>
      <c r="J2387" s="3">
        <v>10068.81</v>
      </c>
      <c r="K2387" s="3">
        <v>130894.53</v>
      </c>
      <c r="L2387" t="s">
        <v>25</v>
      </c>
      <c r="M2387" s="2">
        <v>45833</v>
      </c>
      <c r="N2387" s="2">
        <v>45832</v>
      </c>
      <c r="O2387" t="s">
        <v>76</v>
      </c>
      <c r="P2387" t="s">
        <v>77</v>
      </c>
      <c r="Q2387" t="s">
        <v>28</v>
      </c>
      <c r="R2387" t="s">
        <v>29</v>
      </c>
    </row>
    <row r="2388" spans="1:18">
      <c r="A2388" t="s">
        <v>2521</v>
      </c>
      <c r="B2388" s="2">
        <v>45816</v>
      </c>
      <c r="C2388" t="s">
        <v>37</v>
      </c>
      <c r="D2388" t="s">
        <v>38</v>
      </c>
      <c r="E2388" t="s">
        <v>39</v>
      </c>
      <c r="F2388" t="s">
        <v>40</v>
      </c>
      <c r="G2388" t="s">
        <v>136</v>
      </c>
      <c r="H2388" t="s">
        <v>137</v>
      </c>
      <c r="I2388">
        <v>42</v>
      </c>
      <c r="J2388" s="3">
        <v>1705.44</v>
      </c>
      <c r="K2388" s="3">
        <v>71628.479999999996</v>
      </c>
      <c r="L2388" t="s">
        <v>34</v>
      </c>
      <c r="M2388" s="2">
        <v>45834</v>
      </c>
      <c r="N2388" s="2">
        <v>45834</v>
      </c>
      <c r="O2388" t="s">
        <v>43</v>
      </c>
      <c r="P2388" t="s">
        <v>44</v>
      </c>
      <c r="Q2388" t="s">
        <v>28</v>
      </c>
      <c r="R2388" t="s">
        <v>29</v>
      </c>
    </row>
    <row r="2389" spans="1:18">
      <c r="A2389" t="s">
        <v>2522</v>
      </c>
      <c r="B2389" s="2">
        <v>45669</v>
      </c>
      <c r="C2389" t="s">
        <v>104</v>
      </c>
      <c r="D2389" t="s">
        <v>105</v>
      </c>
      <c r="E2389" t="s">
        <v>21</v>
      </c>
      <c r="F2389" t="s">
        <v>49</v>
      </c>
      <c r="G2389" t="s">
        <v>50</v>
      </c>
      <c r="H2389" t="s">
        <v>51</v>
      </c>
      <c r="I2389">
        <v>1</v>
      </c>
      <c r="J2389" s="3">
        <v>50074.67</v>
      </c>
      <c r="K2389" s="3">
        <v>50074.67</v>
      </c>
      <c r="L2389" t="s">
        <v>25</v>
      </c>
      <c r="M2389" s="2">
        <v>45676</v>
      </c>
      <c r="N2389" s="2">
        <v>45674</v>
      </c>
      <c r="O2389" t="s">
        <v>60</v>
      </c>
      <c r="P2389" t="s">
        <v>27</v>
      </c>
      <c r="Q2389" t="s">
        <v>28</v>
      </c>
      <c r="R2389" t="s">
        <v>29</v>
      </c>
    </row>
    <row r="2390" spans="1:18">
      <c r="A2390" t="s">
        <v>2523</v>
      </c>
      <c r="B2390" s="2">
        <v>45981</v>
      </c>
      <c r="C2390" t="s">
        <v>147</v>
      </c>
      <c r="D2390" t="s">
        <v>148</v>
      </c>
      <c r="E2390" t="s">
        <v>39</v>
      </c>
      <c r="F2390" t="s">
        <v>40</v>
      </c>
      <c r="G2390" t="s">
        <v>41</v>
      </c>
      <c r="H2390" t="s">
        <v>42</v>
      </c>
      <c r="I2390">
        <v>13</v>
      </c>
      <c r="J2390" s="3">
        <v>5122.5200000000004</v>
      </c>
      <c r="K2390" s="3">
        <v>66592.759999999995</v>
      </c>
      <c r="L2390" t="s">
        <v>25</v>
      </c>
      <c r="M2390" s="2">
        <v>45995</v>
      </c>
      <c r="N2390" s="2">
        <v>45993</v>
      </c>
      <c r="O2390" t="s">
        <v>26</v>
      </c>
      <c r="P2390" t="s">
        <v>44</v>
      </c>
      <c r="Q2390" t="s">
        <v>28</v>
      </c>
      <c r="R2390" t="s">
        <v>29</v>
      </c>
    </row>
    <row r="2391" spans="1:18">
      <c r="A2391" t="s">
        <v>2524</v>
      </c>
      <c r="B2391" s="2">
        <v>45745</v>
      </c>
      <c r="C2391" t="s">
        <v>37</v>
      </c>
      <c r="D2391" t="s">
        <v>38</v>
      </c>
      <c r="E2391" t="s">
        <v>112</v>
      </c>
      <c r="F2391" t="s">
        <v>40</v>
      </c>
      <c r="G2391" t="s">
        <v>136</v>
      </c>
      <c r="H2391" t="s">
        <v>137</v>
      </c>
      <c r="I2391">
        <v>25</v>
      </c>
      <c r="J2391" s="3">
        <v>1816.15</v>
      </c>
      <c r="K2391" s="3">
        <v>45403.75</v>
      </c>
      <c r="L2391" t="s">
        <v>25</v>
      </c>
      <c r="M2391" s="2">
        <v>45758</v>
      </c>
      <c r="N2391" s="2">
        <v>45755</v>
      </c>
      <c r="O2391" t="s">
        <v>76</v>
      </c>
      <c r="P2391" t="s">
        <v>115</v>
      </c>
      <c r="Q2391" t="s">
        <v>28</v>
      </c>
      <c r="R2391" t="s">
        <v>29</v>
      </c>
    </row>
    <row r="2392" spans="1:18">
      <c r="A2392" t="s">
        <v>2525</v>
      </c>
      <c r="B2392" s="2">
        <v>45767</v>
      </c>
      <c r="C2392" t="s">
        <v>37</v>
      </c>
      <c r="D2392" t="s">
        <v>38</v>
      </c>
      <c r="E2392" t="s">
        <v>31</v>
      </c>
      <c r="F2392" t="s">
        <v>22</v>
      </c>
      <c r="G2392" t="s">
        <v>160</v>
      </c>
      <c r="H2392" t="s">
        <v>161</v>
      </c>
      <c r="I2392">
        <v>4</v>
      </c>
      <c r="J2392" s="3">
        <v>3291.18</v>
      </c>
      <c r="K2392" s="3">
        <v>13164.72</v>
      </c>
      <c r="L2392" t="s">
        <v>34</v>
      </c>
      <c r="M2392" s="2">
        <v>45774</v>
      </c>
      <c r="N2392" s="2">
        <v>45772</v>
      </c>
      <c r="O2392" t="s">
        <v>76</v>
      </c>
      <c r="P2392" t="s">
        <v>94</v>
      </c>
      <c r="Q2392" t="s">
        <v>28</v>
      </c>
      <c r="R2392" t="s">
        <v>29</v>
      </c>
    </row>
    <row r="2393" spans="1:18">
      <c r="A2393" t="s">
        <v>2526</v>
      </c>
      <c r="B2393" s="2">
        <v>45833</v>
      </c>
      <c r="C2393" t="s">
        <v>142</v>
      </c>
      <c r="D2393" t="s">
        <v>143</v>
      </c>
      <c r="E2393" t="s">
        <v>39</v>
      </c>
      <c r="F2393" t="s">
        <v>22</v>
      </c>
      <c r="G2393" t="s">
        <v>160</v>
      </c>
      <c r="H2393" t="s">
        <v>161</v>
      </c>
      <c r="I2393">
        <v>12</v>
      </c>
      <c r="J2393" s="3">
        <v>3271.46</v>
      </c>
      <c r="K2393" s="3">
        <v>39257.519999999997</v>
      </c>
      <c r="L2393" t="s">
        <v>34</v>
      </c>
      <c r="M2393" s="2">
        <v>45848</v>
      </c>
      <c r="N2393" s="2">
        <v>45845</v>
      </c>
      <c r="O2393" t="s">
        <v>76</v>
      </c>
      <c r="P2393" t="s">
        <v>44</v>
      </c>
      <c r="Q2393" t="s">
        <v>28</v>
      </c>
      <c r="R2393" t="s">
        <v>29</v>
      </c>
    </row>
    <row r="2394" spans="1:18">
      <c r="A2394" t="s">
        <v>2527</v>
      </c>
      <c r="B2394" s="2">
        <v>46024</v>
      </c>
      <c r="C2394" t="s">
        <v>104</v>
      </c>
      <c r="D2394" t="s">
        <v>105</v>
      </c>
      <c r="E2394" t="s">
        <v>48</v>
      </c>
      <c r="F2394" t="s">
        <v>49</v>
      </c>
      <c r="G2394" t="s">
        <v>68</v>
      </c>
      <c r="H2394" t="s">
        <v>69</v>
      </c>
      <c r="I2394">
        <v>1</v>
      </c>
      <c r="J2394" s="3">
        <v>47173.440000000002</v>
      </c>
      <c r="K2394" s="3">
        <v>47173.440000000002</v>
      </c>
      <c r="L2394" t="s">
        <v>25</v>
      </c>
      <c r="M2394" s="2">
        <v>46038</v>
      </c>
      <c r="N2394" s="2">
        <v>46037</v>
      </c>
      <c r="O2394" t="s">
        <v>60</v>
      </c>
      <c r="P2394" t="s">
        <v>53</v>
      </c>
      <c r="Q2394" t="s">
        <v>28</v>
      </c>
      <c r="R2394" t="s">
        <v>29</v>
      </c>
    </row>
    <row r="2395" spans="1:18">
      <c r="A2395" t="s">
        <v>2528</v>
      </c>
      <c r="B2395" s="2">
        <v>45712</v>
      </c>
      <c r="C2395" t="s">
        <v>80</v>
      </c>
      <c r="D2395" t="s">
        <v>81</v>
      </c>
      <c r="E2395" t="s">
        <v>39</v>
      </c>
      <c r="F2395" t="s">
        <v>82</v>
      </c>
      <c r="G2395" t="s">
        <v>197</v>
      </c>
      <c r="H2395" t="s">
        <v>198</v>
      </c>
      <c r="I2395">
        <v>29</v>
      </c>
      <c r="J2395" s="3">
        <v>2081.09</v>
      </c>
      <c r="K2395" s="3">
        <v>60351.61</v>
      </c>
      <c r="L2395" t="s">
        <v>52</v>
      </c>
      <c r="M2395" s="2">
        <v>45721</v>
      </c>
      <c r="N2395" s="2">
        <v>45720</v>
      </c>
      <c r="O2395" t="s">
        <v>60</v>
      </c>
      <c r="P2395" t="s">
        <v>44</v>
      </c>
      <c r="Q2395" t="s">
        <v>28</v>
      </c>
      <c r="R2395" t="s">
        <v>29</v>
      </c>
    </row>
    <row r="2396" spans="1:18">
      <c r="A2396" t="s">
        <v>2529</v>
      </c>
      <c r="B2396" s="2">
        <v>46166</v>
      </c>
      <c r="C2396" t="s">
        <v>80</v>
      </c>
      <c r="D2396" t="s">
        <v>81</v>
      </c>
      <c r="E2396" t="s">
        <v>39</v>
      </c>
      <c r="F2396" t="s">
        <v>82</v>
      </c>
      <c r="G2396" t="s">
        <v>98</v>
      </c>
      <c r="H2396" t="s">
        <v>99</v>
      </c>
      <c r="I2396">
        <v>46</v>
      </c>
      <c r="J2396" s="3">
        <v>1133.8800000000001</v>
      </c>
      <c r="K2396" s="3">
        <v>52158.48</v>
      </c>
      <c r="L2396" t="s">
        <v>25</v>
      </c>
      <c r="M2396" s="2">
        <v>46183</v>
      </c>
      <c r="N2396" s="2">
        <v>46183</v>
      </c>
      <c r="O2396" t="s">
        <v>43</v>
      </c>
      <c r="P2396" t="s">
        <v>44</v>
      </c>
      <c r="Q2396" t="s">
        <v>28</v>
      </c>
      <c r="R2396" t="s">
        <v>29</v>
      </c>
    </row>
    <row r="2397" spans="1:18">
      <c r="A2397" t="s">
        <v>2530</v>
      </c>
      <c r="B2397" s="2">
        <v>45682</v>
      </c>
      <c r="C2397" t="s">
        <v>147</v>
      </c>
      <c r="D2397" t="s">
        <v>148</v>
      </c>
      <c r="E2397" t="s">
        <v>112</v>
      </c>
      <c r="F2397" t="s">
        <v>40</v>
      </c>
      <c r="G2397" t="s">
        <v>136</v>
      </c>
      <c r="H2397" t="s">
        <v>137</v>
      </c>
      <c r="I2397">
        <v>7</v>
      </c>
      <c r="J2397" s="3">
        <v>1606.61</v>
      </c>
      <c r="K2397" s="3">
        <v>11246.27</v>
      </c>
      <c r="L2397" t="s">
        <v>34</v>
      </c>
      <c r="M2397" s="2">
        <v>45688</v>
      </c>
      <c r="N2397" s="2">
        <v>45688</v>
      </c>
      <c r="O2397" t="s">
        <v>26</v>
      </c>
      <c r="P2397" t="s">
        <v>115</v>
      </c>
      <c r="Q2397" t="s">
        <v>28</v>
      </c>
      <c r="R2397" t="s">
        <v>29</v>
      </c>
    </row>
    <row r="2398" spans="1:18">
      <c r="A2398" t="s">
        <v>2531</v>
      </c>
      <c r="B2398" s="2">
        <v>45916</v>
      </c>
      <c r="C2398" t="s">
        <v>37</v>
      </c>
      <c r="D2398" t="s">
        <v>38</v>
      </c>
      <c r="E2398" t="s">
        <v>73</v>
      </c>
      <c r="F2398" t="s">
        <v>22</v>
      </c>
      <c r="G2398" t="s">
        <v>160</v>
      </c>
      <c r="H2398" t="s">
        <v>161</v>
      </c>
      <c r="I2398">
        <v>15</v>
      </c>
      <c r="J2398" s="3">
        <v>3345.06</v>
      </c>
      <c r="K2398" s="3">
        <v>50175.9</v>
      </c>
      <c r="L2398" t="s">
        <v>25</v>
      </c>
      <c r="M2398" s="2">
        <v>45933</v>
      </c>
      <c r="N2398" s="2">
        <v>45930</v>
      </c>
      <c r="O2398" t="s">
        <v>43</v>
      </c>
      <c r="P2398" t="s">
        <v>77</v>
      </c>
      <c r="Q2398" t="s">
        <v>28</v>
      </c>
      <c r="R2398" t="s">
        <v>29</v>
      </c>
    </row>
    <row r="2399" spans="1:18">
      <c r="A2399" t="s">
        <v>2532</v>
      </c>
      <c r="B2399" s="2">
        <v>45716</v>
      </c>
      <c r="C2399" t="s">
        <v>71</v>
      </c>
      <c r="D2399" t="s">
        <v>72</v>
      </c>
      <c r="E2399" t="s">
        <v>73</v>
      </c>
      <c r="F2399" t="s">
        <v>57</v>
      </c>
      <c r="G2399" t="s">
        <v>86</v>
      </c>
      <c r="H2399" t="s">
        <v>87</v>
      </c>
      <c r="I2399">
        <v>5</v>
      </c>
      <c r="J2399" s="3">
        <v>10681.91</v>
      </c>
      <c r="K2399" s="3">
        <v>53409.55</v>
      </c>
      <c r="L2399" t="s">
        <v>52</v>
      </c>
      <c r="M2399" s="2">
        <v>45724</v>
      </c>
      <c r="N2399" s="2">
        <v>45722</v>
      </c>
      <c r="O2399" t="s">
        <v>26</v>
      </c>
      <c r="P2399" t="s">
        <v>77</v>
      </c>
      <c r="Q2399" t="s">
        <v>28</v>
      </c>
      <c r="R2399" t="s">
        <v>29</v>
      </c>
    </row>
    <row r="2400" spans="1:18">
      <c r="A2400" t="s">
        <v>2533</v>
      </c>
      <c r="B2400" s="2">
        <v>46024</v>
      </c>
      <c r="C2400" t="s">
        <v>147</v>
      </c>
      <c r="D2400" t="s">
        <v>148</v>
      </c>
      <c r="E2400" t="s">
        <v>112</v>
      </c>
      <c r="F2400" t="s">
        <v>40</v>
      </c>
      <c r="G2400" t="s">
        <v>41</v>
      </c>
      <c r="H2400" t="s">
        <v>42</v>
      </c>
      <c r="I2400">
        <v>15</v>
      </c>
      <c r="J2400" s="3">
        <v>5209.63</v>
      </c>
      <c r="K2400" s="3">
        <v>78144.45</v>
      </c>
      <c r="L2400" t="s">
        <v>25</v>
      </c>
      <c r="M2400" s="2">
        <v>46033</v>
      </c>
      <c r="N2400" s="2">
        <v>46031</v>
      </c>
      <c r="O2400" t="s">
        <v>76</v>
      </c>
      <c r="P2400" t="s">
        <v>115</v>
      </c>
      <c r="Q2400" t="s">
        <v>28</v>
      </c>
      <c r="R2400" t="s">
        <v>29</v>
      </c>
    </row>
    <row r="2401" spans="1:18">
      <c r="A2401" t="s">
        <v>2534</v>
      </c>
      <c r="B2401" s="2">
        <v>45835</v>
      </c>
      <c r="C2401" t="s">
        <v>19</v>
      </c>
      <c r="D2401" t="s">
        <v>20</v>
      </c>
      <c r="E2401" t="s">
        <v>39</v>
      </c>
      <c r="F2401" t="s">
        <v>22</v>
      </c>
      <c r="G2401" t="s">
        <v>160</v>
      </c>
      <c r="H2401" t="s">
        <v>161</v>
      </c>
      <c r="I2401">
        <v>12</v>
      </c>
      <c r="J2401" s="3">
        <v>2888.23</v>
      </c>
      <c r="K2401" s="3">
        <v>34658.76</v>
      </c>
      <c r="L2401" t="s">
        <v>25</v>
      </c>
      <c r="M2401" s="2">
        <v>45853</v>
      </c>
      <c r="N2401" s="2">
        <v>45852</v>
      </c>
      <c r="O2401" t="s">
        <v>43</v>
      </c>
      <c r="P2401" t="s">
        <v>64</v>
      </c>
      <c r="Q2401" t="s">
        <v>28</v>
      </c>
      <c r="R2401" t="s">
        <v>29</v>
      </c>
    </row>
    <row r="2402" spans="1:18">
      <c r="A2402" t="s">
        <v>2535</v>
      </c>
      <c r="B2402" s="2">
        <v>45823</v>
      </c>
      <c r="C2402" t="s">
        <v>134</v>
      </c>
      <c r="D2402" t="s">
        <v>135</v>
      </c>
      <c r="E2402" t="s">
        <v>112</v>
      </c>
      <c r="F2402" t="s">
        <v>40</v>
      </c>
      <c r="G2402" t="s">
        <v>149</v>
      </c>
      <c r="H2402" t="s">
        <v>150</v>
      </c>
      <c r="I2402">
        <v>31</v>
      </c>
      <c r="J2402" s="3">
        <v>1308.44</v>
      </c>
      <c r="K2402" s="3">
        <v>40561.64</v>
      </c>
      <c r="L2402" t="s">
        <v>34</v>
      </c>
      <c r="M2402" s="2">
        <v>45841</v>
      </c>
      <c r="N2402" s="2">
        <v>45841</v>
      </c>
      <c r="O2402" t="s">
        <v>76</v>
      </c>
      <c r="P2402" t="s">
        <v>115</v>
      </c>
      <c r="Q2402" t="s">
        <v>28</v>
      </c>
      <c r="R2402" t="s">
        <v>29</v>
      </c>
    </row>
    <row r="2403" spans="1:18">
      <c r="A2403" t="s">
        <v>2536</v>
      </c>
      <c r="B2403" s="2">
        <v>45942</v>
      </c>
      <c r="C2403" t="s">
        <v>117</v>
      </c>
      <c r="D2403" t="s">
        <v>118</v>
      </c>
      <c r="E2403" t="s">
        <v>73</v>
      </c>
      <c r="F2403" t="s">
        <v>57</v>
      </c>
      <c r="G2403" t="s">
        <v>58</v>
      </c>
      <c r="H2403" t="s">
        <v>59</v>
      </c>
      <c r="I2403">
        <v>7</v>
      </c>
      <c r="J2403" s="3">
        <v>55879.74</v>
      </c>
      <c r="K2403" s="3">
        <v>391158.18</v>
      </c>
      <c r="L2403" t="s">
        <v>52</v>
      </c>
      <c r="M2403" s="2">
        <v>45950</v>
      </c>
      <c r="N2403" s="2">
        <v>45950</v>
      </c>
      <c r="O2403" t="s">
        <v>76</v>
      </c>
      <c r="P2403" t="s">
        <v>77</v>
      </c>
      <c r="Q2403" t="s">
        <v>28</v>
      </c>
      <c r="R2403" t="s">
        <v>29</v>
      </c>
    </row>
    <row r="2404" spans="1:18">
      <c r="A2404" t="s">
        <v>2537</v>
      </c>
      <c r="B2404" s="2">
        <v>45792</v>
      </c>
      <c r="C2404" t="s">
        <v>107</v>
      </c>
      <c r="D2404" t="s">
        <v>108</v>
      </c>
      <c r="E2404" t="s">
        <v>31</v>
      </c>
      <c r="F2404" t="s">
        <v>91</v>
      </c>
      <c r="G2404" t="s">
        <v>109</v>
      </c>
      <c r="H2404" t="s">
        <v>110</v>
      </c>
      <c r="I2404">
        <v>1</v>
      </c>
      <c r="J2404" s="3">
        <v>13561.29</v>
      </c>
      <c r="K2404" s="3">
        <v>13561.29</v>
      </c>
      <c r="L2404" t="s">
        <v>25</v>
      </c>
      <c r="M2404" s="2">
        <v>45806</v>
      </c>
      <c r="N2404" s="2">
        <v>45805</v>
      </c>
      <c r="O2404" t="s">
        <v>60</v>
      </c>
      <c r="P2404" t="s">
        <v>35</v>
      </c>
      <c r="Q2404" t="s">
        <v>28</v>
      </c>
      <c r="R2404" t="s">
        <v>29</v>
      </c>
    </row>
    <row r="2405" spans="1:18">
      <c r="A2405" t="s">
        <v>2538</v>
      </c>
      <c r="B2405" s="2">
        <v>45844</v>
      </c>
      <c r="C2405" t="s">
        <v>96</v>
      </c>
      <c r="D2405" t="s">
        <v>97</v>
      </c>
      <c r="E2405" t="s">
        <v>39</v>
      </c>
      <c r="F2405" t="s">
        <v>82</v>
      </c>
      <c r="G2405" t="s">
        <v>98</v>
      </c>
      <c r="H2405" t="s">
        <v>99</v>
      </c>
      <c r="I2405">
        <v>57</v>
      </c>
      <c r="J2405" s="3">
        <v>1193.6500000000001</v>
      </c>
      <c r="K2405" s="3">
        <v>68038.05</v>
      </c>
      <c r="L2405" t="s">
        <v>25</v>
      </c>
      <c r="M2405" s="2">
        <v>45859</v>
      </c>
      <c r="N2405" s="2">
        <v>45856</v>
      </c>
      <c r="O2405" t="s">
        <v>26</v>
      </c>
      <c r="P2405" t="s">
        <v>44</v>
      </c>
      <c r="Q2405" t="s">
        <v>28</v>
      </c>
      <c r="R2405" t="s">
        <v>29</v>
      </c>
    </row>
    <row r="2406" spans="1:18">
      <c r="A2406" t="s">
        <v>2539</v>
      </c>
      <c r="B2406" s="2">
        <v>46086</v>
      </c>
      <c r="C2406" t="s">
        <v>89</v>
      </c>
      <c r="D2406" t="s">
        <v>90</v>
      </c>
      <c r="E2406" t="s">
        <v>31</v>
      </c>
      <c r="F2406" t="s">
        <v>91</v>
      </c>
      <c r="G2406" t="s">
        <v>109</v>
      </c>
      <c r="H2406" t="s">
        <v>110</v>
      </c>
      <c r="I2406">
        <v>2</v>
      </c>
      <c r="J2406" s="3">
        <v>12013.41</v>
      </c>
      <c r="K2406" s="3">
        <v>24026.82</v>
      </c>
      <c r="L2406" t="s">
        <v>25</v>
      </c>
      <c r="M2406" s="2">
        <v>46091</v>
      </c>
      <c r="N2406" s="2">
        <v>46090</v>
      </c>
      <c r="O2406" t="s">
        <v>26</v>
      </c>
      <c r="P2406" t="s">
        <v>35</v>
      </c>
      <c r="Q2406" t="s">
        <v>28</v>
      </c>
      <c r="R2406" t="s">
        <v>29</v>
      </c>
    </row>
    <row r="2407" spans="1:18">
      <c r="A2407" t="s">
        <v>2540</v>
      </c>
      <c r="B2407" s="2">
        <v>46192</v>
      </c>
      <c r="C2407" t="s">
        <v>66</v>
      </c>
      <c r="D2407" t="s">
        <v>67</v>
      </c>
      <c r="E2407" t="s">
        <v>112</v>
      </c>
      <c r="F2407" t="s">
        <v>49</v>
      </c>
      <c r="G2407" t="s">
        <v>68</v>
      </c>
      <c r="H2407" t="s">
        <v>69</v>
      </c>
      <c r="I2407">
        <v>1</v>
      </c>
      <c r="J2407" s="3">
        <v>48579.77</v>
      </c>
      <c r="K2407" s="3">
        <v>48579.77</v>
      </c>
      <c r="L2407" t="s">
        <v>25</v>
      </c>
      <c r="M2407" s="2">
        <v>46200</v>
      </c>
      <c r="N2407" s="2">
        <v>46200</v>
      </c>
      <c r="O2407" t="s">
        <v>26</v>
      </c>
      <c r="P2407" t="s">
        <v>115</v>
      </c>
      <c r="Q2407" t="s">
        <v>28</v>
      </c>
      <c r="R2407" t="s">
        <v>29</v>
      </c>
    </row>
    <row r="2408" spans="1:18">
      <c r="A2408" t="s">
        <v>2541</v>
      </c>
      <c r="B2408" s="2">
        <v>45684</v>
      </c>
      <c r="C2408" t="s">
        <v>96</v>
      </c>
      <c r="D2408" t="s">
        <v>97</v>
      </c>
      <c r="E2408" t="s">
        <v>39</v>
      </c>
      <c r="F2408" t="s">
        <v>82</v>
      </c>
      <c r="G2408" t="s">
        <v>197</v>
      </c>
      <c r="H2408" t="s">
        <v>198</v>
      </c>
      <c r="I2408">
        <v>19</v>
      </c>
      <c r="J2408" s="3">
        <v>2142.3200000000002</v>
      </c>
      <c r="K2408" s="3">
        <v>40704.080000000002</v>
      </c>
      <c r="L2408" t="s">
        <v>25</v>
      </c>
      <c r="M2408" s="2">
        <v>45689</v>
      </c>
      <c r="N2408" s="2">
        <v>45687</v>
      </c>
      <c r="O2408" t="s">
        <v>26</v>
      </c>
      <c r="P2408" t="s">
        <v>64</v>
      </c>
      <c r="Q2408" t="s">
        <v>28</v>
      </c>
      <c r="R2408" t="s">
        <v>29</v>
      </c>
    </row>
    <row r="2409" spans="1:18">
      <c r="A2409" t="s">
        <v>2542</v>
      </c>
      <c r="B2409" s="2">
        <v>46136</v>
      </c>
      <c r="C2409" t="s">
        <v>131</v>
      </c>
      <c r="D2409" t="s">
        <v>132</v>
      </c>
      <c r="E2409" t="s">
        <v>48</v>
      </c>
      <c r="F2409" t="s">
        <v>57</v>
      </c>
      <c r="G2409" t="s">
        <v>101</v>
      </c>
      <c r="H2409" t="s">
        <v>102</v>
      </c>
      <c r="I2409">
        <v>17</v>
      </c>
      <c r="J2409" s="3">
        <v>1915.51</v>
      </c>
      <c r="K2409" s="3">
        <v>32563.67</v>
      </c>
      <c r="L2409" t="s">
        <v>25</v>
      </c>
      <c r="M2409" s="2">
        <v>46145</v>
      </c>
      <c r="N2409" s="2">
        <v>46143</v>
      </c>
      <c r="O2409" t="s">
        <v>43</v>
      </c>
      <c r="P2409" t="s">
        <v>53</v>
      </c>
      <c r="Q2409" t="s">
        <v>28</v>
      </c>
      <c r="R2409" t="s">
        <v>29</v>
      </c>
    </row>
    <row r="2410" spans="1:18">
      <c r="A2410" t="s">
        <v>2543</v>
      </c>
      <c r="B2410" s="2">
        <v>46040</v>
      </c>
      <c r="C2410" t="s">
        <v>117</v>
      </c>
      <c r="D2410" t="s">
        <v>118</v>
      </c>
      <c r="E2410" t="s">
        <v>48</v>
      </c>
      <c r="F2410" t="s">
        <v>57</v>
      </c>
      <c r="G2410" t="s">
        <v>127</v>
      </c>
      <c r="H2410" t="s">
        <v>128</v>
      </c>
      <c r="I2410">
        <v>1</v>
      </c>
      <c r="J2410" s="3">
        <v>16611.68</v>
      </c>
      <c r="K2410" s="3">
        <v>16611.68</v>
      </c>
      <c r="L2410" t="s">
        <v>25</v>
      </c>
      <c r="M2410" s="2">
        <v>46045</v>
      </c>
      <c r="N2410" s="2">
        <v>46042</v>
      </c>
      <c r="O2410" t="s">
        <v>43</v>
      </c>
      <c r="P2410" t="s">
        <v>53</v>
      </c>
      <c r="Q2410" t="s">
        <v>28</v>
      </c>
      <c r="R2410" t="s">
        <v>29</v>
      </c>
    </row>
    <row r="2411" spans="1:18">
      <c r="A2411" t="s">
        <v>2544</v>
      </c>
      <c r="B2411" s="2">
        <v>45782</v>
      </c>
      <c r="C2411" t="s">
        <v>104</v>
      </c>
      <c r="D2411" t="s">
        <v>105</v>
      </c>
      <c r="E2411" t="s">
        <v>48</v>
      </c>
      <c r="F2411" t="s">
        <v>49</v>
      </c>
      <c r="G2411" t="s">
        <v>165</v>
      </c>
      <c r="H2411" t="s">
        <v>166</v>
      </c>
      <c r="I2411">
        <v>1</v>
      </c>
      <c r="J2411" s="3">
        <v>45614.65</v>
      </c>
      <c r="K2411" s="3">
        <v>45614.65</v>
      </c>
      <c r="L2411" t="s">
        <v>25</v>
      </c>
      <c r="M2411" s="2">
        <v>45796</v>
      </c>
      <c r="N2411" s="2">
        <v>45796</v>
      </c>
      <c r="O2411" t="s">
        <v>26</v>
      </c>
      <c r="P2411" t="s">
        <v>53</v>
      </c>
      <c r="Q2411" t="s">
        <v>28</v>
      </c>
      <c r="R2411" t="s">
        <v>29</v>
      </c>
    </row>
    <row r="2412" spans="1:18">
      <c r="A2412" t="s">
        <v>2545</v>
      </c>
      <c r="B2412" s="2">
        <v>46017</v>
      </c>
      <c r="C2412" t="s">
        <v>117</v>
      </c>
      <c r="D2412" t="s">
        <v>118</v>
      </c>
      <c r="E2412" t="s">
        <v>73</v>
      </c>
      <c r="F2412" t="s">
        <v>57</v>
      </c>
      <c r="G2412" t="s">
        <v>101</v>
      </c>
      <c r="H2412" t="s">
        <v>102</v>
      </c>
      <c r="I2412">
        <v>57</v>
      </c>
      <c r="J2412" s="3">
        <v>1772.56</v>
      </c>
      <c r="K2412" s="3">
        <v>101035.92</v>
      </c>
      <c r="L2412" t="s">
        <v>34</v>
      </c>
      <c r="M2412" s="2">
        <v>46030</v>
      </c>
      <c r="N2412" s="2">
        <v>46030</v>
      </c>
      <c r="O2412" t="s">
        <v>43</v>
      </c>
      <c r="P2412" t="s">
        <v>77</v>
      </c>
      <c r="Q2412" t="s">
        <v>28</v>
      </c>
      <c r="R2412" t="s">
        <v>29</v>
      </c>
    </row>
    <row r="2413" spans="1:18">
      <c r="A2413" t="s">
        <v>2546</v>
      </c>
      <c r="B2413" s="2">
        <v>45726</v>
      </c>
      <c r="C2413" t="s">
        <v>96</v>
      </c>
      <c r="D2413" t="s">
        <v>97</v>
      </c>
      <c r="E2413" t="s">
        <v>39</v>
      </c>
      <c r="F2413" t="s">
        <v>82</v>
      </c>
      <c r="G2413" t="s">
        <v>98</v>
      </c>
      <c r="H2413" t="s">
        <v>99</v>
      </c>
      <c r="I2413">
        <v>6</v>
      </c>
      <c r="J2413" s="3">
        <v>1138.1500000000001</v>
      </c>
      <c r="K2413" s="3">
        <v>6828.9</v>
      </c>
      <c r="L2413" t="s">
        <v>25</v>
      </c>
      <c r="M2413" s="2">
        <v>45731</v>
      </c>
      <c r="N2413" s="2">
        <v>45728</v>
      </c>
      <c r="O2413" t="s">
        <v>76</v>
      </c>
      <c r="P2413" t="s">
        <v>44</v>
      </c>
      <c r="Q2413" t="s">
        <v>28</v>
      </c>
      <c r="R2413" t="s">
        <v>29</v>
      </c>
    </row>
    <row r="2414" spans="1:18">
      <c r="A2414" t="s">
        <v>2547</v>
      </c>
      <c r="B2414" s="2">
        <v>45990</v>
      </c>
      <c r="C2414" t="s">
        <v>107</v>
      </c>
      <c r="D2414" t="s">
        <v>108</v>
      </c>
      <c r="E2414" t="s">
        <v>31</v>
      </c>
      <c r="F2414" t="s">
        <v>91</v>
      </c>
      <c r="G2414" t="s">
        <v>109</v>
      </c>
      <c r="H2414" t="s">
        <v>110</v>
      </c>
      <c r="I2414">
        <v>1</v>
      </c>
      <c r="J2414" s="3">
        <v>13320</v>
      </c>
      <c r="K2414" s="3">
        <v>13320</v>
      </c>
      <c r="L2414" t="s">
        <v>25</v>
      </c>
      <c r="M2414" s="2">
        <v>45995</v>
      </c>
      <c r="N2414" s="2">
        <v>45992</v>
      </c>
      <c r="O2414" t="s">
        <v>26</v>
      </c>
      <c r="P2414" t="s">
        <v>35</v>
      </c>
      <c r="Q2414" t="s">
        <v>28</v>
      </c>
      <c r="R2414" t="s">
        <v>29</v>
      </c>
    </row>
    <row r="2415" spans="1:18">
      <c r="A2415" t="s">
        <v>2548</v>
      </c>
      <c r="B2415" s="2">
        <v>46080</v>
      </c>
      <c r="C2415" t="s">
        <v>117</v>
      </c>
      <c r="D2415" t="s">
        <v>118</v>
      </c>
      <c r="E2415" t="s">
        <v>48</v>
      </c>
      <c r="F2415" t="s">
        <v>57</v>
      </c>
      <c r="G2415" t="s">
        <v>74</v>
      </c>
      <c r="H2415" t="s">
        <v>75</v>
      </c>
      <c r="I2415">
        <v>6</v>
      </c>
      <c r="J2415" s="3">
        <v>8710.07</v>
      </c>
      <c r="K2415" s="3">
        <v>52260.42</v>
      </c>
      <c r="L2415" t="s">
        <v>25</v>
      </c>
      <c r="M2415" s="2">
        <v>46086</v>
      </c>
      <c r="N2415" s="2">
        <v>46086</v>
      </c>
      <c r="O2415" t="s">
        <v>26</v>
      </c>
      <c r="P2415" t="s">
        <v>53</v>
      </c>
      <c r="Q2415" t="s">
        <v>28</v>
      </c>
      <c r="R2415" t="s">
        <v>29</v>
      </c>
    </row>
    <row r="2416" spans="1:18">
      <c r="A2416" t="s">
        <v>2549</v>
      </c>
      <c r="B2416" s="2">
        <v>45973</v>
      </c>
      <c r="C2416" t="s">
        <v>66</v>
      </c>
      <c r="D2416" t="s">
        <v>67</v>
      </c>
      <c r="E2416" t="s">
        <v>112</v>
      </c>
      <c r="F2416" t="s">
        <v>49</v>
      </c>
      <c r="G2416" t="s">
        <v>165</v>
      </c>
      <c r="H2416" t="s">
        <v>166</v>
      </c>
      <c r="I2416">
        <v>1</v>
      </c>
      <c r="J2416" s="3">
        <v>43176.65</v>
      </c>
      <c r="K2416" s="3">
        <v>43176.65</v>
      </c>
      <c r="L2416" t="s">
        <v>52</v>
      </c>
      <c r="M2416" s="2">
        <v>45988</v>
      </c>
      <c r="N2416" s="2">
        <v>45986</v>
      </c>
      <c r="O2416" t="s">
        <v>26</v>
      </c>
      <c r="P2416" t="s">
        <v>115</v>
      </c>
      <c r="Q2416" t="s">
        <v>28</v>
      </c>
      <c r="R2416" t="s">
        <v>29</v>
      </c>
    </row>
    <row r="2417" spans="1:18">
      <c r="A2417" t="s">
        <v>2550</v>
      </c>
      <c r="B2417" s="2">
        <v>45960</v>
      </c>
      <c r="C2417" t="s">
        <v>96</v>
      </c>
      <c r="D2417" t="s">
        <v>97</v>
      </c>
      <c r="E2417" t="s">
        <v>39</v>
      </c>
      <c r="F2417" t="s">
        <v>82</v>
      </c>
      <c r="G2417" t="s">
        <v>98</v>
      </c>
      <c r="H2417" t="s">
        <v>99</v>
      </c>
      <c r="I2417">
        <v>50</v>
      </c>
      <c r="J2417" s="3">
        <v>1197.01</v>
      </c>
      <c r="K2417" s="3">
        <v>59850.5</v>
      </c>
      <c r="L2417" t="s">
        <v>25</v>
      </c>
      <c r="M2417" s="2">
        <v>45977</v>
      </c>
      <c r="N2417" s="2">
        <v>45974</v>
      </c>
      <c r="O2417" t="s">
        <v>43</v>
      </c>
      <c r="P2417" t="s">
        <v>44</v>
      </c>
      <c r="Q2417" t="s">
        <v>28</v>
      </c>
      <c r="R2417" t="s">
        <v>29</v>
      </c>
    </row>
    <row r="2418" spans="1:18">
      <c r="A2418" t="s">
        <v>2551</v>
      </c>
      <c r="B2418" s="2">
        <v>46087</v>
      </c>
      <c r="C2418" t="s">
        <v>104</v>
      </c>
      <c r="D2418" t="s">
        <v>105</v>
      </c>
      <c r="E2418" t="s">
        <v>48</v>
      </c>
      <c r="F2418" t="s">
        <v>49</v>
      </c>
      <c r="G2418" t="s">
        <v>165</v>
      </c>
      <c r="H2418" t="s">
        <v>166</v>
      </c>
      <c r="I2418">
        <v>1</v>
      </c>
      <c r="J2418" s="3">
        <v>45713.41</v>
      </c>
      <c r="K2418" s="3">
        <v>45713.41</v>
      </c>
      <c r="L2418" t="s">
        <v>25</v>
      </c>
      <c r="M2418" s="2">
        <v>46092</v>
      </c>
      <c r="N2418" s="2">
        <v>46089</v>
      </c>
      <c r="O2418" t="s">
        <v>26</v>
      </c>
      <c r="P2418" t="s">
        <v>53</v>
      </c>
      <c r="Q2418" t="s">
        <v>28</v>
      </c>
      <c r="R2418" t="s">
        <v>29</v>
      </c>
    </row>
    <row r="2419" spans="1:18">
      <c r="A2419" t="s">
        <v>2552</v>
      </c>
      <c r="B2419" s="2">
        <v>46174</v>
      </c>
      <c r="C2419" t="s">
        <v>80</v>
      </c>
      <c r="D2419" t="s">
        <v>81</v>
      </c>
      <c r="E2419" t="s">
        <v>39</v>
      </c>
      <c r="F2419" t="s">
        <v>82</v>
      </c>
      <c r="G2419" t="s">
        <v>98</v>
      </c>
      <c r="H2419" t="s">
        <v>99</v>
      </c>
      <c r="I2419">
        <v>18</v>
      </c>
      <c r="J2419" s="3">
        <v>1136.58</v>
      </c>
      <c r="K2419" s="3">
        <v>20458.439999999999</v>
      </c>
      <c r="L2419" t="s">
        <v>52</v>
      </c>
      <c r="M2419" s="2">
        <v>46186</v>
      </c>
      <c r="N2419" s="2">
        <v>46186</v>
      </c>
      <c r="O2419" t="s">
        <v>76</v>
      </c>
      <c r="P2419" t="s">
        <v>64</v>
      </c>
      <c r="Q2419" t="s">
        <v>28</v>
      </c>
      <c r="R2419" t="s">
        <v>29</v>
      </c>
    </row>
    <row r="2420" spans="1:18">
      <c r="A2420" t="s">
        <v>2553</v>
      </c>
      <c r="B2420" s="2">
        <v>45770</v>
      </c>
      <c r="C2420" t="s">
        <v>71</v>
      </c>
      <c r="D2420" t="s">
        <v>72</v>
      </c>
      <c r="E2420" t="s">
        <v>21</v>
      </c>
      <c r="F2420" t="s">
        <v>57</v>
      </c>
      <c r="G2420" t="s">
        <v>120</v>
      </c>
      <c r="H2420" t="s">
        <v>121</v>
      </c>
      <c r="I2420">
        <v>5</v>
      </c>
      <c r="J2420" s="3">
        <v>21495.7</v>
      </c>
      <c r="K2420" s="3">
        <v>107478.5</v>
      </c>
      <c r="L2420" t="s">
        <v>25</v>
      </c>
      <c r="M2420" s="2">
        <v>45778</v>
      </c>
      <c r="N2420" s="2">
        <v>45775</v>
      </c>
      <c r="O2420" t="s">
        <v>76</v>
      </c>
      <c r="P2420" t="s">
        <v>27</v>
      </c>
      <c r="Q2420" t="s">
        <v>28</v>
      </c>
      <c r="R2420" t="s">
        <v>29</v>
      </c>
    </row>
    <row r="2421" spans="1:18">
      <c r="A2421" t="s">
        <v>2554</v>
      </c>
      <c r="B2421" s="2">
        <v>45660</v>
      </c>
      <c r="C2421" t="s">
        <v>142</v>
      </c>
      <c r="D2421" t="s">
        <v>143</v>
      </c>
      <c r="E2421" t="s">
        <v>31</v>
      </c>
      <c r="F2421" t="s">
        <v>22</v>
      </c>
      <c r="G2421" t="s">
        <v>23</v>
      </c>
      <c r="H2421" t="s">
        <v>24</v>
      </c>
      <c r="I2421">
        <v>37</v>
      </c>
      <c r="J2421" s="3">
        <v>236.71</v>
      </c>
      <c r="K2421" s="3">
        <v>8758.27</v>
      </c>
      <c r="L2421" t="s">
        <v>34</v>
      </c>
      <c r="M2421" s="2">
        <v>45678</v>
      </c>
      <c r="N2421" s="2">
        <v>45675</v>
      </c>
      <c r="O2421" t="s">
        <v>26</v>
      </c>
      <c r="P2421" t="s">
        <v>35</v>
      </c>
      <c r="Q2421" t="s">
        <v>28</v>
      </c>
      <c r="R2421" t="s">
        <v>29</v>
      </c>
    </row>
    <row r="2422" spans="1:18">
      <c r="A2422" t="s">
        <v>2555</v>
      </c>
      <c r="B2422" s="2">
        <v>45820</v>
      </c>
      <c r="C2422" t="s">
        <v>37</v>
      </c>
      <c r="D2422" t="s">
        <v>38</v>
      </c>
      <c r="E2422" t="s">
        <v>39</v>
      </c>
      <c r="F2422" t="s">
        <v>40</v>
      </c>
      <c r="G2422" t="s">
        <v>62</v>
      </c>
      <c r="H2422" t="s">
        <v>63</v>
      </c>
      <c r="I2422">
        <v>8</v>
      </c>
      <c r="J2422" s="3">
        <v>19652.05</v>
      </c>
      <c r="K2422" s="3">
        <v>157216.4</v>
      </c>
      <c r="L2422" t="s">
        <v>52</v>
      </c>
      <c r="M2422" s="2">
        <v>45827</v>
      </c>
      <c r="N2422" s="2">
        <v>45826</v>
      </c>
      <c r="O2422" t="s">
        <v>43</v>
      </c>
      <c r="P2422" t="s">
        <v>64</v>
      </c>
      <c r="Q2422" t="s">
        <v>28</v>
      </c>
      <c r="R2422" t="s">
        <v>29</v>
      </c>
    </row>
    <row r="2423" spans="1:18">
      <c r="A2423" t="s">
        <v>2556</v>
      </c>
      <c r="B2423" s="2">
        <v>46007</v>
      </c>
      <c r="C2423" t="s">
        <v>37</v>
      </c>
      <c r="D2423" t="s">
        <v>38</v>
      </c>
      <c r="E2423" t="s">
        <v>31</v>
      </c>
      <c r="F2423" t="s">
        <v>22</v>
      </c>
      <c r="G2423" t="s">
        <v>160</v>
      </c>
      <c r="H2423" t="s">
        <v>161</v>
      </c>
      <c r="I2423">
        <v>4</v>
      </c>
      <c r="J2423" s="3">
        <v>3270.61</v>
      </c>
      <c r="K2423" s="3">
        <v>13082.44</v>
      </c>
      <c r="L2423" t="s">
        <v>25</v>
      </c>
      <c r="M2423" s="2">
        <v>46014</v>
      </c>
      <c r="N2423" s="2">
        <v>46013</v>
      </c>
      <c r="O2423" t="s">
        <v>60</v>
      </c>
      <c r="P2423" t="s">
        <v>35</v>
      </c>
      <c r="Q2423" t="s">
        <v>28</v>
      </c>
      <c r="R2423" t="s">
        <v>29</v>
      </c>
    </row>
    <row r="2424" spans="1:18">
      <c r="A2424" t="s">
        <v>2557</v>
      </c>
      <c r="B2424" s="2">
        <v>45678</v>
      </c>
      <c r="C2424" t="s">
        <v>37</v>
      </c>
      <c r="D2424" t="s">
        <v>38</v>
      </c>
      <c r="E2424" t="s">
        <v>31</v>
      </c>
      <c r="F2424" t="s">
        <v>22</v>
      </c>
      <c r="G2424" t="s">
        <v>23</v>
      </c>
      <c r="H2424" t="s">
        <v>24</v>
      </c>
      <c r="I2424">
        <v>36</v>
      </c>
      <c r="J2424" s="3">
        <v>259.54000000000002</v>
      </c>
      <c r="K2424" s="3">
        <v>9343.44</v>
      </c>
      <c r="L2424" t="s">
        <v>34</v>
      </c>
      <c r="M2424" s="2">
        <v>45695</v>
      </c>
      <c r="N2424" s="2">
        <v>45692</v>
      </c>
      <c r="O2424" t="s">
        <v>43</v>
      </c>
      <c r="P2424" t="s">
        <v>94</v>
      </c>
      <c r="Q2424" t="s">
        <v>28</v>
      </c>
      <c r="R2424" t="s">
        <v>29</v>
      </c>
    </row>
    <row r="2425" spans="1:18">
      <c r="A2425" t="s">
        <v>2558</v>
      </c>
      <c r="B2425" s="2">
        <v>45689</v>
      </c>
      <c r="C2425" t="s">
        <v>37</v>
      </c>
      <c r="D2425" t="s">
        <v>38</v>
      </c>
      <c r="E2425" t="s">
        <v>112</v>
      </c>
      <c r="F2425" t="s">
        <v>22</v>
      </c>
      <c r="G2425" t="s">
        <v>23</v>
      </c>
      <c r="H2425" t="s">
        <v>24</v>
      </c>
      <c r="I2425">
        <v>46</v>
      </c>
      <c r="J2425" s="3">
        <v>276.91000000000003</v>
      </c>
      <c r="K2425" s="3">
        <v>12737.86</v>
      </c>
      <c r="L2425" t="s">
        <v>25</v>
      </c>
      <c r="M2425" s="2">
        <v>45697</v>
      </c>
      <c r="N2425" s="2">
        <v>45695</v>
      </c>
      <c r="O2425" t="s">
        <v>76</v>
      </c>
      <c r="P2425" t="s">
        <v>115</v>
      </c>
      <c r="Q2425" t="s">
        <v>28</v>
      </c>
      <c r="R2425" t="s">
        <v>29</v>
      </c>
    </row>
    <row r="2426" spans="1:18">
      <c r="A2426" t="s">
        <v>2559</v>
      </c>
      <c r="B2426" s="2">
        <v>46109</v>
      </c>
      <c r="C2426" t="s">
        <v>134</v>
      </c>
      <c r="D2426" t="s">
        <v>135</v>
      </c>
      <c r="E2426" t="s">
        <v>39</v>
      </c>
      <c r="F2426" t="s">
        <v>40</v>
      </c>
      <c r="G2426" t="s">
        <v>41</v>
      </c>
      <c r="H2426" t="s">
        <v>42</v>
      </c>
      <c r="I2426">
        <v>5</v>
      </c>
      <c r="J2426" s="3">
        <v>5196.1000000000004</v>
      </c>
      <c r="K2426" s="3">
        <v>25980.5</v>
      </c>
      <c r="L2426" t="s">
        <v>34</v>
      </c>
      <c r="M2426" s="2">
        <v>46120</v>
      </c>
      <c r="N2426" s="2">
        <v>46118</v>
      </c>
      <c r="O2426" t="s">
        <v>26</v>
      </c>
      <c r="P2426" t="s">
        <v>44</v>
      </c>
      <c r="Q2426" t="s">
        <v>28</v>
      </c>
      <c r="R2426" t="s">
        <v>29</v>
      </c>
    </row>
    <row r="2427" spans="1:18">
      <c r="A2427" t="s">
        <v>2560</v>
      </c>
      <c r="B2427" s="2">
        <v>45942</v>
      </c>
      <c r="C2427" t="s">
        <v>80</v>
      </c>
      <c r="D2427" t="s">
        <v>81</v>
      </c>
      <c r="E2427" t="s">
        <v>39</v>
      </c>
      <c r="F2427" t="s">
        <v>82</v>
      </c>
      <c r="G2427" t="s">
        <v>98</v>
      </c>
      <c r="H2427" t="s">
        <v>99</v>
      </c>
      <c r="I2427">
        <v>23</v>
      </c>
      <c r="J2427" s="3">
        <v>1136.48</v>
      </c>
      <c r="K2427" s="3">
        <v>26139.040000000001</v>
      </c>
      <c r="L2427" t="s">
        <v>25</v>
      </c>
      <c r="M2427" s="2">
        <v>45950</v>
      </c>
      <c r="N2427" s="2">
        <v>45947</v>
      </c>
      <c r="O2427" t="s">
        <v>60</v>
      </c>
      <c r="P2427" t="s">
        <v>64</v>
      </c>
      <c r="Q2427" t="s">
        <v>28</v>
      </c>
      <c r="R2427" t="s">
        <v>29</v>
      </c>
    </row>
    <row r="2428" spans="1:18">
      <c r="A2428" t="s">
        <v>2561</v>
      </c>
      <c r="B2428" s="2">
        <v>46127</v>
      </c>
      <c r="C2428" t="s">
        <v>147</v>
      </c>
      <c r="D2428" t="s">
        <v>148</v>
      </c>
      <c r="E2428" t="s">
        <v>112</v>
      </c>
      <c r="F2428" t="s">
        <v>40</v>
      </c>
      <c r="G2428" t="s">
        <v>62</v>
      </c>
      <c r="H2428" t="s">
        <v>63</v>
      </c>
      <c r="I2428">
        <v>1</v>
      </c>
      <c r="J2428" s="3">
        <v>18328.310000000001</v>
      </c>
      <c r="K2428" s="3">
        <v>18328.310000000001</v>
      </c>
      <c r="L2428" t="s">
        <v>34</v>
      </c>
      <c r="M2428" s="2">
        <v>46143</v>
      </c>
      <c r="N2428" s="2">
        <v>46141</v>
      </c>
      <c r="O2428" t="s">
        <v>60</v>
      </c>
      <c r="P2428" t="s">
        <v>115</v>
      </c>
      <c r="Q2428" t="s">
        <v>28</v>
      </c>
      <c r="R2428" t="s">
        <v>29</v>
      </c>
    </row>
    <row r="2429" spans="1:18">
      <c r="A2429" t="s">
        <v>2562</v>
      </c>
      <c r="B2429" s="2">
        <v>45782</v>
      </c>
      <c r="C2429" t="s">
        <v>71</v>
      </c>
      <c r="D2429" t="s">
        <v>72</v>
      </c>
      <c r="E2429" t="s">
        <v>21</v>
      </c>
      <c r="F2429" t="s">
        <v>57</v>
      </c>
      <c r="G2429" t="s">
        <v>120</v>
      </c>
      <c r="H2429" t="s">
        <v>121</v>
      </c>
      <c r="I2429">
        <v>3</v>
      </c>
      <c r="J2429" s="3">
        <v>19779.59</v>
      </c>
      <c r="K2429" s="3">
        <v>59338.77</v>
      </c>
      <c r="L2429" t="s">
        <v>34</v>
      </c>
      <c r="M2429" s="2">
        <v>45794</v>
      </c>
      <c r="N2429" s="2">
        <v>45793</v>
      </c>
      <c r="O2429" t="s">
        <v>76</v>
      </c>
      <c r="P2429" t="s">
        <v>27</v>
      </c>
      <c r="Q2429" t="s">
        <v>28</v>
      </c>
      <c r="R2429" t="s">
        <v>29</v>
      </c>
    </row>
    <row r="2430" spans="1:18">
      <c r="A2430" t="s">
        <v>2563</v>
      </c>
      <c r="B2430" s="2">
        <v>46173</v>
      </c>
      <c r="C2430" t="s">
        <v>142</v>
      </c>
      <c r="D2430" t="s">
        <v>143</v>
      </c>
      <c r="E2430" t="s">
        <v>39</v>
      </c>
      <c r="F2430" t="s">
        <v>22</v>
      </c>
      <c r="G2430" t="s">
        <v>32</v>
      </c>
      <c r="H2430" t="s">
        <v>33</v>
      </c>
      <c r="I2430">
        <v>2</v>
      </c>
      <c r="J2430" s="3">
        <v>7889.51</v>
      </c>
      <c r="K2430" s="3">
        <v>15779.02</v>
      </c>
      <c r="L2430" t="s">
        <v>34</v>
      </c>
      <c r="M2430" s="2">
        <v>46188</v>
      </c>
      <c r="N2430" s="2">
        <v>46187</v>
      </c>
      <c r="O2430" t="s">
        <v>26</v>
      </c>
      <c r="P2430" t="s">
        <v>64</v>
      </c>
      <c r="Q2430" t="s">
        <v>28</v>
      </c>
      <c r="R2430" t="s">
        <v>29</v>
      </c>
    </row>
    <row r="2431" spans="1:18">
      <c r="A2431" t="s">
        <v>2564</v>
      </c>
      <c r="B2431" s="2">
        <v>45979</v>
      </c>
      <c r="C2431" t="s">
        <v>37</v>
      </c>
      <c r="D2431" t="s">
        <v>38</v>
      </c>
      <c r="E2431" t="s">
        <v>39</v>
      </c>
      <c r="F2431" t="s">
        <v>40</v>
      </c>
      <c r="G2431" t="s">
        <v>41</v>
      </c>
      <c r="H2431" t="s">
        <v>42</v>
      </c>
      <c r="I2431">
        <v>11</v>
      </c>
      <c r="J2431" s="3">
        <v>6051.22</v>
      </c>
      <c r="K2431" s="3">
        <v>66563.42</v>
      </c>
      <c r="L2431" t="s">
        <v>25</v>
      </c>
      <c r="M2431" s="2">
        <v>45995</v>
      </c>
      <c r="N2431" s="2">
        <v>46008</v>
      </c>
      <c r="O2431" t="s">
        <v>76</v>
      </c>
      <c r="P2431" t="s">
        <v>44</v>
      </c>
      <c r="Q2431" t="s">
        <v>28</v>
      </c>
      <c r="R2431" t="s">
        <v>129</v>
      </c>
    </row>
    <row r="2432" spans="1:18">
      <c r="A2432" t="s">
        <v>2565</v>
      </c>
      <c r="B2432" s="2">
        <v>46087</v>
      </c>
      <c r="C2432" t="s">
        <v>71</v>
      </c>
      <c r="D2432" t="s">
        <v>72</v>
      </c>
      <c r="E2432" t="s">
        <v>48</v>
      </c>
      <c r="F2432" t="s">
        <v>57</v>
      </c>
      <c r="G2432" t="s">
        <v>58</v>
      </c>
      <c r="H2432" t="s">
        <v>59</v>
      </c>
      <c r="I2432">
        <v>2</v>
      </c>
      <c r="J2432" s="3">
        <v>54300.12</v>
      </c>
      <c r="K2432" s="3">
        <v>108600.24</v>
      </c>
      <c r="L2432" t="s">
        <v>25</v>
      </c>
      <c r="M2432" s="2">
        <v>46103</v>
      </c>
      <c r="N2432" s="2">
        <v>46100</v>
      </c>
      <c r="O2432" t="s">
        <v>76</v>
      </c>
      <c r="P2432" t="s">
        <v>53</v>
      </c>
      <c r="Q2432" t="s">
        <v>28</v>
      </c>
      <c r="R2432" t="s">
        <v>29</v>
      </c>
    </row>
    <row r="2433" spans="1:18">
      <c r="A2433" t="s">
        <v>2566</v>
      </c>
      <c r="B2433" s="2">
        <v>46085</v>
      </c>
      <c r="C2433" t="s">
        <v>71</v>
      </c>
      <c r="D2433" t="s">
        <v>72</v>
      </c>
      <c r="E2433" t="s">
        <v>48</v>
      </c>
      <c r="F2433" t="s">
        <v>57</v>
      </c>
      <c r="G2433" t="s">
        <v>101</v>
      </c>
      <c r="H2433" t="s">
        <v>102</v>
      </c>
      <c r="I2433">
        <v>24</v>
      </c>
      <c r="J2433" s="3">
        <v>1740.22</v>
      </c>
      <c r="K2433" s="3">
        <v>41765.279999999999</v>
      </c>
      <c r="L2433" t="s">
        <v>25</v>
      </c>
      <c r="M2433" s="2">
        <v>46095</v>
      </c>
      <c r="N2433" s="2">
        <v>46092</v>
      </c>
      <c r="O2433" t="s">
        <v>60</v>
      </c>
      <c r="P2433" t="s">
        <v>53</v>
      </c>
      <c r="Q2433" t="s">
        <v>28</v>
      </c>
      <c r="R2433" t="s">
        <v>29</v>
      </c>
    </row>
    <row r="2434" spans="1:18">
      <c r="A2434" t="s">
        <v>2567</v>
      </c>
      <c r="B2434" s="2">
        <v>46101</v>
      </c>
      <c r="C2434" t="s">
        <v>37</v>
      </c>
      <c r="D2434" t="s">
        <v>38</v>
      </c>
      <c r="E2434" t="s">
        <v>112</v>
      </c>
      <c r="F2434" t="s">
        <v>40</v>
      </c>
      <c r="G2434" t="s">
        <v>62</v>
      </c>
      <c r="H2434" t="s">
        <v>63</v>
      </c>
      <c r="I2434">
        <v>1</v>
      </c>
      <c r="J2434" s="3">
        <v>19631.71</v>
      </c>
      <c r="K2434" s="3">
        <v>19631.71</v>
      </c>
      <c r="L2434" t="s">
        <v>34</v>
      </c>
      <c r="M2434" s="2">
        <v>46114</v>
      </c>
      <c r="N2434" s="2">
        <v>46112</v>
      </c>
      <c r="O2434" t="s">
        <v>26</v>
      </c>
      <c r="P2434" t="s">
        <v>115</v>
      </c>
      <c r="Q2434" t="s">
        <v>28</v>
      </c>
      <c r="R2434" t="s">
        <v>29</v>
      </c>
    </row>
    <row r="2435" spans="1:18">
      <c r="A2435" t="s">
        <v>2568</v>
      </c>
      <c r="B2435" s="2">
        <v>45976</v>
      </c>
      <c r="C2435" t="s">
        <v>19</v>
      </c>
      <c r="D2435" t="s">
        <v>20</v>
      </c>
      <c r="E2435" t="s">
        <v>21</v>
      </c>
      <c r="F2435" t="s">
        <v>22</v>
      </c>
      <c r="G2435" t="s">
        <v>23</v>
      </c>
      <c r="H2435" t="s">
        <v>24</v>
      </c>
      <c r="I2435">
        <v>41</v>
      </c>
      <c r="J2435" s="3">
        <v>220.01</v>
      </c>
      <c r="K2435" s="3">
        <v>9020.41</v>
      </c>
      <c r="L2435" t="s">
        <v>25</v>
      </c>
      <c r="M2435" s="2">
        <v>45990</v>
      </c>
      <c r="N2435" s="2">
        <v>45987</v>
      </c>
      <c r="O2435" t="s">
        <v>60</v>
      </c>
      <c r="P2435" t="s">
        <v>27</v>
      </c>
      <c r="Q2435" t="s">
        <v>28</v>
      </c>
      <c r="R2435" t="s">
        <v>29</v>
      </c>
    </row>
    <row r="2436" spans="1:18">
      <c r="A2436" t="s">
        <v>2569</v>
      </c>
      <c r="B2436" s="2">
        <v>46137</v>
      </c>
      <c r="C2436" t="s">
        <v>117</v>
      </c>
      <c r="D2436" t="s">
        <v>118</v>
      </c>
      <c r="E2436" t="s">
        <v>48</v>
      </c>
      <c r="F2436" t="s">
        <v>57</v>
      </c>
      <c r="G2436" t="s">
        <v>86</v>
      </c>
      <c r="H2436" t="s">
        <v>87</v>
      </c>
      <c r="I2436">
        <v>6</v>
      </c>
      <c r="J2436" s="3">
        <v>10613.03</v>
      </c>
      <c r="K2436" s="3">
        <v>63678.18</v>
      </c>
      <c r="L2436" t="s">
        <v>25</v>
      </c>
      <c r="M2436" s="2">
        <v>46153</v>
      </c>
      <c r="N2436" s="2">
        <v>46164</v>
      </c>
      <c r="O2436" t="s">
        <v>60</v>
      </c>
      <c r="P2436" t="s">
        <v>53</v>
      </c>
      <c r="Q2436" t="s">
        <v>28</v>
      </c>
      <c r="R2436" t="s">
        <v>129</v>
      </c>
    </row>
    <row r="2437" spans="1:18">
      <c r="A2437" t="s">
        <v>2570</v>
      </c>
      <c r="B2437" s="2">
        <v>46196</v>
      </c>
      <c r="C2437" t="s">
        <v>71</v>
      </c>
      <c r="D2437" t="s">
        <v>72</v>
      </c>
      <c r="E2437" t="s">
        <v>48</v>
      </c>
      <c r="F2437" t="s">
        <v>57</v>
      </c>
      <c r="G2437" t="s">
        <v>101</v>
      </c>
      <c r="H2437" t="s">
        <v>102</v>
      </c>
      <c r="I2437">
        <v>24</v>
      </c>
      <c r="J2437" s="3">
        <v>1688.73</v>
      </c>
      <c r="K2437" s="3">
        <v>40529.519999999997</v>
      </c>
      <c r="L2437" t="s">
        <v>25</v>
      </c>
      <c r="M2437" s="2">
        <v>46207</v>
      </c>
      <c r="N2437" s="2"/>
      <c r="O2437" t="s">
        <v>26</v>
      </c>
      <c r="P2437" t="s">
        <v>53</v>
      </c>
      <c r="Q2437" t="s">
        <v>167</v>
      </c>
      <c r="R2437" t="s">
        <v>167</v>
      </c>
    </row>
    <row r="2438" spans="1:18">
      <c r="A2438" t="s">
        <v>2571</v>
      </c>
      <c r="B2438" s="2">
        <v>45921</v>
      </c>
      <c r="C2438" t="s">
        <v>96</v>
      </c>
      <c r="D2438" t="s">
        <v>97</v>
      </c>
      <c r="E2438" t="s">
        <v>39</v>
      </c>
      <c r="F2438" t="s">
        <v>82</v>
      </c>
      <c r="G2438" t="s">
        <v>197</v>
      </c>
      <c r="H2438" t="s">
        <v>198</v>
      </c>
      <c r="I2438">
        <v>20</v>
      </c>
      <c r="J2438" s="3">
        <v>2144.33</v>
      </c>
      <c r="K2438" s="3">
        <v>42886.6</v>
      </c>
      <c r="L2438" t="s">
        <v>25</v>
      </c>
      <c r="M2438" s="2">
        <v>45929</v>
      </c>
      <c r="N2438" s="2">
        <v>45929</v>
      </c>
      <c r="O2438" t="s">
        <v>43</v>
      </c>
      <c r="P2438" t="s">
        <v>44</v>
      </c>
      <c r="Q2438" t="s">
        <v>28</v>
      </c>
      <c r="R2438" t="s">
        <v>29</v>
      </c>
    </row>
    <row r="2439" spans="1:18">
      <c r="A2439" t="s">
        <v>2572</v>
      </c>
      <c r="B2439" s="2">
        <v>45679</v>
      </c>
      <c r="C2439" t="s">
        <v>55</v>
      </c>
      <c r="D2439" t="s">
        <v>56</v>
      </c>
      <c r="E2439" t="s">
        <v>21</v>
      </c>
      <c r="F2439" t="s">
        <v>57</v>
      </c>
      <c r="G2439" t="s">
        <v>58</v>
      </c>
      <c r="H2439" t="s">
        <v>59</v>
      </c>
      <c r="I2439">
        <v>6</v>
      </c>
      <c r="J2439" s="3">
        <v>63485.4</v>
      </c>
      <c r="K2439" s="3">
        <v>380912.4</v>
      </c>
      <c r="L2439" t="s">
        <v>25</v>
      </c>
      <c r="M2439" s="2">
        <v>45686</v>
      </c>
      <c r="N2439" s="2">
        <v>45684</v>
      </c>
      <c r="O2439" t="s">
        <v>60</v>
      </c>
      <c r="P2439" t="s">
        <v>27</v>
      </c>
      <c r="Q2439" t="s">
        <v>28</v>
      </c>
      <c r="R2439" t="s">
        <v>29</v>
      </c>
    </row>
    <row r="2440" spans="1:18">
      <c r="A2440" t="s">
        <v>2573</v>
      </c>
      <c r="B2440" s="2">
        <v>46009</v>
      </c>
      <c r="C2440" t="s">
        <v>80</v>
      </c>
      <c r="D2440" t="s">
        <v>81</v>
      </c>
      <c r="E2440" t="s">
        <v>39</v>
      </c>
      <c r="F2440" t="s">
        <v>82</v>
      </c>
      <c r="G2440" t="s">
        <v>98</v>
      </c>
      <c r="H2440" t="s">
        <v>99</v>
      </c>
      <c r="I2440">
        <v>50</v>
      </c>
      <c r="J2440" s="3">
        <v>1082.8599999999999</v>
      </c>
      <c r="K2440" s="3">
        <v>54143</v>
      </c>
      <c r="L2440" t="s">
        <v>52</v>
      </c>
      <c r="M2440" s="2">
        <v>46022</v>
      </c>
      <c r="N2440" s="2">
        <v>46022</v>
      </c>
      <c r="O2440" t="s">
        <v>26</v>
      </c>
      <c r="P2440" t="s">
        <v>44</v>
      </c>
      <c r="Q2440" t="s">
        <v>28</v>
      </c>
      <c r="R2440" t="s">
        <v>29</v>
      </c>
    </row>
    <row r="2441" spans="1:18">
      <c r="A2441" t="s">
        <v>2574</v>
      </c>
      <c r="B2441" s="2">
        <v>45994</v>
      </c>
      <c r="C2441" t="s">
        <v>66</v>
      </c>
      <c r="D2441" t="s">
        <v>67</v>
      </c>
      <c r="E2441" t="s">
        <v>73</v>
      </c>
      <c r="F2441" t="s">
        <v>49</v>
      </c>
      <c r="G2441" t="s">
        <v>68</v>
      </c>
      <c r="H2441" t="s">
        <v>69</v>
      </c>
      <c r="I2441">
        <v>1</v>
      </c>
      <c r="J2441" s="3">
        <v>45734.48</v>
      </c>
      <c r="K2441" s="3">
        <v>45734.48</v>
      </c>
      <c r="L2441" t="s">
        <v>34</v>
      </c>
      <c r="M2441" s="2">
        <v>46011</v>
      </c>
      <c r="N2441" s="2">
        <v>46009</v>
      </c>
      <c r="O2441" t="s">
        <v>60</v>
      </c>
      <c r="P2441" t="s">
        <v>77</v>
      </c>
      <c r="Q2441" t="s">
        <v>28</v>
      </c>
      <c r="R2441" t="s">
        <v>29</v>
      </c>
    </row>
    <row r="2442" spans="1:18">
      <c r="A2442" t="s">
        <v>2575</v>
      </c>
      <c r="B2442" s="2">
        <v>45727</v>
      </c>
      <c r="C2442" t="s">
        <v>107</v>
      </c>
      <c r="D2442" t="s">
        <v>108</v>
      </c>
      <c r="E2442" t="s">
        <v>31</v>
      </c>
      <c r="F2442" t="s">
        <v>91</v>
      </c>
      <c r="G2442" t="s">
        <v>109</v>
      </c>
      <c r="H2442" t="s">
        <v>110</v>
      </c>
      <c r="I2442">
        <v>1</v>
      </c>
      <c r="J2442" s="3">
        <v>13679</v>
      </c>
      <c r="K2442" s="3">
        <v>13679</v>
      </c>
      <c r="L2442" t="s">
        <v>34</v>
      </c>
      <c r="M2442" s="2">
        <v>45743</v>
      </c>
      <c r="N2442" s="2">
        <v>45743</v>
      </c>
      <c r="O2442" t="s">
        <v>60</v>
      </c>
      <c r="P2442" t="s">
        <v>94</v>
      </c>
      <c r="Q2442" t="s">
        <v>28</v>
      </c>
      <c r="R2442" t="s">
        <v>29</v>
      </c>
    </row>
    <row r="2443" spans="1:18">
      <c r="A2443" t="s">
        <v>2576</v>
      </c>
      <c r="B2443" s="2">
        <v>45971</v>
      </c>
      <c r="C2443" t="s">
        <v>142</v>
      </c>
      <c r="D2443" t="s">
        <v>143</v>
      </c>
      <c r="E2443" t="s">
        <v>73</v>
      </c>
      <c r="F2443" t="s">
        <v>22</v>
      </c>
      <c r="G2443" t="s">
        <v>32</v>
      </c>
      <c r="H2443" t="s">
        <v>33</v>
      </c>
      <c r="I2443">
        <v>11</v>
      </c>
      <c r="J2443" s="3">
        <v>8050.8</v>
      </c>
      <c r="K2443" s="3">
        <v>88558.8</v>
      </c>
      <c r="L2443" t="s">
        <v>25</v>
      </c>
      <c r="M2443" s="2">
        <v>45984</v>
      </c>
      <c r="N2443" s="2">
        <v>45981</v>
      </c>
      <c r="O2443" t="s">
        <v>76</v>
      </c>
      <c r="P2443" t="s">
        <v>77</v>
      </c>
      <c r="Q2443" t="s">
        <v>28</v>
      </c>
      <c r="R2443" t="s">
        <v>29</v>
      </c>
    </row>
    <row r="2444" spans="1:18">
      <c r="A2444" t="s">
        <v>2577</v>
      </c>
      <c r="B2444" s="2">
        <v>46126</v>
      </c>
      <c r="C2444" t="s">
        <v>37</v>
      </c>
      <c r="D2444" t="s">
        <v>38</v>
      </c>
      <c r="E2444" t="s">
        <v>31</v>
      </c>
      <c r="F2444" t="s">
        <v>22</v>
      </c>
      <c r="G2444" t="s">
        <v>32</v>
      </c>
      <c r="H2444" t="s">
        <v>33</v>
      </c>
      <c r="I2444">
        <v>14</v>
      </c>
      <c r="J2444" s="3">
        <v>8048.67</v>
      </c>
      <c r="K2444" s="3">
        <v>112681.38</v>
      </c>
      <c r="L2444" t="s">
        <v>34</v>
      </c>
      <c r="M2444" s="2">
        <v>46131</v>
      </c>
      <c r="N2444" s="2">
        <v>46128</v>
      </c>
      <c r="O2444" t="s">
        <v>43</v>
      </c>
      <c r="P2444" t="s">
        <v>35</v>
      </c>
      <c r="Q2444" t="s">
        <v>28</v>
      </c>
      <c r="R2444" t="s">
        <v>29</v>
      </c>
    </row>
    <row r="2445" spans="1:18">
      <c r="A2445" t="s">
        <v>2578</v>
      </c>
      <c r="B2445" s="2">
        <v>45850</v>
      </c>
      <c r="C2445" t="s">
        <v>131</v>
      </c>
      <c r="D2445" t="s">
        <v>132</v>
      </c>
      <c r="E2445" t="s">
        <v>48</v>
      </c>
      <c r="F2445" t="s">
        <v>57</v>
      </c>
      <c r="G2445" t="s">
        <v>101</v>
      </c>
      <c r="H2445" t="s">
        <v>102</v>
      </c>
      <c r="I2445">
        <v>60</v>
      </c>
      <c r="J2445" s="3">
        <v>1832.61</v>
      </c>
      <c r="K2445" s="3">
        <v>109956.6</v>
      </c>
      <c r="L2445" t="s">
        <v>34</v>
      </c>
      <c r="M2445" s="2">
        <v>45867</v>
      </c>
      <c r="N2445" s="2">
        <v>45867</v>
      </c>
      <c r="O2445" t="s">
        <v>76</v>
      </c>
      <c r="P2445" t="s">
        <v>53</v>
      </c>
      <c r="Q2445" t="s">
        <v>28</v>
      </c>
      <c r="R2445" t="s">
        <v>29</v>
      </c>
    </row>
    <row r="2446" spans="1:18">
      <c r="A2446" t="s">
        <v>2579</v>
      </c>
      <c r="B2446" s="2">
        <v>46049</v>
      </c>
      <c r="C2446" t="s">
        <v>71</v>
      </c>
      <c r="D2446" t="s">
        <v>72</v>
      </c>
      <c r="E2446" t="s">
        <v>21</v>
      </c>
      <c r="F2446" t="s">
        <v>57</v>
      </c>
      <c r="G2446" t="s">
        <v>58</v>
      </c>
      <c r="H2446" t="s">
        <v>59</v>
      </c>
      <c r="I2446">
        <v>1</v>
      </c>
      <c r="J2446" s="3">
        <v>51981.77</v>
      </c>
      <c r="K2446" s="3">
        <v>51981.77</v>
      </c>
      <c r="L2446" t="s">
        <v>25</v>
      </c>
      <c r="M2446" s="2">
        <v>46055</v>
      </c>
      <c r="N2446" s="2">
        <v>46052</v>
      </c>
      <c r="O2446" t="s">
        <v>26</v>
      </c>
      <c r="P2446" t="s">
        <v>27</v>
      </c>
      <c r="Q2446" t="s">
        <v>28</v>
      </c>
      <c r="R2446" t="s">
        <v>29</v>
      </c>
    </row>
    <row r="2447" spans="1:18">
      <c r="A2447" t="s">
        <v>2580</v>
      </c>
      <c r="B2447" s="2">
        <v>46019</v>
      </c>
      <c r="C2447" t="s">
        <v>142</v>
      </c>
      <c r="D2447" t="s">
        <v>143</v>
      </c>
      <c r="E2447" t="s">
        <v>39</v>
      </c>
      <c r="F2447" t="s">
        <v>22</v>
      </c>
      <c r="G2447" t="s">
        <v>32</v>
      </c>
      <c r="H2447" t="s">
        <v>33</v>
      </c>
      <c r="I2447">
        <v>4</v>
      </c>
      <c r="J2447" s="3">
        <v>7578.02</v>
      </c>
      <c r="K2447" s="3">
        <v>30312.080000000002</v>
      </c>
      <c r="L2447" t="s">
        <v>25</v>
      </c>
      <c r="M2447" s="2">
        <v>46034</v>
      </c>
      <c r="N2447" s="2">
        <v>46032</v>
      </c>
      <c r="O2447" t="s">
        <v>43</v>
      </c>
      <c r="P2447" t="s">
        <v>44</v>
      </c>
      <c r="Q2447" t="s">
        <v>28</v>
      </c>
      <c r="R2447" t="s">
        <v>29</v>
      </c>
    </row>
    <row r="2448" spans="1:18">
      <c r="A2448" t="s">
        <v>2581</v>
      </c>
      <c r="B2448" s="2">
        <v>45979</v>
      </c>
      <c r="C2448" t="s">
        <v>104</v>
      </c>
      <c r="D2448" t="s">
        <v>105</v>
      </c>
      <c r="E2448" t="s">
        <v>112</v>
      </c>
      <c r="F2448" t="s">
        <v>49</v>
      </c>
      <c r="G2448" t="s">
        <v>165</v>
      </c>
      <c r="H2448" t="s">
        <v>166</v>
      </c>
      <c r="I2448">
        <v>1</v>
      </c>
      <c r="J2448" s="3">
        <v>44308.3</v>
      </c>
      <c r="K2448" s="3">
        <v>44308.3</v>
      </c>
      <c r="L2448" t="s">
        <v>25</v>
      </c>
      <c r="M2448" s="2">
        <v>45984</v>
      </c>
      <c r="N2448" s="2">
        <v>45982</v>
      </c>
      <c r="O2448" t="s">
        <v>26</v>
      </c>
      <c r="P2448" t="s">
        <v>115</v>
      </c>
      <c r="Q2448" t="s">
        <v>28</v>
      </c>
      <c r="R2448" t="s">
        <v>29</v>
      </c>
    </row>
    <row r="2449" spans="1:18">
      <c r="A2449" t="s">
        <v>2582</v>
      </c>
      <c r="B2449" s="2">
        <v>45708</v>
      </c>
      <c r="C2449" t="s">
        <v>117</v>
      </c>
      <c r="D2449" t="s">
        <v>118</v>
      </c>
      <c r="E2449" t="s">
        <v>73</v>
      </c>
      <c r="F2449" t="s">
        <v>57</v>
      </c>
      <c r="G2449" t="s">
        <v>127</v>
      </c>
      <c r="H2449" t="s">
        <v>128</v>
      </c>
      <c r="I2449">
        <v>3</v>
      </c>
      <c r="J2449" s="3">
        <v>17090.3</v>
      </c>
      <c r="K2449" s="3">
        <v>51270.9</v>
      </c>
      <c r="L2449" t="s">
        <v>34</v>
      </c>
      <c r="M2449" s="2">
        <v>45721</v>
      </c>
      <c r="N2449" s="2">
        <v>45732</v>
      </c>
      <c r="O2449" t="s">
        <v>60</v>
      </c>
      <c r="P2449" t="s">
        <v>77</v>
      </c>
      <c r="Q2449" t="s">
        <v>28</v>
      </c>
      <c r="R2449" t="s">
        <v>129</v>
      </c>
    </row>
    <row r="2450" spans="1:18">
      <c r="A2450" t="s">
        <v>2583</v>
      </c>
      <c r="B2450" s="2">
        <v>45801</v>
      </c>
      <c r="C2450" t="s">
        <v>142</v>
      </c>
      <c r="D2450" t="s">
        <v>143</v>
      </c>
      <c r="E2450" t="s">
        <v>39</v>
      </c>
      <c r="F2450" t="s">
        <v>22</v>
      </c>
      <c r="G2450" t="s">
        <v>23</v>
      </c>
      <c r="H2450" t="s">
        <v>24</v>
      </c>
      <c r="I2450">
        <v>34</v>
      </c>
      <c r="J2450" s="3">
        <v>248.87</v>
      </c>
      <c r="K2450" s="3">
        <v>8461.58</v>
      </c>
      <c r="L2450" t="s">
        <v>25</v>
      </c>
      <c r="M2450" s="2">
        <v>45813</v>
      </c>
      <c r="N2450" s="2">
        <v>45812</v>
      </c>
      <c r="O2450" t="s">
        <v>76</v>
      </c>
      <c r="P2450" t="s">
        <v>64</v>
      </c>
      <c r="Q2450" t="s">
        <v>28</v>
      </c>
      <c r="R2450" t="s">
        <v>29</v>
      </c>
    </row>
    <row r="2451" spans="1:18">
      <c r="A2451" t="s">
        <v>2584</v>
      </c>
      <c r="B2451" s="2">
        <v>46158</v>
      </c>
      <c r="C2451" t="s">
        <v>55</v>
      </c>
      <c r="D2451" t="s">
        <v>56</v>
      </c>
      <c r="E2451" t="s">
        <v>31</v>
      </c>
      <c r="F2451" t="s">
        <v>57</v>
      </c>
      <c r="G2451" t="s">
        <v>74</v>
      </c>
      <c r="H2451" t="s">
        <v>75</v>
      </c>
      <c r="I2451">
        <v>7</v>
      </c>
      <c r="J2451" s="3">
        <v>9450.07</v>
      </c>
      <c r="K2451" s="3">
        <v>66150.490000000005</v>
      </c>
      <c r="L2451" t="s">
        <v>25</v>
      </c>
      <c r="M2451" s="2">
        <v>46164</v>
      </c>
      <c r="N2451" s="2">
        <v>46161</v>
      </c>
      <c r="O2451" t="s">
        <v>26</v>
      </c>
      <c r="P2451" t="s">
        <v>35</v>
      </c>
      <c r="Q2451" t="s">
        <v>28</v>
      </c>
      <c r="R2451" t="s">
        <v>29</v>
      </c>
    </row>
    <row r="2452" spans="1:18">
      <c r="A2452" t="s">
        <v>2585</v>
      </c>
      <c r="B2452" s="2">
        <v>45986</v>
      </c>
      <c r="C2452" t="s">
        <v>147</v>
      </c>
      <c r="D2452" t="s">
        <v>148</v>
      </c>
      <c r="E2452" t="s">
        <v>112</v>
      </c>
      <c r="F2452" t="s">
        <v>40</v>
      </c>
      <c r="G2452" t="s">
        <v>62</v>
      </c>
      <c r="H2452" t="s">
        <v>63</v>
      </c>
      <c r="I2452">
        <v>7</v>
      </c>
      <c r="J2452" s="3">
        <v>17336.87</v>
      </c>
      <c r="K2452" s="3">
        <v>121358.09</v>
      </c>
      <c r="L2452" t="s">
        <v>52</v>
      </c>
      <c r="M2452" s="2">
        <v>45997</v>
      </c>
      <c r="N2452" s="2">
        <v>45995</v>
      </c>
      <c r="O2452" t="s">
        <v>26</v>
      </c>
      <c r="P2452" t="s">
        <v>115</v>
      </c>
      <c r="Q2452" t="s">
        <v>28</v>
      </c>
      <c r="R2452" t="s">
        <v>29</v>
      </c>
    </row>
    <row r="2453" spans="1:18">
      <c r="A2453" t="s">
        <v>2586</v>
      </c>
      <c r="B2453" s="2">
        <v>45788</v>
      </c>
      <c r="C2453" t="s">
        <v>80</v>
      </c>
      <c r="D2453" t="s">
        <v>81</v>
      </c>
      <c r="E2453" t="s">
        <v>39</v>
      </c>
      <c r="F2453" t="s">
        <v>82</v>
      </c>
      <c r="G2453" t="s">
        <v>83</v>
      </c>
      <c r="H2453" t="s">
        <v>84</v>
      </c>
      <c r="I2453">
        <v>27</v>
      </c>
      <c r="J2453" s="3">
        <v>715.84</v>
      </c>
      <c r="K2453" s="3">
        <v>19327.68</v>
      </c>
      <c r="L2453" t="s">
        <v>25</v>
      </c>
      <c r="M2453" s="2">
        <v>45793</v>
      </c>
      <c r="N2453" s="2">
        <v>45793</v>
      </c>
      <c r="O2453" t="s">
        <v>76</v>
      </c>
      <c r="P2453" t="s">
        <v>64</v>
      </c>
      <c r="Q2453" t="s">
        <v>28</v>
      </c>
      <c r="R2453" t="s">
        <v>29</v>
      </c>
    </row>
    <row r="2454" spans="1:18">
      <c r="A2454" t="s">
        <v>2587</v>
      </c>
      <c r="B2454" s="2">
        <v>45913</v>
      </c>
      <c r="C2454" t="s">
        <v>46</v>
      </c>
      <c r="D2454" t="s">
        <v>47</v>
      </c>
      <c r="E2454" t="s">
        <v>73</v>
      </c>
      <c r="F2454" t="s">
        <v>49</v>
      </c>
      <c r="G2454" t="s">
        <v>165</v>
      </c>
      <c r="H2454" t="s">
        <v>166</v>
      </c>
      <c r="I2454">
        <v>2</v>
      </c>
      <c r="J2454" s="3">
        <v>49619.8</v>
      </c>
      <c r="K2454" s="3">
        <v>99239.6</v>
      </c>
      <c r="L2454" t="s">
        <v>34</v>
      </c>
      <c r="M2454" s="2">
        <v>45925</v>
      </c>
      <c r="N2454" s="2">
        <v>45925</v>
      </c>
      <c r="O2454" t="s">
        <v>43</v>
      </c>
      <c r="P2454" t="s">
        <v>77</v>
      </c>
      <c r="Q2454" t="s">
        <v>28</v>
      </c>
      <c r="R2454" t="s">
        <v>29</v>
      </c>
    </row>
    <row r="2455" spans="1:18">
      <c r="A2455" t="s">
        <v>2588</v>
      </c>
      <c r="B2455" s="2">
        <v>45770</v>
      </c>
      <c r="C2455" t="s">
        <v>71</v>
      </c>
      <c r="D2455" t="s">
        <v>72</v>
      </c>
      <c r="E2455" t="s">
        <v>73</v>
      </c>
      <c r="F2455" t="s">
        <v>57</v>
      </c>
      <c r="G2455" t="s">
        <v>86</v>
      </c>
      <c r="H2455" t="s">
        <v>87</v>
      </c>
      <c r="I2455">
        <v>6</v>
      </c>
      <c r="J2455" s="3">
        <v>10506.69</v>
      </c>
      <c r="K2455" s="3">
        <v>63040.14</v>
      </c>
      <c r="L2455" t="s">
        <v>52</v>
      </c>
      <c r="M2455" s="2">
        <v>45782</v>
      </c>
      <c r="N2455" s="2">
        <v>45782</v>
      </c>
      <c r="O2455" t="s">
        <v>26</v>
      </c>
      <c r="P2455" t="s">
        <v>77</v>
      </c>
      <c r="Q2455" t="s">
        <v>28</v>
      </c>
      <c r="R2455" t="s">
        <v>29</v>
      </c>
    </row>
    <row r="2456" spans="1:18">
      <c r="A2456" t="s">
        <v>2589</v>
      </c>
      <c r="B2456" s="2">
        <v>45749</v>
      </c>
      <c r="C2456" t="s">
        <v>71</v>
      </c>
      <c r="D2456" t="s">
        <v>72</v>
      </c>
      <c r="E2456" t="s">
        <v>48</v>
      </c>
      <c r="F2456" t="s">
        <v>57</v>
      </c>
      <c r="G2456" t="s">
        <v>101</v>
      </c>
      <c r="H2456" t="s">
        <v>102</v>
      </c>
      <c r="I2456">
        <v>59</v>
      </c>
      <c r="J2456" s="3">
        <v>1723.16</v>
      </c>
      <c r="K2456" s="3">
        <v>101666.44</v>
      </c>
      <c r="L2456" t="s">
        <v>34</v>
      </c>
      <c r="M2456" s="2">
        <v>45764</v>
      </c>
      <c r="N2456" s="2">
        <v>45762</v>
      </c>
      <c r="O2456" t="s">
        <v>43</v>
      </c>
      <c r="P2456" t="s">
        <v>53</v>
      </c>
      <c r="Q2456" t="s">
        <v>28</v>
      </c>
      <c r="R2456" t="s">
        <v>29</v>
      </c>
    </row>
    <row r="2457" spans="1:18">
      <c r="A2457" t="s">
        <v>2590</v>
      </c>
      <c r="B2457" s="2">
        <v>45852</v>
      </c>
      <c r="C2457" t="s">
        <v>37</v>
      </c>
      <c r="D2457" t="s">
        <v>38</v>
      </c>
      <c r="E2457" t="s">
        <v>112</v>
      </c>
      <c r="F2457" t="s">
        <v>40</v>
      </c>
      <c r="G2457" t="s">
        <v>136</v>
      </c>
      <c r="H2457" t="s">
        <v>137</v>
      </c>
      <c r="I2457">
        <v>15</v>
      </c>
      <c r="J2457" s="3">
        <v>1728.29</v>
      </c>
      <c r="K2457" s="3">
        <v>25924.35</v>
      </c>
      <c r="L2457" t="s">
        <v>34</v>
      </c>
      <c r="M2457" s="2">
        <v>45868</v>
      </c>
      <c r="N2457" s="2">
        <v>45865</v>
      </c>
      <c r="O2457" t="s">
        <v>76</v>
      </c>
      <c r="P2457" t="s">
        <v>115</v>
      </c>
      <c r="Q2457" t="s">
        <v>28</v>
      </c>
      <c r="R2457" t="s">
        <v>29</v>
      </c>
    </row>
    <row r="2458" spans="1:18">
      <c r="A2458" t="s">
        <v>2591</v>
      </c>
      <c r="B2458" s="2">
        <v>45665</v>
      </c>
      <c r="C2458" t="s">
        <v>37</v>
      </c>
      <c r="D2458" t="s">
        <v>38</v>
      </c>
      <c r="E2458" t="s">
        <v>73</v>
      </c>
      <c r="F2458" t="s">
        <v>22</v>
      </c>
      <c r="G2458" t="s">
        <v>23</v>
      </c>
      <c r="H2458" t="s">
        <v>24</v>
      </c>
      <c r="I2458">
        <v>30</v>
      </c>
      <c r="J2458" s="3">
        <v>274.26</v>
      </c>
      <c r="K2458" s="3">
        <v>8227.7999999999993</v>
      </c>
      <c r="L2458" t="s">
        <v>25</v>
      </c>
      <c r="M2458" s="2">
        <v>45681</v>
      </c>
      <c r="N2458" s="2">
        <v>45679</v>
      </c>
      <c r="O2458" t="s">
        <v>43</v>
      </c>
      <c r="P2458" t="s">
        <v>77</v>
      </c>
      <c r="Q2458" t="s">
        <v>28</v>
      </c>
      <c r="R2458" t="s">
        <v>29</v>
      </c>
    </row>
    <row r="2459" spans="1:18">
      <c r="A2459" t="s">
        <v>2592</v>
      </c>
      <c r="B2459" s="2">
        <v>45985</v>
      </c>
      <c r="C2459" t="s">
        <v>96</v>
      </c>
      <c r="D2459" t="s">
        <v>97</v>
      </c>
      <c r="E2459" t="s">
        <v>39</v>
      </c>
      <c r="F2459" t="s">
        <v>82</v>
      </c>
      <c r="G2459" t="s">
        <v>83</v>
      </c>
      <c r="H2459" t="s">
        <v>84</v>
      </c>
      <c r="I2459">
        <v>18</v>
      </c>
      <c r="J2459" s="3">
        <v>747.24</v>
      </c>
      <c r="K2459" s="3">
        <v>13450.32</v>
      </c>
      <c r="L2459" t="s">
        <v>25</v>
      </c>
      <c r="M2459" s="2">
        <v>45990</v>
      </c>
      <c r="N2459" s="2">
        <v>46001</v>
      </c>
      <c r="O2459" t="s">
        <v>43</v>
      </c>
      <c r="P2459" t="s">
        <v>44</v>
      </c>
      <c r="Q2459" t="s">
        <v>28</v>
      </c>
      <c r="R2459" t="s">
        <v>129</v>
      </c>
    </row>
    <row r="2460" spans="1:18">
      <c r="A2460" t="s">
        <v>2593</v>
      </c>
      <c r="B2460" s="2">
        <v>45874</v>
      </c>
      <c r="C2460" t="s">
        <v>80</v>
      </c>
      <c r="D2460" t="s">
        <v>81</v>
      </c>
      <c r="E2460" t="s">
        <v>39</v>
      </c>
      <c r="F2460" t="s">
        <v>82</v>
      </c>
      <c r="G2460" t="s">
        <v>197</v>
      </c>
      <c r="H2460" t="s">
        <v>198</v>
      </c>
      <c r="I2460">
        <v>35</v>
      </c>
      <c r="J2460" s="3">
        <v>2031.08</v>
      </c>
      <c r="K2460" s="3">
        <v>71087.8</v>
      </c>
      <c r="L2460" t="s">
        <v>25</v>
      </c>
      <c r="M2460" s="2">
        <v>45886</v>
      </c>
      <c r="N2460" s="2">
        <v>45884</v>
      </c>
      <c r="O2460" t="s">
        <v>60</v>
      </c>
      <c r="P2460" t="s">
        <v>64</v>
      </c>
      <c r="Q2460" t="s">
        <v>28</v>
      </c>
      <c r="R2460" t="s">
        <v>29</v>
      </c>
    </row>
    <row r="2461" spans="1:18">
      <c r="A2461" t="s">
        <v>2594</v>
      </c>
      <c r="B2461" s="2">
        <v>46148</v>
      </c>
      <c r="C2461" t="s">
        <v>104</v>
      </c>
      <c r="D2461" t="s">
        <v>105</v>
      </c>
      <c r="E2461" t="s">
        <v>48</v>
      </c>
      <c r="F2461" t="s">
        <v>49</v>
      </c>
      <c r="G2461" t="s">
        <v>113</v>
      </c>
      <c r="H2461" t="s">
        <v>114</v>
      </c>
      <c r="I2461">
        <v>2</v>
      </c>
      <c r="J2461" s="3">
        <v>37417.82</v>
      </c>
      <c r="K2461" s="3">
        <v>74835.64</v>
      </c>
      <c r="L2461" t="s">
        <v>34</v>
      </c>
      <c r="M2461" s="2">
        <v>46163</v>
      </c>
      <c r="N2461" s="2">
        <v>46162</v>
      </c>
      <c r="O2461" t="s">
        <v>60</v>
      </c>
      <c r="P2461" t="s">
        <v>53</v>
      </c>
      <c r="Q2461" t="s">
        <v>28</v>
      </c>
      <c r="R2461" t="s">
        <v>29</v>
      </c>
    </row>
    <row r="2462" spans="1:18">
      <c r="A2462" t="s">
        <v>2595</v>
      </c>
      <c r="B2462" s="2">
        <v>46199</v>
      </c>
      <c r="C2462" t="s">
        <v>55</v>
      </c>
      <c r="D2462" t="s">
        <v>56</v>
      </c>
      <c r="E2462" t="s">
        <v>48</v>
      </c>
      <c r="F2462" t="s">
        <v>57</v>
      </c>
      <c r="G2462" t="s">
        <v>58</v>
      </c>
      <c r="H2462" t="s">
        <v>59</v>
      </c>
      <c r="I2462">
        <v>4</v>
      </c>
      <c r="J2462" s="3">
        <v>62988.800000000003</v>
      </c>
      <c r="K2462" s="3">
        <v>251955.20000000001</v>
      </c>
      <c r="L2462" t="s">
        <v>25</v>
      </c>
      <c r="M2462" s="2">
        <v>46209</v>
      </c>
      <c r="N2462" s="2">
        <v>46207</v>
      </c>
      <c r="O2462" t="s">
        <v>43</v>
      </c>
      <c r="P2462" t="s">
        <v>53</v>
      </c>
      <c r="Q2462" t="s">
        <v>28</v>
      </c>
      <c r="R2462" t="s">
        <v>29</v>
      </c>
    </row>
    <row r="2463" spans="1:18">
      <c r="A2463" t="s">
        <v>2596</v>
      </c>
      <c r="B2463" s="2">
        <v>46169</v>
      </c>
      <c r="C2463" t="s">
        <v>66</v>
      </c>
      <c r="D2463" t="s">
        <v>67</v>
      </c>
      <c r="E2463" t="s">
        <v>48</v>
      </c>
      <c r="F2463" t="s">
        <v>49</v>
      </c>
      <c r="G2463" t="s">
        <v>165</v>
      </c>
      <c r="H2463" t="s">
        <v>166</v>
      </c>
      <c r="I2463">
        <v>2</v>
      </c>
      <c r="J2463" s="3">
        <v>43508.35</v>
      </c>
      <c r="K2463" s="3">
        <v>87016.7</v>
      </c>
      <c r="L2463" t="s">
        <v>52</v>
      </c>
      <c r="M2463" s="2">
        <v>46174</v>
      </c>
      <c r="N2463" s="2">
        <v>46186</v>
      </c>
      <c r="O2463" t="s">
        <v>26</v>
      </c>
      <c r="P2463" t="s">
        <v>53</v>
      </c>
      <c r="Q2463" t="s">
        <v>28</v>
      </c>
      <c r="R2463" t="s">
        <v>129</v>
      </c>
    </row>
    <row r="2464" spans="1:18">
      <c r="A2464" t="s">
        <v>2597</v>
      </c>
      <c r="B2464" s="2">
        <v>45815</v>
      </c>
      <c r="C2464" t="s">
        <v>46</v>
      </c>
      <c r="D2464" t="s">
        <v>47</v>
      </c>
      <c r="E2464" t="s">
        <v>48</v>
      </c>
      <c r="F2464" t="s">
        <v>49</v>
      </c>
      <c r="G2464" t="s">
        <v>165</v>
      </c>
      <c r="H2464" t="s">
        <v>166</v>
      </c>
      <c r="I2464">
        <v>3</v>
      </c>
      <c r="J2464" s="3">
        <v>46170.97</v>
      </c>
      <c r="K2464" s="3">
        <v>138512.91</v>
      </c>
      <c r="L2464" t="s">
        <v>25</v>
      </c>
      <c r="M2464" s="2">
        <v>45822</v>
      </c>
      <c r="N2464" s="2">
        <v>45821</v>
      </c>
      <c r="O2464" t="s">
        <v>76</v>
      </c>
      <c r="P2464" t="s">
        <v>53</v>
      </c>
      <c r="Q2464" t="s">
        <v>28</v>
      </c>
      <c r="R2464" t="s">
        <v>29</v>
      </c>
    </row>
    <row r="2465" spans="1:18">
      <c r="A2465" t="s">
        <v>2598</v>
      </c>
      <c r="B2465" s="2">
        <v>46019</v>
      </c>
      <c r="C2465" t="s">
        <v>117</v>
      </c>
      <c r="D2465" t="s">
        <v>118</v>
      </c>
      <c r="E2465" t="s">
        <v>31</v>
      </c>
      <c r="F2465" t="s">
        <v>57</v>
      </c>
      <c r="G2465" t="s">
        <v>120</v>
      </c>
      <c r="H2465" t="s">
        <v>121</v>
      </c>
      <c r="I2465">
        <v>4</v>
      </c>
      <c r="J2465" s="3">
        <v>22440.41</v>
      </c>
      <c r="K2465" s="3">
        <v>89761.64</v>
      </c>
      <c r="L2465" t="s">
        <v>25</v>
      </c>
      <c r="M2465" s="2">
        <v>46031</v>
      </c>
      <c r="N2465" s="2">
        <v>46031</v>
      </c>
      <c r="O2465" t="s">
        <v>76</v>
      </c>
      <c r="P2465" t="s">
        <v>94</v>
      </c>
      <c r="Q2465" t="s">
        <v>28</v>
      </c>
      <c r="R2465" t="s">
        <v>29</v>
      </c>
    </row>
    <row r="2466" spans="1:18">
      <c r="A2466" t="s">
        <v>2599</v>
      </c>
      <c r="B2466" s="2">
        <v>46097</v>
      </c>
      <c r="C2466" t="s">
        <v>96</v>
      </c>
      <c r="D2466" t="s">
        <v>97</v>
      </c>
      <c r="E2466" t="s">
        <v>39</v>
      </c>
      <c r="F2466" t="s">
        <v>82</v>
      </c>
      <c r="G2466" t="s">
        <v>98</v>
      </c>
      <c r="H2466" t="s">
        <v>99</v>
      </c>
      <c r="I2466">
        <v>55</v>
      </c>
      <c r="J2466" s="3">
        <v>1123.1400000000001</v>
      </c>
      <c r="K2466" s="3">
        <v>61772.7</v>
      </c>
      <c r="L2466" t="s">
        <v>25</v>
      </c>
      <c r="M2466" s="2">
        <v>46109</v>
      </c>
      <c r="N2466" s="2">
        <v>46108</v>
      </c>
      <c r="O2466" t="s">
        <v>26</v>
      </c>
      <c r="P2466" t="s">
        <v>44</v>
      </c>
      <c r="Q2466" t="s">
        <v>28</v>
      </c>
      <c r="R2466" t="s">
        <v>29</v>
      </c>
    </row>
    <row r="2467" spans="1:18">
      <c r="A2467" t="s">
        <v>2600</v>
      </c>
      <c r="B2467" s="2">
        <v>45810</v>
      </c>
      <c r="C2467" t="s">
        <v>142</v>
      </c>
      <c r="D2467" t="s">
        <v>143</v>
      </c>
      <c r="E2467" t="s">
        <v>112</v>
      </c>
      <c r="F2467" t="s">
        <v>22</v>
      </c>
      <c r="G2467" t="s">
        <v>32</v>
      </c>
      <c r="H2467" t="s">
        <v>33</v>
      </c>
      <c r="I2467">
        <v>6</v>
      </c>
      <c r="J2467" s="3">
        <v>8389.23</v>
      </c>
      <c r="K2467" s="3">
        <v>50335.38</v>
      </c>
      <c r="L2467" t="s">
        <v>34</v>
      </c>
      <c r="M2467" s="2">
        <v>45815</v>
      </c>
      <c r="N2467" s="2">
        <v>45813</v>
      </c>
      <c r="O2467" t="s">
        <v>26</v>
      </c>
      <c r="P2467" t="s">
        <v>115</v>
      </c>
      <c r="Q2467" t="s">
        <v>28</v>
      </c>
      <c r="R2467" t="s">
        <v>29</v>
      </c>
    </row>
    <row r="2468" spans="1:18">
      <c r="A2468" t="s">
        <v>2601</v>
      </c>
      <c r="B2468" s="2">
        <v>45684</v>
      </c>
      <c r="C2468" t="s">
        <v>71</v>
      </c>
      <c r="D2468" t="s">
        <v>72</v>
      </c>
      <c r="E2468" t="s">
        <v>73</v>
      </c>
      <c r="F2468" t="s">
        <v>57</v>
      </c>
      <c r="G2468" t="s">
        <v>120</v>
      </c>
      <c r="H2468" t="s">
        <v>121</v>
      </c>
      <c r="I2468">
        <v>1</v>
      </c>
      <c r="J2468" s="3">
        <v>20261.2</v>
      </c>
      <c r="K2468" s="3">
        <v>20261.2</v>
      </c>
      <c r="L2468" t="s">
        <v>34</v>
      </c>
      <c r="M2468" s="2">
        <v>45697</v>
      </c>
      <c r="N2468" s="2">
        <v>45696</v>
      </c>
      <c r="O2468" t="s">
        <v>76</v>
      </c>
      <c r="P2468" t="s">
        <v>77</v>
      </c>
      <c r="Q2468" t="s">
        <v>28</v>
      </c>
      <c r="R2468" t="s">
        <v>29</v>
      </c>
    </row>
    <row r="2469" spans="1:18">
      <c r="A2469" t="s">
        <v>2602</v>
      </c>
      <c r="B2469" s="2">
        <v>46070</v>
      </c>
      <c r="C2469" t="s">
        <v>107</v>
      </c>
      <c r="D2469" t="s">
        <v>108</v>
      </c>
      <c r="E2469" t="s">
        <v>31</v>
      </c>
      <c r="F2469" t="s">
        <v>91</v>
      </c>
      <c r="G2469" t="s">
        <v>109</v>
      </c>
      <c r="H2469" t="s">
        <v>110</v>
      </c>
      <c r="I2469">
        <v>2</v>
      </c>
      <c r="J2469" s="3">
        <v>13584.5</v>
      </c>
      <c r="K2469" s="3">
        <v>27169</v>
      </c>
      <c r="L2469" t="s">
        <v>34</v>
      </c>
      <c r="M2469" s="2">
        <v>46081</v>
      </c>
      <c r="N2469" s="2">
        <v>46078</v>
      </c>
      <c r="O2469" t="s">
        <v>26</v>
      </c>
      <c r="P2469" t="s">
        <v>35</v>
      </c>
      <c r="Q2469" t="s">
        <v>28</v>
      </c>
      <c r="R2469" t="s">
        <v>29</v>
      </c>
    </row>
    <row r="2470" spans="1:18">
      <c r="A2470" t="s">
        <v>2603</v>
      </c>
      <c r="B2470" s="2">
        <v>45974</v>
      </c>
      <c r="C2470" t="s">
        <v>19</v>
      </c>
      <c r="D2470" t="s">
        <v>20</v>
      </c>
      <c r="E2470" t="s">
        <v>73</v>
      </c>
      <c r="F2470" t="s">
        <v>22</v>
      </c>
      <c r="G2470" t="s">
        <v>32</v>
      </c>
      <c r="H2470" t="s">
        <v>33</v>
      </c>
      <c r="I2470">
        <v>1</v>
      </c>
      <c r="J2470" s="3">
        <v>7554.95</v>
      </c>
      <c r="K2470" s="3">
        <v>7554.95</v>
      </c>
      <c r="L2470" t="s">
        <v>25</v>
      </c>
      <c r="M2470" s="2">
        <v>45987</v>
      </c>
      <c r="N2470" s="2">
        <v>45986</v>
      </c>
      <c r="O2470" t="s">
        <v>60</v>
      </c>
      <c r="P2470" t="s">
        <v>77</v>
      </c>
      <c r="Q2470" t="s">
        <v>28</v>
      </c>
      <c r="R2470" t="s">
        <v>29</v>
      </c>
    </row>
    <row r="2471" spans="1:18">
      <c r="A2471" t="s">
        <v>2604</v>
      </c>
      <c r="B2471" s="2">
        <v>46044</v>
      </c>
      <c r="C2471" t="s">
        <v>71</v>
      </c>
      <c r="D2471" t="s">
        <v>72</v>
      </c>
      <c r="E2471" t="s">
        <v>48</v>
      </c>
      <c r="F2471" t="s">
        <v>57</v>
      </c>
      <c r="G2471" t="s">
        <v>86</v>
      </c>
      <c r="H2471" t="s">
        <v>87</v>
      </c>
      <c r="I2471">
        <v>6</v>
      </c>
      <c r="J2471" s="3">
        <v>10498.02</v>
      </c>
      <c r="K2471" s="3">
        <v>62988.12</v>
      </c>
      <c r="L2471" t="s">
        <v>25</v>
      </c>
      <c r="M2471" s="2">
        <v>46056</v>
      </c>
      <c r="N2471" s="2">
        <v>46055</v>
      </c>
      <c r="O2471" t="s">
        <v>76</v>
      </c>
      <c r="P2471" t="s">
        <v>53</v>
      </c>
      <c r="Q2471" t="s">
        <v>28</v>
      </c>
      <c r="R2471" t="s">
        <v>29</v>
      </c>
    </row>
    <row r="2472" spans="1:18">
      <c r="A2472" t="s">
        <v>2605</v>
      </c>
      <c r="B2472" s="2">
        <v>45827</v>
      </c>
      <c r="C2472" t="s">
        <v>96</v>
      </c>
      <c r="D2472" t="s">
        <v>97</v>
      </c>
      <c r="E2472" t="s">
        <v>39</v>
      </c>
      <c r="F2472" t="s">
        <v>82</v>
      </c>
      <c r="G2472" t="s">
        <v>98</v>
      </c>
      <c r="H2472" t="s">
        <v>99</v>
      </c>
      <c r="I2472">
        <v>48</v>
      </c>
      <c r="J2472" s="3">
        <v>1135.1600000000001</v>
      </c>
      <c r="K2472" s="3">
        <v>54487.68</v>
      </c>
      <c r="L2472" t="s">
        <v>52</v>
      </c>
      <c r="M2472" s="2">
        <v>45842</v>
      </c>
      <c r="N2472" s="2">
        <v>45840</v>
      </c>
      <c r="O2472" t="s">
        <v>60</v>
      </c>
      <c r="P2472" t="s">
        <v>44</v>
      </c>
      <c r="Q2472" t="s">
        <v>28</v>
      </c>
      <c r="R2472" t="s">
        <v>29</v>
      </c>
    </row>
    <row r="2473" spans="1:18">
      <c r="A2473" t="s">
        <v>2606</v>
      </c>
      <c r="B2473" s="2">
        <v>46065</v>
      </c>
      <c r="C2473" t="s">
        <v>104</v>
      </c>
      <c r="D2473" t="s">
        <v>105</v>
      </c>
      <c r="E2473" t="s">
        <v>21</v>
      </c>
      <c r="F2473" t="s">
        <v>49</v>
      </c>
      <c r="G2473" t="s">
        <v>68</v>
      </c>
      <c r="H2473" t="s">
        <v>69</v>
      </c>
      <c r="I2473">
        <v>2</v>
      </c>
      <c r="J2473" s="3">
        <v>46288.21</v>
      </c>
      <c r="K2473" s="3">
        <v>92576.42</v>
      </c>
      <c r="L2473" t="s">
        <v>25</v>
      </c>
      <c r="M2473" s="2">
        <v>46083</v>
      </c>
      <c r="N2473" s="2">
        <v>46082</v>
      </c>
      <c r="O2473" t="s">
        <v>60</v>
      </c>
      <c r="P2473" t="s">
        <v>27</v>
      </c>
      <c r="Q2473" t="s">
        <v>28</v>
      </c>
      <c r="R2473" t="s">
        <v>29</v>
      </c>
    </row>
    <row r="2474" spans="1:18">
      <c r="A2474" t="s">
        <v>2607</v>
      </c>
      <c r="B2474" s="2">
        <v>45831</v>
      </c>
      <c r="C2474" t="s">
        <v>66</v>
      </c>
      <c r="D2474" t="s">
        <v>67</v>
      </c>
      <c r="E2474" t="s">
        <v>21</v>
      </c>
      <c r="F2474" t="s">
        <v>49</v>
      </c>
      <c r="G2474" t="s">
        <v>113</v>
      </c>
      <c r="H2474" t="s">
        <v>114</v>
      </c>
      <c r="I2474">
        <v>3</v>
      </c>
      <c r="J2474" s="3">
        <v>37642.03</v>
      </c>
      <c r="K2474" s="3">
        <v>112926.09</v>
      </c>
      <c r="L2474" t="s">
        <v>34</v>
      </c>
      <c r="M2474" s="2">
        <v>45841</v>
      </c>
      <c r="N2474" s="2">
        <v>45849</v>
      </c>
      <c r="O2474" t="s">
        <v>76</v>
      </c>
      <c r="P2474" t="s">
        <v>27</v>
      </c>
      <c r="Q2474" t="s">
        <v>28</v>
      </c>
      <c r="R2474" t="s">
        <v>129</v>
      </c>
    </row>
    <row r="2475" spans="1:18">
      <c r="A2475" t="s">
        <v>2608</v>
      </c>
      <c r="B2475" s="2">
        <v>45746</v>
      </c>
      <c r="C2475" t="s">
        <v>37</v>
      </c>
      <c r="D2475" t="s">
        <v>38</v>
      </c>
      <c r="E2475" t="s">
        <v>21</v>
      </c>
      <c r="F2475" t="s">
        <v>22</v>
      </c>
      <c r="G2475" t="s">
        <v>32</v>
      </c>
      <c r="H2475" t="s">
        <v>33</v>
      </c>
      <c r="I2475">
        <v>11</v>
      </c>
      <c r="J2475" s="3">
        <v>8183.31</v>
      </c>
      <c r="K2475" s="3">
        <v>90016.41</v>
      </c>
      <c r="L2475" t="s">
        <v>25</v>
      </c>
      <c r="M2475" s="2">
        <v>45754</v>
      </c>
      <c r="N2475" s="2">
        <v>45753</v>
      </c>
      <c r="O2475" t="s">
        <v>43</v>
      </c>
      <c r="P2475" t="s">
        <v>27</v>
      </c>
      <c r="Q2475" t="s">
        <v>28</v>
      </c>
      <c r="R2475" t="s">
        <v>29</v>
      </c>
    </row>
    <row r="2476" spans="1:18">
      <c r="A2476" t="s">
        <v>2609</v>
      </c>
      <c r="B2476" s="2">
        <v>45853</v>
      </c>
      <c r="C2476" t="s">
        <v>19</v>
      </c>
      <c r="D2476" t="s">
        <v>20</v>
      </c>
      <c r="E2476" t="s">
        <v>73</v>
      </c>
      <c r="F2476" t="s">
        <v>22</v>
      </c>
      <c r="G2476" t="s">
        <v>23</v>
      </c>
      <c r="H2476" t="s">
        <v>24</v>
      </c>
      <c r="I2476">
        <v>18</v>
      </c>
      <c r="J2476" s="3">
        <v>234.94</v>
      </c>
      <c r="K2476" s="3">
        <v>4228.92</v>
      </c>
      <c r="L2476" t="s">
        <v>34</v>
      </c>
      <c r="M2476" s="2">
        <v>45865</v>
      </c>
      <c r="N2476" s="2">
        <v>45864</v>
      </c>
      <c r="O2476" t="s">
        <v>43</v>
      </c>
      <c r="P2476" t="s">
        <v>77</v>
      </c>
      <c r="Q2476" t="s">
        <v>28</v>
      </c>
      <c r="R2476" t="s">
        <v>29</v>
      </c>
    </row>
    <row r="2477" spans="1:18">
      <c r="A2477" t="s">
        <v>2610</v>
      </c>
      <c r="B2477" s="2">
        <v>45819</v>
      </c>
      <c r="C2477" t="s">
        <v>117</v>
      </c>
      <c r="D2477" t="s">
        <v>118</v>
      </c>
      <c r="E2477" t="s">
        <v>48</v>
      </c>
      <c r="F2477" t="s">
        <v>57</v>
      </c>
      <c r="G2477" t="s">
        <v>74</v>
      </c>
      <c r="H2477" t="s">
        <v>75</v>
      </c>
      <c r="I2477">
        <v>6</v>
      </c>
      <c r="J2477" s="3">
        <v>8766.5300000000007</v>
      </c>
      <c r="K2477" s="3">
        <v>52599.18</v>
      </c>
      <c r="L2477" t="s">
        <v>25</v>
      </c>
      <c r="M2477" s="2">
        <v>45826</v>
      </c>
      <c r="N2477" s="2">
        <v>45838</v>
      </c>
      <c r="O2477" t="s">
        <v>43</v>
      </c>
      <c r="P2477" t="s">
        <v>53</v>
      </c>
      <c r="Q2477" t="s">
        <v>28</v>
      </c>
      <c r="R2477" t="s">
        <v>129</v>
      </c>
    </row>
    <row r="2478" spans="1:18">
      <c r="A2478" t="s">
        <v>2611</v>
      </c>
      <c r="B2478" s="2">
        <v>45813</v>
      </c>
      <c r="C2478" t="s">
        <v>19</v>
      </c>
      <c r="D2478" t="s">
        <v>20</v>
      </c>
      <c r="E2478" t="s">
        <v>112</v>
      </c>
      <c r="F2478" t="s">
        <v>22</v>
      </c>
      <c r="G2478" t="s">
        <v>160</v>
      </c>
      <c r="H2478" t="s">
        <v>161</v>
      </c>
      <c r="I2478">
        <v>11</v>
      </c>
      <c r="J2478" s="3">
        <v>3172.7</v>
      </c>
      <c r="K2478" s="3">
        <v>34899.699999999997</v>
      </c>
      <c r="L2478" t="s">
        <v>34</v>
      </c>
      <c r="M2478" s="2">
        <v>45819</v>
      </c>
      <c r="N2478" s="2">
        <v>45819</v>
      </c>
      <c r="O2478" t="s">
        <v>26</v>
      </c>
      <c r="P2478" t="s">
        <v>115</v>
      </c>
      <c r="Q2478" t="s">
        <v>28</v>
      </c>
      <c r="R2478" t="s">
        <v>29</v>
      </c>
    </row>
    <row r="2479" spans="1:18">
      <c r="A2479" t="s">
        <v>2612</v>
      </c>
      <c r="B2479" s="2">
        <v>45829</v>
      </c>
      <c r="C2479" t="s">
        <v>19</v>
      </c>
      <c r="D2479" t="s">
        <v>20</v>
      </c>
      <c r="E2479" t="s">
        <v>39</v>
      </c>
      <c r="F2479" t="s">
        <v>22</v>
      </c>
      <c r="G2479" t="s">
        <v>32</v>
      </c>
      <c r="H2479" t="s">
        <v>33</v>
      </c>
      <c r="I2479">
        <v>3</v>
      </c>
      <c r="J2479" s="3">
        <v>7242.25</v>
      </c>
      <c r="K2479" s="3">
        <v>21726.75</v>
      </c>
      <c r="L2479" t="s">
        <v>34</v>
      </c>
      <c r="M2479" s="2">
        <v>45834</v>
      </c>
      <c r="N2479" s="2">
        <v>45833</v>
      </c>
      <c r="O2479" t="s">
        <v>43</v>
      </c>
      <c r="P2479" t="s">
        <v>64</v>
      </c>
      <c r="Q2479" t="s">
        <v>28</v>
      </c>
      <c r="R2479" t="s">
        <v>29</v>
      </c>
    </row>
    <row r="2480" spans="1:18">
      <c r="A2480" t="s">
        <v>2613</v>
      </c>
      <c r="B2480" s="2">
        <v>46125</v>
      </c>
      <c r="C2480" t="s">
        <v>71</v>
      </c>
      <c r="D2480" t="s">
        <v>72</v>
      </c>
      <c r="E2480" t="s">
        <v>21</v>
      </c>
      <c r="F2480" t="s">
        <v>57</v>
      </c>
      <c r="G2480" t="s">
        <v>120</v>
      </c>
      <c r="H2480" t="s">
        <v>121</v>
      </c>
      <c r="I2480">
        <v>1</v>
      </c>
      <c r="J2480" s="3">
        <v>19670.38</v>
      </c>
      <c r="K2480" s="3">
        <v>19670.38</v>
      </c>
      <c r="L2480" t="s">
        <v>34</v>
      </c>
      <c r="M2480" s="2">
        <v>46141</v>
      </c>
      <c r="N2480" s="2">
        <v>46152</v>
      </c>
      <c r="O2480" t="s">
        <v>43</v>
      </c>
      <c r="P2480" t="s">
        <v>27</v>
      </c>
      <c r="Q2480" t="s">
        <v>28</v>
      </c>
      <c r="R2480" t="s">
        <v>129</v>
      </c>
    </row>
    <row r="2481" spans="1:18">
      <c r="A2481" t="s">
        <v>2614</v>
      </c>
      <c r="B2481" s="2">
        <v>45974</v>
      </c>
      <c r="C2481" t="s">
        <v>37</v>
      </c>
      <c r="D2481" t="s">
        <v>38</v>
      </c>
      <c r="E2481" t="s">
        <v>21</v>
      </c>
      <c r="F2481" t="s">
        <v>22</v>
      </c>
      <c r="G2481" t="s">
        <v>32</v>
      </c>
      <c r="H2481" t="s">
        <v>33</v>
      </c>
      <c r="I2481">
        <v>6</v>
      </c>
      <c r="J2481" s="3">
        <v>8373.43</v>
      </c>
      <c r="K2481" s="3">
        <v>50240.58</v>
      </c>
      <c r="L2481" t="s">
        <v>25</v>
      </c>
      <c r="M2481" s="2">
        <v>45980</v>
      </c>
      <c r="N2481" s="2">
        <v>45977</v>
      </c>
      <c r="O2481" t="s">
        <v>43</v>
      </c>
      <c r="P2481" t="s">
        <v>27</v>
      </c>
      <c r="Q2481" t="s">
        <v>28</v>
      </c>
      <c r="R2481" t="s">
        <v>29</v>
      </c>
    </row>
    <row r="2482" spans="1:18">
      <c r="A2482" t="s">
        <v>2615</v>
      </c>
      <c r="B2482" s="2">
        <v>46121</v>
      </c>
      <c r="C2482" t="s">
        <v>37</v>
      </c>
      <c r="D2482" t="s">
        <v>38</v>
      </c>
      <c r="E2482" t="s">
        <v>31</v>
      </c>
      <c r="F2482" t="s">
        <v>22</v>
      </c>
      <c r="G2482" t="s">
        <v>23</v>
      </c>
      <c r="H2482" t="s">
        <v>24</v>
      </c>
      <c r="I2482">
        <v>8</v>
      </c>
      <c r="J2482" s="3">
        <v>271.57</v>
      </c>
      <c r="K2482" s="3">
        <v>2172.56</v>
      </c>
      <c r="L2482" t="s">
        <v>52</v>
      </c>
      <c r="M2482" s="2">
        <v>46126</v>
      </c>
      <c r="N2482" s="2">
        <v>46126</v>
      </c>
      <c r="O2482" t="s">
        <v>26</v>
      </c>
      <c r="P2482" t="s">
        <v>35</v>
      </c>
      <c r="Q2482" t="s">
        <v>28</v>
      </c>
      <c r="R2482" t="s">
        <v>29</v>
      </c>
    </row>
    <row r="2483" spans="1:18">
      <c r="A2483" t="s">
        <v>2616</v>
      </c>
      <c r="B2483" s="2">
        <v>45774</v>
      </c>
      <c r="C2483" t="s">
        <v>19</v>
      </c>
      <c r="D2483" t="s">
        <v>20</v>
      </c>
      <c r="E2483" t="s">
        <v>39</v>
      </c>
      <c r="F2483" t="s">
        <v>22</v>
      </c>
      <c r="G2483" t="s">
        <v>160</v>
      </c>
      <c r="H2483" t="s">
        <v>161</v>
      </c>
      <c r="I2483">
        <v>6</v>
      </c>
      <c r="J2483" s="3">
        <v>2815.65</v>
      </c>
      <c r="K2483" s="3">
        <v>16893.900000000001</v>
      </c>
      <c r="L2483" t="s">
        <v>25</v>
      </c>
      <c r="M2483" s="2">
        <v>45792</v>
      </c>
      <c r="N2483" s="2">
        <v>45791</v>
      </c>
      <c r="O2483" t="s">
        <v>43</v>
      </c>
      <c r="P2483" t="s">
        <v>64</v>
      </c>
      <c r="Q2483" t="s">
        <v>28</v>
      </c>
      <c r="R2483" t="s">
        <v>29</v>
      </c>
    </row>
    <row r="2484" spans="1:18">
      <c r="A2484" t="s">
        <v>2617</v>
      </c>
      <c r="B2484" s="2">
        <v>46016</v>
      </c>
      <c r="C2484" t="s">
        <v>142</v>
      </c>
      <c r="D2484" t="s">
        <v>143</v>
      </c>
      <c r="E2484" t="s">
        <v>73</v>
      </c>
      <c r="F2484" t="s">
        <v>22</v>
      </c>
      <c r="G2484" t="s">
        <v>160</v>
      </c>
      <c r="H2484" t="s">
        <v>161</v>
      </c>
      <c r="I2484">
        <v>15</v>
      </c>
      <c r="J2484" s="3">
        <v>3270.35</v>
      </c>
      <c r="K2484" s="3">
        <v>49055.25</v>
      </c>
      <c r="L2484" t="s">
        <v>25</v>
      </c>
      <c r="M2484" s="2">
        <v>46023</v>
      </c>
      <c r="N2484" s="2">
        <v>46023</v>
      </c>
      <c r="O2484" t="s">
        <v>60</v>
      </c>
      <c r="P2484" t="s">
        <v>77</v>
      </c>
      <c r="Q2484" t="s">
        <v>28</v>
      </c>
      <c r="R2484" t="s">
        <v>29</v>
      </c>
    </row>
    <row r="2485" spans="1:18">
      <c r="A2485" t="s">
        <v>2618</v>
      </c>
      <c r="B2485" s="2">
        <v>45955</v>
      </c>
      <c r="C2485" t="s">
        <v>104</v>
      </c>
      <c r="D2485" t="s">
        <v>105</v>
      </c>
      <c r="E2485" t="s">
        <v>112</v>
      </c>
      <c r="F2485" t="s">
        <v>49</v>
      </c>
      <c r="G2485" t="s">
        <v>50</v>
      </c>
      <c r="H2485" t="s">
        <v>51</v>
      </c>
      <c r="I2485">
        <v>1</v>
      </c>
      <c r="J2485" s="3">
        <v>51727.79</v>
      </c>
      <c r="K2485" s="3">
        <v>51727.79</v>
      </c>
      <c r="L2485" t="s">
        <v>25</v>
      </c>
      <c r="M2485" s="2">
        <v>45961</v>
      </c>
      <c r="N2485" s="2">
        <v>45961</v>
      </c>
      <c r="O2485" t="s">
        <v>43</v>
      </c>
      <c r="P2485" t="s">
        <v>115</v>
      </c>
      <c r="Q2485" t="s">
        <v>28</v>
      </c>
      <c r="R2485" t="s">
        <v>29</v>
      </c>
    </row>
    <row r="2486" spans="1:18">
      <c r="A2486" t="s">
        <v>2619</v>
      </c>
      <c r="B2486" s="2">
        <v>45665</v>
      </c>
      <c r="C2486" t="s">
        <v>142</v>
      </c>
      <c r="D2486" t="s">
        <v>143</v>
      </c>
      <c r="E2486" t="s">
        <v>39</v>
      </c>
      <c r="F2486" t="s">
        <v>22</v>
      </c>
      <c r="G2486" t="s">
        <v>32</v>
      </c>
      <c r="H2486" t="s">
        <v>33</v>
      </c>
      <c r="I2486">
        <v>3</v>
      </c>
      <c r="J2486" s="3">
        <v>7668.13</v>
      </c>
      <c r="K2486" s="3">
        <v>23004.39</v>
      </c>
      <c r="L2486" t="s">
        <v>25</v>
      </c>
      <c r="M2486" s="2">
        <v>45676</v>
      </c>
      <c r="N2486" s="2">
        <v>45676</v>
      </c>
      <c r="O2486" t="s">
        <v>43</v>
      </c>
      <c r="P2486" t="s">
        <v>44</v>
      </c>
      <c r="Q2486" t="s">
        <v>28</v>
      </c>
      <c r="R2486" t="s">
        <v>29</v>
      </c>
    </row>
    <row r="2487" spans="1:18">
      <c r="A2487" t="s">
        <v>2620</v>
      </c>
      <c r="B2487" s="2">
        <v>45743</v>
      </c>
      <c r="C2487" t="s">
        <v>46</v>
      </c>
      <c r="D2487" t="s">
        <v>47</v>
      </c>
      <c r="E2487" t="s">
        <v>48</v>
      </c>
      <c r="F2487" t="s">
        <v>49</v>
      </c>
      <c r="G2487" t="s">
        <v>50</v>
      </c>
      <c r="H2487" t="s">
        <v>51</v>
      </c>
      <c r="I2487">
        <v>1</v>
      </c>
      <c r="J2487" s="3">
        <v>53030.07</v>
      </c>
      <c r="K2487" s="3">
        <v>53030.07</v>
      </c>
      <c r="L2487" t="s">
        <v>34</v>
      </c>
      <c r="M2487" s="2">
        <v>45753</v>
      </c>
      <c r="N2487" s="2">
        <v>45753</v>
      </c>
      <c r="O2487" t="s">
        <v>76</v>
      </c>
      <c r="P2487" t="s">
        <v>53</v>
      </c>
      <c r="Q2487" t="s">
        <v>28</v>
      </c>
      <c r="R2487" t="s">
        <v>29</v>
      </c>
    </row>
    <row r="2488" spans="1:18">
      <c r="A2488" t="s">
        <v>2621</v>
      </c>
      <c r="B2488" s="2">
        <v>45720</v>
      </c>
      <c r="C2488" t="s">
        <v>37</v>
      </c>
      <c r="D2488" t="s">
        <v>38</v>
      </c>
      <c r="E2488" t="s">
        <v>39</v>
      </c>
      <c r="F2488" t="s">
        <v>40</v>
      </c>
      <c r="G2488" t="s">
        <v>136</v>
      </c>
      <c r="H2488" t="s">
        <v>137</v>
      </c>
      <c r="I2488">
        <v>25</v>
      </c>
      <c r="J2488" s="3">
        <v>1736.11</v>
      </c>
      <c r="K2488" s="3">
        <v>43402.75</v>
      </c>
      <c r="L2488" t="s">
        <v>52</v>
      </c>
      <c r="M2488" s="2">
        <v>45727</v>
      </c>
      <c r="N2488" s="2">
        <v>45724</v>
      </c>
      <c r="O2488" t="s">
        <v>60</v>
      </c>
      <c r="P2488" t="s">
        <v>64</v>
      </c>
      <c r="Q2488" t="s">
        <v>28</v>
      </c>
      <c r="R2488" t="s">
        <v>29</v>
      </c>
    </row>
    <row r="2489" spans="1:18">
      <c r="A2489" t="s">
        <v>2622</v>
      </c>
      <c r="B2489" s="2">
        <v>46174</v>
      </c>
      <c r="C2489" t="s">
        <v>46</v>
      </c>
      <c r="D2489" t="s">
        <v>47</v>
      </c>
      <c r="E2489" t="s">
        <v>73</v>
      </c>
      <c r="F2489" t="s">
        <v>49</v>
      </c>
      <c r="G2489" t="s">
        <v>113</v>
      </c>
      <c r="H2489" t="s">
        <v>114</v>
      </c>
      <c r="I2489">
        <v>1</v>
      </c>
      <c r="J2489" s="3">
        <v>40695.769999999997</v>
      </c>
      <c r="K2489" s="3">
        <v>40695.769999999997</v>
      </c>
      <c r="L2489" t="s">
        <v>25</v>
      </c>
      <c r="M2489" s="2">
        <v>46179</v>
      </c>
      <c r="N2489" s="2">
        <v>46176</v>
      </c>
      <c r="O2489" t="s">
        <v>76</v>
      </c>
      <c r="P2489" t="s">
        <v>77</v>
      </c>
      <c r="Q2489" t="s">
        <v>28</v>
      </c>
      <c r="R2489" t="s">
        <v>29</v>
      </c>
    </row>
    <row r="2490" spans="1:18">
      <c r="A2490" t="s">
        <v>2623</v>
      </c>
      <c r="B2490" s="2">
        <v>45895</v>
      </c>
      <c r="C2490" t="s">
        <v>71</v>
      </c>
      <c r="D2490" t="s">
        <v>72</v>
      </c>
      <c r="E2490" t="s">
        <v>48</v>
      </c>
      <c r="F2490" t="s">
        <v>57</v>
      </c>
      <c r="G2490" t="s">
        <v>101</v>
      </c>
      <c r="H2490" t="s">
        <v>102</v>
      </c>
      <c r="I2490">
        <v>15</v>
      </c>
      <c r="J2490" s="3">
        <v>1640.92</v>
      </c>
      <c r="K2490" s="3">
        <v>24613.8</v>
      </c>
      <c r="L2490" t="s">
        <v>25</v>
      </c>
      <c r="M2490" s="2">
        <v>45907</v>
      </c>
      <c r="N2490" s="2">
        <v>45904</v>
      </c>
      <c r="O2490" t="s">
        <v>26</v>
      </c>
      <c r="P2490" t="s">
        <v>53</v>
      </c>
      <c r="Q2490" t="s">
        <v>28</v>
      </c>
      <c r="R2490" t="s">
        <v>29</v>
      </c>
    </row>
    <row r="2491" spans="1:18">
      <c r="A2491" t="s">
        <v>2624</v>
      </c>
      <c r="B2491" s="2">
        <v>45684</v>
      </c>
      <c r="C2491" t="s">
        <v>117</v>
      </c>
      <c r="D2491" t="s">
        <v>118</v>
      </c>
      <c r="E2491" t="s">
        <v>48</v>
      </c>
      <c r="F2491" t="s">
        <v>57</v>
      </c>
      <c r="G2491" t="s">
        <v>86</v>
      </c>
      <c r="H2491" t="s">
        <v>87</v>
      </c>
      <c r="I2491">
        <v>3</v>
      </c>
      <c r="J2491" s="3">
        <v>10643.59</v>
      </c>
      <c r="K2491" s="3">
        <v>31930.77</v>
      </c>
      <c r="L2491" t="s">
        <v>25</v>
      </c>
      <c r="M2491" s="2">
        <v>45690</v>
      </c>
      <c r="N2491" s="2">
        <v>45688</v>
      </c>
      <c r="O2491" t="s">
        <v>26</v>
      </c>
      <c r="P2491" t="s">
        <v>53</v>
      </c>
      <c r="Q2491" t="s">
        <v>28</v>
      </c>
      <c r="R2491" t="s">
        <v>29</v>
      </c>
    </row>
    <row r="2492" spans="1:18">
      <c r="A2492" t="s">
        <v>2625</v>
      </c>
      <c r="B2492" s="2">
        <v>45689</v>
      </c>
      <c r="C2492" t="s">
        <v>89</v>
      </c>
      <c r="D2492" t="s">
        <v>90</v>
      </c>
      <c r="E2492" t="s">
        <v>31</v>
      </c>
      <c r="F2492" t="s">
        <v>91</v>
      </c>
      <c r="G2492" t="s">
        <v>109</v>
      </c>
      <c r="H2492" t="s">
        <v>110</v>
      </c>
      <c r="I2492">
        <v>2</v>
      </c>
      <c r="J2492" s="3">
        <v>12340.7</v>
      </c>
      <c r="K2492" s="3">
        <v>24681.4</v>
      </c>
      <c r="L2492" t="s">
        <v>25</v>
      </c>
      <c r="M2492" s="2">
        <v>45699</v>
      </c>
      <c r="N2492" s="2">
        <v>45711</v>
      </c>
      <c r="O2492" t="s">
        <v>76</v>
      </c>
      <c r="P2492" t="s">
        <v>35</v>
      </c>
      <c r="Q2492" t="s">
        <v>28</v>
      </c>
      <c r="R2492" t="s">
        <v>129</v>
      </c>
    </row>
    <row r="2493" spans="1:18">
      <c r="A2493" t="s">
        <v>2626</v>
      </c>
      <c r="B2493" s="2">
        <v>45737</v>
      </c>
      <c r="C2493" t="s">
        <v>55</v>
      </c>
      <c r="D2493" t="s">
        <v>56</v>
      </c>
      <c r="E2493" t="s">
        <v>73</v>
      </c>
      <c r="F2493" t="s">
        <v>57</v>
      </c>
      <c r="G2493" t="s">
        <v>74</v>
      </c>
      <c r="H2493" t="s">
        <v>75</v>
      </c>
      <c r="I2493">
        <v>13</v>
      </c>
      <c r="J2493" s="3">
        <v>9531.7199999999993</v>
      </c>
      <c r="K2493" s="3">
        <v>123912.36</v>
      </c>
      <c r="L2493" t="s">
        <v>52</v>
      </c>
      <c r="M2493" s="2">
        <v>45755</v>
      </c>
      <c r="N2493" s="2">
        <v>45752</v>
      </c>
      <c r="O2493" t="s">
        <v>60</v>
      </c>
      <c r="P2493" t="s">
        <v>77</v>
      </c>
      <c r="Q2493" t="s">
        <v>28</v>
      </c>
      <c r="R2493" t="s">
        <v>29</v>
      </c>
    </row>
    <row r="2494" spans="1:18">
      <c r="A2494" t="s">
        <v>2627</v>
      </c>
      <c r="B2494" s="2">
        <v>45749</v>
      </c>
      <c r="C2494" t="s">
        <v>134</v>
      </c>
      <c r="D2494" t="s">
        <v>135</v>
      </c>
      <c r="E2494" t="s">
        <v>112</v>
      </c>
      <c r="F2494" t="s">
        <v>40</v>
      </c>
      <c r="G2494" t="s">
        <v>41</v>
      </c>
      <c r="H2494" t="s">
        <v>42</v>
      </c>
      <c r="I2494">
        <v>1</v>
      </c>
      <c r="J2494" s="3">
        <v>5504.88</v>
      </c>
      <c r="K2494" s="3">
        <v>5504.88</v>
      </c>
      <c r="L2494" t="s">
        <v>52</v>
      </c>
      <c r="M2494" s="2">
        <v>45758</v>
      </c>
      <c r="N2494" s="2">
        <v>45758</v>
      </c>
      <c r="O2494" t="s">
        <v>43</v>
      </c>
      <c r="P2494" t="s">
        <v>115</v>
      </c>
      <c r="Q2494" t="s">
        <v>28</v>
      </c>
      <c r="R2494" t="s">
        <v>29</v>
      </c>
    </row>
    <row r="2495" spans="1:18">
      <c r="A2495" t="s">
        <v>2628</v>
      </c>
      <c r="B2495" s="2">
        <v>45785</v>
      </c>
      <c r="C2495" t="s">
        <v>46</v>
      </c>
      <c r="D2495" t="s">
        <v>47</v>
      </c>
      <c r="E2495" t="s">
        <v>48</v>
      </c>
      <c r="F2495" t="s">
        <v>49</v>
      </c>
      <c r="G2495" t="s">
        <v>165</v>
      </c>
      <c r="H2495" t="s">
        <v>166</v>
      </c>
      <c r="I2495">
        <v>2</v>
      </c>
      <c r="J2495" s="3">
        <v>47937.85</v>
      </c>
      <c r="K2495" s="3">
        <v>95875.7</v>
      </c>
      <c r="L2495" t="s">
        <v>34</v>
      </c>
      <c r="M2495" s="2">
        <v>45797</v>
      </c>
      <c r="N2495" s="2">
        <v>45797</v>
      </c>
      <c r="O2495" t="s">
        <v>76</v>
      </c>
      <c r="P2495" t="s">
        <v>53</v>
      </c>
      <c r="Q2495" t="s">
        <v>28</v>
      </c>
      <c r="R2495" t="s">
        <v>29</v>
      </c>
    </row>
    <row r="2496" spans="1:18">
      <c r="A2496" t="s">
        <v>2629</v>
      </c>
      <c r="B2496" s="2">
        <v>45932</v>
      </c>
      <c r="C2496" t="s">
        <v>117</v>
      </c>
      <c r="D2496" t="s">
        <v>118</v>
      </c>
      <c r="E2496" t="s">
        <v>48</v>
      </c>
      <c r="F2496" t="s">
        <v>57</v>
      </c>
      <c r="G2496" t="s">
        <v>74</v>
      </c>
      <c r="H2496" t="s">
        <v>75</v>
      </c>
      <c r="I2496">
        <v>2</v>
      </c>
      <c r="J2496" s="3">
        <v>8493.44</v>
      </c>
      <c r="K2496" s="3">
        <v>16986.88</v>
      </c>
      <c r="L2496" t="s">
        <v>25</v>
      </c>
      <c r="M2496" s="2">
        <v>45944</v>
      </c>
      <c r="N2496" s="2">
        <v>45942</v>
      </c>
      <c r="O2496" t="s">
        <v>60</v>
      </c>
      <c r="P2496" t="s">
        <v>53</v>
      </c>
      <c r="Q2496" t="s">
        <v>28</v>
      </c>
      <c r="R2496" t="s">
        <v>29</v>
      </c>
    </row>
    <row r="2497" spans="1:18">
      <c r="A2497" t="s">
        <v>2630</v>
      </c>
      <c r="B2497" s="2">
        <v>45699</v>
      </c>
      <c r="C2497" t="s">
        <v>142</v>
      </c>
      <c r="D2497" t="s">
        <v>143</v>
      </c>
      <c r="E2497" t="s">
        <v>39</v>
      </c>
      <c r="F2497" t="s">
        <v>22</v>
      </c>
      <c r="G2497" t="s">
        <v>32</v>
      </c>
      <c r="H2497" t="s">
        <v>33</v>
      </c>
      <c r="I2497">
        <v>6</v>
      </c>
      <c r="J2497" s="3">
        <v>7982.19</v>
      </c>
      <c r="K2497" s="3">
        <v>47893.14</v>
      </c>
      <c r="L2497" t="s">
        <v>25</v>
      </c>
      <c r="M2497" s="2">
        <v>45707</v>
      </c>
      <c r="N2497" s="2">
        <v>45706</v>
      </c>
      <c r="O2497" t="s">
        <v>26</v>
      </c>
      <c r="P2497" t="s">
        <v>44</v>
      </c>
      <c r="Q2497" t="s">
        <v>28</v>
      </c>
      <c r="R2497" t="s">
        <v>29</v>
      </c>
    </row>
    <row r="2498" spans="1:18">
      <c r="A2498" t="s">
        <v>2631</v>
      </c>
      <c r="B2498" s="2">
        <v>45718</v>
      </c>
      <c r="C2498" t="s">
        <v>71</v>
      </c>
      <c r="D2498" t="s">
        <v>72</v>
      </c>
      <c r="E2498" t="s">
        <v>21</v>
      </c>
      <c r="F2498" t="s">
        <v>57</v>
      </c>
      <c r="G2498" t="s">
        <v>120</v>
      </c>
      <c r="H2498" t="s">
        <v>121</v>
      </c>
      <c r="I2498">
        <v>8</v>
      </c>
      <c r="J2498" s="3">
        <v>20636.560000000001</v>
      </c>
      <c r="K2498" s="3">
        <v>165092.48000000001</v>
      </c>
      <c r="L2498" t="s">
        <v>25</v>
      </c>
      <c r="M2498" s="2">
        <v>45735</v>
      </c>
      <c r="N2498" s="2">
        <v>45748</v>
      </c>
      <c r="O2498" t="s">
        <v>26</v>
      </c>
      <c r="P2498" t="s">
        <v>27</v>
      </c>
      <c r="Q2498" t="s">
        <v>28</v>
      </c>
      <c r="R2498" t="s">
        <v>129</v>
      </c>
    </row>
    <row r="2499" spans="1:18">
      <c r="A2499" t="s">
        <v>2632</v>
      </c>
      <c r="B2499" s="2">
        <v>45833</v>
      </c>
      <c r="C2499" t="s">
        <v>19</v>
      </c>
      <c r="D2499" t="s">
        <v>20</v>
      </c>
      <c r="E2499" t="s">
        <v>112</v>
      </c>
      <c r="F2499" t="s">
        <v>22</v>
      </c>
      <c r="G2499" t="s">
        <v>23</v>
      </c>
      <c r="H2499" t="s">
        <v>24</v>
      </c>
      <c r="I2499">
        <v>35</v>
      </c>
      <c r="J2499" s="3">
        <v>239.24</v>
      </c>
      <c r="K2499" s="3">
        <v>8373.4</v>
      </c>
      <c r="L2499" t="s">
        <v>34</v>
      </c>
      <c r="M2499" s="2">
        <v>45848</v>
      </c>
      <c r="N2499" s="2">
        <v>45847</v>
      </c>
      <c r="O2499" t="s">
        <v>76</v>
      </c>
      <c r="P2499" t="s">
        <v>115</v>
      </c>
      <c r="Q2499" t="s">
        <v>28</v>
      </c>
      <c r="R2499" t="s">
        <v>29</v>
      </c>
    </row>
    <row r="2500" spans="1:18">
      <c r="A2500" t="s">
        <v>2633</v>
      </c>
      <c r="B2500" s="2">
        <v>45906</v>
      </c>
      <c r="C2500" t="s">
        <v>46</v>
      </c>
      <c r="D2500" t="s">
        <v>47</v>
      </c>
      <c r="E2500" t="s">
        <v>73</v>
      </c>
      <c r="F2500" t="s">
        <v>49</v>
      </c>
      <c r="G2500" t="s">
        <v>50</v>
      </c>
      <c r="H2500" t="s">
        <v>51</v>
      </c>
      <c r="I2500">
        <v>1</v>
      </c>
      <c r="J2500" s="3">
        <v>56883.39</v>
      </c>
      <c r="K2500" s="3">
        <v>56883.39</v>
      </c>
      <c r="L2500" t="s">
        <v>25</v>
      </c>
      <c r="M2500" s="2">
        <v>45923</v>
      </c>
      <c r="N2500" s="2">
        <v>45921</v>
      </c>
      <c r="O2500" t="s">
        <v>60</v>
      </c>
      <c r="P2500" t="s">
        <v>77</v>
      </c>
      <c r="Q2500" t="s">
        <v>28</v>
      </c>
      <c r="R2500" t="s">
        <v>29</v>
      </c>
    </row>
    <row r="2501" spans="1:18">
      <c r="A2501" t="s">
        <v>2634</v>
      </c>
      <c r="B2501" s="2">
        <v>45896</v>
      </c>
      <c r="C2501" t="s">
        <v>46</v>
      </c>
      <c r="D2501" t="s">
        <v>47</v>
      </c>
      <c r="E2501" t="s">
        <v>48</v>
      </c>
      <c r="F2501" t="s">
        <v>49</v>
      </c>
      <c r="G2501" t="s">
        <v>50</v>
      </c>
      <c r="H2501" t="s">
        <v>51</v>
      </c>
      <c r="I2501">
        <v>3</v>
      </c>
      <c r="J2501" s="3">
        <v>55905.62</v>
      </c>
      <c r="K2501" s="3">
        <v>167716.85999999999</v>
      </c>
      <c r="L2501" t="s">
        <v>25</v>
      </c>
      <c r="M2501" s="2">
        <v>45912</v>
      </c>
      <c r="N2501" s="2">
        <v>45909</v>
      </c>
      <c r="O2501" t="s">
        <v>26</v>
      </c>
      <c r="P2501" t="s">
        <v>53</v>
      </c>
      <c r="Q2501" t="s">
        <v>28</v>
      </c>
      <c r="R2501" t="s">
        <v>29</v>
      </c>
    </row>
    <row r="2502" spans="1:18">
      <c r="A2502" t="s">
        <v>2635</v>
      </c>
      <c r="B2502" s="2">
        <v>45912</v>
      </c>
      <c r="C2502" t="s">
        <v>37</v>
      </c>
      <c r="D2502" t="s">
        <v>38</v>
      </c>
      <c r="E2502" t="s">
        <v>112</v>
      </c>
      <c r="F2502" t="s">
        <v>22</v>
      </c>
      <c r="G2502" t="s">
        <v>23</v>
      </c>
      <c r="H2502" t="s">
        <v>24</v>
      </c>
      <c r="I2502">
        <v>29</v>
      </c>
      <c r="J2502" s="3">
        <v>289.14999999999998</v>
      </c>
      <c r="K2502" s="3">
        <v>8385.35</v>
      </c>
      <c r="L2502" t="s">
        <v>25</v>
      </c>
      <c r="M2502" s="2">
        <v>45927</v>
      </c>
      <c r="N2502" s="2">
        <v>45927</v>
      </c>
      <c r="O2502" t="s">
        <v>26</v>
      </c>
      <c r="P2502" t="s">
        <v>115</v>
      </c>
      <c r="Q2502" t="s">
        <v>28</v>
      </c>
      <c r="R2502" t="s">
        <v>29</v>
      </c>
    </row>
    <row r="2503" spans="1:18">
      <c r="A2503" t="s">
        <v>2636</v>
      </c>
      <c r="B2503" s="2">
        <v>45934</v>
      </c>
      <c r="C2503" t="s">
        <v>96</v>
      </c>
      <c r="D2503" t="s">
        <v>97</v>
      </c>
      <c r="E2503" t="s">
        <v>39</v>
      </c>
      <c r="F2503" t="s">
        <v>82</v>
      </c>
      <c r="G2503" t="s">
        <v>83</v>
      </c>
      <c r="H2503" t="s">
        <v>84</v>
      </c>
      <c r="I2503">
        <v>17</v>
      </c>
      <c r="J2503" s="3">
        <v>724.18</v>
      </c>
      <c r="K2503" s="3">
        <v>12311.06</v>
      </c>
      <c r="L2503" t="s">
        <v>25</v>
      </c>
      <c r="M2503" s="2">
        <v>45943</v>
      </c>
      <c r="N2503" s="2">
        <v>45941</v>
      </c>
      <c r="O2503" t="s">
        <v>60</v>
      </c>
      <c r="P2503" t="s">
        <v>64</v>
      </c>
      <c r="Q2503" t="s">
        <v>28</v>
      </c>
      <c r="R2503" t="s">
        <v>29</v>
      </c>
    </row>
    <row r="2504" spans="1:18">
      <c r="A2504" t="s">
        <v>2637</v>
      </c>
      <c r="B2504" s="2">
        <v>46068</v>
      </c>
      <c r="C2504" t="s">
        <v>104</v>
      </c>
      <c r="D2504" t="s">
        <v>105</v>
      </c>
      <c r="E2504" t="s">
        <v>112</v>
      </c>
      <c r="F2504" t="s">
        <v>49</v>
      </c>
      <c r="G2504" t="s">
        <v>68</v>
      </c>
      <c r="H2504" t="s">
        <v>69</v>
      </c>
      <c r="I2504">
        <v>1</v>
      </c>
      <c r="J2504" s="3">
        <v>47018.080000000002</v>
      </c>
      <c r="K2504" s="3">
        <v>47018.080000000002</v>
      </c>
      <c r="L2504" t="s">
        <v>25</v>
      </c>
      <c r="M2504" s="2">
        <v>46080</v>
      </c>
      <c r="N2504" s="2">
        <v>46086</v>
      </c>
      <c r="O2504" t="s">
        <v>76</v>
      </c>
      <c r="P2504" t="s">
        <v>115</v>
      </c>
      <c r="Q2504" t="s">
        <v>28</v>
      </c>
      <c r="R2504" t="s">
        <v>129</v>
      </c>
    </row>
    <row r="2505" spans="1:18">
      <c r="A2505" t="s">
        <v>2638</v>
      </c>
      <c r="B2505" s="2">
        <v>45971</v>
      </c>
      <c r="C2505" t="s">
        <v>142</v>
      </c>
      <c r="D2505" t="s">
        <v>143</v>
      </c>
      <c r="E2505" t="s">
        <v>112</v>
      </c>
      <c r="F2505" t="s">
        <v>22</v>
      </c>
      <c r="G2505" t="s">
        <v>23</v>
      </c>
      <c r="H2505" t="s">
        <v>24</v>
      </c>
      <c r="I2505">
        <v>21</v>
      </c>
      <c r="J2505" s="3">
        <v>260.23</v>
      </c>
      <c r="K2505" s="3">
        <v>5464.83</v>
      </c>
      <c r="L2505" t="s">
        <v>25</v>
      </c>
      <c r="M2505" s="2">
        <v>45985</v>
      </c>
      <c r="N2505" s="2">
        <v>45983</v>
      </c>
      <c r="O2505" t="s">
        <v>76</v>
      </c>
      <c r="P2505" t="s">
        <v>115</v>
      </c>
      <c r="Q2505" t="s">
        <v>28</v>
      </c>
      <c r="R2505" t="s">
        <v>29</v>
      </c>
    </row>
    <row r="2506" spans="1:18">
      <c r="A2506" t="s">
        <v>2639</v>
      </c>
      <c r="B2506" s="2">
        <v>45740</v>
      </c>
      <c r="C2506" t="s">
        <v>131</v>
      </c>
      <c r="D2506" t="s">
        <v>132</v>
      </c>
      <c r="E2506" t="s">
        <v>31</v>
      </c>
      <c r="F2506" t="s">
        <v>57</v>
      </c>
      <c r="G2506" t="s">
        <v>86</v>
      </c>
      <c r="H2506" t="s">
        <v>87</v>
      </c>
      <c r="I2506">
        <v>7</v>
      </c>
      <c r="J2506" s="3">
        <v>11756.95</v>
      </c>
      <c r="K2506" s="3">
        <v>82298.649999999994</v>
      </c>
      <c r="L2506" t="s">
        <v>25</v>
      </c>
      <c r="M2506" s="2">
        <v>45748</v>
      </c>
      <c r="N2506" s="2">
        <v>45746</v>
      </c>
      <c r="O2506" t="s">
        <v>43</v>
      </c>
      <c r="P2506" t="s">
        <v>94</v>
      </c>
      <c r="Q2506" t="s">
        <v>28</v>
      </c>
      <c r="R2506" t="s">
        <v>29</v>
      </c>
    </row>
    <row r="2507" spans="1:18">
      <c r="A2507" t="s">
        <v>2640</v>
      </c>
      <c r="B2507" s="2">
        <v>46075</v>
      </c>
      <c r="C2507" t="s">
        <v>37</v>
      </c>
      <c r="D2507" t="s">
        <v>38</v>
      </c>
      <c r="E2507" t="s">
        <v>31</v>
      </c>
      <c r="F2507" t="s">
        <v>22</v>
      </c>
      <c r="G2507" t="s">
        <v>23</v>
      </c>
      <c r="H2507" t="s">
        <v>24</v>
      </c>
      <c r="I2507">
        <v>23</v>
      </c>
      <c r="J2507" s="3">
        <v>267.25</v>
      </c>
      <c r="K2507" s="3">
        <v>6146.75</v>
      </c>
      <c r="L2507" t="s">
        <v>25</v>
      </c>
      <c r="M2507" s="2">
        <v>46082</v>
      </c>
      <c r="N2507" s="2">
        <v>46079</v>
      </c>
      <c r="O2507" t="s">
        <v>60</v>
      </c>
      <c r="P2507" t="s">
        <v>94</v>
      </c>
      <c r="Q2507" t="s">
        <v>28</v>
      </c>
      <c r="R2507" t="s">
        <v>29</v>
      </c>
    </row>
    <row r="2508" spans="1:18">
      <c r="A2508" t="s">
        <v>2641</v>
      </c>
      <c r="B2508" s="2">
        <v>45988</v>
      </c>
      <c r="C2508" t="s">
        <v>104</v>
      </c>
      <c r="D2508" t="s">
        <v>105</v>
      </c>
      <c r="E2508" t="s">
        <v>112</v>
      </c>
      <c r="F2508" t="s">
        <v>49</v>
      </c>
      <c r="G2508" t="s">
        <v>68</v>
      </c>
      <c r="H2508" t="s">
        <v>69</v>
      </c>
      <c r="I2508">
        <v>1</v>
      </c>
      <c r="J2508" s="3">
        <v>48867.040000000001</v>
      </c>
      <c r="K2508" s="3">
        <v>48867.040000000001</v>
      </c>
      <c r="L2508" t="s">
        <v>25</v>
      </c>
      <c r="M2508" s="2">
        <v>45998</v>
      </c>
      <c r="N2508" s="2">
        <v>45998</v>
      </c>
      <c r="O2508" t="s">
        <v>76</v>
      </c>
      <c r="P2508" t="s">
        <v>115</v>
      </c>
      <c r="Q2508" t="s">
        <v>28</v>
      </c>
      <c r="R2508" t="s">
        <v>29</v>
      </c>
    </row>
    <row r="2509" spans="1:18">
      <c r="A2509" t="s">
        <v>2642</v>
      </c>
      <c r="B2509" s="2">
        <v>45925</v>
      </c>
      <c r="C2509" t="s">
        <v>142</v>
      </c>
      <c r="D2509" t="s">
        <v>143</v>
      </c>
      <c r="E2509" t="s">
        <v>112</v>
      </c>
      <c r="F2509" t="s">
        <v>22</v>
      </c>
      <c r="G2509" t="s">
        <v>32</v>
      </c>
      <c r="H2509" t="s">
        <v>33</v>
      </c>
      <c r="I2509">
        <v>15</v>
      </c>
      <c r="J2509" s="3">
        <v>8144.11</v>
      </c>
      <c r="K2509" s="3">
        <v>122161.65</v>
      </c>
      <c r="L2509" t="s">
        <v>25</v>
      </c>
      <c r="M2509" s="2">
        <v>45939</v>
      </c>
      <c r="N2509" s="2">
        <v>45938</v>
      </c>
      <c r="O2509" t="s">
        <v>60</v>
      </c>
      <c r="P2509" t="s">
        <v>115</v>
      </c>
      <c r="Q2509" t="s">
        <v>28</v>
      </c>
      <c r="R2509" t="s">
        <v>29</v>
      </c>
    </row>
    <row r="2510" spans="1:18">
      <c r="A2510" t="s">
        <v>2643</v>
      </c>
      <c r="B2510" s="2">
        <v>45924</v>
      </c>
      <c r="C2510" t="s">
        <v>19</v>
      </c>
      <c r="D2510" t="s">
        <v>20</v>
      </c>
      <c r="E2510" t="s">
        <v>39</v>
      </c>
      <c r="F2510" t="s">
        <v>22</v>
      </c>
      <c r="G2510" t="s">
        <v>23</v>
      </c>
      <c r="H2510" t="s">
        <v>24</v>
      </c>
      <c r="I2510">
        <v>21</v>
      </c>
      <c r="J2510" s="3">
        <v>220.62</v>
      </c>
      <c r="K2510" s="3">
        <v>4633.0200000000004</v>
      </c>
      <c r="L2510" t="s">
        <v>34</v>
      </c>
      <c r="M2510" s="2">
        <v>45935</v>
      </c>
      <c r="N2510" s="2">
        <v>45934</v>
      </c>
      <c r="O2510" t="s">
        <v>60</v>
      </c>
      <c r="P2510" t="s">
        <v>64</v>
      </c>
      <c r="Q2510" t="s">
        <v>28</v>
      </c>
      <c r="R2510" t="s">
        <v>29</v>
      </c>
    </row>
    <row r="2511" spans="1:18">
      <c r="A2511" t="s">
        <v>2644</v>
      </c>
      <c r="B2511" s="2">
        <v>45973</v>
      </c>
      <c r="C2511" t="s">
        <v>80</v>
      </c>
      <c r="D2511" t="s">
        <v>81</v>
      </c>
      <c r="E2511" t="s">
        <v>39</v>
      </c>
      <c r="F2511" t="s">
        <v>82</v>
      </c>
      <c r="G2511" t="s">
        <v>83</v>
      </c>
      <c r="H2511" t="s">
        <v>84</v>
      </c>
      <c r="I2511">
        <v>5</v>
      </c>
      <c r="J2511" s="3">
        <v>695.54</v>
      </c>
      <c r="K2511" s="3">
        <v>3477.7</v>
      </c>
      <c r="L2511" t="s">
        <v>25</v>
      </c>
      <c r="M2511" s="2">
        <v>45984</v>
      </c>
      <c r="N2511" s="2">
        <v>45981</v>
      </c>
      <c r="O2511" t="s">
        <v>43</v>
      </c>
      <c r="P2511" t="s">
        <v>44</v>
      </c>
      <c r="Q2511" t="s">
        <v>28</v>
      </c>
      <c r="R2511" t="s">
        <v>29</v>
      </c>
    </row>
    <row r="2512" spans="1:18">
      <c r="A2512" t="s">
        <v>2645</v>
      </c>
      <c r="B2512" s="2">
        <v>46081</v>
      </c>
      <c r="C2512" t="s">
        <v>66</v>
      </c>
      <c r="D2512" t="s">
        <v>67</v>
      </c>
      <c r="E2512" t="s">
        <v>73</v>
      </c>
      <c r="F2512" t="s">
        <v>49</v>
      </c>
      <c r="G2512" t="s">
        <v>113</v>
      </c>
      <c r="H2512" t="s">
        <v>114</v>
      </c>
      <c r="I2512">
        <v>1</v>
      </c>
      <c r="J2512" s="3">
        <v>35873.370000000003</v>
      </c>
      <c r="K2512" s="3">
        <v>35873.370000000003</v>
      </c>
      <c r="L2512" t="s">
        <v>25</v>
      </c>
      <c r="M2512" s="2">
        <v>46094</v>
      </c>
      <c r="N2512" s="2">
        <v>46094</v>
      </c>
      <c r="O2512" t="s">
        <v>43</v>
      </c>
      <c r="P2512" t="s">
        <v>77</v>
      </c>
      <c r="Q2512" t="s">
        <v>28</v>
      </c>
      <c r="R2512" t="s">
        <v>29</v>
      </c>
    </row>
    <row r="2513" spans="1:18">
      <c r="A2513" t="s">
        <v>2646</v>
      </c>
      <c r="B2513" s="2">
        <v>45930</v>
      </c>
      <c r="C2513" t="s">
        <v>142</v>
      </c>
      <c r="D2513" t="s">
        <v>143</v>
      </c>
      <c r="E2513" t="s">
        <v>21</v>
      </c>
      <c r="F2513" t="s">
        <v>22</v>
      </c>
      <c r="G2513" t="s">
        <v>23</v>
      </c>
      <c r="H2513" t="s">
        <v>24</v>
      </c>
      <c r="I2513">
        <v>5</v>
      </c>
      <c r="J2513" s="3">
        <v>238.83</v>
      </c>
      <c r="K2513" s="3">
        <v>1194.1500000000001</v>
      </c>
      <c r="L2513" t="s">
        <v>25</v>
      </c>
      <c r="M2513" s="2">
        <v>45937</v>
      </c>
      <c r="N2513" s="2">
        <v>45936</v>
      </c>
      <c r="O2513" t="s">
        <v>43</v>
      </c>
      <c r="P2513" t="s">
        <v>27</v>
      </c>
      <c r="Q2513" t="s">
        <v>28</v>
      </c>
      <c r="R2513" t="s">
        <v>29</v>
      </c>
    </row>
    <row r="2514" spans="1:18">
      <c r="A2514" t="s">
        <v>2647</v>
      </c>
      <c r="B2514" s="2">
        <v>46150</v>
      </c>
      <c r="C2514" t="s">
        <v>66</v>
      </c>
      <c r="D2514" t="s">
        <v>67</v>
      </c>
      <c r="E2514" t="s">
        <v>112</v>
      </c>
      <c r="F2514" t="s">
        <v>49</v>
      </c>
      <c r="G2514" t="s">
        <v>68</v>
      </c>
      <c r="H2514" t="s">
        <v>69</v>
      </c>
      <c r="I2514">
        <v>3</v>
      </c>
      <c r="J2514" s="3">
        <v>48729.77</v>
      </c>
      <c r="K2514" s="3">
        <v>146189.31</v>
      </c>
      <c r="L2514" t="s">
        <v>52</v>
      </c>
      <c r="M2514" s="2">
        <v>46158</v>
      </c>
      <c r="N2514" s="2">
        <v>46158</v>
      </c>
      <c r="O2514" t="s">
        <v>43</v>
      </c>
      <c r="P2514" t="s">
        <v>115</v>
      </c>
      <c r="Q2514" t="s">
        <v>28</v>
      </c>
      <c r="R2514" t="s">
        <v>29</v>
      </c>
    </row>
    <row r="2515" spans="1:18">
      <c r="A2515" t="s">
        <v>2648</v>
      </c>
      <c r="B2515" s="2">
        <v>45739</v>
      </c>
      <c r="C2515" t="s">
        <v>104</v>
      </c>
      <c r="D2515" t="s">
        <v>105</v>
      </c>
      <c r="E2515" t="s">
        <v>48</v>
      </c>
      <c r="F2515" t="s">
        <v>49</v>
      </c>
      <c r="G2515" t="s">
        <v>50</v>
      </c>
      <c r="H2515" t="s">
        <v>51</v>
      </c>
      <c r="I2515">
        <v>3</v>
      </c>
      <c r="J2515" s="3">
        <v>53900.19</v>
      </c>
      <c r="K2515" s="3">
        <v>161700.57</v>
      </c>
      <c r="L2515" t="s">
        <v>25</v>
      </c>
      <c r="M2515" s="2">
        <v>45750</v>
      </c>
      <c r="N2515" s="2">
        <v>45747</v>
      </c>
      <c r="O2515" t="s">
        <v>76</v>
      </c>
      <c r="P2515" t="s">
        <v>53</v>
      </c>
      <c r="Q2515" t="s">
        <v>28</v>
      </c>
      <c r="R2515" t="s">
        <v>29</v>
      </c>
    </row>
    <row r="2516" spans="1:18">
      <c r="A2516" t="s">
        <v>2649</v>
      </c>
      <c r="B2516" s="2">
        <v>45727</v>
      </c>
      <c r="C2516" t="s">
        <v>104</v>
      </c>
      <c r="D2516" t="s">
        <v>105</v>
      </c>
      <c r="E2516" t="s">
        <v>21</v>
      </c>
      <c r="F2516" t="s">
        <v>49</v>
      </c>
      <c r="G2516" t="s">
        <v>50</v>
      </c>
      <c r="H2516" t="s">
        <v>51</v>
      </c>
      <c r="I2516">
        <v>2</v>
      </c>
      <c r="J2516" s="3">
        <v>49984.77</v>
      </c>
      <c r="K2516" s="3">
        <v>99969.54</v>
      </c>
      <c r="L2516" t="s">
        <v>25</v>
      </c>
      <c r="M2516" s="2">
        <v>45735</v>
      </c>
      <c r="N2516" s="2">
        <v>45734</v>
      </c>
      <c r="O2516" t="s">
        <v>60</v>
      </c>
      <c r="P2516" t="s">
        <v>27</v>
      </c>
      <c r="Q2516" t="s">
        <v>28</v>
      </c>
      <c r="R2516" t="s">
        <v>29</v>
      </c>
    </row>
    <row r="2517" spans="1:18">
      <c r="A2517" t="s">
        <v>2650</v>
      </c>
      <c r="B2517" s="2">
        <v>46020</v>
      </c>
      <c r="C2517" t="s">
        <v>80</v>
      </c>
      <c r="D2517" t="s">
        <v>81</v>
      </c>
      <c r="E2517" t="s">
        <v>39</v>
      </c>
      <c r="F2517" t="s">
        <v>82</v>
      </c>
      <c r="G2517" t="s">
        <v>98</v>
      </c>
      <c r="H2517" t="s">
        <v>99</v>
      </c>
      <c r="I2517">
        <v>43</v>
      </c>
      <c r="J2517" s="3">
        <v>1118.48</v>
      </c>
      <c r="K2517" s="3">
        <v>48094.64</v>
      </c>
      <c r="L2517" t="s">
        <v>34</v>
      </c>
      <c r="M2517" s="2">
        <v>46029</v>
      </c>
      <c r="N2517" s="2">
        <v>46027</v>
      </c>
      <c r="O2517" t="s">
        <v>60</v>
      </c>
      <c r="P2517" t="s">
        <v>64</v>
      </c>
      <c r="Q2517" t="s">
        <v>28</v>
      </c>
      <c r="R2517" t="s">
        <v>29</v>
      </c>
    </row>
    <row r="2518" spans="1:18">
      <c r="A2518" t="s">
        <v>2651</v>
      </c>
      <c r="B2518" s="2">
        <v>46173</v>
      </c>
      <c r="C2518" t="s">
        <v>134</v>
      </c>
      <c r="D2518" t="s">
        <v>135</v>
      </c>
      <c r="E2518" t="s">
        <v>39</v>
      </c>
      <c r="F2518" t="s">
        <v>40</v>
      </c>
      <c r="G2518" t="s">
        <v>136</v>
      </c>
      <c r="H2518" t="s">
        <v>137</v>
      </c>
      <c r="I2518">
        <v>47</v>
      </c>
      <c r="J2518" s="3">
        <v>1669.36</v>
      </c>
      <c r="K2518" s="3">
        <v>78459.92</v>
      </c>
      <c r="L2518" t="s">
        <v>25</v>
      </c>
      <c r="M2518" s="2">
        <v>46191</v>
      </c>
      <c r="N2518" s="2">
        <v>46190</v>
      </c>
      <c r="O2518" t="s">
        <v>60</v>
      </c>
      <c r="P2518" t="s">
        <v>64</v>
      </c>
      <c r="Q2518" t="s">
        <v>28</v>
      </c>
      <c r="R2518" t="s">
        <v>29</v>
      </c>
    </row>
    <row r="2519" spans="1:18">
      <c r="A2519" t="s">
        <v>2652</v>
      </c>
      <c r="B2519" s="2">
        <v>46138</v>
      </c>
      <c r="C2519" t="s">
        <v>107</v>
      </c>
      <c r="D2519" t="s">
        <v>108</v>
      </c>
      <c r="E2519" t="s">
        <v>31</v>
      </c>
      <c r="F2519" t="s">
        <v>91</v>
      </c>
      <c r="G2519" t="s">
        <v>109</v>
      </c>
      <c r="H2519" t="s">
        <v>110</v>
      </c>
      <c r="I2519">
        <v>3</v>
      </c>
      <c r="J2519" s="3">
        <v>13948.99</v>
      </c>
      <c r="K2519" s="3">
        <v>41846.97</v>
      </c>
      <c r="L2519" t="s">
        <v>34</v>
      </c>
      <c r="M2519" s="2">
        <v>46144</v>
      </c>
      <c r="N2519" s="2">
        <v>46142</v>
      </c>
      <c r="O2519" t="s">
        <v>26</v>
      </c>
      <c r="P2519" t="s">
        <v>94</v>
      </c>
      <c r="Q2519" t="s">
        <v>28</v>
      </c>
      <c r="R2519" t="s">
        <v>29</v>
      </c>
    </row>
    <row r="2520" spans="1:18">
      <c r="A2520" t="s">
        <v>2653</v>
      </c>
      <c r="B2520" s="2">
        <v>45900</v>
      </c>
      <c r="C2520" t="s">
        <v>71</v>
      </c>
      <c r="D2520" t="s">
        <v>72</v>
      </c>
      <c r="E2520" t="s">
        <v>48</v>
      </c>
      <c r="F2520" t="s">
        <v>57</v>
      </c>
      <c r="G2520" t="s">
        <v>86</v>
      </c>
      <c r="H2520" t="s">
        <v>87</v>
      </c>
      <c r="I2520">
        <v>7</v>
      </c>
      <c r="J2520" s="3">
        <v>10488.33</v>
      </c>
      <c r="K2520" s="3">
        <v>73418.31</v>
      </c>
      <c r="L2520" t="s">
        <v>25</v>
      </c>
      <c r="M2520" s="2">
        <v>45914</v>
      </c>
      <c r="N2520" s="2">
        <v>45911</v>
      </c>
      <c r="O2520" t="s">
        <v>43</v>
      </c>
      <c r="P2520" t="s">
        <v>53</v>
      </c>
      <c r="Q2520" t="s">
        <v>28</v>
      </c>
      <c r="R2520" t="s">
        <v>29</v>
      </c>
    </row>
    <row r="2521" spans="1:18">
      <c r="A2521" t="s">
        <v>2654</v>
      </c>
      <c r="B2521" s="2">
        <v>45874</v>
      </c>
      <c r="C2521" t="s">
        <v>66</v>
      </c>
      <c r="D2521" t="s">
        <v>67</v>
      </c>
      <c r="E2521" t="s">
        <v>48</v>
      </c>
      <c r="F2521" t="s">
        <v>49</v>
      </c>
      <c r="G2521" t="s">
        <v>113</v>
      </c>
      <c r="H2521" t="s">
        <v>114</v>
      </c>
      <c r="I2521">
        <v>1</v>
      </c>
      <c r="J2521" s="3">
        <v>36469.24</v>
      </c>
      <c r="K2521" s="3">
        <v>36469.24</v>
      </c>
      <c r="L2521" t="s">
        <v>25</v>
      </c>
      <c r="M2521" s="2">
        <v>45891</v>
      </c>
      <c r="N2521" s="2">
        <v>45891</v>
      </c>
      <c r="O2521" t="s">
        <v>76</v>
      </c>
      <c r="P2521" t="s">
        <v>53</v>
      </c>
      <c r="Q2521" t="s">
        <v>28</v>
      </c>
      <c r="R2521" t="s">
        <v>29</v>
      </c>
    </row>
    <row r="2522" spans="1:18">
      <c r="A2522" t="s">
        <v>2655</v>
      </c>
      <c r="B2522" s="2">
        <v>46056</v>
      </c>
      <c r="C2522" t="s">
        <v>147</v>
      </c>
      <c r="D2522" t="s">
        <v>148</v>
      </c>
      <c r="E2522" t="s">
        <v>39</v>
      </c>
      <c r="F2522" t="s">
        <v>40</v>
      </c>
      <c r="G2522" t="s">
        <v>136</v>
      </c>
      <c r="H2522" t="s">
        <v>137</v>
      </c>
      <c r="I2522">
        <v>55</v>
      </c>
      <c r="J2522" s="3">
        <v>1595.68</v>
      </c>
      <c r="K2522" s="3">
        <v>87762.4</v>
      </c>
      <c r="L2522" t="s">
        <v>34</v>
      </c>
      <c r="M2522" s="2">
        <v>46063</v>
      </c>
      <c r="N2522" s="2">
        <v>46061</v>
      </c>
      <c r="O2522" t="s">
        <v>43</v>
      </c>
      <c r="P2522" t="s">
        <v>44</v>
      </c>
      <c r="Q2522" t="s">
        <v>28</v>
      </c>
      <c r="R2522" t="s">
        <v>29</v>
      </c>
    </row>
    <row r="2523" spans="1:18">
      <c r="A2523" t="s">
        <v>2656</v>
      </c>
      <c r="B2523" s="2">
        <v>45897</v>
      </c>
      <c r="C2523" t="s">
        <v>66</v>
      </c>
      <c r="D2523" t="s">
        <v>67</v>
      </c>
      <c r="E2523" t="s">
        <v>73</v>
      </c>
      <c r="F2523" t="s">
        <v>49</v>
      </c>
      <c r="G2523" t="s">
        <v>50</v>
      </c>
      <c r="H2523" t="s">
        <v>51</v>
      </c>
      <c r="I2523">
        <v>2</v>
      </c>
      <c r="J2523" s="3">
        <v>51331.87</v>
      </c>
      <c r="K2523" s="3">
        <v>102663.74</v>
      </c>
      <c r="L2523" t="s">
        <v>25</v>
      </c>
      <c r="M2523" s="2">
        <v>45914</v>
      </c>
      <c r="N2523" s="2">
        <v>45912</v>
      </c>
      <c r="O2523" t="s">
        <v>60</v>
      </c>
      <c r="P2523" t="s">
        <v>77</v>
      </c>
      <c r="Q2523" t="s">
        <v>28</v>
      </c>
      <c r="R2523" t="s">
        <v>29</v>
      </c>
    </row>
    <row r="2524" spans="1:18">
      <c r="A2524" t="s">
        <v>2657</v>
      </c>
      <c r="B2524" s="2">
        <v>45988</v>
      </c>
      <c r="C2524" t="s">
        <v>147</v>
      </c>
      <c r="D2524" t="s">
        <v>148</v>
      </c>
      <c r="E2524" t="s">
        <v>39</v>
      </c>
      <c r="F2524" t="s">
        <v>40</v>
      </c>
      <c r="G2524" t="s">
        <v>136</v>
      </c>
      <c r="H2524" t="s">
        <v>137</v>
      </c>
      <c r="I2524">
        <v>26</v>
      </c>
      <c r="J2524" s="3">
        <v>1627.55</v>
      </c>
      <c r="K2524" s="3">
        <v>42316.3</v>
      </c>
      <c r="L2524" t="s">
        <v>52</v>
      </c>
      <c r="M2524" s="2">
        <v>45994</v>
      </c>
      <c r="N2524" s="2">
        <v>45992</v>
      </c>
      <c r="O2524" t="s">
        <v>76</v>
      </c>
      <c r="P2524" t="s">
        <v>44</v>
      </c>
      <c r="Q2524" t="s">
        <v>28</v>
      </c>
      <c r="R2524" t="s">
        <v>29</v>
      </c>
    </row>
    <row r="2525" spans="1:18">
      <c r="A2525" t="s">
        <v>2658</v>
      </c>
      <c r="B2525" s="2">
        <v>45710</v>
      </c>
      <c r="C2525" t="s">
        <v>131</v>
      </c>
      <c r="D2525" t="s">
        <v>132</v>
      </c>
      <c r="E2525" t="s">
        <v>31</v>
      </c>
      <c r="F2525" t="s">
        <v>57</v>
      </c>
      <c r="G2525" t="s">
        <v>86</v>
      </c>
      <c r="H2525" t="s">
        <v>87</v>
      </c>
      <c r="I2525">
        <v>3</v>
      </c>
      <c r="J2525" s="3">
        <v>11842.95</v>
      </c>
      <c r="K2525" s="3">
        <v>35528.85</v>
      </c>
      <c r="L2525" t="s">
        <v>25</v>
      </c>
      <c r="M2525" s="2">
        <v>45724</v>
      </c>
      <c r="N2525" s="2">
        <v>45721</v>
      </c>
      <c r="O2525" t="s">
        <v>26</v>
      </c>
      <c r="P2525" t="s">
        <v>94</v>
      </c>
      <c r="Q2525" t="s">
        <v>28</v>
      </c>
      <c r="R2525" t="s">
        <v>29</v>
      </c>
    </row>
    <row r="2526" spans="1:18">
      <c r="A2526" t="s">
        <v>2659</v>
      </c>
      <c r="B2526" s="2">
        <v>46064</v>
      </c>
      <c r="C2526" t="s">
        <v>117</v>
      </c>
      <c r="D2526" t="s">
        <v>118</v>
      </c>
      <c r="E2526" t="s">
        <v>48</v>
      </c>
      <c r="F2526" t="s">
        <v>57</v>
      </c>
      <c r="G2526" t="s">
        <v>86</v>
      </c>
      <c r="H2526" t="s">
        <v>87</v>
      </c>
      <c r="I2526">
        <v>6</v>
      </c>
      <c r="J2526" s="3">
        <v>10758.31</v>
      </c>
      <c r="K2526" s="3">
        <v>64549.86</v>
      </c>
      <c r="L2526" t="s">
        <v>25</v>
      </c>
      <c r="M2526" s="2">
        <v>46073</v>
      </c>
      <c r="N2526" s="2">
        <v>46075</v>
      </c>
      <c r="O2526" t="s">
        <v>76</v>
      </c>
      <c r="P2526" t="s">
        <v>53</v>
      </c>
      <c r="Q2526" t="s">
        <v>28</v>
      </c>
      <c r="R2526" t="s">
        <v>129</v>
      </c>
    </row>
    <row r="2527" spans="1:18">
      <c r="A2527" t="s">
        <v>2660</v>
      </c>
      <c r="B2527" s="2">
        <v>46008</v>
      </c>
      <c r="C2527" t="s">
        <v>142</v>
      </c>
      <c r="D2527" t="s">
        <v>143</v>
      </c>
      <c r="E2527" t="s">
        <v>39</v>
      </c>
      <c r="F2527" t="s">
        <v>22</v>
      </c>
      <c r="G2527" t="s">
        <v>160</v>
      </c>
      <c r="H2527" t="s">
        <v>161</v>
      </c>
      <c r="I2527">
        <v>6</v>
      </c>
      <c r="J2527" s="3">
        <v>3183.96</v>
      </c>
      <c r="K2527" s="3">
        <v>19103.759999999998</v>
      </c>
      <c r="L2527" t="s">
        <v>34</v>
      </c>
      <c r="M2527" s="2">
        <v>46020</v>
      </c>
      <c r="N2527" s="2">
        <v>46019</v>
      </c>
      <c r="O2527" t="s">
        <v>76</v>
      </c>
      <c r="P2527" t="s">
        <v>64</v>
      </c>
      <c r="Q2527" t="s">
        <v>28</v>
      </c>
      <c r="R2527" t="s">
        <v>29</v>
      </c>
    </row>
    <row r="2528" spans="1:18">
      <c r="A2528" t="s">
        <v>2661</v>
      </c>
      <c r="B2528" s="2">
        <v>46151</v>
      </c>
      <c r="C2528" t="s">
        <v>142</v>
      </c>
      <c r="D2528" t="s">
        <v>143</v>
      </c>
      <c r="E2528" t="s">
        <v>21</v>
      </c>
      <c r="F2528" t="s">
        <v>22</v>
      </c>
      <c r="G2528" t="s">
        <v>32</v>
      </c>
      <c r="H2528" t="s">
        <v>33</v>
      </c>
      <c r="I2528">
        <v>3</v>
      </c>
      <c r="J2528" s="3">
        <v>7537.37</v>
      </c>
      <c r="K2528" s="3">
        <v>22612.11</v>
      </c>
      <c r="L2528" t="s">
        <v>25</v>
      </c>
      <c r="M2528" s="2">
        <v>46167</v>
      </c>
      <c r="N2528" s="2">
        <v>46166</v>
      </c>
      <c r="O2528" t="s">
        <v>43</v>
      </c>
      <c r="P2528" t="s">
        <v>27</v>
      </c>
      <c r="Q2528" t="s">
        <v>28</v>
      </c>
      <c r="R2528" t="s">
        <v>29</v>
      </c>
    </row>
    <row r="2529" spans="1:18">
      <c r="A2529" t="s">
        <v>2662</v>
      </c>
      <c r="B2529" s="2">
        <v>45802</v>
      </c>
      <c r="C2529" t="s">
        <v>131</v>
      </c>
      <c r="D2529" t="s">
        <v>132</v>
      </c>
      <c r="E2529" t="s">
        <v>48</v>
      </c>
      <c r="F2529" t="s">
        <v>57</v>
      </c>
      <c r="G2529" t="s">
        <v>58</v>
      </c>
      <c r="H2529" t="s">
        <v>59</v>
      </c>
      <c r="I2529">
        <v>8</v>
      </c>
      <c r="J2529" s="3">
        <v>57692.58</v>
      </c>
      <c r="K2529" s="3">
        <v>461540.64</v>
      </c>
      <c r="L2529" t="s">
        <v>25</v>
      </c>
      <c r="M2529" s="2">
        <v>45815</v>
      </c>
      <c r="N2529" s="2">
        <v>45812</v>
      </c>
      <c r="O2529" t="s">
        <v>26</v>
      </c>
      <c r="P2529" t="s">
        <v>53</v>
      </c>
      <c r="Q2529" t="s">
        <v>28</v>
      </c>
      <c r="R2529" t="s">
        <v>29</v>
      </c>
    </row>
    <row r="2530" spans="1:18">
      <c r="A2530" t="s">
        <v>2663</v>
      </c>
      <c r="B2530" s="2">
        <v>46177</v>
      </c>
      <c r="C2530" t="s">
        <v>96</v>
      </c>
      <c r="D2530" t="s">
        <v>97</v>
      </c>
      <c r="E2530" t="s">
        <v>39</v>
      </c>
      <c r="F2530" t="s">
        <v>82</v>
      </c>
      <c r="G2530" t="s">
        <v>83</v>
      </c>
      <c r="H2530" t="s">
        <v>84</v>
      </c>
      <c r="I2530">
        <v>56</v>
      </c>
      <c r="J2530" s="3">
        <v>750.76</v>
      </c>
      <c r="K2530" s="3">
        <v>42042.559999999998</v>
      </c>
      <c r="L2530" t="s">
        <v>25</v>
      </c>
      <c r="M2530" s="2">
        <v>46188</v>
      </c>
      <c r="N2530" s="2">
        <v>46193</v>
      </c>
      <c r="O2530" t="s">
        <v>26</v>
      </c>
      <c r="P2530" t="s">
        <v>64</v>
      </c>
      <c r="Q2530" t="s">
        <v>28</v>
      </c>
      <c r="R2530" t="s">
        <v>129</v>
      </c>
    </row>
    <row r="2531" spans="1:18">
      <c r="A2531" t="s">
        <v>2664</v>
      </c>
      <c r="B2531" s="2">
        <v>45956</v>
      </c>
      <c r="C2531" t="s">
        <v>71</v>
      </c>
      <c r="D2531" t="s">
        <v>72</v>
      </c>
      <c r="E2531" t="s">
        <v>31</v>
      </c>
      <c r="F2531" t="s">
        <v>57</v>
      </c>
      <c r="G2531" t="s">
        <v>86</v>
      </c>
      <c r="H2531" t="s">
        <v>87</v>
      </c>
      <c r="I2531">
        <v>7</v>
      </c>
      <c r="J2531" s="3">
        <v>10522.13</v>
      </c>
      <c r="K2531" s="3">
        <v>73654.91</v>
      </c>
      <c r="L2531" t="s">
        <v>34</v>
      </c>
      <c r="M2531" s="2">
        <v>45961</v>
      </c>
      <c r="N2531" s="2">
        <v>45961</v>
      </c>
      <c r="O2531" t="s">
        <v>26</v>
      </c>
      <c r="P2531" t="s">
        <v>94</v>
      </c>
      <c r="Q2531" t="s">
        <v>28</v>
      </c>
      <c r="R2531" t="s">
        <v>29</v>
      </c>
    </row>
    <row r="2532" spans="1:18">
      <c r="A2532" t="s">
        <v>2665</v>
      </c>
      <c r="B2532" s="2">
        <v>45885</v>
      </c>
      <c r="C2532" t="s">
        <v>107</v>
      </c>
      <c r="D2532" t="s">
        <v>108</v>
      </c>
      <c r="E2532" t="s">
        <v>31</v>
      </c>
      <c r="F2532" t="s">
        <v>91</v>
      </c>
      <c r="G2532" t="s">
        <v>92</v>
      </c>
      <c r="H2532" t="s">
        <v>93</v>
      </c>
      <c r="I2532">
        <v>3</v>
      </c>
      <c r="J2532" s="3">
        <v>44629.81</v>
      </c>
      <c r="K2532" s="3">
        <v>133889.43</v>
      </c>
      <c r="L2532" t="s">
        <v>34</v>
      </c>
      <c r="M2532" s="2">
        <v>45893</v>
      </c>
      <c r="N2532" s="2">
        <v>45890</v>
      </c>
      <c r="O2532" t="s">
        <v>60</v>
      </c>
      <c r="P2532" t="s">
        <v>35</v>
      </c>
      <c r="Q2532" t="s">
        <v>28</v>
      </c>
      <c r="R2532" t="s">
        <v>29</v>
      </c>
    </row>
    <row r="2533" spans="1:18">
      <c r="A2533" t="s">
        <v>2666</v>
      </c>
      <c r="B2533" s="2">
        <v>46123</v>
      </c>
      <c r="C2533" t="s">
        <v>104</v>
      </c>
      <c r="D2533" t="s">
        <v>105</v>
      </c>
      <c r="E2533" t="s">
        <v>73</v>
      </c>
      <c r="F2533" t="s">
        <v>49</v>
      </c>
      <c r="G2533" t="s">
        <v>68</v>
      </c>
      <c r="H2533" t="s">
        <v>69</v>
      </c>
      <c r="I2533">
        <v>1</v>
      </c>
      <c r="J2533" s="3">
        <v>47585.93</v>
      </c>
      <c r="K2533" s="3">
        <v>47585.93</v>
      </c>
      <c r="L2533" t="s">
        <v>25</v>
      </c>
      <c r="M2533" s="2">
        <v>46137</v>
      </c>
      <c r="N2533" s="2">
        <v>46136</v>
      </c>
      <c r="O2533" t="s">
        <v>43</v>
      </c>
      <c r="P2533" t="s">
        <v>77</v>
      </c>
      <c r="Q2533" t="s">
        <v>28</v>
      </c>
      <c r="R2533" t="s">
        <v>29</v>
      </c>
    </row>
    <row r="2534" spans="1:18">
      <c r="A2534" t="s">
        <v>2667</v>
      </c>
      <c r="B2534" s="2">
        <v>45914</v>
      </c>
      <c r="C2534" t="s">
        <v>131</v>
      </c>
      <c r="D2534" t="s">
        <v>132</v>
      </c>
      <c r="E2534" t="s">
        <v>48</v>
      </c>
      <c r="F2534" t="s">
        <v>57</v>
      </c>
      <c r="G2534" t="s">
        <v>101</v>
      </c>
      <c r="H2534" t="s">
        <v>102</v>
      </c>
      <c r="I2534">
        <v>44</v>
      </c>
      <c r="J2534" s="3">
        <v>1835.25</v>
      </c>
      <c r="K2534" s="3">
        <v>80751</v>
      </c>
      <c r="L2534" t="s">
        <v>25</v>
      </c>
      <c r="M2534" s="2">
        <v>45922</v>
      </c>
      <c r="N2534" s="2">
        <v>45920</v>
      </c>
      <c r="O2534" t="s">
        <v>43</v>
      </c>
      <c r="P2534" t="s">
        <v>53</v>
      </c>
      <c r="Q2534" t="s">
        <v>28</v>
      </c>
      <c r="R2534" t="s">
        <v>29</v>
      </c>
    </row>
    <row r="2535" spans="1:18">
      <c r="A2535" t="s">
        <v>2668</v>
      </c>
      <c r="B2535" s="2">
        <v>45742</v>
      </c>
      <c r="C2535" t="s">
        <v>131</v>
      </c>
      <c r="D2535" t="s">
        <v>132</v>
      </c>
      <c r="E2535" t="s">
        <v>48</v>
      </c>
      <c r="F2535" t="s">
        <v>57</v>
      </c>
      <c r="G2535" t="s">
        <v>58</v>
      </c>
      <c r="H2535" t="s">
        <v>59</v>
      </c>
      <c r="I2535">
        <v>6</v>
      </c>
      <c r="J2535" s="3">
        <v>60075.87</v>
      </c>
      <c r="K2535" s="3">
        <v>360455.22</v>
      </c>
      <c r="L2535" t="s">
        <v>25</v>
      </c>
      <c r="M2535" s="2">
        <v>45758</v>
      </c>
      <c r="N2535" s="2">
        <v>45755</v>
      </c>
      <c r="O2535" t="s">
        <v>60</v>
      </c>
      <c r="P2535" t="s">
        <v>53</v>
      </c>
      <c r="Q2535" t="s">
        <v>28</v>
      </c>
      <c r="R2535" t="s">
        <v>29</v>
      </c>
    </row>
    <row r="2536" spans="1:18">
      <c r="A2536" t="s">
        <v>2669</v>
      </c>
      <c r="B2536" s="2">
        <v>45675</v>
      </c>
      <c r="C2536" t="s">
        <v>104</v>
      </c>
      <c r="D2536" t="s">
        <v>105</v>
      </c>
      <c r="E2536" t="s">
        <v>48</v>
      </c>
      <c r="F2536" t="s">
        <v>49</v>
      </c>
      <c r="G2536" t="s">
        <v>113</v>
      </c>
      <c r="H2536" t="s">
        <v>114</v>
      </c>
      <c r="I2536">
        <v>1</v>
      </c>
      <c r="J2536" s="3">
        <v>37442.53</v>
      </c>
      <c r="K2536" s="3">
        <v>37442.53</v>
      </c>
      <c r="L2536" t="s">
        <v>34</v>
      </c>
      <c r="M2536" s="2">
        <v>45685</v>
      </c>
      <c r="N2536" s="2">
        <v>45685</v>
      </c>
      <c r="O2536" t="s">
        <v>76</v>
      </c>
      <c r="P2536" t="s">
        <v>53</v>
      </c>
      <c r="Q2536" t="s">
        <v>28</v>
      </c>
      <c r="R2536" t="s">
        <v>29</v>
      </c>
    </row>
    <row r="2537" spans="1:18">
      <c r="A2537" t="s">
        <v>2670</v>
      </c>
      <c r="B2537" s="2">
        <v>46177</v>
      </c>
      <c r="C2537" t="s">
        <v>134</v>
      </c>
      <c r="D2537" t="s">
        <v>135</v>
      </c>
      <c r="E2537" t="s">
        <v>39</v>
      </c>
      <c r="F2537" t="s">
        <v>40</v>
      </c>
      <c r="G2537" t="s">
        <v>136</v>
      </c>
      <c r="H2537" t="s">
        <v>137</v>
      </c>
      <c r="I2537">
        <v>21</v>
      </c>
      <c r="J2537" s="3">
        <v>1620.34</v>
      </c>
      <c r="K2537" s="3">
        <v>34027.14</v>
      </c>
      <c r="L2537" t="s">
        <v>25</v>
      </c>
      <c r="M2537" s="2">
        <v>46192</v>
      </c>
      <c r="N2537" s="2">
        <v>46189</v>
      </c>
      <c r="O2537" t="s">
        <v>26</v>
      </c>
      <c r="P2537" t="s">
        <v>44</v>
      </c>
      <c r="Q2537" t="s">
        <v>28</v>
      </c>
      <c r="R2537" t="s">
        <v>29</v>
      </c>
    </row>
    <row r="2538" spans="1:18">
      <c r="A2538" t="s">
        <v>2671</v>
      </c>
      <c r="B2538" s="2">
        <v>45712</v>
      </c>
      <c r="C2538" t="s">
        <v>104</v>
      </c>
      <c r="D2538" t="s">
        <v>105</v>
      </c>
      <c r="E2538" t="s">
        <v>21</v>
      </c>
      <c r="F2538" t="s">
        <v>49</v>
      </c>
      <c r="G2538" t="s">
        <v>50</v>
      </c>
      <c r="H2538" t="s">
        <v>51</v>
      </c>
      <c r="I2538">
        <v>1</v>
      </c>
      <c r="J2538" s="3">
        <v>53040.14</v>
      </c>
      <c r="K2538" s="3">
        <v>53040.14</v>
      </c>
      <c r="L2538" t="s">
        <v>25</v>
      </c>
      <c r="M2538" s="2">
        <v>45720</v>
      </c>
      <c r="N2538" s="2">
        <v>45718</v>
      </c>
      <c r="O2538" t="s">
        <v>26</v>
      </c>
      <c r="P2538" t="s">
        <v>27</v>
      </c>
      <c r="Q2538" t="s">
        <v>28</v>
      </c>
      <c r="R2538" t="s">
        <v>29</v>
      </c>
    </row>
    <row r="2539" spans="1:18">
      <c r="A2539" t="s">
        <v>2672</v>
      </c>
      <c r="B2539" s="2">
        <v>45822</v>
      </c>
      <c r="C2539" t="s">
        <v>134</v>
      </c>
      <c r="D2539" t="s">
        <v>135</v>
      </c>
      <c r="E2539" t="s">
        <v>39</v>
      </c>
      <c r="F2539" t="s">
        <v>40</v>
      </c>
      <c r="G2539" t="s">
        <v>41</v>
      </c>
      <c r="H2539" t="s">
        <v>42</v>
      </c>
      <c r="I2539">
        <v>12</v>
      </c>
      <c r="J2539" s="3">
        <v>5616.7</v>
      </c>
      <c r="K2539" s="3">
        <v>67400.399999999994</v>
      </c>
      <c r="L2539" t="s">
        <v>34</v>
      </c>
      <c r="M2539" s="2">
        <v>45836</v>
      </c>
      <c r="N2539" s="2">
        <v>45834</v>
      </c>
      <c r="O2539" t="s">
        <v>76</v>
      </c>
      <c r="P2539" t="s">
        <v>64</v>
      </c>
      <c r="Q2539" t="s">
        <v>28</v>
      </c>
      <c r="R2539" t="s">
        <v>29</v>
      </c>
    </row>
    <row r="2540" spans="1:18">
      <c r="A2540" t="s">
        <v>2673</v>
      </c>
      <c r="B2540" s="2">
        <v>45999</v>
      </c>
      <c r="C2540" t="s">
        <v>80</v>
      </c>
      <c r="D2540" t="s">
        <v>81</v>
      </c>
      <c r="E2540" t="s">
        <v>39</v>
      </c>
      <c r="F2540" t="s">
        <v>82</v>
      </c>
      <c r="G2540" t="s">
        <v>197</v>
      </c>
      <c r="H2540" t="s">
        <v>198</v>
      </c>
      <c r="I2540">
        <v>57</v>
      </c>
      <c r="J2540" s="3">
        <v>1971.5</v>
      </c>
      <c r="K2540" s="3">
        <v>112375.5</v>
      </c>
      <c r="L2540" t="s">
        <v>52</v>
      </c>
      <c r="M2540" s="2">
        <v>46010</v>
      </c>
      <c r="N2540" s="2">
        <v>46008</v>
      </c>
      <c r="O2540" t="s">
        <v>60</v>
      </c>
      <c r="P2540" t="s">
        <v>44</v>
      </c>
      <c r="Q2540" t="s">
        <v>28</v>
      </c>
      <c r="R2540" t="s">
        <v>29</v>
      </c>
    </row>
    <row r="2541" spans="1:18">
      <c r="A2541" t="s">
        <v>2674</v>
      </c>
      <c r="B2541" s="2">
        <v>45987</v>
      </c>
      <c r="C2541" t="s">
        <v>55</v>
      </c>
      <c r="D2541" t="s">
        <v>56</v>
      </c>
      <c r="E2541" t="s">
        <v>48</v>
      </c>
      <c r="F2541" t="s">
        <v>57</v>
      </c>
      <c r="G2541" t="s">
        <v>101</v>
      </c>
      <c r="H2541" t="s">
        <v>102</v>
      </c>
      <c r="I2541">
        <v>15</v>
      </c>
      <c r="J2541" s="3">
        <v>2092.2399999999998</v>
      </c>
      <c r="K2541" s="3">
        <v>31383.599999999999</v>
      </c>
      <c r="L2541" t="s">
        <v>25</v>
      </c>
      <c r="M2541" s="2">
        <v>45996</v>
      </c>
      <c r="N2541" s="2">
        <v>45993</v>
      </c>
      <c r="O2541" t="s">
        <v>76</v>
      </c>
      <c r="P2541" t="s">
        <v>53</v>
      </c>
      <c r="Q2541" t="s">
        <v>28</v>
      </c>
      <c r="R2541" t="s">
        <v>29</v>
      </c>
    </row>
    <row r="2542" spans="1:18">
      <c r="A2542" t="s">
        <v>2675</v>
      </c>
      <c r="B2542" s="2">
        <v>45919</v>
      </c>
      <c r="C2542" t="s">
        <v>19</v>
      </c>
      <c r="D2542" t="s">
        <v>20</v>
      </c>
      <c r="E2542" t="s">
        <v>39</v>
      </c>
      <c r="F2542" t="s">
        <v>22</v>
      </c>
      <c r="G2542" t="s">
        <v>32</v>
      </c>
      <c r="H2542" t="s">
        <v>33</v>
      </c>
      <c r="I2542">
        <v>10</v>
      </c>
      <c r="J2542" s="3">
        <v>7461.38</v>
      </c>
      <c r="K2542" s="3">
        <v>74613.8</v>
      </c>
      <c r="L2542" t="s">
        <v>25</v>
      </c>
      <c r="M2542" s="2">
        <v>45934</v>
      </c>
      <c r="N2542" s="2">
        <v>45934</v>
      </c>
      <c r="O2542" t="s">
        <v>76</v>
      </c>
      <c r="P2542" t="s">
        <v>44</v>
      </c>
      <c r="Q2542" t="s">
        <v>28</v>
      </c>
      <c r="R2542" t="s">
        <v>29</v>
      </c>
    </row>
    <row r="2543" spans="1:18">
      <c r="A2543" t="s">
        <v>2676</v>
      </c>
      <c r="B2543" s="2">
        <v>45891</v>
      </c>
      <c r="C2543" t="s">
        <v>80</v>
      </c>
      <c r="D2543" t="s">
        <v>81</v>
      </c>
      <c r="E2543" t="s">
        <v>39</v>
      </c>
      <c r="F2543" t="s">
        <v>82</v>
      </c>
      <c r="G2543" t="s">
        <v>98</v>
      </c>
      <c r="H2543" t="s">
        <v>99</v>
      </c>
      <c r="I2543">
        <v>37</v>
      </c>
      <c r="J2543" s="3">
        <v>1121.8499999999999</v>
      </c>
      <c r="K2543" s="3">
        <v>41508.449999999997</v>
      </c>
      <c r="L2543" t="s">
        <v>34</v>
      </c>
      <c r="M2543" s="2">
        <v>45907</v>
      </c>
      <c r="N2543" s="2">
        <v>45921</v>
      </c>
      <c r="O2543" t="s">
        <v>43</v>
      </c>
      <c r="P2543" t="s">
        <v>44</v>
      </c>
      <c r="Q2543" t="s">
        <v>28</v>
      </c>
      <c r="R2543" t="s">
        <v>129</v>
      </c>
    </row>
    <row r="2544" spans="1:18">
      <c r="A2544" t="s">
        <v>2677</v>
      </c>
      <c r="B2544" s="2">
        <v>46165</v>
      </c>
      <c r="C2544" t="s">
        <v>46</v>
      </c>
      <c r="D2544" t="s">
        <v>47</v>
      </c>
      <c r="E2544" t="s">
        <v>48</v>
      </c>
      <c r="F2544" t="s">
        <v>49</v>
      </c>
      <c r="G2544" t="s">
        <v>113</v>
      </c>
      <c r="H2544" t="s">
        <v>114</v>
      </c>
      <c r="I2544">
        <v>1</v>
      </c>
      <c r="J2544" s="3">
        <v>39052.51</v>
      </c>
      <c r="K2544" s="3">
        <v>39052.51</v>
      </c>
      <c r="L2544" t="s">
        <v>34</v>
      </c>
      <c r="M2544" s="2">
        <v>46173</v>
      </c>
      <c r="N2544" s="2">
        <v>46173</v>
      </c>
      <c r="O2544" t="s">
        <v>26</v>
      </c>
      <c r="P2544" t="s">
        <v>53</v>
      </c>
      <c r="Q2544" t="s">
        <v>28</v>
      </c>
      <c r="R2544" t="s">
        <v>29</v>
      </c>
    </row>
    <row r="2545" spans="1:18">
      <c r="A2545" t="s">
        <v>2678</v>
      </c>
      <c r="B2545" s="2">
        <v>46016</v>
      </c>
      <c r="C2545" t="s">
        <v>104</v>
      </c>
      <c r="D2545" t="s">
        <v>105</v>
      </c>
      <c r="E2545" t="s">
        <v>48</v>
      </c>
      <c r="F2545" t="s">
        <v>49</v>
      </c>
      <c r="G2545" t="s">
        <v>165</v>
      </c>
      <c r="H2545" t="s">
        <v>166</v>
      </c>
      <c r="I2545">
        <v>3</v>
      </c>
      <c r="J2545" s="3">
        <v>43925.69</v>
      </c>
      <c r="K2545" s="3">
        <v>131777.07</v>
      </c>
      <c r="L2545" t="s">
        <v>52</v>
      </c>
      <c r="M2545" s="2">
        <v>46032</v>
      </c>
      <c r="N2545" s="2">
        <v>46031</v>
      </c>
      <c r="O2545" t="s">
        <v>60</v>
      </c>
      <c r="P2545" t="s">
        <v>53</v>
      </c>
      <c r="Q2545" t="s">
        <v>28</v>
      </c>
      <c r="R2545" t="s">
        <v>29</v>
      </c>
    </row>
    <row r="2546" spans="1:18">
      <c r="A2546" t="s">
        <v>2679</v>
      </c>
      <c r="B2546" s="2">
        <v>46172</v>
      </c>
      <c r="C2546" t="s">
        <v>134</v>
      </c>
      <c r="D2546" t="s">
        <v>135</v>
      </c>
      <c r="E2546" t="s">
        <v>39</v>
      </c>
      <c r="F2546" t="s">
        <v>40</v>
      </c>
      <c r="G2546" t="s">
        <v>41</v>
      </c>
      <c r="H2546" t="s">
        <v>42</v>
      </c>
      <c r="I2546">
        <v>9</v>
      </c>
      <c r="J2546" s="3">
        <v>5613.87</v>
      </c>
      <c r="K2546" s="3">
        <v>50524.83</v>
      </c>
      <c r="L2546" t="s">
        <v>34</v>
      </c>
      <c r="M2546" s="2">
        <v>46185</v>
      </c>
      <c r="N2546" s="2">
        <v>46183</v>
      </c>
      <c r="O2546" t="s">
        <v>43</v>
      </c>
      <c r="P2546" t="s">
        <v>44</v>
      </c>
      <c r="Q2546" t="s">
        <v>28</v>
      </c>
      <c r="R2546" t="s">
        <v>29</v>
      </c>
    </row>
    <row r="2547" spans="1:18">
      <c r="A2547" t="s">
        <v>2680</v>
      </c>
      <c r="B2547" s="2">
        <v>46084</v>
      </c>
      <c r="C2547" t="s">
        <v>131</v>
      </c>
      <c r="D2547" t="s">
        <v>132</v>
      </c>
      <c r="E2547" t="s">
        <v>73</v>
      </c>
      <c r="F2547" t="s">
        <v>57</v>
      </c>
      <c r="G2547" t="s">
        <v>127</v>
      </c>
      <c r="H2547" t="s">
        <v>128</v>
      </c>
      <c r="I2547">
        <v>4</v>
      </c>
      <c r="J2547" s="3">
        <v>17962.5</v>
      </c>
      <c r="K2547" s="3">
        <v>71850</v>
      </c>
      <c r="L2547" t="s">
        <v>25</v>
      </c>
      <c r="M2547" s="2">
        <v>46095</v>
      </c>
      <c r="N2547" s="2">
        <v>46094</v>
      </c>
      <c r="O2547" t="s">
        <v>60</v>
      </c>
      <c r="P2547" t="s">
        <v>77</v>
      </c>
      <c r="Q2547" t="s">
        <v>28</v>
      </c>
      <c r="R2547" t="s">
        <v>29</v>
      </c>
    </row>
    <row r="2548" spans="1:18">
      <c r="A2548" t="s">
        <v>2681</v>
      </c>
      <c r="B2548" s="2">
        <v>46007</v>
      </c>
      <c r="C2548" t="s">
        <v>142</v>
      </c>
      <c r="D2548" t="s">
        <v>143</v>
      </c>
      <c r="E2548" t="s">
        <v>73</v>
      </c>
      <c r="F2548" t="s">
        <v>22</v>
      </c>
      <c r="G2548" t="s">
        <v>32</v>
      </c>
      <c r="H2548" t="s">
        <v>33</v>
      </c>
      <c r="I2548">
        <v>2</v>
      </c>
      <c r="J2548" s="3">
        <v>8094.26</v>
      </c>
      <c r="K2548" s="3">
        <v>16188.52</v>
      </c>
      <c r="L2548" t="s">
        <v>25</v>
      </c>
      <c r="M2548" s="2">
        <v>46015</v>
      </c>
      <c r="N2548" s="2">
        <v>46013</v>
      </c>
      <c r="O2548" t="s">
        <v>26</v>
      </c>
      <c r="P2548" t="s">
        <v>77</v>
      </c>
      <c r="Q2548" t="s">
        <v>28</v>
      </c>
      <c r="R2548" t="s">
        <v>29</v>
      </c>
    </row>
    <row r="2549" spans="1:18">
      <c r="A2549" t="s">
        <v>2682</v>
      </c>
      <c r="B2549" s="2">
        <v>45792</v>
      </c>
      <c r="C2549" t="s">
        <v>142</v>
      </c>
      <c r="D2549" t="s">
        <v>143</v>
      </c>
      <c r="E2549" t="s">
        <v>73</v>
      </c>
      <c r="F2549" t="s">
        <v>22</v>
      </c>
      <c r="G2549" t="s">
        <v>32</v>
      </c>
      <c r="H2549" t="s">
        <v>33</v>
      </c>
      <c r="I2549">
        <v>7</v>
      </c>
      <c r="J2549" s="3">
        <v>7765.24</v>
      </c>
      <c r="K2549" s="3">
        <v>54356.68</v>
      </c>
      <c r="L2549" t="s">
        <v>52</v>
      </c>
      <c r="M2549" s="2">
        <v>45798</v>
      </c>
      <c r="N2549" s="2">
        <v>45798</v>
      </c>
      <c r="O2549" t="s">
        <v>60</v>
      </c>
      <c r="P2549" t="s">
        <v>77</v>
      </c>
      <c r="Q2549" t="s">
        <v>28</v>
      </c>
      <c r="R2549" t="s">
        <v>29</v>
      </c>
    </row>
    <row r="2550" spans="1:18">
      <c r="A2550" t="s">
        <v>2683</v>
      </c>
      <c r="B2550" s="2">
        <v>45977</v>
      </c>
      <c r="C2550" t="s">
        <v>46</v>
      </c>
      <c r="D2550" t="s">
        <v>47</v>
      </c>
      <c r="E2550" t="s">
        <v>48</v>
      </c>
      <c r="F2550" t="s">
        <v>49</v>
      </c>
      <c r="G2550" t="s">
        <v>68</v>
      </c>
      <c r="H2550" t="s">
        <v>69</v>
      </c>
      <c r="I2550">
        <v>3</v>
      </c>
      <c r="J2550" s="3">
        <v>51251.6</v>
      </c>
      <c r="K2550" s="3">
        <v>153754.79999999999</v>
      </c>
      <c r="L2550" t="s">
        <v>34</v>
      </c>
      <c r="M2550" s="2">
        <v>45994</v>
      </c>
      <c r="N2550" s="2">
        <v>45991</v>
      </c>
      <c r="O2550" t="s">
        <v>43</v>
      </c>
      <c r="P2550" t="s">
        <v>53</v>
      </c>
      <c r="Q2550" t="s">
        <v>28</v>
      </c>
      <c r="R2550" t="s">
        <v>29</v>
      </c>
    </row>
    <row r="2551" spans="1:18">
      <c r="A2551" t="s">
        <v>2684</v>
      </c>
      <c r="B2551" s="2">
        <v>45887</v>
      </c>
      <c r="C2551" t="s">
        <v>96</v>
      </c>
      <c r="D2551" t="s">
        <v>97</v>
      </c>
      <c r="E2551" t="s">
        <v>39</v>
      </c>
      <c r="F2551" t="s">
        <v>82</v>
      </c>
      <c r="G2551" t="s">
        <v>83</v>
      </c>
      <c r="H2551" t="s">
        <v>84</v>
      </c>
      <c r="I2551">
        <v>41</v>
      </c>
      <c r="J2551" s="3">
        <v>711.52</v>
      </c>
      <c r="K2551" s="3">
        <v>29172.32</v>
      </c>
      <c r="L2551" t="s">
        <v>34</v>
      </c>
      <c r="M2551" s="2">
        <v>45905</v>
      </c>
      <c r="N2551" s="2">
        <v>45904</v>
      </c>
      <c r="O2551" t="s">
        <v>43</v>
      </c>
      <c r="P2551" t="s">
        <v>44</v>
      </c>
      <c r="Q2551" t="s">
        <v>28</v>
      </c>
      <c r="R2551" t="s">
        <v>29</v>
      </c>
    </row>
    <row r="2552" spans="1:18">
      <c r="A2552" t="s">
        <v>2685</v>
      </c>
      <c r="B2552" s="2">
        <v>45914</v>
      </c>
      <c r="C2552" t="s">
        <v>19</v>
      </c>
      <c r="D2552" t="s">
        <v>20</v>
      </c>
      <c r="E2552" t="s">
        <v>39</v>
      </c>
      <c r="F2552" t="s">
        <v>22</v>
      </c>
      <c r="G2552" t="s">
        <v>23</v>
      </c>
      <c r="H2552" t="s">
        <v>24</v>
      </c>
      <c r="I2552">
        <v>50</v>
      </c>
      <c r="J2552" s="3">
        <v>227.05</v>
      </c>
      <c r="K2552" s="3">
        <v>11352.5</v>
      </c>
      <c r="L2552" t="s">
        <v>25</v>
      </c>
      <c r="M2552" s="2">
        <v>45931</v>
      </c>
      <c r="N2552" s="2">
        <v>45940</v>
      </c>
      <c r="O2552" t="s">
        <v>43</v>
      </c>
      <c r="P2552" t="s">
        <v>64</v>
      </c>
      <c r="Q2552" t="s">
        <v>28</v>
      </c>
      <c r="R2552" t="s">
        <v>129</v>
      </c>
    </row>
    <row r="2553" spans="1:18">
      <c r="A2553" t="s">
        <v>2686</v>
      </c>
      <c r="B2553" s="2">
        <v>45907</v>
      </c>
      <c r="C2553" t="s">
        <v>55</v>
      </c>
      <c r="D2553" t="s">
        <v>56</v>
      </c>
      <c r="E2553" t="s">
        <v>48</v>
      </c>
      <c r="F2553" t="s">
        <v>57</v>
      </c>
      <c r="G2553" t="s">
        <v>127</v>
      </c>
      <c r="H2553" t="s">
        <v>128</v>
      </c>
      <c r="I2553">
        <v>7</v>
      </c>
      <c r="J2553" s="3">
        <v>17983.080000000002</v>
      </c>
      <c r="K2553" s="3">
        <v>125881.56</v>
      </c>
      <c r="L2553" t="s">
        <v>25</v>
      </c>
      <c r="M2553" s="2">
        <v>45912</v>
      </c>
      <c r="N2553" s="2">
        <v>45911</v>
      </c>
      <c r="O2553" t="s">
        <v>43</v>
      </c>
      <c r="P2553" t="s">
        <v>53</v>
      </c>
      <c r="Q2553" t="s">
        <v>28</v>
      </c>
      <c r="R2553" t="s">
        <v>29</v>
      </c>
    </row>
    <row r="2554" spans="1:18">
      <c r="A2554" t="s">
        <v>2687</v>
      </c>
      <c r="B2554" s="2">
        <v>45851</v>
      </c>
      <c r="C2554" t="s">
        <v>142</v>
      </c>
      <c r="D2554" t="s">
        <v>143</v>
      </c>
      <c r="E2554" t="s">
        <v>31</v>
      </c>
      <c r="F2554" t="s">
        <v>22</v>
      </c>
      <c r="G2554" t="s">
        <v>32</v>
      </c>
      <c r="H2554" t="s">
        <v>33</v>
      </c>
      <c r="I2554">
        <v>7</v>
      </c>
      <c r="J2554" s="3">
        <v>7807.25</v>
      </c>
      <c r="K2554" s="3">
        <v>54650.75</v>
      </c>
      <c r="L2554" t="s">
        <v>34</v>
      </c>
      <c r="M2554" s="2">
        <v>45865</v>
      </c>
      <c r="N2554" s="2">
        <v>45864</v>
      </c>
      <c r="O2554" t="s">
        <v>76</v>
      </c>
      <c r="P2554" t="s">
        <v>94</v>
      </c>
      <c r="Q2554" t="s">
        <v>28</v>
      </c>
      <c r="R2554" t="s">
        <v>29</v>
      </c>
    </row>
    <row r="2555" spans="1:18">
      <c r="A2555" t="s">
        <v>2688</v>
      </c>
      <c r="B2555" s="2">
        <v>45694</v>
      </c>
      <c r="C2555" t="s">
        <v>104</v>
      </c>
      <c r="D2555" t="s">
        <v>105</v>
      </c>
      <c r="E2555" t="s">
        <v>48</v>
      </c>
      <c r="F2555" t="s">
        <v>49</v>
      </c>
      <c r="G2555" t="s">
        <v>50</v>
      </c>
      <c r="H2555" t="s">
        <v>51</v>
      </c>
      <c r="I2555">
        <v>1</v>
      </c>
      <c r="J2555" s="3">
        <v>53441.22</v>
      </c>
      <c r="K2555" s="3">
        <v>53441.22</v>
      </c>
      <c r="L2555" t="s">
        <v>25</v>
      </c>
      <c r="M2555" s="2">
        <v>45711</v>
      </c>
      <c r="N2555" s="2">
        <v>45708</v>
      </c>
      <c r="O2555" t="s">
        <v>60</v>
      </c>
      <c r="P2555" t="s">
        <v>53</v>
      </c>
      <c r="Q2555" t="s">
        <v>28</v>
      </c>
      <c r="R2555" t="s">
        <v>29</v>
      </c>
    </row>
    <row r="2556" spans="1:18">
      <c r="A2556" t="s">
        <v>2689</v>
      </c>
      <c r="B2556" s="2">
        <v>45990</v>
      </c>
      <c r="C2556" t="s">
        <v>104</v>
      </c>
      <c r="D2556" t="s">
        <v>105</v>
      </c>
      <c r="E2556" t="s">
        <v>48</v>
      </c>
      <c r="F2556" t="s">
        <v>49</v>
      </c>
      <c r="G2556" t="s">
        <v>68</v>
      </c>
      <c r="H2556" t="s">
        <v>69</v>
      </c>
      <c r="I2556">
        <v>1</v>
      </c>
      <c r="J2556" s="3">
        <v>48485.33</v>
      </c>
      <c r="K2556" s="3">
        <v>48485.33</v>
      </c>
      <c r="L2556" t="s">
        <v>34</v>
      </c>
      <c r="M2556" s="2">
        <v>45995</v>
      </c>
      <c r="N2556" s="2">
        <v>45995</v>
      </c>
      <c r="O2556" t="s">
        <v>60</v>
      </c>
      <c r="P2556" t="s">
        <v>53</v>
      </c>
      <c r="Q2556" t="s">
        <v>28</v>
      </c>
      <c r="R2556" t="s">
        <v>29</v>
      </c>
    </row>
    <row r="2557" spans="1:18">
      <c r="A2557" t="s">
        <v>2690</v>
      </c>
      <c r="B2557" s="2">
        <v>45726</v>
      </c>
      <c r="C2557" t="s">
        <v>80</v>
      </c>
      <c r="D2557" t="s">
        <v>81</v>
      </c>
      <c r="E2557" t="s">
        <v>39</v>
      </c>
      <c r="F2557" t="s">
        <v>82</v>
      </c>
      <c r="G2557" t="s">
        <v>197</v>
      </c>
      <c r="H2557" t="s">
        <v>198</v>
      </c>
      <c r="I2557">
        <v>11</v>
      </c>
      <c r="J2557" s="3">
        <v>2042.71</v>
      </c>
      <c r="K2557" s="3">
        <v>22469.81</v>
      </c>
      <c r="L2557" t="s">
        <v>25</v>
      </c>
      <c r="M2557" s="2">
        <v>45741</v>
      </c>
      <c r="N2557" s="2">
        <v>45741</v>
      </c>
      <c r="O2557" t="s">
        <v>43</v>
      </c>
      <c r="P2557" t="s">
        <v>64</v>
      </c>
      <c r="Q2557" t="s">
        <v>28</v>
      </c>
      <c r="R2557" t="s">
        <v>29</v>
      </c>
    </row>
    <row r="2558" spans="1:18">
      <c r="A2558" t="s">
        <v>2691</v>
      </c>
      <c r="B2558" s="2">
        <v>46058</v>
      </c>
      <c r="C2558" t="s">
        <v>104</v>
      </c>
      <c r="D2558" t="s">
        <v>105</v>
      </c>
      <c r="E2558" t="s">
        <v>73</v>
      </c>
      <c r="F2558" t="s">
        <v>49</v>
      </c>
      <c r="G2558" t="s">
        <v>165</v>
      </c>
      <c r="H2558" t="s">
        <v>166</v>
      </c>
      <c r="I2558">
        <v>1</v>
      </c>
      <c r="J2558" s="3">
        <v>45253.83</v>
      </c>
      <c r="K2558" s="3">
        <v>45253.83</v>
      </c>
      <c r="L2558" t="s">
        <v>34</v>
      </c>
      <c r="M2558" s="2">
        <v>46065</v>
      </c>
      <c r="N2558" s="2">
        <v>46063</v>
      </c>
      <c r="O2558" t="s">
        <v>76</v>
      </c>
      <c r="P2558" t="s">
        <v>77</v>
      </c>
      <c r="Q2558" t="s">
        <v>28</v>
      </c>
      <c r="R2558" t="s">
        <v>29</v>
      </c>
    </row>
    <row r="2559" spans="1:18">
      <c r="A2559" t="s">
        <v>2692</v>
      </c>
      <c r="B2559" s="2">
        <v>45668</v>
      </c>
      <c r="C2559" t="s">
        <v>147</v>
      </c>
      <c r="D2559" t="s">
        <v>148</v>
      </c>
      <c r="E2559" t="s">
        <v>112</v>
      </c>
      <c r="F2559" t="s">
        <v>40</v>
      </c>
      <c r="G2559" t="s">
        <v>41</v>
      </c>
      <c r="H2559" t="s">
        <v>42</v>
      </c>
      <c r="I2559">
        <v>10</v>
      </c>
      <c r="J2559" s="3">
        <v>5288.23</v>
      </c>
      <c r="K2559" s="3">
        <v>52882.3</v>
      </c>
      <c r="L2559" t="s">
        <v>34</v>
      </c>
      <c r="M2559" s="2">
        <v>45677</v>
      </c>
      <c r="N2559" s="2">
        <v>45677</v>
      </c>
      <c r="O2559" t="s">
        <v>60</v>
      </c>
      <c r="P2559" t="s">
        <v>115</v>
      </c>
      <c r="Q2559" t="s">
        <v>28</v>
      </c>
      <c r="R2559" t="s">
        <v>29</v>
      </c>
    </row>
    <row r="2560" spans="1:18">
      <c r="A2560" t="s">
        <v>2693</v>
      </c>
      <c r="B2560" s="2">
        <v>45881</v>
      </c>
      <c r="C2560" t="s">
        <v>117</v>
      </c>
      <c r="D2560" t="s">
        <v>118</v>
      </c>
      <c r="E2560" t="s">
        <v>48</v>
      </c>
      <c r="F2560" t="s">
        <v>57</v>
      </c>
      <c r="G2560" t="s">
        <v>120</v>
      </c>
      <c r="H2560" t="s">
        <v>121</v>
      </c>
      <c r="I2560">
        <v>6</v>
      </c>
      <c r="J2560" s="3">
        <v>22577.97</v>
      </c>
      <c r="K2560" s="3">
        <v>135467.82</v>
      </c>
      <c r="L2560" t="s">
        <v>52</v>
      </c>
      <c r="M2560" s="2">
        <v>45888</v>
      </c>
      <c r="N2560" s="2">
        <v>45885</v>
      </c>
      <c r="O2560" t="s">
        <v>76</v>
      </c>
      <c r="P2560" t="s">
        <v>53</v>
      </c>
      <c r="Q2560" t="s">
        <v>28</v>
      </c>
      <c r="R2560" t="s">
        <v>29</v>
      </c>
    </row>
    <row r="2561" spans="1:18">
      <c r="A2561" t="s">
        <v>2694</v>
      </c>
      <c r="B2561" s="2">
        <v>46008</v>
      </c>
      <c r="C2561" t="s">
        <v>55</v>
      </c>
      <c r="D2561" t="s">
        <v>56</v>
      </c>
      <c r="E2561" t="s">
        <v>48</v>
      </c>
      <c r="F2561" t="s">
        <v>57</v>
      </c>
      <c r="G2561" t="s">
        <v>101</v>
      </c>
      <c r="H2561" t="s">
        <v>102</v>
      </c>
      <c r="I2561">
        <v>40</v>
      </c>
      <c r="J2561" s="3">
        <v>2008.23</v>
      </c>
      <c r="K2561" s="3">
        <v>80329.2</v>
      </c>
      <c r="L2561" t="s">
        <v>25</v>
      </c>
      <c r="M2561" s="2">
        <v>46013</v>
      </c>
      <c r="N2561" s="2">
        <v>46013</v>
      </c>
      <c r="O2561" t="s">
        <v>60</v>
      </c>
      <c r="P2561" t="s">
        <v>53</v>
      </c>
      <c r="Q2561" t="s">
        <v>28</v>
      </c>
      <c r="R2561" t="s">
        <v>29</v>
      </c>
    </row>
    <row r="2562" spans="1:18">
      <c r="A2562" t="s">
        <v>2695</v>
      </c>
      <c r="B2562" s="2">
        <v>45813</v>
      </c>
      <c r="C2562" t="s">
        <v>134</v>
      </c>
      <c r="D2562" t="s">
        <v>135</v>
      </c>
      <c r="E2562" t="s">
        <v>112</v>
      </c>
      <c r="F2562" t="s">
        <v>40</v>
      </c>
      <c r="G2562" t="s">
        <v>41</v>
      </c>
      <c r="H2562" t="s">
        <v>42</v>
      </c>
      <c r="I2562">
        <v>12</v>
      </c>
      <c r="J2562" s="3">
        <v>5261.75</v>
      </c>
      <c r="K2562" s="3">
        <v>63141</v>
      </c>
      <c r="L2562" t="s">
        <v>25</v>
      </c>
      <c r="M2562" s="2">
        <v>45827</v>
      </c>
      <c r="N2562" s="2">
        <v>45826</v>
      </c>
      <c r="O2562" t="s">
        <v>26</v>
      </c>
      <c r="P2562" t="s">
        <v>115</v>
      </c>
      <c r="Q2562" t="s">
        <v>28</v>
      </c>
      <c r="R2562" t="s">
        <v>29</v>
      </c>
    </row>
    <row r="2563" spans="1:18">
      <c r="A2563" t="s">
        <v>2696</v>
      </c>
      <c r="B2563" s="2">
        <v>45733</v>
      </c>
      <c r="C2563" t="s">
        <v>104</v>
      </c>
      <c r="D2563" t="s">
        <v>105</v>
      </c>
      <c r="E2563" t="s">
        <v>21</v>
      </c>
      <c r="F2563" t="s">
        <v>49</v>
      </c>
      <c r="G2563" t="s">
        <v>68</v>
      </c>
      <c r="H2563" t="s">
        <v>69</v>
      </c>
      <c r="I2563">
        <v>1</v>
      </c>
      <c r="J2563" s="3">
        <v>47238.83</v>
      </c>
      <c r="K2563" s="3">
        <v>47238.83</v>
      </c>
      <c r="L2563" t="s">
        <v>25</v>
      </c>
      <c r="M2563" s="2">
        <v>45741</v>
      </c>
      <c r="N2563" s="2">
        <v>45741</v>
      </c>
      <c r="O2563" t="s">
        <v>76</v>
      </c>
      <c r="P2563" t="s">
        <v>27</v>
      </c>
      <c r="Q2563" t="s">
        <v>28</v>
      </c>
      <c r="R2563" t="s">
        <v>29</v>
      </c>
    </row>
    <row r="2564" spans="1:18">
      <c r="A2564" t="s">
        <v>2697</v>
      </c>
      <c r="B2564" s="2">
        <v>45798</v>
      </c>
      <c r="C2564" t="s">
        <v>37</v>
      </c>
      <c r="D2564" t="s">
        <v>38</v>
      </c>
      <c r="E2564" t="s">
        <v>112</v>
      </c>
      <c r="F2564" t="s">
        <v>22</v>
      </c>
      <c r="G2564" t="s">
        <v>32</v>
      </c>
      <c r="H2564" t="s">
        <v>33</v>
      </c>
      <c r="I2564">
        <v>2</v>
      </c>
      <c r="J2564" s="3">
        <v>9090.74</v>
      </c>
      <c r="K2564" s="3">
        <v>18181.48</v>
      </c>
      <c r="L2564" t="s">
        <v>34</v>
      </c>
      <c r="M2564" s="2">
        <v>45816</v>
      </c>
      <c r="N2564" s="2">
        <v>45814</v>
      </c>
      <c r="O2564" t="s">
        <v>43</v>
      </c>
      <c r="P2564" t="s">
        <v>115</v>
      </c>
      <c r="Q2564" t="s">
        <v>28</v>
      </c>
      <c r="R2564" t="s">
        <v>29</v>
      </c>
    </row>
    <row r="2565" spans="1:18">
      <c r="A2565" t="s">
        <v>2698</v>
      </c>
      <c r="B2565" s="2">
        <v>45970</v>
      </c>
      <c r="C2565" t="s">
        <v>46</v>
      </c>
      <c r="D2565" t="s">
        <v>47</v>
      </c>
      <c r="E2565" t="s">
        <v>21</v>
      </c>
      <c r="F2565" t="s">
        <v>49</v>
      </c>
      <c r="G2565" t="s">
        <v>50</v>
      </c>
      <c r="H2565" t="s">
        <v>51</v>
      </c>
      <c r="I2565">
        <v>1</v>
      </c>
      <c r="J2565" s="3">
        <v>56609.41</v>
      </c>
      <c r="K2565" s="3">
        <v>56609.41</v>
      </c>
      <c r="L2565" t="s">
        <v>25</v>
      </c>
      <c r="M2565" s="2">
        <v>45986</v>
      </c>
      <c r="N2565" s="2">
        <v>45983</v>
      </c>
      <c r="O2565" t="s">
        <v>60</v>
      </c>
      <c r="P2565" t="s">
        <v>27</v>
      </c>
      <c r="Q2565" t="s">
        <v>28</v>
      </c>
      <c r="R2565" t="s">
        <v>29</v>
      </c>
    </row>
    <row r="2566" spans="1:18">
      <c r="A2566" t="s">
        <v>2699</v>
      </c>
      <c r="B2566" s="2">
        <v>45736</v>
      </c>
      <c r="C2566" t="s">
        <v>80</v>
      </c>
      <c r="D2566" t="s">
        <v>81</v>
      </c>
      <c r="E2566" t="s">
        <v>39</v>
      </c>
      <c r="F2566" t="s">
        <v>82</v>
      </c>
      <c r="G2566" t="s">
        <v>197</v>
      </c>
      <c r="H2566" t="s">
        <v>198</v>
      </c>
      <c r="I2566">
        <v>26</v>
      </c>
      <c r="J2566" s="3">
        <v>1976.83</v>
      </c>
      <c r="K2566" s="3">
        <v>51397.58</v>
      </c>
      <c r="L2566" t="s">
        <v>34</v>
      </c>
      <c r="M2566" s="2">
        <v>45741</v>
      </c>
      <c r="N2566" s="2">
        <v>45741</v>
      </c>
      <c r="O2566" t="s">
        <v>43</v>
      </c>
      <c r="P2566" t="s">
        <v>44</v>
      </c>
      <c r="Q2566" t="s">
        <v>28</v>
      </c>
      <c r="R2566" t="s">
        <v>29</v>
      </c>
    </row>
    <row r="2567" spans="1:18">
      <c r="A2567" t="s">
        <v>2700</v>
      </c>
      <c r="B2567" s="2">
        <v>46112</v>
      </c>
      <c r="C2567" t="s">
        <v>19</v>
      </c>
      <c r="D2567" t="s">
        <v>20</v>
      </c>
      <c r="E2567" t="s">
        <v>39</v>
      </c>
      <c r="F2567" t="s">
        <v>22</v>
      </c>
      <c r="G2567" t="s">
        <v>32</v>
      </c>
      <c r="H2567" t="s">
        <v>33</v>
      </c>
      <c r="I2567">
        <v>13</v>
      </c>
      <c r="J2567" s="3">
        <v>7599.06</v>
      </c>
      <c r="K2567" s="3">
        <v>98787.78</v>
      </c>
      <c r="L2567" t="s">
        <v>25</v>
      </c>
      <c r="M2567" s="2">
        <v>46129</v>
      </c>
      <c r="N2567" s="2">
        <v>46128</v>
      </c>
      <c r="O2567" t="s">
        <v>43</v>
      </c>
      <c r="P2567" t="s">
        <v>64</v>
      </c>
      <c r="Q2567" t="s">
        <v>28</v>
      </c>
      <c r="R2567" t="s">
        <v>29</v>
      </c>
    </row>
    <row r="2568" spans="1:18">
      <c r="A2568" t="s">
        <v>2701</v>
      </c>
      <c r="B2568" s="2">
        <v>45949</v>
      </c>
      <c r="C2568" t="s">
        <v>89</v>
      </c>
      <c r="D2568" t="s">
        <v>90</v>
      </c>
      <c r="E2568" t="s">
        <v>31</v>
      </c>
      <c r="F2568" t="s">
        <v>91</v>
      </c>
      <c r="G2568" t="s">
        <v>109</v>
      </c>
      <c r="H2568" t="s">
        <v>110</v>
      </c>
      <c r="I2568">
        <v>1</v>
      </c>
      <c r="J2568" s="3">
        <v>12632.16</v>
      </c>
      <c r="K2568" s="3">
        <v>12632.16</v>
      </c>
      <c r="L2568" t="s">
        <v>34</v>
      </c>
      <c r="M2568" s="2">
        <v>45964</v>
      </c>
      <c r="N2568" s="2">
        <v>45964</v>
      </c>
      <c r="O2568" t="s">
        <v>60</v>
      </c>
      <c r="P2568" t="s">
        <v>94</v>
      </c>
      <c r="Q2568" t="s">
        <v>28</v>
      </c>
      <c r="R2568" t="s">
        <v>29</v>
      </c>
    </row>
    <row r="2569" spans="1:18">
      <c r="A2569" t="s">
        <v>2702</v>
      </c>
      <c r="B2569" s="2">
        <v>46106</v>
      </c>
      <c r="C2569" t="s">
        <v>131</v>
      </c>
      <c r="D2569" t="s">
        <v>132</v>
      </c>
      <c r="E2569" t="s">
        <v>48</v>
      </c>
      <c r="F2569" t="s">
        <v>57</v>
      </c>
      <c r="G2569" t="s">
        <v>86</v>
      </c>
      <c r="H2569" t="s">
        <v>87</v>
      </c>
      <c r="I2569">
        <v>2</v>
      </c>
      <c r="J2569" s="3">
        <v>11699.04</v>
      </c>
      <c r="K2569" s="3">
        <v>23398.080000000002</v>
      </c>
      <c r="L2569" t="s">
        <v>25</v>
      </c>
      <c r="M2569" s="2">
        <v>46112</v>
      </c>
      <c r="N2569" s="2">
        <v>46109</v>
      </c>
      <c r="O2569" t="s">
        <v>60</v>
      </c>
      <c r="P2569" t="s">
        <v>53</v>
      </c>
      <c r="Q2569" t="s">
        <v>28</v>
      </c>
      <c r="R2569" t="s">
        <v>29</v>
      </c>
    </row>
    <row r="2570" spans="1:18">
      <c r="A2570" t="s">
        <v>2703</v>
      </c>
      <c r="B2570" s="2">
        <v>45883</v>
      </c>
      <c r="C2570" t="s">
        <v>142</v>
      </c>
      <c r="D2570" t="s">
        <v>143</v>
      </c>
      <c r="E2570" t="s">
        <v>112</v>
      </c>
      <c r="F2570" t="s">
        <v>22</v>
      </c>
      <c r="G2570" t="s">
        <v>32</v>
      </c>
      <c r="H2570" t="s">
        <v>33</v>
      </c>
      <c r="I2570">
        <v>5</v>
      </c>
      <c r="J2570" s="3">
        <v>8156.97</v>
      </c>
      <c r="K2570" s="3">
        <v>40784.85</v>
      </c>
      <c r="L2570" t="s">
        <v>25</v>
      </c>
      <c r="M2570" s="2">
        <v>45896</v>
      </c>
      <c r="N2570" s="2">
        <v>45893</v>
      </c>
      <c r="O2570" t="s">
        <v>60</v>
      </c>
      <c r="P2570" t="s">
        <v>115</v>
      </c>
      <c r="Q2570" t="s">
        <v>28</v>
      </c>
      <c r="R2570" t="s">
        <v>29</v>
      </c>
    </row>
    <row r="2571" spans="1:18">
      <c r="A2571" t="s">
        <v>2704</v>
      </c>
      <c r="B2571" s="2">
        <v>45660</v>
      </c>
      <c r="C2571" t="s">
        <v>66</v>
      </c>
      <c r="D2571" t="s">
        <v>67</v>
      </c>
      <c r="E2571" t="s">
        <v>48</v>
      </c>
      <c r="F2571" t="s">
        <v>49</v>
      </c>
      <c r="G2571" t="s">
        <v>68</v>
      </c>
      <c r="H2571" t="s">
        <v>69</v>
      </c>
      <c r="I2571">
        <v>1</v>
      </c>
      <c r="J2571" s="3">
        <v>48213.32</v>
      </c>
      <c r="K2571" s="3">
        <v>48213.32</v>
      </c>
      <c r="L2571" t="s">
        <v>25</v>
      </c>
      <c r="M2571" s="2">
        <v>45674</v>
      </c>
      <c r="N2571" s="2">
        <v>45671</v>
      </c>
      <c r="O2571" t="s">
        <v>76</v>
      </c>
      <c r="P2571" t="s">
        <v>53</v>
      </c>
      <c r="Q2571" t="s">
        <v>28</v>
      </c>
      <c r="R2571" t="s">
        <v>29</v>
      </c>
    </row>
    <row r="2572" spans="1:18">
      <c r="A2572" t="s">
        <v>2705</v>
      </c>
      <c r="B2572" s="2">
        <v>46119</v>
      </c>
      <c r="C2572" t="s">
        <v>46</v>
      </c>
      <c r="D2572" t="s">
        <v>47</v>
      </c>
      <c r="E2572" t="s">
        <v>21</v>
      </c>
      <c r="F2572" t="s">
        <v>49</v>
      </c>
      <c r="G2572" t="s">
        <v>165</v>
      </c>
      <c r="H2572" t="s">
        <v>166</v>
      </c>
      <c r="I2572">
        <v>1</v>
      </c>
      <c r="J2572" s="3">
        <v>45816.2</v>
      </c>
      <c r="K2572" s="3">
        <v>45816.2</v>
      </c>
      <c r="L2572" t="s">
        <v>34</v>
      </c>
      <c r="M2572" s="2">
        <v>46128</v>
      </c>
      <c r="N2572" s="2">
        <v>46125</v>
      </c>
      <c r="O2572" t="s">
        <v>26</v>
      </c>
      <c r="P2572" t="s">
        <v>27</v>
      </c>
      <c r="Q2572" t="s">
        <v>28</v>
      </c>
      <c r="R2572" t="s">
        <v>29</v>
      </c>
    </row>
    <row r="2573" spans="1:18">
      <c r="A2573" t="s">
        <v>2706</v>
      </c>
      <c r="B2573" s="2">
        <v>46020</v>
      </c>
      <c r="C2573" t="s">
        <v>142</v>
      </c>
      <c r="D2573" t="s">
        <v>143</v>
      </c>
      <c r="E2573" t="s">
        <v>31</v>
      </c>
      <c r="F2573" t="s">
        <v>22</v>
      </c>
      <c r="G2573" t="s">
        <v>23</v>
      </c>
      <c r="H2573" t="s">
        <v>24</v>
      </c>
      <c r="I2573">
        <v>18</v>
      </c>
      <c r="J2573" s="3">
        <v>238.75</v>
      </c>
      <c r="K2573" s="3">
        <v>4297.5</v>
      </c>
      <c r="L2573" t="s">
        <v>25</v>
      </c>
      <c r="M2573" s="2">
        <v>46026</v>
      </c>
      <c r="N2573" s="2">
        <v>46025</v>
      </c>
      <c r="O2573" t="s">
        <v>60</v>
      </c>
      <c r="P2573" t="s">
        <v>94</v>
      </c>
      <c r="Q2573" t="s">
        <v>28</v>
      </c>
      <c r="R2573" t="s">
        <v>29</v>
      </c>
    </row>
    <row r="2574" spans="1:18">
      <c r="A2574" t="s">
        <v>2707</v>
      </c>
      <c r="B2574" s="2">
        <v>45981</v>
      </c>
      <c r="C2574" t="s">
        <v>19</v>
      </c>
      <c r="D2574" t="s">
        <v>20</v>
      </c>
      <c r="E2574" t="s">
        <v>31</v>
      </c>
      <c r="F2574" t="s">
        <v>22</v>
      </c>
      <c r="G2574" t="s">
        <v>23</v>
      </c>
      <c r="H2574" t="s">
        <v>24</v>
      </c>
      <c r="I2574">
        <v>38</v>
      </c>
      <c r="J2574" s="3">
        <v>230.29</v>
      </c>
      <c r="K2574" s="3">
        <v>8751.02</v>
      </c>
      <c r="L2574" t="s">
        <v>34</v>
      </c>
      <c r="M2574" s="2">
        <v>45986</v>
      </c>
      <c r="N2574" s="2">
        <v>45986</v>
      </c>
      <c r="O2574" t="s">
        <v>60</v>
      </c>
      <c r="P2574" t="s">
        <v>94</v>
      </c>
      <c r="Q2574" t="s">
        <v>28</v>
      </c>
      <c r="R2574" t="s">
        <v>29</v>
      </c>
    </row>
    <row r="2575" spans="1:18">
      <c r="A2575" t="s">
        <v>2708</v>
      </c>
      <c r="B2575" s="2">
        <v>45981</v>
      </c>
      <c r="C2575" t="s">
        <v>117</v>
      </c>
      <c r="D2575" t="s">
        <v>118</v>
      </c>
      <c r="E2575" t="s">
        <v>73</v>
      </c>
      <c r="F2575" t="s">
        <v>57</v>
      </c>
      <c r="G2575" t="s">
        <v>101</v>
      </c>
      <c r="H2575" t="s">
        <v>102</v>
      </c>
      <c r="I2575">
        <v>42</v>
      </c>
      <c r="J2575" s="3">
        <v>1751.96</v>
      </c>
      <c r="K2575" s="3">
        <v>73582.320000000007</v>
      </c>
      <c r="L2575" t="s">
        <v>25</v>
      </c>
      <c r="M2575" s="2">
        <v>45996</v>
      </c>
      <c r="N2575" s="2">
        <v>45998</v>
      </c>
      <c r="O2575" t="s">
        <v>76</v>
      </c>
      <c r="P2575" t="s">
        <v>77</v>
      </c>
      <c r="Q2575" t="s">
        <v>28</v>
      </c>
      <c r="R2575" t="s">
        <v>129</v>
      </c>
    </row>
    <row r="2576" spans="1:18">
      <c r="A2576" t="s">
        <v>2709</v>
      </c>
      <c r="B2576" s="2">
        <v>46059</v>
      </c>
      <c r="C2576" t="s">
        <v>55</v>
      </c>
      <c r="D2576" t="s">
        <v>56</v>
      </c>
      <c r="E2576" t="s">
        <v>48</v>
      </c>
      <c r="F2576" t="s">
        <v>57</v>
      </c>
      <c r="G2576" t="s">
        <v>120</v>
      </c>
      <c r="H2576" t="s">
        <v>121</v>
      </c>
      <c r="I2576">
        <v>4</v>
      </c>
      <c r="J2576" s="3">
        <v>24413.07</v>
      </c>
      <c r="K2576" s="3">
        <v>97652.28</v>
      </c>
      <c r="L2576" t="s">
        <v>34</v>
      </c>
      <c r="M2576" s="2">
        <v>46077</v>
      </c>
      <c r="N2576" s="2">
        <v>46076</v>
      </c>
      <c r="O2576" t="s">
        <v>43</v>
      </c>
      <c r="P2576" t="s">
        <v>53</v>
      </c>
      <c r="Q2576" t="s">
        <v>28</v>
      </c>
      <c r="R2576" t="s">
        <v>29</v>
      </c>
    </row>
    <row r="2577" spans="1:18">
      <c r="A2577" t="s">
        <v>2710</v>
      </c>
      <c r="B2577" s="2">
        <v>45765</v>
      </c>
      <c r="C2577" t="s">
        <v>71</v>
      </c>
      <c r="D2577" t="s">
        <v>72</v>
      </c>
      <c r="E2577" t="s">
        <v>31</v>
      </c>
      <c r="F2577" t="s">
        <v>57</v>
      </c>
      <c r="G2577" t="s">
        <v>127</v>
      </c>
      <c r="H2577" t="s">
        <v>128</v>
      </c>
      <c r="I2577">
        <v>4</v>
      </c>
      <c r="J2577" s="3">
        <v>14769.61</v>
      </c>
      <c r="K2577" s="3">
        <v>59078.44</v>
      </c>
      <c r="L2577" t="s">
        <v>25</v>
      </c>
      <c r="M2577" s="2">
        <v>45772</v>
      </c>
      <c r="N2577" s="2">
        <v>45774</v>
      </c>
      <c r="O2577" t="s">
        <v>26</v>
      </c>
      <c r="P2577" t="s">
        <v>35</v>
      </c>
      <c r="Q2577" t="s">
        <v>28</v>
      </c>
      <c r="R2577" t="s">
        <v>129</v>
      </c>
    </row>
    <row r="2578" spans="1:18">
      <c r="A2578" t="s">
        <v>2711</v>
      </c>
      <c r="B2578" s="2">
        <v>45837</v>
      </c>
      <c r="C2578" t="s">
        <v>19</v>
      </c>
      <c r="D2578" t="s">
        <v>20</v>
      </c>
      <c r="E2578" t="s">
        <v>39</v>
      </c>
      <c r="F2578" t="s">
        <v>22</v>
      </c>
      <c r="G2578" t="s">
        <v>32</v>
      </c>
      <c r="H2578" t="s">
        <v>33</v>
      </c>
      <c r="I2578">
        <v>6</v>
      </c>
      <c r="J2578" s="3">
        <v>7092.01</v>
      </c>
      <c r="K2578" s="3">
        <v>42552.06</v>
      </c>
      <c r="L2578" t="s">
        <v>34</v>
      </c>
      <c r="M2578" s="2">
        <v>45851</v>
      </c>
      <c r="N2578" s="2">
        <v>45851</v>
      </c>
      <c r="O2578" t="s">
        <v>26</v>
      </c>
      <c r="P2578" t="s">
        <v>44</v>
      </c>
      <c r="Q2578" t="s">
        <v>28</v>
      </c>
      <c r="R2578" t="s">
        <v>29</v>
      </c>
    </row>
    <row r="2579" spans="1:18">
      <c r="A2579" t="s">
        <v>2712</v>
      </c>
      <c r="B2579" s="2">
        <v>45979</v>
      </c>
      <c r="C2579" t="s">
        <v>142</v>
      </c>
      <c r="D2579" t="s">
        <v>143</v>
      </c>
      <c r="E2579" t="s">
        <v>31</v>
      </c>
      <c r="F2579" t="s">
        <v>22</v>
      </c>
      <c r="G2579" t="s">
        <v>32</v>
      </c>
      <c r="H2579" t="s">
        <v>33</v>
      </c>
      <c r="I2579">
        <v>13</v>
      </c>
      <c r="J2579" s="3">
        <v>7967.64</v>
      </c>
      <c r="K2579" s="3">
        <v>103579.32</v>
      </c>
      <c r="L2579" t="s">
        <v>34</v>
      </c>
      <c r="M2579" s="2">
        <v>45996</v>
      </c>
      <c r="N2579" s="2">
        <v>45993</v>
      </c>
      <c r="O2579" t="s">
        <v>60</v>
      </c>
      <c r="P2579" t="s">
        <v>35</v>
      </c>
      <c r="Q2579" t="s">
        <v>28</v>
      </c>
      <c r="R2579" t="s">
        <v>29</v>
      </c>
    </row>
    <row r="2580" spans="1:18">
      <c r="A2580" t="s">
        <v>2713</v>
      </c>
      <c r="B2580" s="2">
        <v>46098</v>
      </c>
      <c r="C2580" t="s">
        <v>107</v>
      </c>
      <c r="D2580" t="s">
        <v>108</v>
      </c>
      <c r="E2580" t="s">
        <v>31</v>
      </c>
      <c r="F2580" t="s">
        <v>91</v>
      </c>
      <c r="G2580" t="s">
        <v>109</v>
      </c>
      <c r="H2580" t="s">
        <v>110</v>
      </c>
      <c r="I2580">
        <v>1</v>
      </c>
      <c r="J2580" s="3">
        <v>14236.44</v>
      </c>
      <c r="K2580" s="3">
        <v>14236.44</v>
      </c>
      <c r="L2580" t="s">
        <v>25</v>
      </c>
      <c r="M2580" s="2">
        <v>46115</v>
      </c>
      <c r="N2580" s="2">
        <v>46113</v>
      </c>
      <c r="O2580" t="s">
        <v>26</v>
      </c>
      <c r="P2580" t="s">
        <v>35</v>
      </c>
      <c r="Q2580" t="s">
        <v>28</v>
      </c>
      <c r="R2580" t="s">
        <v>29</v>
      </c>
    </row>
    <row r="2581" spans="1:18">
      <c r="A2581" t="s">
        <v>2714</v>
      </c>
      <c r="B2581" s="2">
        <v>45881</v>
      </c>
      <c r="C2581" t="s">
        <v>71</v>
      </c>
      <c r="D2581" t="s">
        <v>72</v>
      </c>
      <c r="E2581" t="s">
        <v>21</v>
      </c>
      <c r="F2581" t="s">
        <v>57</v>
      </c>
      <c r="G2581" t="s">
        <v>120</v>
      </c>
      <c r="H2581" t="s">
        <v>121</v>
      </c>
      <c r="I2581">
        <v>2</v>
      </c>
      <c r="J2581" s="3">
        <v>19695.34</v>
      </c>
      <c r="K2581" s="3">
        <v>39390.68</v>
      </c>
      <c r="L2581" t="s">
        <v>25</v>
      </c>
      <c r="M2581" s="2">
        <v>45894</v>
      </c>
      <c r="N2581" s="2">
        <v>45899</v>
      </c>
      <c r="O2581" t="s">
        <v>26</v>
      </c>
      <c r="P2581" t="s">
        <v>27</v>
      </c>
      <c r="Q2581" t="s">
        <v>28</v>
      </c>
      <c r="R2581" t="s">
        <v>129</v>
      </c>
    </row>
    <row r="2582" spans="1:18">
      <c r="A2582" t="s">
        <v>2715</v>
      </c>
      <c r="B2582" s="2">
        <v>45666</v>
      </c>
      <c r="C2582" t="s">
        <v>117</v>
      </c>
      <c r="D2582" t="s">
        <v>118</v>
      </c>
      <c r="E2582" t="s">
        <v>48</v>
      </c>
      <c r="F2582" t="s">
        <v>57</v>
      </c>
      <c r="G2582" t="s">
        <v>127</v>
      </c>
      <c r="H2582" t="s">
        <v>128</v>
      </c>
      <c r="I2582">
        <v>2</v>
      </c>
      <c r="J2582" s="3">
        <v>15811.98</v>
      </c>
      <c r="K2582" s="3">
        <v>31623.96</v>
      </c>
      <c r="L2582" t="s">
        <v>34</v>
      </c>
      <c r="M2582" s="2">
        <v>45676</v>
      </c>
      <c r="N2582" s="2">
        <v>45676</v>
      </c>
      <c r="O2582" t="s">
        <v>43</v>
      </c>
      <c r="P2582" t="s">
        <v>53</v>
      </c>
      <c r="Q2582" t="s">
        <v>28</v>
      </c>
      <c r="R2582" t="s">
        <v>29</v>
      </c>
    </row>
    <row r="2583" spans="1:18">
      <c r="A2583" t="s">
        <v>2716</v>
      </c>
      <c r="B2583" s="2">
        <v>45765</v>
      </c>
      <c r="C2583" t="s">
        <v>104</v>
      </c>
      <c r="D2583" t="s">
        <v>105</v>
      </c>
      <c r="E2583" t="s">
        <v>73</v>
      </c>
      <c r="F2583" t="s">
        <v>49</v>
      </c>
      <c r="G2583" t="s">
        <v>113</v>
      </c>
      <c r="H2583" t="s">
        <v>114</v>
      </c>
      <c r="I2583">
        <v>2</v>
      </c>
      <c r="J2583" s="3">
        <v>39315.89</v>
      </c>
      <c r="K2583" s="3">
        <v>78631.78</v>
      </c>
      <c r="L2583" t="s">
        <v>34</v>
      </c>
      <c r="M2583" s="2">
        <v>45783</v>
      </c>
      <c r="N2583" s="2">
        <v>45783</v>
      </c>
      <c r="O2583" t="s">
        <v>26</v>
      </c>
      <c r="P2583" t="s">
        <v>77</v>
      </c>
      <c r="Q2583" t="s">
        <v>28</v>
      </c>
      <c r="R2583" t="s">
        <v>29</v>
      </c>
    </row>
    <row r="2584" spans="1:18">
      <c r="A2584" t="s">
        <v>2717</v>
      </c>
      <c r="B2584" s="2">
        <v>45891</v>
      </c>
      <c r="C2584" t="s">
        <v>147</v>
      </c>
      <c r="D2584" t="s">
        <v>148</v>
      </c>
      <c r="E2584" t="s">
        <v>39</v>
      </c>
      <c r="F2584" t="s">
        <v>40</v>
      </c>
      <c r="G2584" t="s">
        <v>136</v>
      </c>
      <c r="H2584" t="s">
        <v>137</v>
      </c>
      <c r="I2584">
        <v>27</v>
      </c>
      <c r="J2584" s="3">
        <v>1559.1</v>
      </c>
      <c r="K2584" s="3">
        <v>42095.7</v>
      </c>
      <c r="L2584" t="s">
        <v>25</v>
      </c>
      <c r="M2584" s="2">
        <v>45904</v>
      </c>
      <c r="N2584" s="2">
        <v>45903</v>
      </c>
      <c r="O2584" t="s">
        <v>43</v>
      </c>
      <c r="P2584" t="s">
        <v>64</v>
      </c>
      <c r="Q2584" t="s">
        <v>28</v>
      </c>
      <c r="R2584" t="s">
        <v>29</v>
      </c>
    </row>
    <row r="2585" spans="1:18">
      <c r="A2585" t="s">
        <v>2718</v>
      </c>
      <c r="B2585" s="2">
        <v>46085</v>
      </c>
      <c r="C2585" t="s">
        <v>117</v>
      </c>
      <c r="D2585" t="s">
        <v>118</v>
      </c>
      <c r="E2585" t="s">
        <v>73</v>
      </c>
      <c r="F2585" t="s">
        <v>57</v>
      </c>
      <c r="G2585" t="s">
        <v>74</v>
      </c>
      <c r="H2585" t="s">
        <v>75</v>
      </c>
      <c r="I2585">
        <v>3</v>
      </c>
      <c r="J2585" s="3">
        <v>9057.5499999999993</v>
      </c>
      <c r="K2585" s="3">
        <v>27172.65</v>
      </c>
      <c r="L2585" t="s">
        <v>34</v>
      </c>
      <c r="M2585" s="2">
        <v>46094</v>
      </c>
      <c r="N2585" s="2">
        <v>46091</v>
      </c>
      <c r="O2585" t="s">
        <v>26</v>
      </c>
      <c r="P2585" t="s">
        <v>77</v>
      </c>
      <c r="Q2585" t="s">
        <v>28</v>
      </c>
      <c r="R2585" t="s">
        <v>29</v>
      </c>
    </row>
    <row r="2586" spans="1:18">
      <c r="A2586" t="s">
        <v>2719</v>
      </c>
      <c r="B2586" s="2">
        <v>45989</v>
      </c>
      <c r="C2586" t="s">
        <v>37</v>
      </c>
      <c r="D2586" t="s">
        <v>38</v>
      </c>
      <c r="E2586" t="s">
        <v>112</v>
      </c>
      <c r="F2586" t="s">
        <v>22</v>
      </c>
      <c r="G2586" t="s">
        <v>23</v>
      </c>
      <c r="H2586" t="s">
        <v>24</v>
      </c>
      <c r="I2586">
        <v>58</v>
      </c>
      <c r="J2586" s="3">
        <v>273.81</v>
      </c>
      <c r="K2586" s="3">
        <v>15880.98</v>
      </c>
      <c r="L2586" t="s">
        <v>34</v>
      </c>
      <c r="M2586" s="2">
        <v>46000</v>
      </c>
      <c r="N2586" s="2">
        <v>45998</v>
      </c>
      <c r="O2586" t="s">
        <v>43</v>
      </c>
      <c r="P2586" t="s">
        <v>115</v>
      </c>
      <c r="Q2586" t="s">
        <v>28</v>
      </c>
      <c r="R2586" t="s">
        <v>29</v>
      </c>
    </row>
    <row r="2587" spans="1:18">
      <c r="A2587" t="s">
        <v>2720</v>
      </c>
      <c r="B2587" s="2">
        <v>45981</v>
      </c>
      <c r="C2587" t="s">
        <v>142</v>
      </c>
      <c r="D2587" t="s">
        <v>143</v>
      </c>
      <c r="E2587" t="s">
        <v>21</v>
      </c>
      <c r="F2587" t="s">
        <v>22</v>
      </c>
      <c r="G2587" t="s">
        <v>160</v>
      </c>
      <c r="H2587" t="s">
        <v>161</v>
      </c>
      <c r="I2587">
        <v>13</v>
      </c>
      <c r="J2587" s="3">
        <v>3109.18</v>
      </c>
      <c r="K2587" s="3">
        <v>40419.339999999997</v>
      </c>
      <c r="L2587" t="s">
        <v>52</v>
      </c>
      <c r="M2587" s="2">
        <v>45990</v>
      </c>
      <c r="N2587" s="2">
        <v>45989</v>
      </c>
      <c r="O2587" t="s">
        <v>76</v>
      </c>
      <c r="P2587" t="s">
        <v>27</v>
      </c>
      <c r="Q2587" t="s">
        <v>28</v>
      </c>
      <c r="R2587" t="s">
        <v>29</v>
      </c>
    </row>
    <row r="2588" spans="1:18">
      <c r="A2588" t="s">
        <v>2721</v>
      </c>
      <c r="B2588" s="2">
        <v>46087</v>
      </c>
      <c r="C2588" t="s">
        <v>46</v>
      </c>
      <c r="D2588" t="s">
        <v>47</v>
      </c>
      <c r="E2588" t="s">
        <v>112</v>
      </c>
      <c r="F2588" t="s">
        <v>49</v>
      </c>
      <c r="G2588" t="s">
        <v>113</v>
      </c>
      <c r="H2588" t="s">
        <v>114</v>
      </c>
      <c r="I2588">
        <v>1</v>
      </c>
      <c r="J2588" s="3">
        <v>41628.31</v>
      </c>
      <c r="K2588" s="3">
        <v>41628.31</v>
      </c>
      <c r="L2588" t="s">
        <v>34</v>
      </c>
      <c r="M2588" s="2">
        <v>46093</v>
      </c>
      <c r="N2588" s="2">
        <v>46093</v>
      </c>
      <c r="O2588" t="s">
        <v>76</v>
      </c>
      <c r="P2588" t="s">
        <v>115</v>
      </c>
      <c r="Q2588" t="s">
        <v>28</v>
      </c>
      <c r="R2588" t="s">
        <v>29</v>
      </c>
    </row>
    <row r="2589" spans="1:18">
      <c r="A2589" t="s">
        <v>2722</v>
      </c>
      <c r="B2589" s="2">
        <v>45895</v>
      </c>
      <c r="C2589" t="s">
        <v>104</v>
      </c>
      <c r="D2589" t="s">
        <v>105</v>
      </c>
      <c r="E2589" t="s">
        <v>21</v>
      </c>
      <c r="F2589" t="s">
        <v>2723</v>
      </c>
      <c r="G2589" t="s">
        <v>68</v>
      </c>
      <c r="H2589" t="s">
        <v>69</v>
      </c>
      <c r="I2589">
        <v>2</v>
      </c>
      <c r="J2589" s="3">
        <v>49259.64</v>
      </c>
      <c r="K2589" s="3">
        <v>98519.28</v>
      </c>
      <c r="L2589" t="s">
        <v>34</v>
      </c>
      <c r="M2589" s="2">
        <v>45900</v>
      </c>
      <c r="N2589" s="2">
        <v>45900</v>
      </c>
      <c r="O2589" t="s">
        <v>43</v>
      </c>
      <c r="P2589" t="s">
        <v>27</v>
      </c>
      <c r="Q2589" t="s">
        <v>28</v>
      </c>
      <c r="R2589" t="s">
        <v>29</v>
      </c>
    </row>
    <row r="2590" spans="1:18">
      <c r="A2590" t="s">
        <v>2724</v>
      </c>
      <c r="B2590" s="2">
        <v>45886</v>
      </c>
      <c r="C2590" t="s">
        <v>19</v>
      </c>
      <c r="D2590" t="s">
        <v>20</v>
      </c>
      <c r="E2590" t="s">
        <v>21</v>
      </c>
      <c r="F2590" t="s">
        <v>22</v>
      </c>
      <c r="G2590" t="s">
        <v>23</v>
      </c>
      <c r="H2590" t="s">
        <v>24</v>
      </c>
      <c r="I2590">
        <v>32</v>
      </c>
      <c r="J2590" s="3">
        <v>225.3</v>
      </c>
      <c r="K2590" s="3">
        <v>7209.6</v>
      </c>
      <c r="L2590" t="s">
        <v>34</v>
      </c>
      <c r="M2590" s="2">
        <v>45891</v>
      </c>
      <c r="N2590" s="2">
        <v>45889</v>
      </c>
      <c r="O2590" t="s">
        <v>76</v>
      </c>
      <c r="P2590" t="s">
        <v>27</v>
      </c>
      <c r="Q2590" t="s">
        <v>28</v>
      </c>
      <c r="R2590" t="s">
        <v>29</v>
      </c>
    </row>
    <row r="2591" spans="1:18">
      <c r="A2591" t="s">
        <v>2725</v>
      </c>
      <c r="B2591" s="2">
        <v>45812</v>
      </c>
      <c r="C2591" t="s">
        <v>55</v>
      </c>
      <c r="D2591" t="s">
        <v>56</v>
      </c>
      <c r="E2591" t="s">
        <v>31</v>
      </c>
      <c r="F2591" t="s">
        <v>57</v>
      </c>
      <c r="G2591" t="s">
        <v>86</v>
      </c>
      <c r="H2591" t="s">
        <v>87</v>
      </c>
      <c r="I2591">
        <v>1</v>
      </c>
      <c r="J2591" s="3">
        <v>11961.64</v>
      </c>
      <c r="K2591" s="3">
        <v>11961.64</v>
      </c>
      <c r="L2591" t="s">
        <v>34</v>
      </c>
      <c r="M2591" s="2">
        <v>45822</v>
      </c>
      <c r="N2591" s="2">
        <v>45820</v>
      </c>
      <c r="O2591" t="s">
        <v>26</v>
      </c>
      <c r="P2591" t="s">
        <v>35</v>
      </c>
      <c r="Q2591" t="s">
        <v>28</v>
      </c>
      <c r="R2591" t="s">
        <v>29</v>
      </c>
    </row>
    <row r="2592" spans="1:18">
      <c r="A2592" t="s">
        <v>2726</v>
      </c>
      <c r="B2592" s="2">
        <v>45854</v>
      </c>
      <c r="C2592" t="s">
        <v>80</v>
      </c>
      <c r="D2592" t="s">
        <v>81</v>
      </c>
      <c r="E2592" t="s">
        <v>39</v>
      </c>
      <c r="F2592" t="s">
        <v>82</v>
      </c>
      <c r="G2592" t="s">
        <v>83</v>
      </c>
      <c r="H2592" t="s">
        <v>84</v>
      </c>
      <c r="I2592">
        <v>48</v>
      </c>
      <c r="J2592" s="3">
        <v>715.83</v>
      </c>
      <c r="K2592" s="3">
        <v>34359.839999999997</v>
      </c>
      <c r="L2592" t="s">
        <v>25</v>
      </c>
      <c r="M2592" s="2">
        <v>45870</v>
      </c>
      <c r="N2592" s="2">
        <v>45869</v>
      </c>
      <c r="O2592" t="s">
        <v>60</v>
      </c>
      <c r="P2592" t="s">
        <v>64</v>
      </c>
      <c r="Q2592" t="s">
        <v>28</v>
      </c>
      <c r="R2592" t="s">
        <v>29</v>
      </c>
    </row>
    <row r="2593" spans="1:18">
      <c r="A2593" t="s">
        <v>2727</v>
      </c>
      <c r="B2593" s="2">
        <v>46044</v>
      </c>
      <c r="C2593" t="s">
        <v>71</v>
      </c>
      <c r="D2593" t="s">
        <v>72</v>
      </c>
      <c r="E2593" t="s">
        <v>73</v>
      </c>
      <c r="F2593" t="s">
        <v>57</v>
      </c>
      <c r="G2593" t="s">
        <v>58</v>
      </c>
      <c r="H2593" t="s">
        <v>59</v>
      </c>
      <c r="I2593">
        <v>3</v>
      </c>
      <c r="J2593" s="3">
        <v>54571.23</v>
      </c>
      <c r="K2593" s="3">
        <v>163713.69</v>
      </c>
      <c r="L2593" t="s">
        <v>25</v>
      </c>
      <c r="M2593" s="2">
        <v>46052</v>
      </c>
      <c r="N2593" s="2">
        <v>46052</v>
      </c>
      <c r="O2593" t="s">
        <v>76</v>
      </c>
      <c r="P2593" t="s">
        <v>77</v>
      </c>
      <c r="Q2593" t="s">
        <v>28</v>
      </c>
      <c r="R2593" t="s">
        <v>29</v>
      </c>
    </row>
    <row r="2594" spans="1:18">
      <c r="A2594" t="s">
        <v>2728</v>
      </c>
      <c r="B2594" s="2">
        <v>46138</v>
      </c>
      <c r="C2594" t="s">
        <v>71</v>
      </c>
      <c r="D2594" t="s">
        <v>72</v>
      </c>
      <c r="E2594" t="s">
        <v>73</v>
      </c>
      <c r="F2594" t="s">
        <v>57</v>
      </c>
      <c r="G2594" t="s">
        <v>86</v>
      </c>
      <c r="H2594" t="s">
        <v>87</v>
      </c>
      <c r="I2594">
        <v>4</v>
      </c>
      <c r="J2594" s="3">
        <v>9872.36</v>
      </c>
      <c r="K2594" s="3">
        <v>39489.440000000002</v>
      </c>
      <c r="L2594" t="s">
        <v>25</v>
      </c>
      <c r="M2594" s="2">
        <v>46144</v>
      </c>
      <c r="N2594" s="2">
        <v>46143</v>
      </c>
      <c r="O2594" t="s">
        <v>76</v>
      </c>
      <c r="P2594" t="s">
        <v>77</v>
      </c>
      <c r="Q2594" t="s">
        <v>28</v>
      </c>
      <c r="R2594" t="s">
        <v>29</v>
      </c>
    </row>
    <row r="2595" spans="1:18">
      <c r="A2595" t="s">
        <v>2729</v>
      </c>
      <c r="B2595" s="2">
        <v>45886</v>
      </c>
      <c r="C2595" t="s">
        <v>117</v>
      </c>
      <c r="D2595" t="s">
        <v>118</v>
      </c>
      <c r="E2595" t="s">
        <v>48</v>
      </c>
      <c r="F2595" t="s">
        <v>57</v>
      </c>
      <c r="G2595" t="s">
        <v>74</v>
      </c>
      <c r="H2595" t="s">
        <v>75</v>
      </c>
      <c r="I2595">
        <v>10</v>
      </c>
      <c r="J2595" s="3">
        <v>8562.0300000000007</v>
      </c>
      <c r="K2595" s="3">
        <v>85620.3</v>
      </c>
      <c r="L2595" t="s">
        <v>52</v>
      </c>
      <c r="M2595" s="2">
        <v>45895</v>
      </c>
      <c r="N2595" s="2">
        <v>45895</v>
      </c>
      <c r="O2595" t="s">
        <v>76</v>
      </c>
      <c r="P2595" t="s">
        <v>53</v>
      </c>
      <c r="Q2595" t="s">
        <v>28</v>
      </c>
      <c r="R2595" t="s">
        <v>29</v>
      </c>
    </row>
    <row r="2596" spans="1:18">
      <c r="A2596" t="s">
        <v>2730</v>
      </c>
      <c r="B2596" s="2">
        <v>46007</v>
      </c>
      <c r="C2596" t="s">
        <v>96</v>
      </c>
      <c r="D2596" t="s">
        <v>97</v>
      </c>
      <c r="E2596" t="s">
        <v>39</v>
      </c>
      <c r="F2596" t="s">
        <v>82</v>
      </c>
      <c r="G2596" t="s">
        <v>197</v>
      </c>
      <c r="H2596" t="s">
        <v>198</v>
      </c>
      <c r="I2596">
        <v>38</v>
      </c>
      <c r="J2596" s="3">
        <v>2139.0100000000002</v>
      </c>
      <c r="K2596" s="3">
        <v>81282.38</v>
      </c>
      <c r="L2596" t="s">
        <v>25</v>
      </c>
      <c r="M2596" s="2">
        <v>46015</v>
      </c>
      <c r="N2596" s="2">
        <v>46015</v>
      </c>
      <c r="O2596" t="s">
        <v>26</v>
      </c>
      <c r="P2596" t="s">
        <v>44</v>
      </c>
      <c r="Q2596" t="s">
        <v>28</v>
      </c>
      <c r="R2596" t="s">
        <v>29</v>
      </c>
    </row>
    <row r="2597" spans="1:18">
      <c r="A2597" t="s">
        <v>2731</v>
      </c>
      <c r="B2597" s="2">
        <v>46069</v>
      </c>
      <c r="C2597" t="s">
        <v>142</v>
      </c>
      <c r="D2597" t="s">
        <v>143</v>
      </c>
      <c r="E2597" t="s">
        <v>39</v>
      </c>
      <c r="F2597" t="s">
        <v>22</v>
      </c>
      <c r="G2597" t="s">
        <v>32</v>
      </c>
      <c r="H2597" t="s">
        <v>33</v>
      </c>
      <c r="I2597">
        <v>6</v>
      </c>
      <c r="J2597" s="3">
        <v>7821.34</v>
      </c>
      <c r="K2597" s="3">
        <v>46928.04</v>
      </c>
      <c r="L2597" t="s">
        <v>25</v>
      </c>
      <c r="M2597" s="2">
        <v>46084</v>
      </c>
      <c r="N2597" s="2">
        <v>46084</v>
      </c>
      <c r="O2597" t="s">
        <v>60</v>
      </c>
      <c r="P2597" t="s">
        <v>44</v>
      </c>
      <c r="Q2597" t="s">
        <v>28</v>
      </c>
      <c r="R2597" t="s">
        <v>29</v>
      </c>
    </row>
    <row r="2598" spans="1:18">
      <c r="A2598" t="s">
        <v>2732</v>
      </c>
      <c r="B2598" s="2">
        <v>46026</v>
      </c>
      <c r="C2598" t="s">
        <v>71</v>
      </c>
      <c r="D2598" t="s">
        <v>72</v>
      </c>
      <c r="E2598" t="s">
        <v>73</v>
      </c>
      <c r="F2598" t="s">
        <v>57</v>
      </c>
      <c r="G2598" t="s">
        <v>127</v>
      </c>
      <c r="H2598" t="s">
        <v>128</v>
      </c>
      <c r="I2598">
        <v>2</v>
      </c>
      <c r="J2598" s="3">
        <v>15576.67</v>
      </c>
      <c r="K2598" s="3">
        <v>31153.34</v>
      </c>
      <c r="L2598" t="s">
        <v>34</v>
      </c>
      <c r="M2598" s="2">
        <v>46034</v>
      </c>
      <c r="N2598" s="2">
        <v>46047</v>
      </c>
      <c r="O2598" t="s">
        <v>43</v>
      </c>
      <c r="P2598" t="s">
        <v>77</v>
      </c>
      <c r="Q2598" t="s">
        <v>28</v>
      </c>
      <c r="R2598" t="s">
        <v>129</v>
      </c>
    </row>
    <row r="2599" spans="1:18">
      <c r="A2599" t="s">
        <v>2733</v>
      </c>
      <c r="B2599" s="2">
        <v>45979</v>
      </c>
      <c r="C2599" t="s">
        <v>142</v>
      </c>
      <c r="D2599" t="s">
        <v>143</v>
      </c>
      <c r="E2599" t="s">
        <v>112</v>
      </c>
      <c r="F2599" t="s">
        <v>22</v>
      </c>
      <c r="G2599" t="s">
        <v>160</v>
      </c>
      <c r="H2599" t="s">
        <v>161</v>
      </c>
      <c r="I2599">
        <v>11</v>
      </c>
      <c r="J2599" s="3">
        <v>3220.63</v>
      </c>
      <c r="K2599" s="3">
        <v>35426.93</v>
      </c>
      <c r="L2599" t="s">
        <v>25</v>
      </c>
      <c r="M2599" s="2">
        <v>45992</v>
      </c>
      <c r="N2599" s="2">
        <v>45991</v>
      </c>
      <c r="O2599" t="s">
        <v>26</v>
      </c>
      <c r="P2599" t="s">
        <v>115</v>
      </c>
      <c r="Q2599" t="s">
        <v>28</v>
      </c>
      <c r="R2599" t="s">
        <v>29</v>
      </c>
    </row>
    <row r="2600" spans="1:18">
      <c r="A2600" t="s">
        <v>2734</v>
      </c>
      <c r="B2600" s="2">
        <v>46107</v>
      </c>
      <c r="C2600" t="s">
        <v>142</v>
      </c>
      <c r="D2600" t="s">
        <v>143</v>
      </c>
      <c r="E2600" t="s">
        <v>31</v>
      </c>
      <c r="F2600" t="s">
        <v>22</v>
      </c>
      <c r="G2600" t="s">
        <v>32</v>
      </c>
      <c r="H2600" t="s">
        <v>33</v>
      </c>
      <c r="I2600">
        <v>15</v>
      </c>
      <c r="J2600" s="3">
        <v>7815.72</v>
      </c>
      <c r="K2600" s="3">
        <v>117235.8</v>
      </c>
      <c r="L2600" t="s">
        <v>25</v>
      </c>
      <c r="M2600" s="2">
        <v>46122</v>
      </c>
      <c r="N2600" s="2">
        <v>46121</v>
      </c>
      <c r="O2600" t="s">
        <v>26</v>
      </c>
      <c r="P2600" t="s">
        <v>94</v>
      </c>
      <c r="Q2600" t="s">
        <v>28</v>
      </c>
      <c r="R2600" t="s">
        <v>29</v>
      </c>
    </row>
    <row r="2601" spans="1:18">
      <c r="A2601" t="s">
        <v>2735</v>
      </c>
      <c r="B2601" s="2">
        <v>45958</v>
      </c>
      <c r="C2601" t="s">
        <v>142</v>
      </c>
      <c r="D2601" t="s">
        <v>143</v>
      </c>
      <c r="E2601" t="s">
        <v>39</v>
      </c>
      <c r="F2601" t="s">
        <v>22</v>
      </c>
      <c r="G2601" t="s">
        <v>32</v>
      </c>
      <c r="H2601" t="s">
        <v>33</v>
      </c>
      <c r="I2601">
        <v>9</v>
      </c>
      <c r="J2601" s="3">
        <v>8114.3</v>
      </c>
      <c r="K2601" s="3">
        <v>73028.7</v>
      </c>
      <c r="L2601" t="s">
        <v>34</v>
      </c>
      <c r="M2601" s="2">
        <v>45975</v>
      </c>
      <c r="N2601" s="2">
        <v>45980</v>
      </c>
      <c r="O2601" t="s">
        <v>60</v>
      </c>
      <c r="P2601" t="s">
        <v>44</v>
      </c>
      <c r="Q2601" t="s">
        <v>28</v>
      </c>
      <c r="R2601" t="s">
        <v>129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01"/>
  <sheetViews>
    <sheetView workbookViewId="0"/>
  </sheetViews>
  <sheetFormatPr defaultRowHeight="14"/>
  <cols>
    <col min="1" max="1" width="16" customWidth="1"/>
    <col min="2" max="2" width="13" customWidth="1"/>
    <col min="3" max="3" width="11" customWidth="1"/>
    <col min="4" max="4" width="27" customWidth="1"/>
    <col min="5" max="6" width="20" customWidth="1"/>
    <col min="7" max="7" width="11" customWidth="1"/>
    <col min="8" max="8" width="31" customWidth="1"/>
    <col min="9" max="9" width="11" customWidth="1"/>
    <col min="10" max="10" width="15" customWidth="1"/>
    <col min="11" max="11" width="17" customWidth="1"/>
    <col min="12" max="12" width="14" customWidth="1"/>
    <col min="13" max="14" width="20" customWidth="1"/>
    <col min="15" max="15" width="11" customWidth="1"/>
    <col min="16" max="16" width="19" customWidth="1"/>
    <col min="17" max="17" width="13" customWidth="1"/>
    <col min="18" max="18" width="15" customWidth="1"/>
    <col min="19" max="19" width="9" customWidth="1"/>
    <col min="20" max="20" width="10" customWidth="1"/>
    <col min="21" max="21" width="12" customWidth="1"/>
    <col min="22" max="22" width="11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2736</v>
      </c>
      <c r="T1" s="1" t="s">
        <v>2737</v>
      </c>
      <c r="U1" s="1" t="s">
        <v>2738</v>
      </c>
      <c r="V1" s="1" t="s">
        <v>2739</v>
      </c>
      <c r="W1" s="1" t="s">
        <v>2740</v>
      </c>
    </row>
    <row r="2" spans="1:23">
      <c r="A2" t="s">
        <v>18</v>
      </c>
      <c r="B2" s="2">
        <v>45772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39</v>
      </c>
      <c r="J2" s="3">
        <v>232.61</v>
      </c>
      <c r="K2" s="3">
        <v>9071.7900000000009</v>
      </c>
      <c r="L2" t="s">
        <v>25</v>
      </c>
      <c r="M2" s="2">
        <v>45778</v>
      </c>
      <c r="N2" s="2">
        <v>45778</v>
      </c>
      <c r="O2" t="s">
        <v>26</v>
      </c>
      <c r="P2" t="s">
        <v>27</v>
      </c>
      <c r="Q2" t="s">
        <v>28</v>
      </c>
      <c r="R2" t="s">
        <v>29</v>
      </c>
      <c r="S2">
        <v>2025</v>
      </c>
      <c r="T2" t="s">
        <v>2741</v>
      </c>
      <c r="U2" t="s">
        <v>2742</v>
      </c>
      <c r="V2" s="4">
        <v>0</v>
      </c>
      <c r="W2" s="4">
        <v>1</v>
      </c>
    </row>
    <row r="3" spans="1:23">
      <c r="A3" t="s">
        <v>30</v>
      </c>
      <c r="B3" s="2">
        <v>46175</v>
      </c>
      <c r="C3" t="s">
        <v>19</v>
      </c>
      <c r="D3" t="s">
        <v>20</v>
      </c>
      <c r="E3" t="s">
        <v>31</v>
      </c>
      <c r="F3" t="s">
        <v>22</v>
      </c>
      <c r="G3" t="s">
        <v>32</v>
      </c>
      <c r="H3" t="s">
        <v>33</v>
      </c>
      <c r="I3">
        <v>8</v>
      </c>
      <c r="J3" s="3">
        <v>7237.73</v>
      </c>
      <c r="K3" s="3">
        <v>57901.84</v>
      </c>
      <c r="L3" t="s">
        <v>34</v>
      </c>
      <c r="M3" s="2">
        <v>46189</v>
      </c>
      <c r="N3" s="2">
        <v>46189</v>
      </c>
      <c r="O3" t="s">
        <v>26</v>
      </c>
      <c r="P3" t="s">
        <v>35</v>
      </c>
      <c r="Q3" t="s">
        <v>28</v>
      </c>
      <c r="R3" t="s">
        <v>29</v>
      </c>
      <c r="S3">
        <v>2026</v>
      </c>
      <c r="T3" t="s">
        <v>2743</v>
      </c>
      <c r="U3" t="s">
        <v>2744</v>
      </c>
      <c r="V3" s="4">
        <v>0</v>
      </c>
      <c r="W3" s="4">
        <v>1</v>
      </c>
    </row>
    <row r="4" spans="1:23">
      <c r="A4" t="s">
        <v>36</v>
      </c>
      <c r="B4" s="2">
        <v>46006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14</v>
      </c>
      <c r="J4" s="3">
        <v>5597.17</v>
      </c>
      <c r="K4" s="3">
        <v>78360.38</v>
      </c>
      <c r="L4" t="s">
        <v>34</v>
      </c>
      <c r="M4" s="2">
        <v>46016</v>
      </c>
      <c r="N4" s="2">
        <v>46016</v>
      </c>
      <c r="O4" t="s">
        <v>43</v>
      </c>
      <c r="P4" t="s">
        <v>44</v>
      </c>
      <c r="Q4" t="s">
        <v>28</v>
      </c>
      <c r="R4" t="s">
        <v>29</v>
      </c>
      <c r="S4">
        <v>2025</v>
      </c>
      <c r="T4" t="s">
        <v>2745</v>
      </c>
      <c r="U4" t="s">
        <v>2746</v>
      </c>
      <c r="V4" s="4">
        <v>0</v>
      </c>
      <c r="W4" s="4">
        <v>1</v>
      </c>
    </row>
    <row r="5" spans="1:23">
      <c r="A5" t="s">
        <v>45</v>
      </c>
      <c r="B5" s="2">
        <v>45738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>
        <v>1</v>
      </c>
      <c r="J5" s="3">
        <v>53142.53</v>
      </c>
      <c r="K5" s="3">
        <v>53142.53</v>
      </c>
      <c r="L5" t="s">
        <v>52</v>
      </c>
      <c r="M5" s="2">
        <v>45755</v>
      </c>
      <c r="N5" s="2">
        <v>45755</v>
      </c>
      <c r="O5" t="s">
        <v>43</v>
      </c>
      <c r="P5" t="s">
        <v>53</v>
      </c>
      <c r="Q5" t="s">
        <v>28</v>
      </c>
      <c r="R5" t="s">
        <v>29</v>
      </c>
      <c r="S5">
        <v>2025</v>
      </c>
      <c r="T5" t="s">
        <v>2747</v>
      </c>
      <c r="U5" t="s">
        <v>2748</v>
      </c>
      <c r="V5" s="4">
        <v>0</v>
      </c>
      <c r="W5" s="4">
        <v>1</v>
      </c>
    </row>
    <row r="6" spans="1:23">
      <c r="A6" t="s">
        <v>54</v>
      </c>
      <c r="B6" s="2">
        <v>45942</v>
      </c>
      <c r="C6" t="s">
        <v>55</v>
      </c>
      <c r="D6" t="s">
        <v>56</v>
      </c>
      <c r="E6" t="s">
        <v>48</v>
      </c>
      <c r="F6" t="s">
        <v>57</v>
      </c>
      <c r="G6" t="s">
        <v>58</v>
      </c>
      <c r="H6" t="s">
        <v>59</v>
      </c>
      <c r="I6">
        <v>2</v>
      </c>
      <c r="J6" s="3">
        <v>64463.55</v>
      </c>
      <c r="K6" s="3">
        <v>128927.1</v>
      </c>
      <c r="L6" t="s">
        <v>25</v>
      </c>
      <c r="M6" s="2">
        <v>45956</v>
      </c>
      <c r="N6" s="2">
        <v>45955</v>
      </c>
      <c r="O6" t="s">
        <v>60</v>
      </c>
      <c r="P6" t="s">
        <v>53</v>
      </c>
      <c r="Q6" t="s">
        <v>28</v>
      </c>
      <c r="R6" t="s">
        <v>29</v>
      </c>
      <c r="S6">
        <v>2025</v>
      </c>
      <c r="T6" t="s">
        <v>2749</v>
      </c>
      <c r="U6" t="s">
        <v>2750</v>
      </c>
      <c r="V6" s="4">
        <v>0</v>
      </c>
      <c r="W6" s="4">
        <v>1</v>
      </c>
    </row>
    <row r="7" spans="1:23">
      <c r="A7" t="s">
        <v>61</v>
      </c>
      <c r="B7" s="2">
        <v>45715</v>
      </c>
      <c r="C7" t="s">
        <v>37</v>
      </c>
      <c r="D7" t="s">
        <v>38</v>
      </c>
      <c r="E7" t="s">
        <v>39</v>
      </c>
      <c r="F7" t="s">
        <v>40</v>
      </c>
      <c r="G7" t="s">
        <v>62</v>
      </c>
      <c r="H7" t="s">
        <v>63</v>
      </c>
      <c r="I7">
        <v>6</v>
      </c>
      <c r="J7" s="3">
        <v>19379.080000000002</v>
      </c>
      <c r="K7" s="3">
        <v>116274.48</v>
      </c>
      <c r="L7" t="s">
        <v>52</v>
      </c>
      <c r="M7" s="2">
        <v>45723</v>
      </c>
      <c r="N7" s="2">
        <v>45720</v>
      </c>
      <c r="O7" t="s">
        <v>60</v>
      </c>
      <c r="P7" t="s">
        <v>64</v>
      </c>
      <c r="Q7" t="s">
        <v>28</v>
      </c>
      <c r="R7" t="s">
        <v>29</v>
      </c>
      <c r="S7">
        <v>2025</v>
      </c>
      <c r="T7" t="s">
        <v>2751</v>
      </c>
      <c r="U7" t="s">
        <v>2752</v>
      </c>
      <c r="V7" s="4">
        <v>0</v>
      </c>
      <c r="W7" s="4">
        <v>1</v>
      </c>
    </row>
    <row r="8" spans="1:23">
      <c r="A8" t="s">
        <v>65</v>
      </c>
      <c r="B8" s="2">
        <v>45929</v>
      </c>
      <c r="C8" t="s">
        <v>66</v>
      </c>
      <c r="D8" t="s">
        <v>67</v>
      </c>
      <c r="E8" t="s">
        <v>48</v>
      </c>
      <c r="F8" t="s">
        <v>49</v>
      </c>
      <c r="G8" t="s">
        <v>68</v>
      </c>
      <c r="H8" t="s">
        <v>69</v>
      </c>
      <c r="I8">
        <v>1</v>
      </c>
      <c r="J8" s="3">
        <v>46371.25</v>
      </c>
      <c r="K8" s="3">
        <v>46371.25</v>
      </c>
      <c r="L8" t="s">
        <v>34</v>
      </c>
      <c r="M8" s="2">
        <v>45936</v>
      </c>
      <c r="N8" s="2">
        <v>45936</v>
      </c>
      <c r="O8" t="s">
        <v>43</v>
      </c>
      <c r="P8" t="s">
        <v>53</v>
      </c>
      <c r="Q8" t="s">
        <v>28</v>
      </c>
      <c r="R8" t="s">
        <v>29</v>
      </c>
      <c r="S8">
        <v>2025</v>
      </c>
      <c r="T8" t="s">
        <v>2753</v>
      </c>
      <c r="U8" t="s">
        <v>2754</v>
      </c>
      <c r="V8" s="4">
        <v>0</v>
      </c>
      <c r="W8" s="4">
        <v>1</v>
      </c>
    </row>
    <row r="9" spans="1:23">
      <c r="A9" t="s">
        <v>70</v>
      </c>
      <c r="B9" s="2">
        <v>46090</v>
      </c>
      <c r="C9" t="s">
        <v>71</v>
      </c>
      <c r="D9" t="s">
        <v>72</v>
      </c>
      <c r="E9" t="s">
        <v>73</v>
      </c>
      <c r="F9" t="s">
        <v>57</v>
      </c>
      <c r="G9" t="s">
        <v>74</v>
      </c>
      <c r="H9" t="s">
        <v>75</v>
      </c>
      <c r="I9">
        <v>14</v>
      </c>
      <c r="J9" s="3">
        <v>8482.8700000000008</v>
      </c>
      <c r="K9" s="3">
        <v>118760.18</v>
      </c>
      <c r="L9" t="s">
        <v>34</v>
      </c>
      <c r="M9" s="2">
        <v>46095</v>
      </c>
      <c r="N9" s="2">
        <v>46095</v>
      </c>
      <c r="O9" t="s">
        <v>76</v>
      </c>
      <c r="P9" t="s">
        <v>77</v>
      </c>
      <c r="Q9" t="s">
        <v>28</v>
      </c>
      <c r="R9" t="s">
        <v>29</v>
      </c>
      <c r="S9">
        <v>2026</v>
      </c>
      <c r="T9" t="s">
        <v>2747</v>
      </c>
      <c r="U9" t="s">
        <v>2755</v>
      </c>
      <c r="V9" s="4">
        <v>0</v>
      </c>
      <c r="W9" s="4">
        <v>1</v>
      </c>
    </row>
    <row r="10" spans="1:23">
      <c r="A10" t="s">
        <v>78</v>
      </c>
      <c r="B10" s="2">
        <v>45772</v>
      </c>
      <c r="C10" t="s">
        <v>37</v>
      </c>
      <c r="D10" t="s">
        <v>38</v>
      </c>
      <c r="E10" t="s">
        <v>39</v>
      </c>
      <c r="F10" t="s">
        <v>22</v>
      </c>
      <c r="G10" t="s">
        <v>32</v>
      </c>
      <c r="H10" t="s">
        <v>33</v>
      </c>
      <c r="I10">
        <v>9</v>
      </c>
      <c r="J10" s="3">
        <v>8210</v>
      </c>
      <c r="K10" s="3">
        <v>73890</v>
      </c>
      <c r="L10" t="s">
        <v>52</v>
      </c>
      <c r="M10" s="2">
        <v>45789</v>
      </c>
      <c r="N10" s="2">
        <v>45789</v>
      </c>
      <c r="O10" t="s">
        <v>76</v>
      </c>
      <c r="P10" t="s">
        <v>64</v>
      </c>
      <c r="Q10" t="s">
        <v>28</v>
      </c>
      <c r="R10" t="s">
        <v>29</v>
      </c>
      <c r="S10">
        <v>2025</v>
      </c>
      <c r="T10" t="s">
        <v>2741</v>
      </c>
      <c r="U10" t="s">
        <v>2742</v>
      </c>
      <c r="V10" s="4">
        <v>0</v>
      </c>
      <c r="W10" s="4">
        <v>1</v>
      </c>
    </row>
    <row r="11" spans="1:23">
      <c r="A11" t="s">
        <v>79</v>
      </c>
      <c r="B11" s="2">
        <v>45814</v>
      </c>
      <c r="C11" t="s">
        <v>80</v>
      </c>
      <c r="D11" t="s">
        <v>81</v>
      </c>
      <c r="E11" t="s">
        <v>39</v>
      </c>
      <c r="F11" t="s">
        <v>82</v>
      </c>
      <c r="G11" t="s">
        <v>83</v>
      </c>
      <c r="H11" t="s">
        <v>84</v>
      </c>
      <c r="I11">
        <v>12</v>
      </c>
      <c r="J11" s="3">
        <v>686.72</v>
      </c>
      <c r="K11" s="3">
        <v>8240.64</v>
      </c>
      <c r="L11" t="s">
        <v>25</v>
      </c>
      <c r="M11" s="2">
        <v>45824</v>
      </c>
      <c r="N11" s="2">
        <v>45822</v>
      </c>
      <c r="O11" t="s">
        <v>26</v>
      </c>
      <c r="P11" t="s">
        <v>64</v>
      </c>
      <c r="Q11" t="s">
        <v>28</v>
      </c>
      <c r="R11" t="s">
        <v>29</v>
      </c>
      <c r="S11">
        <v>2025</v>
      </c>
      <c r="T11" t="s">
        <v>2743</v>
      </c>
      <c r="U11" t="s">
        <v>2756</v>
      </c>
      <c r="V11" s="4">
        <v>0</v>
      </c>
      <c r="W11" s="4">
        <v>1</v>
      </c>
    </row>
    <row r="12" spans="1:23">
      <c r="A12" t="s">
        <v>85</v>
      </c>
      <c r="B12" s="2">
        <v>45745</v>
      </c>
      <c r="C12" t="s">
        <v>71</v>
      </c>
      <c r="D12" t="s">
        <v>72</v>
      </c>
      <c r="E12" t="s">
        <v>48</v>
      </c>
      <c r="F12" t="s">
        <v>57</v>
      </c>
      <c r="G12" t="s">
        <v>86</v>
      </c>
      <c r="H12" t="s">
        <v>87</v>
      </c>
      <c r="I12">
        <v>3</v>
      </c>
      <c r="J12" s="3">
        <v>10652.85</v>
      </c>
      <c r="K12" s="3">
        <v>31958.55</v>
      </c>
      <c r="L12" t="s">
        <v>52</v>
      </c>
      <c r="M12" s="2">
        <v>45754</v>
      </c>
      <c r="N12" s="2">
        <v>45751</v>
      </c>
      <c r="O12" t="s">
        <v>26</v>
      </c>
      <c r="P12" t="s">
        <v>53</v>
      </c>
      <c r="Q12" t="s">
        <v>28</v>
      </c>
      <c r="R12" t="s">
        <v>29</v>
      </c>
      <c r="S12">
        <v>2025</v>
      </c>
      <c r="T12" t="s">
        <v>2747</v>
      </c>
      <c r="U12" t="s">
        <v>2748</v>
      </c>
      <c r="V12" s="4">
        <v>0</v>
      </c>
      <c r="W12" s="4">
        <v>1</v>
      </c>
    </row>
    <row r="13" spans="1:23">
      <c r="A13" t="s">
        <v>88</v>
      </c>
      <c r="B13" s="2">
        <v>46040</v>
      </c>
      <c r="C13" t="s">
        <v>89</v>
      </c>
      <c r="D13" t="s">
        <v>90</v>
      </c>
      <c r="E13" t="s">
        <v>31</v>
      </c>
      <c r="F13" t="s">
        <v>91</v>
      </c>
      <c r="G13" t="s">
        <v>92</v>
      </c>
      <c r="H13" t="s">
        <v>93</v>
      </c>
      <c r="I13">
        <v>3</v>
      </c>
      <c r="J13" s="3">
        <v>41597.96</v>
      </c>
      <c r="K13" s="3">
        <v>124793.88</v>
      </c>
      <c r="L13" t="s">
        <v>25</v>
      </c>
      <c r="M13" s="2">
        <v>46053</v>
      </c>
      <c r="N13" s="2">
        <v>46052</v>
      </c>
      <c r="O13" t="s">
        <v>43</v>
      </c>
      <c r="P13" t="s">
        <v>94</v>
      </c>
      <c r="Q13" t="s">
        <v>28</v>
      </c>
      <c r="R13" t="s">
        <v>29</v>
      </c>
      <c r="S13">
        <v>2026</v>
      </c>
      <c r="T13" t="s">
        <v>2757</v>
      </c>
      <c r="U13" t="s">
        <v>2758</v>
      </c>
      <c r="V13" s="4">
        <v>0</v>
      </c>
      <c r="W13" s="4">
        <v>1</v>
      </c>
    </row>
    <row r="14" spans="1:23">
      <c r="A14" t="s">
        <v>95</v>
      </c>
      <c r="B14" s="2">
        <v>45996</v>
      </c>
      <c r="C14" t="s">
        <v>96</v>
      </c>
      <c r="D14" t="s">
        <v>97</v>
      </c>
      <c r="E14" t="s">
        <v>39</v>
      </c>
      <c r="F14" t="s">
        <v>82</v>
      </c>
      <c r="G14" t="s">
        <v>98</v>
      </c>
      <c r="H14" t="s">
        <v>99</v>
      </c>
      <c r="I14">
        <v>41</v>
      </c>
      <c r="J14" s="3">
        <v>1128.8699999999999</v>
      </c>
      <c r="K14" s="3">
        <v>46283.67</v>
      </c>
      <c r="L14" t="s">
        <v>34</v>
      </c>
      <c r="M14" s="2">
        <v>46010</v>
      </c>
      <c r="N14" s="2">
        <v>46007</v>
      </c>
      <c r="O14" t="s">
        <v>26</v>
      </c>
      <c r="P14" t="s">
        <v>64</v>
      </c>
      <c r="Q14" t="s">
        <v>28</v>
      </c>
      <c r="R14" t="s">
        <v>29</v>
      </c>
      <c r="S14">
        <v>2025</v>
      </c>
      <c r="T14" t="s">
        <v>2745</v>
      </c>
      <c r="U14" t="s">
        <v>2746</v>
      </c>
      <c r="V14" s="4">
        <v>0</v>
      </c>
      <c r="W14" s="4">
        <v>1</v>
      </c>
    </row>
    <row r="15" spans="1:23">
      <c r="A15" t="s">
        <v>100</v>
      </c>
      <c r="B15" s="2">
        <v>46020</v>
      </c>
      <c r="C15" t="s">
        <v>71</v>
      </c>
      <c r="D15" t="s">
        <v>72</v>
      </c>
      <c r="E15" t="s">
        <v>73</v>
      </c>
      <c r="F15" t="s">
        <v>57</v>
      </c>
      <c r="G15" t="s">
        <v>101</v>
      </c>
      <c r="H15" t="s">
        <v>102</v>
      </c>
      <c r="I15">
        <v>11</v>
      </c>
      <c r="J15" s="3">
        <v>1765.28</v>
      </c>
      <c r="K15" s="3">
        <v>19418.080000000002</v>
      </c>
      <c r="L15" t="s">
        <v>34</v>
      </c>
      <c r="M15" s="2">
        <v>46025</v>
      </c>
      <c r="N15" s="2">
        <v>46023</v>
      </c>
      <c r="O15" t="s">
        <v>43</v>
      </c>
      <c r="P15" t="s">
        <v>77</v>
      </c>
      <c r="Q15" t="s">
        <v>28</v>
      </c>
      <c r="R15" t="s">
        <v>29</v>
      </c>
      <c r="S15">
        <v>2025</v>
      </c>
      <c r="T15" t="s">
        <v>2745</v>
      </c>
      <c r="U15" t="s">
        <v>2746</v>
      </c>
      <c r="V15" s="4">
        <v>0</v>
      </c>
      <c r="W15" s="4">
        <v>1</v>
      </c>
    </row>
    <row r="16" spans="1:23">
      <c r="A16" t="s">
        <v>103</v>
      </c>
      <c r="B16" s="2">
        <v>45854</v>
      </c>
      <c r="C16" t="s">
        <v>104</v>
      </c>
      <c r="D16" t="s">
        <v>105</v>
      </c>
      <c r="E16" t="s">
        <v>73</v>
      </c>
      <c r="F16" t="s">
        <v>49</v>
      </c>
      <c r="G16" t="s">
        <v>50</v>
      </c>
      <c r="H16" t="s">
        <v>51</v>
      </c>
      <c r="I16">
        <v>1</v>
      </c>
      <c r="J16" s="3">
        <v>51089.09</v>
      </c>
      <c r="K16" s="3">
        <v>51089.09</v>
      </c>
      <c r="L16" t="s">
        <v>25</v>
      </c>
      <c r="M16" s="2">
        <v>45866</v>
      </c>
      <c r="N16" s="2">
        <v>45866</v>
      </c>
      <c r="O16" t="s">
        <v>43</v>
      </c>
      <c r="P16" t="s">
        <v>77</v>
      </c>
      <c r="Q16" t="s">
        <v>28</v>
      </c>
      <c r="R16" t="s">
        <v>29</v>
      </c>
      <c r="S16">
        <v>2025</v>
      </c>
      <c r="T16" t="s">
        <v>2759</v>
      </c>
      <c r="U16" t="s">
        <v>2760</v>
      </c>
      <c r="V16" s="4">
        <v>0</v>
      </c>
      <c r="W16" s="4">
        <v>1</v>
      </c>
    </row>
    <row r="17" spans="1:23">
      <c r="A17" t="s">
        <v>106</v>
      </c>
      <c r="B17" s="2">
        <v>45900</v>
      </c>
      <c r="C17" t="s">
        <v>107</v>
      </c>
      <c r="D17" t="s">
        <v>108</v>
      </c>
      <c r="E17" t="s">
        <v>31</v>
      </c>
      <c r="F17" t="s">
        <v>91</v>
      </c>
      <c r="G17" t="s">
        <v>109</v>
      </c>
      <c r="H17" t="s">
        <v>110</v>
      </c>
      <c r="I17">
        <v>1</v>
      </c>
      <c r="J17" s="3">
        <v>13403.74</v>
      </c>
      <c r="K17" s="3">
        <v>13403.74</v>
      </c>
      <c r="L17" t="s">
        <v>25</v>
      </c>
      <c r="M17" s="2">
        <v>45911</v>
      </c>
      <c r="N17" s="2">
        <v>45908</v>
      </c>
      <c r="O17" t="s">
        <v>60</v>
      </c>
      <c r="P17" t="s">
        <v>94</v>
      </c>
      <c r="Q17" t="s">
        <v>28</v>
      </c>
      <c r="R17" t="s">
        <v>29</v>
      </c>
      <c r="S17">
        <v>2025</v>
      </c>
      <c r="T17" t="s">
        <v>2761</v>
      </c>
      <c r="U17" t="s">
        <v>2762</v>
      </c>
      <c r="V17" s="4">
        <v>0</v>
      </c>
      <c r="W17" s="4">
        <v>1</v>
      </c>
    </row>
    <row r="18" spans="1:23">
      <c r="A18" t="s">
        <v>111</v>
      </c>
      <c r="B18" s="2">
        <v>45852</v>
      </c>
      <c r="C18" t="s">
        <v>46</v>
      </c>
      <c r="D18" t="s">
        <v>47</v>
      </c>
      <c r="E18" t="s">
        <v>112</v>
      </c>
      <c r="F18" t="s">
        <v>49</v>
      </c>
      <c r="G18" t="s">
        <v>113</v>
      </c>
      <c r="H18" t="s">
        <v>114</v>
      </c>
      <c r="I18">
        <v>3</v>
      </c>
      <c r="J18" s="3">
        <v>38876.04</v>
      </c>
      <c r="K18" s="3">
        <v>116628.12</v>
      </c>
      <c r="L18" t="s">
        <v>25</v>
      </c>
      <c r="M18" s="2">
        <v>45864</v>
      </c>
      <c r="N18" s="2">
        <v>45863</v>
      </c>
      <c r="O18" t="s">
        <v>43</v>
      </c>
      <c r="P18" t="s">
        <v>115</v>
      </c>
      <c r="Q18" t="s">
        <v>28</v>
      </c>
      <c r="R18" t="s">
        <v>29</v>
      </c>
      <c r="S18">
        <v>2025</v>
      </c>
      <c r="T18" t="s">
        <v>2759</v>
      </c>
      <c r="U18" t="s">
        <v>2760</v>
      </c>
      <c r="V18" s="4">
        <v>0</v>
      </c>
      <c r="W18" s="4">
        <v>1</v>
      </c>
    </row>
    <row r="19" spans="1:23">
      <c r="A19" t="s">
        <v>116</v>
      </c>
      <c r="B19" s="2">
        <v>45728</v>
      </c>
      <c r="C19" t="s">
        <v>117</v>
      </c>
      <c r="D19" t="s">
        <v>118</v>
      </c>
      <c r="E19" t="s">
        <v>48</v>
      </c>
      <c r="F19" t="s">
        <v>57</v>
      </c>
      <c r="G19" t="s">
        <v>74</v>
      </c>
      <c r="H19" t="s">
        <v>75</v>
      </c>
      <c r="I19">
        <v>4</v>
      </c>
      <c r="J19" s="3">
        <v>9071.98</v>
      </c>
      <c r="K19" s="3">
        <v>36287.919999999998</v>
      </c>
      <c r="L19" t="s">
        <v>25</v>
      </c>
      <c r="M19" s="2">
        <v>45742</v>
      </c>
      <c r="N19" s="2">
        <v>45742</v>
      </c>
      <c r="O19" t="s">
        <v>76</v>
      </c>
      <c r="P19" t="s">
        <v>53</v>
      </c>
      <c r="Q19" t="s">
        <v>28</v>
      </c>
      <c r="R19" t="s">
        <v>29</v>
      </c>
      <c r="S19">
        <v>2025</v>
      </c>
      <c r="T19" t="s">
        <v>2747</v>
      </c>
      <c r="U19" t="s">
        <v>2748</v>
      </c>
      <c r="V19" s="4">
        <v>0</v>
      </c>
      <c r="W19" s="4">
        <v>1</v>
      </c>
    </row>
    <row r="20" spans="1:23">
      <c r="A20" t="s">
        <v>119</v>
      </c>
      <c r="B20" s="2">
        <v>45979</v>
      </c>
      <c r="C20" t="s">
        <v>55</v>
      </c>
      <c r="D20" t="s">
        <v>56</v>
      </c>
      <c r="E20" t="s">
        <v>73</v>
      </c>
      <c r="F20" t="s">
        <v>57</v>
      </c>
      <c r="G20" t="s">
        <v>120</v>
      </c>
      <c r="H20" t="s">
        <v>121</v>
      </c>
      <c r="I20">
        <v>2</v>
      </c>
      <c r="J20" s="3">
        <v>24019.48</v>
      </c>
      <c r="K20" s="3">
        <v>48038.96</v>
      </c>
      <c r="L20" t="s">
        <v>25</v>
      </c>
      <c r="M20" s="2">
        <v>45984</v>
      </c>
      <c r="N20" s="2">
        <v>45984</v>
      </c>
      <c r="O20" t="s">
        <v>26</v>
      </c>
      <c r="P20" t="s">
        <v>77</v>
      </c>
      <c r="Q20" t="s">
        <v>28</v>
      </c>
      <c r="R20" t="s">
        <v>29</v>
      </c>
      <c r="S20">
        <v>2025</v>
      </c>
      <c r="T20" t="s">
        <v>2763</v>
      </c>
      <c r="U20" t="s">
        <v>2764</v>
      </c>
      <c r="V20" s="4">
        <v>0</v>
      </c>
      <c r="W20" s="4">
        <v>1</v>
      </c>
    </row>
    <row r="21" spans="1:23">
      <c r="A21" t="s">
        <v>122</v>
      </c>
      <c r="B21" s="2">
        <v>46036</v>
      </c>
      <c r="C21" t="s">
        <v>55</v>
      </c>
      <c r="D21" t="s">
        <v>56</v>
      </c>
      <c r="E21" t="s">
        <v>73</v>
      </c>
      <c r="F21" t="s">
        <v>57</v>
      </c>
      <c r="G21" t="s">
        <v>120</v>
      </c>
      <c r="H21" t="s">
        <v>121</v>
      </c>
      <c r="I21">
        <v>1</v>
      </c>
      <c r="J21" s="3">
        <v>25479.69</v>
      </c>
      <c r="K21" s="3">
        <v>25479.69</v>
      </c>
      <c r="L21" t="s">
        <v>52</v>
      </c>
      <c r="M21" s="2">
        <v>46051</v>
      </c>
      <c r="N21" s="2">
        <v>46049</v>
      </c>
      <c r="O21" t="s">
        <v>43</v>
      </c>
      <c r="P21" t="s">
        <v>77</v>
      </c>
      <c r="Q21" t="s">
        <v>28</v>
      </c>
      <c r="R21" t="s">
        <v>29</v>
      </c>
      <c r="S21">
        <v>2026</v>
      </c>
      <c r="T21" t="s">
        <v>2757</v>
      </c>
      <c r="U21" t="s">
        <v>2758</v>
      </c>
      <c r="V21" s="4">
        <v>0</v>
      </c>
      <c r="W21" s="4">
        <v>1</v>
      </c>
    </row>
    <row r="22" spans="1:23">
      <c r="A22" t="s">
        <v>123</v>
      </c>
      <c r="B22" s="2">
        <v>45928</v>
      </c>
      <c r="C22" t="s">
        <v>96</v>
      </c>
      <c r="D22" t="s">
        <v>97</v>
      </c>
      <c r="E22" t="s">
        <v>39</v>
      </c>
      <c r="F22" t="s">
        <v>82</v>
      </c>
      <c r="G22" t="s">
        <v>83</v>
      </c>
      <c r="H22" t="s">
        <v>84</v>
      </c>
      <c r="I22">
        <v>50</v>
      </c>
      <c r="J22" s="3">
        <v>737.7</v>
      </c>
      <c r="K22" s="3">
        <v>36885</v>
      </c>
      <c r="L22" t="s">
        <v>25</v>
      </c>
      <c r="M22" s="2">
        <v>45938</v>
      </c>
      <c r="N22" s="2">
        <v>45936</v>
      </c>
      <c r="O22" t="s">
        <v>76</v>
      </c>
      <c r="P22" t="s">
        <v>64</v>
      </c>
      <c r="Q22" t="s">
        <v>28</v>
      </c>
      <c r="R22" t="s">
        <v>29</v>
      </c>
      <c r="S22">
        <v>2025</v>
      </c>
      <c r="T22" t="s">
        <v>2753</v>
      </c>
      <c r="U22" t="s">
        <v>2754</v>
      </c>
      <c r="V22" s="4">
        <v>0</v>
      </c>
      <c r="W22" s="4">
        <v>1</v>
      </c>
    </row>
    <row r="23" spans="1:23">
      <c r="A23" t="s">
        <v>124</v>
      </c>
      <c r="B23" s="2">
        <v>45752</v>
      </c>
      <c r="C23" t="s">
        <v>55</v>
      </c>
      <c r="D23" t="s">
        <v>56</v>
      </c>
      <c r="E23" t="s">
        <v>48</v>
      </c>
      <c r="F23" t="s">
        <v>57</v>
      </c>
      <c r="G23" t="s">
        <v>101</v>
      </c>
      <c r="H23" t="s">
        <v>102</v>
      </c>
      <c r="I23">
        <v>21</v>
      </c>
      <c r="J23" s="3">
        <v>1941.6</v>
      </c>
      <c r="K23" s="3">
        <v>40773.599999999999</v>
      </c>
      <c r="L23" t="s">
        <v>34</v>
      </c>
      <c r="M23" s="2">
        <v>45759</v>
      </c>
      <c r="N23" s="2">
        <v>45756</v>
      </c>
      <c r="O23" t="s">
        <v>43</v>
      </c>
      <c r="P23" t="s">
        <v>53</v>
      </c>
      <c r="Q23" t="s">
        <v>28</v>
      </c>
      <c r="R23" t="s">
        <v>29</v>
      </c>
      <c r="S23">
        <v>2025</v>
      </c>
      <c r="T23" t="s">
        <v>2741</v>
      </c>
      <c r="U23" t="s">
        <v>2742</v>
      </c>
      <c r="V23" s="4">
        <v>0</v>
      </c>
      <c r="W23" s="4">
        <v>1</v>
      </c>
    </row>
    <row r="24" spans="1:23">
      <c r="A24" t="s">
        <v>125</v>
      </c>
      <c r="B24" s="2">
        <v>45810</v>
      </c>
      <c r="C24" t="s">
        <v>117</v>
      </c>
      <c r="D24" t="s">
        <v>118</v>
      </c>
      <c r="E24" t="s">
        <v>48</v>
      </c>
      <c r="F24" t="s">
        <v>57</v>
      </c>
      <c r="G24" t="s">
        <v>74</v>
      </c>
      <c r="H24" t="s">
        <v>75</v>
      </c>
      <c r="I24">
        <v>15</v>
      </c>
      <c r="J24" s="3">
        <v>8615.1</v>
      </c>
      <c r="K24" s="3">
        <v>129226.5</v>
      </c>
      <c r="L24" t="s">
        <v>52</v>
      </c>
      <c r="M24" s="2">
        <v>45827</v>
      </c>
      <c r="N24" s="2">
        <v>45827</v>
      </c>
      <c r="O24" t="s">
        <v>26</v>
      </c>
      <c r="P24" t="s">
        <v>53</v>
      </c>
      <c r="Q24" t="s">
        <v>28</v>
      </c>
      <c r="R24" t="s">
        <v>29</v>
      </c>
      <c r="S24">
        <v>2025</v>
      </c>
      <c r="T24" t="s">
        <v>2743</v>
      </c>
      <c r="U24" t="s">
        <v>2756</v>
      </c>
      <c r="V24" s="4">
        <v>0</v>
      </c>
      <c r="W24" s="4">
        <v>1</v>
      </c>
    </row>
    <row r="25" spans="1:23">
      <c r="A25" t="s">
        <v>126</v>
      </c>
      <c r="B25" s="2">
        <v>45763</v>
      </c>
      <c r="C25" t="s">
        <v>71</v>
      </c>
      <c r="D25" t="s">
        <v>72</v>
      </c>
      <c r="E25" t="s">
        <v>31</v>
      </c>
      <c r="F25" t="s">
        <v>57</v>
      </c>
      <c r="G25" t="s">
        <v>127</v>
      </c>
      <c r="H25" t="s">
        <v>128</v>
      </c>
      <c r="I25">
        <v>4</v>
      </c>
      <c r="J25" s="3">
        <v>15950.26</v>
      </c>
      <c r="K25" s="3">
        <v>63801.04</v>
      </c>
      <c r="L25" t="s">
        <v>34</v>
      </c>
      <c r="M25" s="2">
        <v>45781</v>
      </c>
      <c r="N25" s="2">
        <v>45795</v>
      </c>
      <c r="O25" t="s">
        <v>60</v>
      </c>
      <c r="P25" t="s">
        <v>94</v>
      </c>
      <c r="Q25" t="s">
        <v>28</v>
      </c>
      <c r="R25" t="s">
        <v>129</v>
      </c>
      <c r="S25">
        <v>2025</v>
      </c>
      <c r="T25" t="s">
        <v>2741</v>
      </c>
      <c r="U25" t="s">
        <v>2742</v>
      </c>
      <c r="V25" s="4">
        <v>14</v>
      </c>
      <c r="W25" s="4">
        <v>0</v>
      </c>
    </row>
    <row r="26" spans="1:23">
      <c r="A26" t="s">
        <v>130</v>
      </c>
      <c r="B26" s="2">
        <v>45912</v>
      </c>
      <c r="C26" t="s">
        <v>131</v>
      </c>
      <c r="D26" t="s">
        <v>132</v>
      </c>
      <c r="E26" t="s">
        <v>48</v>
      </c>
      <c r="F26" t="s">
        <v>57</v>
      </c>
      <c r="G26" t="s">
        <v>74</v>
      </c>
      <c r="H26" t="s">
        <v>75</v>
      </c>
      <c r="I26">
        <v>4</v>
      </c>
      <c r="J26" s="3">
        <v>9416.3700000000008</v>
      </c>
      <c r="K26" s="3">
        <v>37665.480000000003</v>
      </c>
      <c r="L26" t="s">
        <v>25</v>
      </c>
      <c r="M26" s="2">
        <v>45920</v>
      </c>
      <c r="N26" s="2">
        <v>45917</v>
      </c>
      <c r="O26" t="s">
        <v>26</v>
      </c>
      <c r="P26" t="s">
        <v>53</v>
      </c>
      <c r="Q26" t="s">
        <v>28</v>
      </c>
      <c r="R26" t="s">
        <v>29</v>
      </c>
      <c r="S26">
        <v>2025</v>
      </c>
      <c r="T26" t="s">
        <v>2753</v>
      </c>
      <c r="U26" t="s">
        <v>2754</v>
      </c>
      <c r="V26" s="4">
        <v>0</v>
      </c>
      <c r="W26" s="4">
        <v>1</v>
      </c>
    </row>
    <row r="27" spans="1:23">
      <c r="A27" t="s">
        <v>133</v>
      </c>
      <c r="B27" s="2">
        <v>46066</v>
      </c>
      <c r="C27" t="s">
        <v>134</v>
      </c>
      <c r="D27" t="s">
        <v>135</v>
      </c>
      <c r="E27" t="s">
        <v>112</v>
      </c>
      <c r="F27" t="s">
        <v>40</v>
      </c>
      <c r="G27" t="s">
        <v>136</v>
      </c>
      <c r="H27" t="s">
        <v>137</v>
      </c>
      <c r="I27">
        <v>58</v>
      </c>
      <c r="J27" s="3">
        <v>1643.35</v>
      </c>
      <c r="K27" s="3">
        <v>95314.3</v>
      </c>
      <c r="L27" t="s">
        <v>25</v>
      </c>
      <c r="M27" s="2">
        <v>46079</v>
      </c>
      <c r="N27" s="2">
        <v>46079</v>
      </c>
      <c r="O27" t="s">
        <v>76</v>
      </c>
      <c r="P27" t="s">
        <v>115</v>
      </c>
      <c r="Q27" t="s">
        <v>28</v>
      </c>
      <c r="R27" t="s">
        <v>29</v>
      </c>
      <c r="S27">
        <v>2026</v>
      </c>
      <c r="T27" t="s">
        <v>2751</v>
      </c>
      <c r="U27" t="s">
        <v>2765</v>
      </c>
      <c r="V27" s="4">
        <v>0</v>
      </c>
      <c r="W27" s="4">
        <v>1</v>
      </c>
    </row>
    <row r="28" spans="1:23">
      <c r="A28" t="s">
        <v>138</v>
      </c>
      <c r="B28" s="2">
        <v>45929</v>
      </c>
      <c r="C28" t="s">
        <v>71</v>
      </c>
      <c r="D28" t="s">
        <v>72</v>
      </c>
      <c r="E28" t="s">
        <v>31</v>
      </c>
      <c r="F28" t="s">
        <v>57</v>
      </c>
      <c r="G28" t="s">
        <v>120</v>
      </c>
      <c r="H28" t="s">
        <v>121</v>
      </c>
      <c r="I28">
        <v>2</v>
      </c>
      <c r="J28" s="3">
        <v>20460.16</v>
      </c>
      <c r="K28" s="3">
        <v>40920.32</v>
      </c>
      <c r="L28" t="s">
        <v>25</v>
      </c>
      <c r="M28" s="2">
        <v>45940</v>
      </c>
      <c r="N28" s="2">
        <v>45939</v>
      </c>
      <c r="O28" t="s">
        <v>60</v>
      </c>
      <c r="P28" t="s">
        <v>94</v>
      </c>
      <c r="Q28" t="s">
        <v>28</v>
      </c>
      <c r="R28" t="s">
        <v>29</v>
      </c>
      <c r="S28">
        <v>2025</v>
      </c>
      <c r="T28" t="s">
        <v>2753</v>
      </c>
      <c r="U28" t="s">
        <v>2754</v>
      </c>
      <c r="V28" s="4">
        <v>0</v>
      </c>
      <c r="W28" s="4">
        <v>1</v>
      </c>
    </row>
    <row r="29" spans="1:23">
      <c r="A29" t="s">
        <v>139</v>
      </c>
      <c r="B29" s="2">
        <v>45859</v>
      </c>
      <c r="C29" t="s">
        <v>80</v>
      </c>
      <c r="D29" t="s">
        <v>81</v>
      </c>
      <c r="E29" t="s">
        <v>39</v>
      </c>
      <c r="F29" t="s">
        <v>82</v>
      </c>
      <c r="G29" t="s">
        <v>98</v>
      </c>
      <c r="H29" t="s">
        <v>99</v>
      </c>
      <c r="I29">
        <v>12</v>
      </c>
      <c r="J29" s="3">
        <v>1114.03</v>
      </c>
      <c r="K29" s="3">
        <v>13368.36</v>
      </c>
      <c r="L29" t="s">
        <v>34</v>
      </c>
      <c r="M29" s="2">
        <v>45875</v>
      </c>
      <c r="N29" s="2">
        <v>45873</v>
      </c>
      <c r="O29" t="s">
        <v>76</v>
      </c>
      <c r="P29" t="s">
        <v>44</v>
      </c>
      <c r="Q29" t="s">
        <v>28</v>
      </c>
      <c r="R29" t="s">
        <v>29</v>
      </c>
      <c r="S29">
        <v>2025</v>
      </c>
      <c r="T29" t="s">
        <v>2759</v>
      </c>
      <c r="U29" t="s">
        <v>2760</v>
      </c>
      <c r="V29" s="4">
        <v>0</v>
      </c>
      <c r="W29" s="4">
        <v>1</v>
      </c>
    </row>
    <row r="30" spans="1:23">
      <c r="A30" t="s">
        <v>140</v>
      </c>
      <c r="B30" s="2">
        <v>45960</v>
      </c>
      <c r="C30" t="s">
        <v>80</v>
      </c>
      <c r="D30" t="s">
        <v>81</v>
      </c>
      <c r="E30" t="s">
        <v>39</v>
      </c>
      <c r="F30" t="s">
        <v>82</v>
      </c>
      <c r="G30" t="s">
        <v>98</v>
      </c>
      <c r="H30" t="s">
        <v>99</v>
      </c>
      <c r="I30">
        <v>44</v>
      </c>
      <c r="J30" s="3">
        <v>1137.57</v>
      </c>
      <c r="K30" s="3">
        <v>50053.08</v>
      </c>
      <c r="L30" t="s">
        <v>25</v>
      </c>
      <c r="M30" s="2">
        <v>45974</v>
      </c>
      <c r="N30" s="2">
        <v>45974</v>
      </c>
      <c r="O30" t="s">
        <v>26</v>
      </c>
      <c r="P30" t="s">
        <v>44</v>
      </c>
      <c r="Q30" t="s">
        <v>28</v>
      </c>
      <c r="R30" t="s">
        <v>29</v>
      </c>
      <c r="S30">
        <v>2025</v>
      </c>
      <c r="T30" t="s">
        <v>2749</v>
      </c>
      <c r="U30" t="s">
        <v>2750</v>
      </c>
      <c r="V30" s="4">
        <v>0</v>
      </c>
      <c r="W30" s="4">
        <v>1</v>
      </c>
    </row>
    <row r="31" spans="1:23">
      <c r="A31" t="s">
        <v>141</v>
      </c>
      <c r="B31" s="2">
        <v>45987</v>
      </c>
      <c r="C31" t="s">
        <v>142</v>
      </c>
      <c r="D31" t="s">
        <v>143</v>
      </c>
      <c r="E31" t="s">
        <v>73</v>
      </c>
      <c r="F31" t="s">
        <v>22</v>
      </c>
      <c r="G31" t="s">
        <v>32</v>
      </c>
      <c r="H31" t="s">
        <v>33</v>
      </c>
      <c r="I31">
        <v>13</v>
      </c>
      <c r="J31" s="3">
        <v>8120.63</v>
      </c>
      <c r="K31" s="3">
        <v>105568.19</v>
      </c>
      <c r="L31" t="s">
        <v>25</v>
      </c>
      <c r="M31" s="2">
        <v>46003</v>
      </c>
      <c r="N31" s="2">
        <v>46003</v>
      </c>
      <c r="O31" t="s">
        <v>76</v>
      </c>
      <c r="P31" t="s">
        <v>77</v>
      </c>
      <c r="Q31" t="s">
        <v>28</v>
      </c>
      <c r="R31" t="s">
        <v>29</v>
      </c>
      <c r="S31">
        <v>2025</v>
      </c>
      <c r="T31" t="s">
        <v>2763</v>
      </c>
      <c r="U31" t="s">
        <v>2764</v>
      </c>
      <c r="V31" s="4">
        <v>0</v>
      </c>
      <c r="W31" s="4">
        <v>1</v>
      </c>
    </row>
    <row r="32" spans="1:23">
      <c r="A32" t="s">
        <v>144</v>
      </c>
      <c r="B32" s="2">
        <v>45808</v>
      </c>
      <c r="C32" t="s">
        <v>104</v>
      </c>
      <c r="D32" t="s">
        <v>105</v>
      </c>
      <c r="E32" t="s">
        <v>21</v>
      </c>
      <c r="F32" t="s">
        <v>49</v>
      </c>
      <c r="G32" t="s">
        <v>113</v>
      </c>
      <c r="H32" t="s">
        <v>114</v>
      </c>
      <c r="I32">
        <v>3</v>
      </c>
      <c r="J32" s="3">
        <v>39510.589999999997</v>
      </c>
      <c r="K32" s="3">
        <v>118531.77</v>
      </c>
      <c r="L32" t="s">
        <v>25</v>
      </c>
      <c r="M32" s="2">
        <v>45816</v>
      </c>
      <c r="N32" s="2">
        <v>45813</v>
      </c>
      <c r="O32" t="s">
        <v>26</v>
      </c>
      <c r="P32" t="s">
        <v>27</v>
      </c>
      <c r="Q32" t="s">
        <v>28</v>
      </c>
      <c r="R32" t="s">
        <v>29</v>
      </c>
      <c r="S32">
        <v>2025</v>
      </c>
      <c r="T32" t="s">
        <v>2766</v>
      </c>
      <c r="U32" t="s">
        <v>2767</v>
      </c>
      <c r="V32" s="4">
        <v>0</v>
      </c>
      <c r="W32" s="4">
        <v>1</v>
      </c>
    </row>
    <row r="33" spans="1:23">
      <c r="A33" t="s">
        <v>145</v>
      </c>
      <c r="B33" s="2">
        <v>45882</v>
      </c>
      <c r="C33" t="s">
        <v>104</v>
      </c>
      <c r="D33" t="s">
        <v>105</v>
      </c>
      <c r="E33" t="s">
        <v>112</v>
      </c>
      <c r="F33" t="s">
        <v>49</v>
      </c>
      <c r="G33" t="s">
        <v>68</v>
      </c>
      <c r="H33" t="s">
        <v>69</v>
      </c>
      <c r="I33">
        <v>1</v>
      </c>
      <c r="J33" s="3">
        <v>47156.54</v>
      </c>
      <c r="K33" s="3">
        <v>47156.54</v>
      </c>
      <c r="L33" t="s">
        <v>34</v>
      </c>
      <c r="M33" s="2">
        <v>45894</v>
      </c>
      <c r="N33" s="2">
        <v>45891</v>
      </c>
      <c r="O33" t="s">
        <v>76</v>
      </c>
      <c r="P33" t="s">
        <v>115</v>
      </c>
      <c r="Q33" t="s">
        <v>28</v>
      </c>
      <c r="R33" t="s">
        <v>29</v>
      </c>
      <c r="S33">
        <v>2025</v>
      </c>
      <c r="T33" t="s">
        <v>2761</v>
      </c>
      <c r="U33" t="s">
        <v>2762</v>
      </c>
      <c r="V33" s="4">
        <v>0</v>
      </c>
      <c r="W33" s="4">
        <v>1</v>
      </c>
    </row>
    <row r="34" spans="1:23">
      <c r="A34" t="s">
        <v>146</v>
      </c>
      <c r="B34" s="2">
        <v>46174</v>
      </c>
      <c r="C34" t="s">
        <v>147</v>
      </c>
      <c r="D34" t="s">
        <v>148</v>
      </c>
      <c r="E34" t="s">
        <v>112</v>
      </c>
      <c r="F34" t="s">
        <v>40</v>
      </c>
      <c r="G34" t="s">
        <v>149</v>
      </c>
      <c r="H34" t="s">
        <v>150</v>
      </c>
      <c r="I34">
        <v>21</v>
      </c>
      <c r="J34" s="3">
        <v>1299.53</v>
      </c>
      <c r="K34" s="3">
        <v>27290.13</v>
      </c>
      <c r="L34" t="s">
        <v>34</v>
      </c>
      <c r="M34" s="2">
        <v>46191</v>
      </c>
      <c r="N34" s="2">
        <v>46189</v>
      </c>
      <c r="O34" t="s">
        <v>60</v>
      </c>
      <c r="P34" t="s">
        <v>115</v>
      </c>
      <c r="Q34" t="s">
        <v>28</v>
      </c>
      <c r="R34" t="s">
        <v>29</v>
      </c>
      <c r="S34">
        <v>2026</v>
      </c>
      <c r="T34" t="s">
        <v>2743</v>
      </c>
      <c r="U34" t="s">
        <v>2744</v>
      </c>
      <c r="V34" s="4">
        <v>0</v>
      </c>
      <c r="W34" s="4">
        <v>1</v>
      </c>
    </row>
    <row r="35" spans="1:23">
      <c r="A35" t="s">
        <v>151</v>
      </c>
      <c r="B35" s="2">
        <v>45939</v>
      </c>
      <c r="C35" t="s">
        <v>55</v>
      </c>
      <c r="D35" t="s">
        <v>56</v>
      </c>
      <c r="E35" t="s">
        <v>48</v>
      </c>
      <c r="F35" t="s">
        <v>57</v>
      </c>
      <c r="G35" t="s">
        <v>58</v>
      </c>
      <c r="H35" t="s">
        <v>59</v>
      </c>
      <c r="I35">
        <v>2</v>
      </c>
      <c r="J35" s="3">
        <v>65730.73</v>
      </c>
      <c r="K35" s="3">
        <v>131461.46</v>
      </c>
      <c r="L35" t="s">
        <v>34</v>
      </c>
      <c r="M35" s="2">
        <v>45946</v>
      </c>
      <c r="N35" s="2">
        <v>45943</v>
      </c>
      <c r="O35" t="s">
        <v>26</v>
      </c>
      <c r="P35" t="s">
        <v>53</v>
      </c>
      <c r="Q35" t="s">
        <v>28</v>
      </c>
      <c r="R35" t="s">
        <v>29</v>
      </c>
      <c r="S35">
        <v>2025</v>
      </c>
      <c r="T35" t="s">
        <v>2749</v>
      </c>
      <c r="U35" t="s">
        <v>2750</v>
      </c>
      <c r="V35" s="4">
        <v>0</v>
      </c>
      <c r="W35" s="4">
        <v>1</v>
      </c>
    </row>
    <row r="36" spans="1:23">
      <c r="A36" t="s">
        <v>152</v>
      </c>
      <c r="B36" s="2">
        <v>46082</v>
      </c>
      <c r="C36" t="s">
        <v>117</v>
      </c>
      <c r="D36" t="s">
        <v>118</v>
      </c>
      <c r="E36" t="s">
        <v>31</v>
      </c>
      <c r="F36" t="s">
        <v>57</v>
      </c>
      <c r="G36" t="s">
        <v>101</v>
      </c>
      <c r="H36" t="s">
        <v>102</v>
      </c>
      <c r="I36">
        <v>54</v>
      </c>
      <c r="J36" s="3">
        <v>1809.03</v>
      </c>
      <c r="K36" s="3">
        <v>97687.62</v>
      </c>
      <c r="L36" t="s">
        <v>52</v>
      </c>
      <c r="M36" s="2">
        <v>46096</v>
      </c>
      <c r="N36" s="2">
        <v>46096</v>
      </c>
      <c r="O36" t="s">
        <v>60</v>
      </c>
      <c r="P36" t="s">
        <v>35</v>
      </c>
      <c r="Q36" t="s">
        <v>28</v>
      </c>
      <c r="R36" t="s">
        <v>29</v>
      </c>
      <c r="S36">
        <v>2026</v>
      </c>
      <c r="T36" t="s">
        <v>2747</v>
      </c>
      <c r="U36" t="s">
        <v>2755</v>
      </c>
      <c r="V36" s="4">
        <v>0</v>
      </c>
      <c r="W36" s="4">
        <v>1</v>
      </c>
    </row>
    <row r="37" spans="1:23">
      <c r="A37" t="s">
        <v>153</v>
      </c>
      <c r="B37" s="2">
        <v>45963</v>
      </c>
      <c r="C37" t="s">
        <v>134</v>
      </c>
      <c r="D37" t="s">
        <v>135</v>
      </c>
      <c r="E37" t="s">
        <v>112</v>
      </c>
      <c r="F37" t="s">
        <v>40</v>
      </c>
      <c r="G37" t="s">
        <v>149</v>
      </c>
      <c r="H37" t="s">
        <v>150</v>
      </c>
      <c r="I37">
        <v>36</v>
      </c>
      <c r="J37" s="3">
        <v>1329.16</v>
      </c>
      <c r="K37" s="3">
        <v>47849.760000000002</v>
      </c>
      <c r="L37" t="s">
        <v>34</v>
      </c>
      <c r="M37" s="2">
        <v>45968</v>
      </c>
      <c r="N37" s="2">
        <v>45965</v>
      </c>
      <c r="O37" t="s">
        <v>60</v>
      </c>
      <c r="P37" t="s">
        <v>115</v>
      </c>
      <c r="Q37" t="s">
        <v>28</v>
      </c>
      <c r="R37" t="s">
        <v>29</v>
      </c>
      <c r="S37">
        <v>2025</v>
      </c>
      <c r="T37" t="s">
        <v>2763</v>
      </c>
      <c r="U37" t="s">
        <v>2764</v>
      </c>
      <c r="V37" s="4">
        <v>0</v>
      </c>
      <c r="W37" s="4">
        <v>1</v>
      </c>
    </row>
    <row r="38" spans="1:23">
      <c r="A38" t="s">
        <v>154</v>
      </c>
      <c r="B38" s="2">
        <v>45685</v>
      </c>
      <c r="C38" t="s">
        <v>104</v>
      </c>
      <c r="D38" t="s">
        <v>105</v>
      </c>
      <c r="E38" t="s">
        <v>73</v>
      </c>
      <c r="F38" t="s">
        <v>49</v>
      </c>
      <c r="G38" t="s">
        <v>50</v>
      </c>
      <c r="H38" t="s">
        <v>51</v>
      </c>
      <c r="I38">
        <v>1</v>
      </c>
      <c r="J38" s="3">
        <v>51694.21</v>
      </c>
      <c r="K38" s="3">
        <v>51694.21</v>
      </c>
      <c r="L38" t="s">
        <v>25</v>
      </c>
      <c r="M38" s="2">
        <v>45697</v>
      </c>
      <c r="N38" s="2">
        <v>45694</v>
      </c>
      <c r="O38" t="s">
        <v>60</v>
      </c>
      <c r="P38" t="s">
        <v>77</v>
      </c>
      <c r="Q38" t="s">
        <v>28</v>
      </c>
      <c r="R38" t="s">
        <v>29</v>
      </c>
      <c r="S38">
        <v>2025</v>
      </c>
      <c r="T38" t="s">
        <v>2757</v>
      </c>
      <c r="U38" t="s">
        <v>2768</v>
      </c>
      <c r="V38" s="4">
        <v>0</v>
      </c>
      <c r="W38" s="4">
        <v>1</v>
      </c>
    </row>
    <row r="39" spans="1:23">
      <c r="A39" t="s">
        <v>155</v>
      </c>
      <c r="B39" s="2">
        <v>45741</v>
      </c>
      <c r="C39" t="s">
        <v>55</v>
      </c>
      <c r="D39" t="s">
        <v>56</v>
      </c>
      <c r="E39" t="s">
        <v>48</v>
      </c>
      <c r="F39" t="s">
        <v>57</v>
      </c>
      <c r="G39" t="s">
        <v>58</v>
      </c>
      <c r="H39" t="s">
        <v>59</v>
      </c>
      <c r="I39">
        <v>1</v>
      </c>
      <c r="J39" s="3">
        <v>61042.98</v>
      </c>
      <c r="K39" s="3">
        <v>61042.98</v>
      </c>
      <c r="L39" t="s">
        <v>25</v>
      </c>
      <c r="M39" s="2">
        <v>45758</v>
      </c>
      <c r="N39" s="2">
        <v>45763</v>
      </c>
      <c r="O39" t="s">
        <v>43</v>
      </c>
      <c r="P39" t="s">
        <v>53</v>
      </c>
      <c r="Q39" t="s">
        <v>28</v>
      </c>
      <c r="R39" t="s">
        <v>129</v>
      </c>
      <c r="S39">
        <v>2025</v>
      </c>
      <c r="T39" t="s">
        <v>2747</v>
      </c>
      <c r="U39" t="s">
        <v>2748</v>
      </c>
      <c r="V39" s="4">
        <v>5</v>
      </c>
      <c r="W39" s="4">
        <v>0</v>
      </c>
    </row>
    <row r="40" spans="1:23">
      <c r="A40" t="s">
        <v>156</v>
      </c>
      <c r="B40" s="2">
        <v>45902</v>
      </c>
      <c r="C40" t="s">
        <v>71</v>
      </c>
      <c r="D40" t="s">
        <v>72</v>
      </c>
      <c r="E40" t="s">
        <v>48</v>
      </c>
      <c r="F40" t="s">
        <v>57</v>
      </c>
      <c r="G40" t="s">
        <v>74</v>
      </c>
      <c r="H40" t="s">
        <v>75</v>
      </c>
      <c r="I40">
        <v>3</v>
      </c>
      <c r="J40" s="3">
        <v>8334.0400000000009</v>
      </c>
      <c r="K40" s="3">
        <v>25002.12</v>
      </c>
      <c r="L40" t="s">
        <v>34</v>
      </c>
      <c r="M40" s="2">
        <v>45916</v>
      </c>
      <c r="N40" s="2">
        <v>45916</v>
      </c>
      <c r="O40" t="s">
        <v>26</v>
      </c>
      <c r="P40" t="s">
        <v>53</v>
      </c>
      <c r="Q40" t="s">
        <v>28</v>
      </c>
      <c r="R40" t="s">
        <v>29</v>
      </c>
      <c r="S40">
        <v>2025</v>
      </c>
      <c r="T40" t="s">
        <v>2753</v>
      </c>
      <c r="U40" t="s">
        <v>2754</v>
      </c>
      <c r="V40" s="4">
        <v>0</v>
      </c>
      <c r="W40" s="4">
        <v>1</v>
      </c>
    </row>
    <row r="41" spans="1:23">
      <c r="A41" t="s">
        <v>157</v>
      </c>
      <c r="B41" s="2">
        <v>45768</v>
      </c>
      <c r="C41" t="s">
        <v>104</v>
      </c>
      <c r="D41" t="s">
        <v>105</v>
      </c>
      <c r="E41" t="s">
        <v>112</v>
      </c>
      <c r="F41" t="s">
        <v>49</v>
      </c>
      <c r="G41" t="s">
        <v>68</v>
      </c>
      <c r="H41" t="s">
        <v>69</v>
      </c>
      <c r="I41">
        <v>1</v>
      </c>
      <c r="J41" s="3">
        <v>49168.86</v>
      </c>
      <c r="K41" s="3">
        <v>49168.86</v>
      </c>
      <c r="L41" t="s">
        <v>25</v>
      </c>
      <c r="M41" s="2">
        <v>45782</v>
      </c>
      <c r="N41" s="2">
        <v>45781</v>
      </c>
      <c r="O41" t="s">
        <v>76</v>
      </c>
      <c r="P41" t="s">
        <v>115</v>
      </c>
      <c r="Q41" t="s">
        <v>28</v>
      </c>
      <c r="R41" t="s">
        <v>29</v>
      </c>
      <c r="S41">
        <v>2025</v>
      </c>
      <c r="T41" t="s">
        <v>2741</v>
      </c>
      <c r="U41" t="s">
        <v>2742</v>
      </c>
      <c r="V41" s="4">
        <v>0</v>
      </c>
      <c r="W41" s="4">
        <v>1</v>
      </c>
    </row>
    <row r="42" spans="1:23">
      <c r="A42" t="s">
        <v>158</v>
      </c>
      <c r="B42" s="2">
        <v>45700</v>
      </c>
      <c r="C42" t="s">
        <v>46</v>
      </c>
      <c r="D42" t="s">
        <v>47</v>
      </c>
      <c r="E42" t="s">
        <v>73</v>
      </c>
      <c r="F42" t="s">
        <v>49</v>
      </c>
      <c r="G42" t="s">
        <v>113</v>
      </c>
      <c r="H42" t="s">
        <v>114</v>
      </c>
      <c r="I42">
        <v>2</v>
      </c>
      <c r="J42" s="3">
        <v>39905.83</v>
      </c>
      <c r="K42" s="3">
        <v>79811.66</v>
      </c>
      <c r="L42" t="s">
        <v>52</v>
      </c>
      <c r="M42" s="2">
        <v>45718</v>
      </c>
      <c r="N42" s="2">
        <v>45715</v>
      </c>
      <c r="O42" t="s">
        <v>60</v>
      </c>
      <c r="P42" t="s">
        <v>77</v>
      </c>
      <c r="Q42" t="s">
        <v>28</v>
      </c>
      <c r="R42" t="s">
        <v>29</v>
      </c>
      <c r="S42">
        <v>2025</v>
      </c>
      <c r="T42" t="s">
        <v>2751</v>
      </c>
      <c r="U42" t="s">
        <v>2752</v>
      </c>
      <c r="V42" s="4">
        <v>0</v>
      </c>
      <c r="W42" s="4">
        <v>1</v>
      </c>
    </row>
    <row r="43" spans="1:23">
      <c r="A43" t="s">
        <v>159</v>
      </c>
      <c r="B43" s="2">
        <v>46103</v>
      </c>
      <c r="C43" t="s">
        <v>19</v>
      </c>
      <c r="D43" t="s">
        <v>20</v>
      </c>
      <c r="E43" t="s">
        <v>31</v>
      </c>
      <c r="F43" t="s">
        <v>22</v>
      </c>
      <c r="G43" t="s">
        <v>160</v>
      </c>
      <c r="H43" t="s">
        <v>161</v>
      </c>
      <c r="I43">
        <v>13</v>
      </c>
      <c r="J43" s="3">
        <v>3054.78</v>
      </c>
      <c r="K43" s="3">
        <v>39712.14</v>
      </c>
      <c r="L43" t="s">
        <v>25</v>
      </c>
      <c r="M43" s="2">
        <v>46115</v>
      </c>
      <c r="N43" s="2">
        <v>46113</v>
      </c>
      <c r="O43" t="s">
        <v>26</v>
      </c>
      <c r="P43" t="s">
        <v>94</v>
      </c>
      <c r="Q43" t="s">
        <v>28</v>
      </c>
      <c r="R43" t="s">
        <v>29</v>
      </c>
      <c r="S43">
        <v>2026</v>
      </c>
      <c r="T43" t="s">
        <v>2747</v>
      </c>
      <c r="U43" t="s">
        <v>2755</v>
      </c>
      <c r="V43" s="4">
        <v>0</v>
      </c>
      <c r="W43" s="4">
        <v>1</v>
      </c>
    </row>
    <row r="44" spans="1:23">
      <c r="A44" t="s">
        <v>162</v>
      </c>
      <c r="B44" s="2">
        <v>46046</v>
      </c>
      <c r="C44" t="s">
        <v>71</v>
      </c>
      <c r="D44" t="s">
        <v>72</v>
      </c>
      <c r="E44" t="s">
        <v>31</v>
      </c>
      <c r="F44" t="s">
        <v>57</v>
      </c>
      <c r="G44" t="s">
        <v>86</v>
      </c>
      <c r="H44" t="s">
        <v>87</v>
      </c>
      <c r="I44">
        <v>5</v>
      </c>
      <c r="J44" s="3">
        <v>10109.790000000001</v>
      </c>
      <c r="K44" s="3">
        <v>50548.95</v>
      </c>
      <c r="L44" t="s">
        <v>34</v>
      </c>
      <c r="M44" s="2">
        <v>46056</v>
      </c>
      <c r="N44" s="2">
        <v>46054</v>
      </c>
      <c r="O44" t="s">
        <v>26</v>
      </c>
      <c r="P44" t="s">
        <v>94</v>
      </c>
      <c r="Q44" t="s">
        <v>28</v>
      </c>
      <c r="R44" t="s">
        <v>29</v>
      </c>
      <c r="S44">
        <v>2026</v>
      </c>
      <c r="T44" t="s">
        <v>2757</v>
      </c>
      <c r="U44" t="s">
        <v>2758</v>
      </c>
      <c r="V44" s="4">
        <v>0</v>
      </c>
      <c r="W44" s="4">
        <v>1</v>
      </c>
    </row>
    <row r="45" spans="1:23">
      <c r="A45" t="s">
        <v>163</v>
      </c>
      <c r="B45" s="2">
        <v>46158</v>
      </c>
      <c r="C45" t="s">
        <v>104</v>
      </c>
      <c r="D45" t="s">
        <v>105</v>
      </c>
      <c r="E45" t="s">
        <v>21</v>
      </c>
      <c r="F45" t="s">
        <v>49</v>
      </c>
      <c r="G45" t="s">
        <v>68</v>
      </c>
      <c r="H45" t="s">
        <v>69</v>
      </c>
      <c r="I45">
        <v>1</v>
      </c>
      <c r="J45" s="3">
        <v>46154.49</v>
      </c>
      <c r="K45" s="3">
        <v>46154.49</v>
      </c>
      <c r="L45" t="s">
        <v>25</v>
      </c>
      <c r="M45" s="2">
        <v>46166</v>
      </c>
      <c r="N45" s="2">
        <v>46165</v>
      </c>
      <c r="O45" t="s">
        <v>76</v>
      </c>
      <c r="P45" t="s">
        <v>27</v>
      </c>
      <c r="Q45" t="s">
        <v>28</v>
      </c>
      <c r="R45" t="s">
        <v>29</v>
      </c>
      <c r="S45">
        <v>2026</v>
      </c>
      <c r="T45" t="s">
        <v>2766</v>
      </c>
      <c r="U45" t="s">
        <v>2769</v>
      </c>
      <c r="V45" s="4">
        <v>0</v>
      </c>
      <c r="W45" s="4">
        <v>1</v>
      </c>
    </row>
    <row r="46" spans="1:23">
      <c r="A46" t="s">
        <v>164</v>
      </c>
      <c r="B46" s="2">
        <v>46201</v>
      </c>
      <c r="C46" t="s">
        <v>104</v>
      </c>
      <c r="D46" t="s">
        <v>105</v>
      </c>
      <c r="E46" t="s">
        <v>112</v>
      </c>
      <c r="F46" t="s">
        <v>49</v>
      </c>
      <c r="G46" t="s">
        <v>165</v>
      </c>
      <c r="H46" t="s">
        <v>166</v>
      </c>
      <c r="I46">
        <v>1</v>
      </c>
      <c r="J46" s="3">
        <v>45037.67</v>
      </c>
      <c r="K46" s="3">
        <v>45037.67</v>
      </c>
      <c r="L46" t="s">
        <v>34</v>
      </c>
      <c r="M46" s="2">
        <v>46210</v>
      </c>
      <c r="N46" s="2"/>
      <c r="O46" t="s">
        <v>26</v>
      </c>
      <c r="P46" t="s">
        <v>115</v>
      </c>
      <c r="Q46" t="s">
        <v>167</v>
      </c>
      <c r="R46" t="s">
        <v>167</v>
      </c>
      <c r="S46">
        <v>2026</v>
      </c>
      <c r="T46" t="s">
        <v>2743</v>
      </c>
      <c r="U46" t="s">
        <v>2744</v>
      </c>
      <c r="V46" s="4"/>
      <c r="W46" s="4"/>
    </row>
    <row r="47" spans="1:23">
      <c r="A47" t="s">
        <v>168</v>
      </c>
      <c r="B47" s="2">
        <v>45941</v>
      </c>
      <c r="C47" t="s">
        <v>66</v>
      </c>
      <c r="D47" t="s">
        <v>67</v>
      </c>
      <c r="E47" t="s">
        <v>112</v>
      </c>
      <c r="F47" t="s">
        <v>49</v>
      </c>
      <c r="G47" t="s">
        <v>165</v>
      </c>
      <c r="H47" t="s">
        <v>166</v>
      </c>
      <c r="I47">
        <v>1</v>
      </c>
      <c r="J47" s="3">
        <v>45174.98</v>
      </c>
      <c r="K47" s="3">
        <v>45174.98</v>
      </c>
      <c r="L47" t="s">
        <v>25</v>
      </c>
      <c r="M47" s="2">
        <v>45949</v>
      </c>
      <c r="N47" s="2">
        <v>45947</v>
      </c>
      <c r="O47" t="s">
        <v>26</v>
      </c>
      <c r="P47" t="s">
        <v>115</v>
      </c>
      <c r="Q47" t="s">
        <v>28</v>
      </c>
      <c r="R47" t="s">
        <v>29</v>
      </c>
      <c r="S47">
        <v>2025</v>
      </c>
      <c r="T47" t="s">
        <v>2749</v>
      </c>
      <c r="U47" t="s">
        <v>2750</v>
      </c>
      <c r="V47" s="4">
        <v>0</v>
      </c>
      <c r="W47" s="4">
        <v>1</v>
      </c>
    </row>
    <row r="48" spans="1:23">
      <c r="A48" t="s">
        <v>169</v>
      </c>
      <c r="B48" s="2">
        <v>45957</v>
      </c>
      <c r="C48" t="s">
        <v>147</v>
      </c>
      <c r="D48" t="s">
        <v>148</v>
      </c>
      <c r="E48" t="s">
        <v>39</v>
      </c>
      <c r="F48" t="s">
        <v>40</v>
      </c>
      <c r="G48" t="s">
        <v>41</v>
      </c>
      <c r="H48" t="s">
        <v>42</v>
      </c>
      <c r="I48">
        <v>8</v>
      </c>
      <c r="J48" s="3">
        <v>5244.48</v>
      </c>
      <c r="K48" s="3">
        <v>41955.839999999997</v>
      </c>
      <c r="L48" t="s">
        <v>52</v>
      </c>
      <c r="M48" s="2">
        <v>45969</v>
      </c>
      <c r="N48" s="2">
        <v>45968</v>
      </c>
      <c r="O48" t="s">
        <v>76</v>
      </c>
      <c r="P48" t="s">
        <v>44</v>
      </c>
      <c r="Q48" t="s">
        <v>28</v>
      </c>
      <c r="R48" t="s">
        <v>29</v>
      </c>
      <c r="S48">
        <v>2025</v>
      </c>
      <c r="T48" t="s">
        <v>2749</v>
      </c>
      <c r="U48" t="s">
        <v>2750</v>
      </c>
      <c r="V48" s="4">
        <v>0</v>
      </c>
      <c r="W48" s="4">
        <v>1</v>
      </c>
    </row>
    <row r="49" spans="1:23">
      <c r="A49" t="s">
        <v>170</v>
      </c>
      <c r="B49" s="2">
        <v>46068</v>
      </c>
      <c r="C49" t="s">
        <v>142</v>
      </c>
      <c r="D49" t="s">
        <v>143</v>
      </c>
      <c r="E49" t="s">
        <v>31</v>
      </c>
      <c r="F49" t="s">
        <v>22</v>
      </c>
      <c r="G49" t="s">
        <v>23</v>
      </c>
      <c r="H49" t="s">
        <v>24</v>
      </c>
      <c r="I49">
        <v>24</v>
      </c>
      <c r="J49" s="3">
        <v>253.09</v>
      </c>
      <c r="K49" s="3">
        <v>6074.16</v>
      </c>
      <c r="L49" t="s">
        <v>34</v>
      </c>
      <c r="M49" s="2">
        <v>46074</v>
      </c>
      <c r="N49" s="2">
        <v>46074</v>
      </c>
      <c r="O49" t="s">
        <v>60</v>
      </c>
      <c r="P49" t="s">
        <v>94</v>
      </c>
      <c r="Q49" t="s">
        <v>28</v>
      </c>
      <c r="R49" t="s">
        <v>29</v>
      </c>
      <c r="S49">
        <v>2026</v>
      </c>
      <c r="T49" t="s">
        <v>2751</v>
      </c>
      <c r="U49" t="s">
        <v>2765</v>
      </c>
      <c r="V49" s="4">
        <v>0</v>
      </c>
      <c r="W49" s="4">
        <v>1</v>
      </c>
    </row>
    <row r="50" spans="1:23">
      <c r="A50" t="s">
        <v>171</v>
      </c>
      <c r="B50" s="2">
        <v>46193</v>
      </c>
      <c r="C50" t="s">
        <v>37</v>
      </c>
      <c r="D50" t="s">
        <v>38</v>
      </c>
      <c r="E50" t="s">
        <v>112</v>
      </c>
      <c r="F50" t="s">
        <v>40</v>
      </c>
      <c r="G50" t="s">
        <v>62</v>
      </c>
      <c r="H50" t="s">
        <v>63</v>
      </c>
      <c r="I50">
        <v>2</v>
      </c>
      <c r="J50" s="3">
        <v>20109.59</v>
      </c>
      <c r="K50" s="3">
        <v>40219.18</v>
      </c>
      <c r="L50" t="s">
        <v>25</v>
      </c>
      <c r="M50" s="2">
        <v>46210</v>
      </c>
      <c r="N50" s="2"/>
      <c r="O50" t="s">
        <v>26</v>
      </c>
      <c r="P50" t="s">
        <v>115</v>
      </c>
      <c r="Q50" t="s">
        <v>167</v>
      </c>
      <c r="R50" t="s">
        <v>167</v>
      </c>
      <c r="S50">
        <v>2026</v>
      </c>
      <c r="T50" t="s">
        <v>2743</v>
      </c>
      <c r="U50" t="s">
        <v>2744</v>
      </c>
      <c r="V50" s="4"/>
      <c r="W50" s="4"/>
    </row>
    <row r="51" spans="1:23">
      <c r="A51" t="s">
        <v>172</v>
      </c>
      <c r="B51" s="2">
        <v>45734</v>
      </c>
      <c r="C51" t="s">
        <v>71</v>
      </c>
      <c r="D51" t="s">
        <v>72</v>
      </c>
      <c r="E51" t="s">
        <v>73</v>
      </c>
      <c r="F51" t="s">
        <v>57</v>
      </c>
      <c r="G51" t="s">
        <v>127</v>
      </c>
      <c r="H51" t="s">
        <v>128</v>
      </c>
      <c r="I51">
        <v>5</v>
      </c>
      <c r="J51" s="3">
        <v>14721.39</v>
      </c>
      <c r="K51" s="3">
        <v>73606.95</v>
      </c>
      <c r="L51" t="s">
        <v>25</v>
      </c>
      <c r="M51" s="2">
        <v>45750</v>
      </c>
      <c r="N51" s="2">
        <v>45747</v>
      </c>
      <c r="O51" t="s">
        <v>26</v>
      </c>
      <c r="P51" t="s">
        <v>77</v>
      </c>
      <c r="Q51" t="s">
        <v>28</v>
      </c>
      <c r="R51" t="s">
        <v>29</v>
      </c>
      <c r="S51">
        <v>2025</v>
      </c>
      <c r="T51" t="s">
        <v>2747</v>
      </c>
      <c r="U51" t="s">
        <v>2748</v>
      </c>
      <c r="V51" s="4">
        <v>0</v>
      </c>
      <c r="W51" s="4">
        <v>1</v>
      </c>
    </row>
    <row r="52" spans="1:23">
      <c r="A52" t="s">
        <v>173</v>
      </c>
      <c r="B52" s="2">
        <v>45860</v>
      </c>
      <c r="C52" t="s">
        <v>37</v>
      </c>
      <c r="D52" t="s">
        <v>38</v>
      </c>
      <c r="E52" t="s">
        <v>31</v>
      </c>
      <c r="F52" t="s">
        <v>22</v>
      </c>
      <c r="G52" t="s">
        <v>23</v>
      </c>
      <c r="H52" t="s">
        <v>24</v>
      </c>
      <c r="I52">
        <v>9</v>
      </c>
      <c r="J52" s="3">
        <v>271.17</v>
      </c>
      <c r="K52" s="3">
        <v>2440.5300000000002</v>
      </c>
      <c r="L52" t="s">
        <v>34</v>
      </c>
      <c r="M52" s="2">
        <v>45865</v>
      </c>
      <c r="N52" s="2">
        <v>45863</v>
      </c>
      <c r="O52" t="s">
        <v>76</v>
      </c>
      <c r="P52" t="s">
        <v>35</v>
      </c>
      <c r="Q52" t="s">
        <v>28</v>
      </c>
      <c r="R52" t="s">
        <v>29</v>
      </c>
      <c r="S52">
        <v>2025</v>
      </c>
      <c r="T52" t="s">
        <v>2759</v>
      </c>
      <c r="U52" t="s">
        <v>2760</v>
      </c>
      <c r="V52" s="4">
        <v>0</v>
      </c>
      <c r="W52" s="4">
        <v>1</v>
      </c>
    </row>
    <row r="53" spans="1:23">
      <c r="A53" t="s">
        <v>174</v>
      </c>
      <c r="B53" s="2">
        <v>45785</v>
      </c>
      <c r="C53" t="s">
        <v>46</v>
      </c>
      <c r="D53" t="s">
        <v>47</v>
      </c>
      <c r="E53" t="s">
        <v>21</v>
      </c>
      <c r="F53" t="s">
        <v>49</v>
      </c>
      <c r="G53" t="s">
        <v>165</v>
      </c>
      <c r="H53" t="s">
        <v>166</v>
      </c>
      <c r="I53">
        <v>1</v>
      </c>
      <c r="J53" s="3">
        <v>47911.86</v>
      </c>
      <c r="K53" s="3">
        <v>47911.86</v>
      </c>
      <c r="L53" t="s">
        <v>34</v>
      </c>
      <c r="M53" s="2">
        <v>45799</v>
      </c>
      <c r="N53" s="2">
        <v>45807</v>
      </c>
      <c r="O53" t="s">
        <v>76</v>
      </c>
      <c r="P53" t="s">
        <v>27</v>
      </c>
      <c r="Q53" t="s">
        <v>28</v>
      </c>
      <c r="R53" t="s">
        <v>129</v>
      </c>
      <c r="S53">
        <v>2025</v>
      </c>
      <c r="T53" t="s">
        <v>2766</v>
      </c>
      <c r="U53" t="s">
        <v>2767</v>
      </c>
      <c r="V53" s="4">
        <v>8</v>
      </c>
      <c r="W53" s="4">
        <v>0</v>
      </c>
    </row>
    <row r="54" spans="1:23">
      <c r="A54" t="s">
        <v>175</v>
      </c>
      <c r="B54" s="2">
        <v>45751</v>
      </c>
      <c r="C54" t="s">
        <v>71</v>
      </c>
      <c r="D54" t="s">
        <v>72</v>
      </c>
      <c r="E54" t="s">
        <v>48</v>
      </c>
      <c r="F54" t="s">
        <v>57</v>
      </c>
      <c r="G54" t="s">
        <v>120</v>
      </c>
      <c r="H54" t="s">
        <v>121</v>
      </c>
      <c r="I54">
        <v>3</v>
      </c>
      <c r="J54" s="3">
        <v>20717.88</v>
      </c>
      <c r="K54" s="3">
        <v>62153.64</v>
      </c>
      <c r="L54" t="s">
        <v>52</v>
      </c>
      <c r="M54" s="2">
        <v>45763</v>
      </c>
      <c r="N54" s="2">
        <v>45760</v>
      </c>
      <c r="O54" t="s">
        <v>26</v>
      </c>
      <c r="P54" t="s">
        <v>53</v>
      </c>
      <c r="Q54" t="s">
        <v>28</v>
      </c>
      <c r="R54" t="s">
        <v>29</v>
      </c>
      <c r="S54">
        <v>2025</v>
      </c>
      <c r="T54" t="s">
        <v>2741</v>
      </c>
      <c r="U54" t="s">
        <v>2742</v>
      </c>
      <c r="V54" s="4">
        <v>0</v>
      </c>
      <c r="W54" s="4">
        <v>1</v>
      </c>
    </row>
    <row r="55" spans="1:23">
      <c r="A55" t="s">
        <v>176</v>
      </c>
      <c r="B55" s="2">
        <v>46139</v>
      </c>
      <c r="C55" t="s">
        <v>131</v>
      </c>
      <c r="D55" t="s">
        <v>132</v>
      </c>
      <c r="E55" t="s">
        <v>21</v>
      </c>
      <c r="F55" t="s">
        <v>57</v>
      </c>
      <c r="G55" t="s">
        <v>101</v>
      </c>
      <c r="H55" t="s">
        <v>102</v>
      </c>
      <c r="I55">
        <v>49</v>
      </c>
      <c r="J55" s="3">
        <v>1867.53</v>
      </c>
      <c r="K55" s="3">
        <v>91508.97</v>
      </c>
      <c r="L55" t="s">
        <v>34</v>
      </c>
      <c r="M55" s="2">
        <v>46151</v>
      </c>
      <c r="N55" s="2">
        <v>46148</v>
      </c>
      <c r="O55" t="s">
        <v>43</v>
      </c>
      <c r="P55" t="s">
        <v>27</v>
      </c>
      <c r="Q55" t="s">
        <v>28</v>
      </c>
      <c r="R55" t="s">
        <v>29</v>
      </c>
      <c r="S55">
        <v>2026</v>
      </c>
      <c r="T55" t="s">
        <v>2741</v>
      </c>
      <c r="U55" t="s">
        <v>2770</v>
      </c>
      <c r="V55" s="4">
        <v>0</v>
      </c>
      <c r="W55" s="4">
        <v>1</v>
      </c>
    </row>
    <row r="56" spans="1:23">
      <c r="A56" t="s">
        <v>177</v>
      </c>
      <c r="B56" s="2">
        <v>45748</v>
      </c>
      <c r="C56" t="s">
        <v>46</v>
      </c>
      <c r="D56" t="s">
        <v>47</v>
      </c>
      <c r="E56" t="s">
        <v>21</v>
      </c>
      <c r="F56" t="s">
        <v>49</v>
      </c>
      <c r="G56" t="s">
        <v>113</v>
      </c>
      <c r="H56" t="s">
        <v>114</v>
      </c>
      <c r="I56">
        <v>2</v>
      </c>
      <c r="J56" s="3">
        <v>40635.81</v>
      </c>
      <c r="K56" s="3">
        <v>81271.62</v>
      </c>
      <c r="L56" t="s">
        <v>34</v>
      </c>
      <c r="M56" s="2">
        <v>45753</v>
      </c>
      <c r="N56" s="2">
        <v>45751</v>
      </c>
      <c r="O56" t="s">
        <v>60</v>
      </c>
      <c r="P56" t="s">
        <v>27</v>
      </c>
      <c r="Q56" t="s">
        <v>28</v>
      </c>
      <c r="R56" t="s">
        <v>29</v>
      </c>
      <c r="S56">
        <v>2025</v>
      </c>
      <c r="T56" t="s">
        <v>2741</v>
      </c>
      <c r="U56" t="s">
        <v>2742</v>
      </c>
      <c r="V56" s="4">
        <v>0</v>
      </c>
      <c r="W56" s="4">
        <v>1</v>
      </c>
    </row>
    <row r="57" spans="1:23">
      <c r="A57" t="s">
        <v>178</v>
      </c>
      <c r="B57" s="2">
        <v>45710</v>
      </c>
      <c r="C57" t="s">
        <v>131</v>
      </c>
      <c r="D57" t="s">
        <v>132</v>
      </c>
      <c r="E57" t="s">
        <v>31</v>
      </c>
      <c r="F57" t="s">
        <v>57</v>
      </c>
      <c r="G57" t="s">
        <v>74</v>
      </c>
      <c r="H57" t="s">
        <v>75</v>
      </c>
      <c r="I57">
        <v>1</v>
      </c>
      <c r="J57" s="3">
        <v>9110.9</v>
      </c>
      <c r="K57" s="3">
        <v>9110.9</v>
      </c>
      <c r="L57" t="s">
        <v>34</v>
      </c>
      <c r="M57" s="2">
        <v>45725</v>
      </c>
      <c r="N57" s="2">
        <v>45724</v>
      </c>
      <c r="O57" t="s">
        <v>76</v>
      </c>
      <c r="P57" t="s">
        <v>94</v>
      </c>
      <c r="Q57" t="s">
        <v>28</v>
      </c>
      <c r="R57" t="s">
        <v>29</v>
      </c>
      <c r="S57">
        <v>2025</v>
      </c>
      <c r="T57" t="s">
        <v>2751</v>
      </c>
      <c r="U57" t="s">
        <v>2752</v>
      </c>
      <c r="V57" s="4">
        <v>0</v>
      </c>
      <c r="W57" s="4">
        <v>1</v>
      </c>
    </row>
    <row r="58" spans="1:23">
      <c r="A58" t="s">
        <v>179</v>
      </c>
      <c r="B58" s="2">
        <v>46075</v>
      </c>
      <c r="C58" t="s">
        <v>37</v>
      </c>
      <c r="D58" t="s">
        <v>38</v>
      </c>
      <c r="E58" t="s">
        <v>112</v>
      </c>
      <c r="F58" t="s">
        <v>22</v>
      </c>
      <c r="G58" t="s">
        <v>160</v>
      </c>
      <c r="H58" t="s">
        <v>161</v>
      </c>
      <c r="I58">
        <v>3</v>
      </c>
      <c r="J58" s="3">
        <v>3638.09</v>
      </c>
      <c r="K58" s="3">
        <v>10914.27</v>
      </c>
      <c r="L58" t="s">
        <v>25</v>
      </c>
      <c r="M58" s="2">
        <v>46087</v>
      </c>
      <c r="N58" s="2">
        <v>46085</v>
      </c>
      <c r="O58" t="s">
        <v>76</v>
      </c>
      <c r="P58" t="s">
        <v>115</v>
      </c>
      <c r="Q58" t="s">
        <v>28</v>
      </c>
      <c r="R58" t="s">
        <v>29</v>
      </c>
      <c r="S58">
        <v>2026</v>
      </c>
      <c r="T58" t="s">
        <v>2751</v>
      </c>
      <c r="U58" t="s">
        <v>2765</v>
      </c>
      <c r="V58" s="4">
        <v>0</v>
      </c>
      <c r="W58" s="4">
        <v>1</v>
      </c>
    </row>
    <row r="59" spans="1:23">
      <c r="A59" t="s">
        <v>180</v>
      </c>
      <c r="B59" s="2">
        <v>45907</v>
      </c>
      <c r="C59" t="s">
        <v>19</v>
      </c>
      <c r="D59" t="s">
        <v>20</v>
      </c>
      <c r="E59" t="s">
        <v>39</v>
      </c>
      <c r="F59" t="s">
        <v>22</v>
      </c>
      <c r="G59" t="s">
        <v>32</v>
      </c>
      <c r="H59" t="s">
        <v>33</v>
      </c>
      <c r="I59">
        <v>14</v>
      </c>
      <c r="J59" s="3">
        <v>7537.92</v>
      </c>
      <c r="K59" s="3">
        <v>105530.88</v>
      </c>
      <c r="L59" t="s">
        <v>25</v>
      </c>
      <c r="M59" s="2">
        <v>45913</v>
      </c>
      <c r="N59" s="2">
        <v>45910</v>
      </c>
      <c r="O59" t="s">
        <v>76</v>
      </c>
      <c r="P59" t="s">
        <v>64</v>
      </c>
      <c r="Q59" t="s">
        <v>28</v>
      </c>
      <c r="R59" t="s">
        <v>29</v>
      </c>
      <c r="S59">
        <v>2025</v>
      </c>
      <c r="T59" t="s">
        <v>2753</v>
      </c>
      <c r="U59" t="s">
        <v>2754</v>
      </c>
      <c r="V59" s="4">
        <v>0</v>
      </c>
      <c r="W59" s="4">
        <v>1</v>
      </c>
    </row>
    <row r="60" spans="1:23">
      <c r="A60" t="s">
        <v>181</v>
      </c>
      <c r="B60" s="2">
        <v>45947</v>
      </c>
      <c r="C60" t="s">
        <v>104</v>
      </c>
      <c r="D60" t="s">
        <v>105</v>
      </c>
      <c r="E60" t="s">
        <v>48</v>
      </c>
      <c r="F60" t="s">
        <v>49</v>
      </c>
      <c r="G60" t="s">
        <v>50</v>
      </c>
      <c r="H60" t="s">
        <v>51</v>
      </c>
      <c r="I60">
        <v>1</v>
      </c>
      <c r="J60" s="3">
        <v>52186.720000000001</v>
      </c>
      <c r="K60" s="3">
        <v>52186.720000000001</v>
      </c>
      <c r="L60" t="s">
        <v>25</v>
      </c>
      <c r="M60" s="2">
        <v>45960</v>
      </c>
      <c r="N60" s="2">
        <v>45957</v>
      </c>
      <c r="O60" t="s">
        <v>76</v>
      </c>
      <c r="P60" t="s">
        <v>53</v>
      </c>
      <c r="Q60" t="s">
        <v>28</v>
      </c>
      <c r="R60" t="s">
        <v>29</v>
      </c>
      <c r="S60">
        <v>2025</v>
      </c>
      <c r="T60" t="s">
        <v>2749</v>
      </c>
      <c r="U60" t="s">
        <v>2750</v>
      </c>
      <c r="V60" s="4">
        <v>0</v>
      </c>
      <c r="W60" s="4">
        <v>1</v>
      </c>
    </row>
    <row r="61" spans="1:23">
      <c r="A61" t="s">
        <v>182</v>
      </c>
      <c r="B61" s="2">
        <v>45902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42</v>
      </c>
      <c r="I61">
        <v>15</v>
      </c>
      <c r="J61" s="3">
        <v>5792.84</v>
      </c>
      <c r="K61" s="3">
        <v>86892.6</v>
      </c>
      <c r="L61" t="s">
        <v>25</v>
      </c>
      <c r="M61" s="2">
        <v>45919</v>
      </c>
      <c r="N61" s="2">
        <v>45918</v>
      </c>
      <c r="O61" t="s">
        <v>43</v>
      </c>
      <c r="P61" t="s">
        <v>64</v>
      </c>
      <c r="Q61" t="s">
        <v>28</v>
      </c>
      <c r="R61" t="s">
        <v>29</v>
      </c>
      <c r="S61">
        <v>2025</v>
      </c>
      <c r="T61" t="s">
        <v>2753</v>
      </c>
      <c r="U61" t="s">
        <v>2754</v>
      </c>
      <c r="V61" s="4">
        <v>0</v>
      </c>
      <c r="W61" s="4">
        <v>1</v>
      </c>
    </row>
    <row r="62" spans="1:23">
      <c r="A62" t="s">
        <v>183</v>
      </c>
      <c r="B62" s="2">
        <v>46108</v>
      </c>
      <c r="C62" t="s">
        <v>142</v>
      </c>
      <c r="D62" t="s">
        <v>143</v>
      </c>
      <c r="E62" t="s">
        <v>112</v>
      </c>
      <c r="F62" t="s">
        <v>22</v>
      </c>
      <c r="G62" t="s">
        <v>32</v>
      </c>
      <c r="H62" t="s">
        <v>33</v>
      </c>
      <c r="I62">
        <v>3</v>
      </c>
      <c r="J62" s="3">
        <v>8585.36</v>
      </c>
      <c r="K62" s="3">
        <v>25756.080000000002</v>
      </c>
      <c r="L62" t="s">
        <v>25</v>
      </c>
      <c r="M62" s="2">
        <v>46114</v>
      </c>
      <c r="N62" s="2">
        <v>46112</v>
      </c>
      <c r="O62" t="s">
        <v>60</v>
      </c>
      <c r="P62" t="s">
        <v>115</v>
      </c>
      <c r="Q62" t="s">
        <v>28</v>
      </c>
      <c r="R62" t="s">
        <v>29</v>
      </c>
      <c r="S62">
        <v>2026</v>
      </c>
      <c r="T62" t="s">
        <v>2747</v>
      </c>
      <c r="U62" t="s">
        <v>2755</v>
      </c>
      <c r="V62" s="4">
        <v>0</v>
      </c>
      <c r="W62" s="4">
        <v>1</v>
      </c>
    </row>
    <row r="63" spans="1:23">
      <c r="A63" t="s">
        <v>184</v>
      </c>
      <c r="B63" s="2">
        <v>45694</v>
      </c>
      <c r="C63" t="s">
        <v>80</v>
      </c>
      <c r="D63" t="s">
        <v>81</v>
      </c>
      <c r="E63" t="s">
        <v>39</v>
      </c>
      <c r="F63" t="s">
        <v>82</v>
      </c>
      <c r="G63" t="s">
        <v>98</v>
      </c>
      <c r="H63" t="s">
        <v>99</v>
      </c>
      <c r="I63">
        <v>32</v>
      </c>
      <c r="J63" s="3">
        <v>1122.23</v>
      </c>
      <c r="K63" s="3">
        <v>35911.360000000001</v>
      </c>
      <c r="L63" t="s">
        <v>25</v>
      </c>
      <c r="M63" s="2">
        <v>45700</v>
      </c>
      <c r="N63" s="2">
        <v>45700</v>
      </c>
      <c r="O63" t="s">
        <v>76</v>
      </c>
      <c r="P63" t="s">
        <v>64</v>
      </c>
      <c r="Q63" t="s">
        <v>28</v>
      </c>
      <c r="R63" t="s">
        <v>29</v>
      </c>
      <c r="S63">
        <v>2025</v>
      </c>
      <c r="T63" t="s">
        <v>2751</v>
      </c>
      <c r="U63" t="s">
        <v>2752</v>
      </c>
      <c r="V63" s="4">
        <v>0</v>
      </c>
      <c r="W63" s="4">
        <v>1</v>
      </c>
    </row>
    <row r="64" spans="1:23">
      <c r="A64" t="s">
        <v>185</v>
      </c>
      <c r="B64" s="2">
        <v>45705</v>
      </c>
      <c r="C64" t="s">
        <v>134</v>
      </c>
      <c r="D64" t="s">
        <v>135</v>
      </c>
      <c r="E64" t="s">
        <v>39</v>
      </c>
      <c r="F64" t="s">
        <v>40</v>
      </c>
      <c r="G64" t="s">
        <v>136</v>
      </c>
      <c r="H64" t="s">
        <v>137</v>
      </c>
      <c r="I64">
        <v>31</v>
      </c>
      <c r="J64" s="3">
        <v>1620.26</v>
      </c>
      <c r="K64" s="3">
        <v>50228.06</v>
      </c>
      <c r="L64" t="s">
        <v>25</v>
      </c>
      <c r="M64" s="2">
        <v>45719</v>
      </c>
      <c r="N64" s="2">
        <v>45718</v>
      </c>
      <c r="O64" t="s">
        <v>43</v>
      </c>
      <c r="P64" t="s">
        <v>44</v>
      </c>
      <c r="Q64" t="s">
        <v>28</v>
      </c>
      <c r="R64" t="s">
        <v>29</v>
      </c>
      <c r="S64">
        <v>2025</v>
      </c>
      <c r="T64" t="s">
        <v>2751</v>
      </c>
      <c r="U64" t="s">
        <v>2752</v>
      </c>
      <c r="V64" s="4">
        <v>0</v>
      </c>
      <c r="W64" s="4">
        <v>1</v>
      </c>
    </row>
    <row r="65" spans="1:23">
      <c r="A65" t="s">
        <v>186</v>
      </c>
      <c r="B65" s="2">
        <v>45904</v>
      </c>
      <c r="C65" t="s">
        <v>107</v>
      </c>
      <c r="D65" t="s">
        <v>108</v>
      </c>
      <c r="E65" t="s">
        <v>31</v>
      </c>
      <c r="F65" t="s">
        <v>91</v>
      </c>
      <c r="G65" t="s">
        <v>109</v>
      </c>
      <c r="H65" t="s">
        <v>110</v>
      </c>
      <c r="I65">
        <v>1</v>
      </c>
      <c r="J65" s="3">
        <v>13768.72</v>
      </c>
      <c r="K65" s="3">
        <v>13768.72</v>
      </c>
      <c r="L65" t="s">
        <v>34</v>
      </c>
      <c r="M65" s="2">
        <v>45921</v>
      </c>
      <c r="N65" s="2">
        <v>45919</v>
      </c>
      <c r="O65" t="s">
        <v>26</v>
      </c>
      <c r="P65" t="s">
        <v>94</v>
      </c>
      <c r="Q65" t="s">
        <v>28</v>
      </c>
      <c r="R65" t="s">
        <v>29</v>
      </c>
      <c r="S65">
        <v>2025</v>
      </c>
      <c r="T65" t="s">
        <v>2753</v>
      </c>
      <c r="U65" t="s">
        <v>2754</v>
      </c>
      <c r="V65" s="4">
        <v>0</v>
      </c>
      <c r="W65" s="4">
        <v>1</v>
      </c>
    </row>
    <row r="66" spans="1:23">
      <c r="A66" t="s">
        <v>187</v>
      </c>
      <c r="B66" s="2">
        <v>45964</v>
      </c>
      <c r="C66" t="s">
        <v>66</v>
      </c>
      <c r="D66" t="s">
        <v>67</v>
      </c>
      <c r="E66" t="s">
        <v>73</v>
      </c>
      <c r="F66" t="s">
        <v>49</v>
      </c>
      <c r="G66" t="s">
        <v>68</v>
      </c>
      <c r="H66" t="s">
        <v>69</v>
      </c>
      <c r="I66">
        <v>2</v>
      </c>
      <c r="J66" s="3">
        <v>45532.4</v>
      </c>
      <c r="K66" s="3">
        <v>91064.8</v>
      </c>
      <c r="L66" t="s">
        <v>25</v>
      </c>
      <c r="M66" s="2">
        <v>45982</v>
      </c>
      <c r="N66" s="2">
        <v>45981</v>
      </c>
      <c r="O66" t="s">
        <v>76</v>
      </c>
      <c r="P66" t="s">
        <v>77</v>
      </c>
      <c r="Q66" t="s">
        <v>28</v>
      </c>
      <c r="R66" t="s">
        <v>29</v>
      </c>
      <c r="S66">
        <v>2025</v>
      </c>
      <c r="T66" t="s">
        <v>2763</v>
      </c>
      <c r="U66" t="s">
        <v>2764</v>
      </c>
      <c r="V66" s="4">
        <v>0</v>
      </c>
      <c r="W66" s="4">
        <v>1</v>
      </c>
    </row>
    <row r="67" spans="1:23">
      <c r="A67" t="s">
        <v>188</v>
      </c>
      <c r="B67" s="2">
        <v>45960</v>
      </c>
      <c r="C67" t="s">
        <v>104</v>
      </c>
      <c r="D67" t="s">
        <v>105</v>
      </c>
      <c r="E67" t="s">
        <v>48</v>
      </c>
      <c r="F67" t="s">
        <v>49</v>
      </c>
      <c r="G67" t="s">
        <v>165</v>
      </c>
      <c r="H67" t="s">
        <v>166</v>
      </c>
      <c r="I67">
        <v>1</v>
      </c>
      <c r="J67" s="3">
        <v>46703.519999999997</v>
      </c>
      <c r="K67" s="3">
        <v>46703.519999999997</v>
      </c>
      <c r="L67" t="s">
        <v>34</v>
      </c>
      <c r="M67" s="2">
        <v>45974</v>
      </c>
      <c r="N67" s="2">
        <v>45972</v>
      </c>
      <c r="O67" t="s">
        <v>26</v>
      </c>
      <c r="P67" t="s">
        <v>53</v>
      </c>
      <c r="Q67" t="s">
        <v>28</v>
      </c>
      <c r="R67" t="s">
        <v>29</v>
      </c>
      <c r="S67">
        <v>2025</v>
      </c>
      <c r="T67" t="s">
        <v>2749</v>
      </c>
      <c r="U67" t="s">
        <v>2750</v>
      </c>
      <c r="V67" s="4">
        <v>0</v>
      </c>
      <c r="W67" s="4">
        <v>1</v>
      </c>
    </row>
    <row r="68" spans="1:23">
      <c r="A68" t="s">
        <v>189</v>
      </c>
      <c r="B68" s="2">
        <v>45882</v>
      </c>
      <c r="C68" t="s">
        <v>19</v>
      </c>
      <c r="D68" t="s">
        <v>20</v>
      </c>
      <c r="E68" t="s">
        <v>31</v>
      </c>
      <c r="F68" t="s">
        <v>22</v>
      </c>
      <c r="G68" t="s">
        <v>32</v>
      </c>
      <c r="H68" t="s">
        <v>33</v>
      </c>
      <c r="I68">
        <v>3</v>
      </c>
      <c r="J68" s="3">
        <v>7408.34</v>
      </c>
      <c r="K68" s="3">
        <v>22225.02</v>
      </c>
      <c r="L68" t="s">
        <v>34</v>
      </c>
      <c r="M68" s="2">
        <v>45897</v>
      </c>
      <c r="N68" s="2">
        <v>45909</v>
      </c>
      <c r="O68" t="s">
        <v>76</v>
      </c>
      <c r="P68" t="s">
        <v>35</v>
      </c>
      <c r="Q68" t="s">
        <v>28</v>
      </c>
      <c r="R68" t="s">
        <v>129</v>
      </c>
      <c r="S68">
        <v>2025</v>
      </c>
      <c r="T68" t="s">
        <v>2761</v>
      </c>
      <c r="U68" t="s">
        <v>2762</v>
      </c>
      <c r="V68" s="4">
        <v>12</v>
      </c>
      <c r="W68" s="4">
        <v>0</v>
      </c>
    </row>
    <row r="69" spans="1:23">
      <c r="A69" t="s">
        <v>190</v>
      </c>
      <c r="B69" s="2">
        <v>45692</v>
      </c>
      <c r="C69" t="s">
        <v>55</v>
      </c>
      <c r="D69" t="s">
        <v>56</v>
      </c>
      <c r="E69" t="s">
        <v>48</v>
      </c>
      <c r="F69" t="s">
        <v>57</v>
      </c>
      <c r="G69" t="s">
        <v>58</v>
      </c>
      <c r="H69" t="s">
        <v>59</v>
      </c>
      <c r="I69">
        <v>4</v>
      </c>
      <c r="J69" s="3">
        <v>63015.43</v>
      </c>
      <c r="K69" s="3">
        <v>252061.72</v>
      </c>
      <c r="L69" t="s">
        <v>25</v>
      </c>
      <c r="M69" s="2">
        <v>45699</v>
      </c>
      <c r="N69" s="2">
        <v>45697</v>
      </c>
      <c r="O69" t="s">
        <v>76</v>
      </c>
      <c r="P69" t="s">
        <v>53</v>
      </c>
      <c r="Q69" t="s">
        <v>28</v>
      </c>
      <c r="R69" t="s">
        <v>29</v>
      </c>
      <c r="S69">
        <v>2025</v>
      </c>
      <c r="T69" t="s">
        <v>2751</v>
      </c>
      <c r="U69" t="s">
        <v>2752</v>
      </c>
      <c r="V69" s="4">
        <v>0</v>
      </c>
      <c r="W69" s="4">
        <v>1</v>
      </c>
    </row>
    <row r="70" spans="1:23">
      <c r="A70" t="s">
        <v>191</v>
      </c>
      <c r="B70" s="2">
        <v>45960</v>
      </c>
      <c r="C70" t="s">
        <v>37</v>
      </c>
      <c r="D70" t="s">
        <v>38</v>
      </c>
      <c r="E70" t="s">
        <v>21</v>
      </c>
      <c r="F70" t="s">
        <v>22</v>
      </c>
      <c r="G70" t="s">
        <v>160</v>
      </c>
      <c r="H70" t="s">
        <v>161</v>
      </c>
      <c r="I70">
        <v>4</v>
      </c>
      <c r="J70" s="3">
        <v>3278.38</v>
      </c>
      <c r="K70" s="3">
        <v>13113.52</v>
      </c>
      <c r="L70" t="s">
        <v>52</v>
      </c>
      <c r="M70" s="2">
        <v>45978</v>
      </c>
      <c r="N70" s="2">
        <v>45975</v>
      </c>
      <c r="O70" t="s">
        <v>76</v>
      </c>
      <c r="P70" t="s">
        <v>27</v>
      </c>
      <c r="Q70" t="s">
        <v>28</v>
      </c>
      <c r="R70" t="s">
        <v>29</v>
      </c>
      <c r="S70">
        <v>2025</v>
      </c>
      <c r="T70" t="s">
        <v>2749</v>
      </c>
      <c r="U70" t="s">
        <v>2750</v>
      </c>
      <c r="V70" s="4">
        <v>0</v>
      </c>
      <c r="W70" s="4">
        <v>1</v>
      </c>
    </row>
    <row r="71" spans="1:23">
      <c r="A71" t="s">
        <v>192</v>
      </c>
      <c r="B71" s="2">
        <v>46062</v>
      </c>
      <c r="C71" t="s">
        <v>71</v>
      </c>
      <c r="D71" t="s">
        <v>72</v>
      </c>
      <c r="E71" t="s">
        <v>31</v>
      </c>
      <c r="F71" t="s">
        <v>57</v>
      </c>
      <c r="G71" t="s">
        <v>58</v>
      </c>
      <c r="H71" t="s">
        <v>59</v>
      </c>
      <c r="I71">
        <v>7</v>
      </c>
      <c r="J71" s="3">
        <v>54326.89</v>
      </c>
      <c r="K71" s="3">
        <v>380288.23</v>
      </c>
      <c r="L71" t="s">
        <v>25</v>
      </c>
      <c r="M71" s="2">
        <v>46080</v>
      </c>
      <c r="N71" s="2">
        <v>46078</v>
      </c>
      <c r="O71" t="s">
        <v>26</v>
      </c>
      <c r="P71" t="s">
        <v>35</v>
      </c>
      <c r="Q71" t="s">
        <v>28</v>
      </c>
      <c r="R71" t="s">
        <v>29</v>
      </c>
      <c r="S71">
        <v>2026</v>
      </c>
      <c r="T71" t="s">
        <v>2751</v>
      </c>
      <c r="U71" t="s">
        <v>2765</v>
      </c>
      <c r="V71" s="4">
        <v>0</v>
      </c>
      <c r="W71" s="4">
        <v>1</v>
      </c>
    </row>
    <row r="72" spans="1:23">
      <c r="A72" t="s">
        <v>193</v>
      </c>
      <c r="B72" s="2">
        <v>45683</v>
      </c>
      <c r="C72" t="s">
        <v>134</v>
      </c>
      <c r="D72" t="s">
        <v>135</v>
      </c>
      <c r="E72" t="s">
        <v>112</v>
      </c>
      <c r="F72" t="s">
        <v>40</v>
      </c>
      <c r="G72" t="s">
        <v>149</v>
      </c>
      <c r="H72" t="s">
        <v>150</v>
      </c>
      <c r="I72">
        <v>34</v>
      </c>
      <c r="J72" s="3">
        <v>1373.2</v>
      </c>
      <c r="K72" s="3">
        <v>46688.800000000003</v>
      </c>
      <c r="L72" t="s">
        <v>25</v>
      </c>
      <c r="M72" s="2">
        <v>45699</v>
      </c>
      <c r="N72" s="2">
        <v>45696</v>
      </c>
      <c r="O72" t="s">
        <v>43</v>
      </c>
      <c r="P72" t="s">
        <v>115</v>
      </c>
      <c r="Q72" t="s">
        <v>28</v>
      </c>
      <c r="R72" t="s">
        <v>29</v>
      </c>
      <c r="S72">
        <v>2025</v>
      </c>
      <c r="T72" t="s">
        <v>2757</v>
      </c>
      <c r="U72" t="s">
        <v>2768</v>
      </c>
      <c r="V72" s="4">
        <v>0</v>
      </c>
      <c r="W72" s="4">
        <v>1</v>
      </c>
    </row>
    <row r="73" spans="1:23">
      <c r="A73" t="s">
        <v>194</v>
      </c>
      <c r="B73" s="2">
        <v>45776</v>
      </c>
      <c r="C73" t="s">
        <v>142</v>
      </c>
      <c r="D73" t="s">
        <v>143</v>
      </c>
      <c r="E73" t="s">
        <v>112</v>
      </c>
      <c r="F73" t="s">
        <v>22</v>
      </c>
      <c r="G73" t="s">
        <v>160</v>
      </c>
      <c r="H73" t="s">
        <v>161</v>
      </c>
      <c r="I73">
        <v>12</v>
      </c>
      <c r="J73" s="3">
        <v>3406.93</v>
      </c>
      <c r="K73" s="3">
        <v>40883.160000000003</v>
      </c>
      <c r="L73" t="s">
        <v>34</v>
      </c>
      <c r="M73" s="2">
        <v>45792</v>
      </c>
      <c r="N73" s="2">
        <v>45789</v>
      </c>
      <c r="O73" t="s">
        <v>26</v>
      </c>
      <c r="P73" t="s">
        <v>115</v>
      </c>
      <c r="Q73" t="s">
        <v>28</v>
      </c>
      <c r="R73" t="s">
        <v>29</v>
      </c>
      <c r="S73">
        <v>2025</v>
      </c>
      <c r="T73" t="s">
        <v>2741</v>
      </c>
      <c r="U73" t="s">
        <v>2742</v>
      </c>
      <c r="V73" s="4">
        <v>0</v>
      </c>
      <c r="W73" s="4">
        <v>1</v>
      </c>
    </row>
    <row r="74" spans="1:23">
      <c r="A74" t="s">
        <v>195</v>
      </c>
      <c r="B74" s="2">
        <v>45944</v>
      </c>
      <c r="C74" t="s">
        <v>66</v>
      </c>
      <c r="D74" t="s">
        <v>67</v>
      </c>
      <c r="E74" t="s">
        <v>73</v>
      </c>
      <c r="F74" t="s">
        <v>49</v>
      </c>
      <c r="G74" t="s">
        <v>68</v>
      </c>
      <c r="H74" t="s">
        <v>69</v>
      </c>
      <c r="I74">
        <v>1</v>
      </c>
      <c r="J74" s="3">
        <v>48282.28</v>
      </c>
      <c r="K74" s="3">
        <v>48282.28</v>
      </c>
      <c r="L74" t="s">
        <v>25</v>
      </c>
      <c r="M74" s="2">
        <v>45959</v>
      </c>
      <c r="N74" s="2">
        <v>45957</v>
      </c>
      <c r="O74" t="s">
        <v>76</v>
      </c>
      <c r="P74" t="s">
        <v>77</v>
      </c>
      <c r="Q74" t="s">
        <v>28</v>
      </c>
      <c r="R74" t="s">
        <v>29</v>
      </c>
      <c r="S74">
        <v>2025</v>
      </c>
      <c r="T74" t="s">
        <v>2749</v>
      </c>
      <c r="U74" t="s">
        <v>2750</v>
      </c>
      <c r="V74" s="4">
        <v>0</v>
      </c>
      <c r="W74" s="4">
        <v>1</v>
      </c>
    </row>
    <row r="75" spans="1:23">
      <c r="A75" t="s">
        <v>196</v>
      </c>
      <c r="B75" s="2">
        <v>46123</v>
      </c>
      <c r="C75" t="s">
        <v>80</v>
      </c>
      <c r="D75" t="s">
        <v>81</v>
      </c>
      <c r="E75" t="s">
        <v>39</v>
      </c>
      <c r="F75" t="s">
        <v>82</v>
      </c>
      <c r="G75" t="s">
        <v>197</v>
      </c>
      <c r="H75" t="s">
        <v>198</v>
      </c>
      <c r="I75">
        <v>26</v>
      </c>
      <c r="J75" s="3">
        <v>1924.28</v>
      </c>
      <c r="K75" s="3">
        <v>50031.28</v>
      </c>
      <c r="L75" t="s">
        <v>25</v>
      </c>
      <c r="M75" s="2">
        <v>46131</v>
      </c>
      <c r="N75" s="2">
        <v>46130</v>
      </c>
      <c r="O75" t="s">
        <v>26</v>
      </c>
      <c r="P75" t="s">
        <v>64</v>
      </c>
      <c r="Q75" t="s">
        <v>28</v>
      </c>
      <c r="R75" t="s">
        <v>29</v>
      </c>
      <c r="S75">
        <v>2026</v>
      </c>
      <c r="T75" t="s">
        <v>2741</v>
      </c>
      <c r="U75" t="s">
        <v>2770</v>
      </c>
      <c r="V75" s="4">
        <v>0</v>
      </c>
      <c r="W75" s="4">
        <v>1</v>
      </c>
    </row>
    <row r="76" spans="1:23">
      <c r="A76" t="s">
        <v>199</v>
      </c>
      <c r="B76" s="2">
        <v>45896</v>
      </c>
      <c r="C76" t="s">
        <v>96</v>
      </c>
      <c r="D76" t="s">
        <v>97</v>
      </c>
      <c r="E76" t="s">
        <v>39</v>
      </c>
      <c r="F76" t="s">
        <v>82</v>
      </c>
      <c r="G76" t="s">
        <v>83</v>
      </c>
      <c r="H76" t="s">
        <v>84</v>
      </c>
      <c r="I76">
        <v>13</v>
      </c>
      <c r="J76" s="3">
        <v>762.51</v>
      </c>
      <c r="K76" s="3">
        <v>9912.6299999999992</v>
      </c>
      <c r="L76" t="s">
        <v>25</v>
      </c>
      <c r="M76" s="2">
        <v>45909</v>
      </c>
      <c r="N76" s="2">
        <v>45908</v>
      </c>
      <c r="O76" t="s">
        <v>43</v>
      </c>
      <c r="P76" t="s">
        <v>64</v>
      </c>
      <c r="Q76" t="s">
        <v>28</v>
      </c>
      <c r="R76" t="s">
        <v>29</v>
      </c>
      <c r="S76">
        <v>2025</v>
      </c>
      <c r="T76" t="s">
        <v>2761</v>
      </c>
      <c r="U76" t="s">
        <v>2762</v>
      </c>
      <c r="V76" s="4">
        <v>0</v>
      </c>
      <c r="W76" s="4">
        <v>1</v>
      </c>
    </row>
    <row r="77" spans="1:23">
      <c r="A77" t="s">
        <v>200</v>
      </c>
      <c r="B77" s="2">
        <v>45673</v>
      </c>
      <c r="C77" t="s">
        <v>104</v>
      </c>
      <c r="D77" t="s">
        <v>105</v>
      </c>
      <c r="E77" t="s">
        <v>48</v>
      </c>
      <c r="F77" t="s">
        <v>49</v>
      </c>
      <c r="G77" t="s">
        <v>113</v>
      </c>
      <c r="H77" t="s">
        <v>114</v>
      </c>
      <c r="I77">
        <v>2</v>
      </c>
      <c r="J77" s="3">
        <v>36659.199999999997</v>
      </c>
      <c r="K77" s="3">
        <v>73318.399999999994</v>
      </c>
      <c r="L77" t="s">
        <v>25</v>
      </c>
      <c r="M77" s="2">
        <v>45686</v>
      </c>
      <c r="N77" s="2">
        <v>45686</v>
      </c>
      <c r="O77" t="s">
        <v>76</v>
      </c>
      <c r="P77" t="s">
        <v>53</v>
      </c>
      <c r="Q77" t="s">
        <v>28</v>
      </c>
      <c r="R77" t="s">
        <v>29</v>
      </c>
      <c r="S77">
        <v>2025</v>
      </c>
      <c r="T77" t="s">
        <v>2757</v>
      </c>
      <c r="U77" t="s">
        <v>2768</v>
      </c>
      <c r="V77" s="4">
        <v>0</v>
      </c>
      <c r="W77" s="4">
        <v>1</v>
      </c>
    </row>
    <row r="78" spans="1:23">
      <c r="A78" t="s">
        <v>201</v>
      </c>
      <c r="B78" s="2">
        <v>46120</v>
      </c>
      <c r="C78" t="s">
        <v>37</v>
      </c>
      <c r="D78" t="s">
        <v>38</v>
      </c>
      <c r="E78" t="s">
        <v>112</v>
      </c>
      <c r="F78" t="s">
        <v>22</v>
      </c>
      <c r="G78" t="s">
        <v>32</v>
      </c>
      <c r="H78" t="s">
        <v>33</v>
      </c>
      <c r="I78">
        <v>9</v>
      </c>
      <c r="J78" s="3">
        <v>9183.19</v>
      </c>
      <c r="K78" s="3">
        <v>82648.710000000006</v>
      </c>
      <c r="L78" t="s">
        <v>25</v>
      </c>
      <c r="M78" s="2">
        <v>46129</v>
      </c>
      <c r="N78" s="2">
        <v>46129</v>
      </c>
      <c r="O78" t="s">
        <v>60</v>
      </c>
      <c r="P78" t="s">
        <v>115</v>
      </c>
      <c r="Q78" t="s">
        <v>28</v>
      </c>
      <c r="R78" t="s">
        <v>29</v>
      </c>
      <c r="S78">
        <v>2026</v>
      </c>
      <c r="T78" t="s">
        <v>2741</v>
      </c>
      <c r="U78" t="s">
        <v>2770</v>
      </c>
      <c r="V78" s="4">
        <v>0</v>
      </c>
      <c r="W78" s="4">
        <v>1</v>
      </c>
    </row>
    <row r="79" spans="1:23">
      <c r="A79" t="s">
        <v>202</v>
      </c>
      <c r="B79" s="2">
        <v>46094</v>
      </c>
      <c r="C79" t="s">
        <v>131</v>
      </c>
      <c r="D79" t="s">
        <v>132</v>
      </c>
      <c r="E79" t="s">
        <v>31</v>
      </c>
      <c r="F79" t="s">
        <v>57</v>
      </c>
      <c r="G79" t="s">
        <v>101</v>
      </c>
      <c r="H79" t="s">
        <v>102</v>
      </c>
      <c r="I79">
        <v>14</v>
      </c>
      <c r="J79" s="3">
        <v>1866.22</v>
      </c>
      <c r="K79" s="3">
        <v>26127.08</v>
      </c>
      <c r="L79" t="s">
        <v>25</v>
      </c>
      <c r="M79" s="2">
        <v>46100</v>
      </c>
      <c r="N79" s="2">
        <v>46098</v>
      </c>
      <c r="O79" t="s">
        <v>76</v>
      </c>
      <c r="P79" t="s">
        <v>35</v>
      </c>
      <c r="Q79" t="s">
        <v>28</v>
      </c>
      <c r="R79" t="s">
        <v>29</v>
      </c>
      <c r="S79">
        <v>2026</v>
      </c>
      <c r="T79" t="s">
        <v>2747</v>
      </c>
      <c r="U79" t="s">
        <v>2755</v>
      </c>
      <c r="V79" s="4">
        <v>0</v>
      </c>
      <c r="W79" s="4">
        <v>1</v>
      </c>
    </row>
    <row r="80" spans="1:23">
      <c r="A80" t="s">
        <v>203</v>
      </c>
      <c r="B80" s="2">
        <v>46175</v>
      </c>
      <c r="C80" t="s">
        <v>80</v>
      </c>
      <c r="D80" t="s">
        <v>81</v>
      </c>
      <c r="E80" t="s">
        <v>39</v>
      </c>
      <c r="F80" t="s">
        <v>82</v>
      </c>
      <c r="G80" t="s">
        <v>83</v>
      </c>
      <c r="H80" t="s">
        <v>84</v>
      </c>
      <c r="I80">
        <v>54</v>
      </c>
      <c r="J80" s="3">
        <v>696.71</v>
      </c>
      <c r="K80" s="3">
        <v>37622.339999999997</v>
      </c>
      <c r="L80" t="s">
        <v>25</v>
      </c>
      <c r="M80" s="2">
        <v>46188</v>
      </c>
      <c r="N80" s="2">
        <v>46187</v>
      </c>
      <c r="O80" t="s">
        <v>26</v>
      </c>
      <c r="P80" t="s">
        <v>44</v>
      </c>
      <c r="Q80" t="s">
        <v>28</v>
      </c>
      <c r="R80" t="s">
        <v>29</v>
      </c>
      <c r="S80">
        <v>2026</v>
      </c>
      <c r="T80" t="s">
        <v>2743</v>
      </c>
      <c r="U80" t="s">
        <v>2744</v>
      </c>
      <c r="V80" s="4">
        <v>0</v>
      </c>
      <c r="W80" s="4">
        <v>1</v>
      </c>
    </row>
    <row r="81" spans="1:23">
      <c r="A81" t="s">
        <v>204</v>
      </c>
      <c r="B81" s="2">
        <v>46066</v>
      </c>
      <c r="C81" t="s">
        <v>134</v>
      </c>
      <c r="D81" t="s">
        <v>135</v>
      </c>
      <c r="E81" t="s">
        <v>39</v>
      </c>
      <c r="F81" t="s">
        <v>40</v>
      </c>
      <c r="G81" t="s">
        <v>136</v>
      </c>
      <c r="H81" t="s">
        <v>137</v>
      </c>
      <c r="I81">
        <v>14</v>
      </c>
      <c r="J81" s="3">
        <v>1639.58</v>
      </c>
      <c r="K81" s="3">
        <v>22954.12</v>
      </c>
      <c r="L81" t="s">
        <v>25</v>
      </c>
      <c r="M81" s="2">
        <v>46081</v>
      </c>
      <c r="N81" s="2">
        <v>46081</v>
      </c>
      <c r="O81" t="s">
        <v>43</v>
      </c>
      <c r="P81" t="s">
        <v>64</v>
      </c>
      <c r="Q81" t="s">
        <v>28</v>
      </c>
      <c r="R81" t="s">
        <v>29</v>
      </c>
      <c r="S81">
        <v>2026</v>
      </c>
      <c r="T81" t="s">
        <v>2751</v>
      </c>
      <c r="U81" t="s">
        <v>2765</v>
      </c>
      <c r="V81" s="4">
        <v>0</v>
      </c>
      <c r="W81" s="4">
        <v>1</v>
      </c>
    </row>
    <row r="82" spans="1:23">
      <c r="A82" t="s">
        <v>205</v>
      </c>
      <c r="B82" s="2">
        <v>46100</v>
      </c>
      <c r="C82" t="s">
        <v>117</v>
      </c>
      <c r="D82" t="s">
        <v>118</v>
      </c>
      <c r="E82" t="s">
        <v>48</v>
      </c>
      <c r="F82" t="s">
        <v>57</v>
      </c>
      <c r="G82" t="s">
        <v>127</v>
      </c>
      <c r="H82" t="s">
        <v>128</v>
      </c>
      <c r="I82">
        <v>6</v>
      </c>
      <c r="J82" s="3">
        <v>17222.93</v>
      </c>
      <c r="K82" s="3">
        <v>103337.58</v>
      </c>
      <c r="L82" t="s">
        <v>52</v>
      </c>
      <c r="M82" s="2">
        <v>46115</v>
      </c>
      <c r="N82" s="2">
        <v>46113</v>
      </c>
      <c r="O82" t="s">
        <v>60</v>
      </c>
      <c r="P82" t="s">
        <v>53</v>
      </c>
      <c r="Q82" t="s">
        <v>28</v>
      </c>
      <c r="R82" t="s">
        <v>29</v>
      </c>
      <c r="S82">
        <v>2026</v>
      </c>
      <c r="T82" t="s">
        <v>2747</v>
      </c>
      <c r="U82" t="s">
        <v>2755</v>
      </c>
      <c r="V82" s="4">
        <v>0</v>
      </c>
      <c r="W82" s="4">
        <v>1</v>
      </c>
    </row>
    <row r="83" spans="1:23">
      <c r="A83" t="s">
        <v>206</v>
      </c>
      <c r="B83" s="2">
        <v>45952</v>
      </c>
      <c r="C83" t="s">
        <v>117</v>
      </c>
      <c r="D83" t="s">
        <v>118</v>
      </c>
      <c r="E83" t="s">
        <v>21</v>
      </c>
      <c r="F83" t="s">
        <v>57</v>
      </c>
      <c r="G83" t="s">
        <v>127</v>
      </c>
      <c r="H83" t="s">
        <v>128</v>
      </c>
      <c r="I83">
        <v>4</v>
      </c>
      <c r="J83" s="3">
        <v>16778.57</v>
      </c>
      <c r="K83" s="3">
        <v>67114.28</v>
      </c>
      <c r="L83" t="s">
        <v>25</v>
      </c>
      <c r="M83" s="2">
        <v>45970</v>
      </c>
      <c r="N83" s="2">
        <v>45968</v>
      </c>
      <c r="O83" t="s">
        <v>76</v>
      </c>
      <c r="P83" t="s">
        <v>27</v>
      </c>
      <c r="Q83" t="s">
        <v>28</v>
      </c>
      <c r="R83" t="s">
        <v>29</v>
      </c>
      <c r="S83">
        <v>2025</v>
      </c>
      <c r="T83" t="s">
        <v>2749</v>
      </c>
      <c r="U83" t="s">
        <v>2750</v>
      </c>
      <c r="V83" s="4">
        <v>0</v>
      </c>
      <c r="W83" s="4">
        <v>1</v>
      </c>
    </row>
    <row r="84" spans="1:23">
      <c r="A84" t="s">
        <v>207</v>
      </c>
      <c r="B84" s="2">
        <v>45684</v>
      </c>
      <c r="C84" t="s">
        <v>104</v>
      </c>
      <c r="D84" t="s">
        <v>105</v>
      </c>
      <c r="E84" t="s">
        <v>48</v>
      </c>
      <c r="F84" t="s">
        <v>49</v>
      </c>
      <c r="G84" t="s">
        <v>113</v>
      </c>
      <c r="H84" t="s">
        <v>114</v>
      </c>
      <c r="I84">
        <v>1</v>
      </c>
      <c r="J84" s="3">
        <v>38883.230000000003</v>
      </c>
      <c r="K84" s="3">
        <v>38883.230000000003</v>
      </c>
      <c r="L84" t="s">
        <v>52</v>
      </c>
      <c r="M84" s="2">
        <v>45694</v>
      </c>
      <c r="N84" s="2">
        <v>45693</v>
      </c>
      <c r="O84" t="s">
        <v>60</v>
      </c>
      <c r="P84" t="s">
        <v>53</v>
      </c>
      <c r="Q84" t="s">
        <v>28</v>
      </c>
      <c r="R84" t="s">
        <v>29</v>
      </c>
      <c r="S84">
        <v>2025</v>
      </c>
      <c r="T84" t="s">
        <v>2757</v>
      </c>
      <c r="U84" t="s">
        <v>2768</v>
      </c>
      <c r="V84" s="4">
        <v>0</v>
      </c>
      <c r="W84" s="4">
        <v>1</v>
      </c>
    </row>
    <row r="85" spans="1:23">
      <c r="A85" t="s">
        <v>208</v>
      </c>
      <c r="B85" s="2">
        <v>45689</v>
      </c>
      <c r="C85" t="s">
        <v>71</v>
      </c>
      <c r="D85" t="s">
        <v>72</v>
      </c>
      <c r="E85" t="s">
        <v>31</v>
      </c>
      <c r="F85" t="s">
        <v>57</v>
      </c>
      <c r="G85" t="s">
        <v>74</v>
      </c>
      <c r="H85" t="s">
        <v>75</v>
      </c>
      <c r="I85">
        <v>5</v>
      </c>
      <c r="J85" s="3">
        <v>7889.78</v>
      </c>
      <c r="K85" s="3">
        <v>39448.9</v>
      </c>
      <c r="L85" t="s">
        <v>52</v>
      </c>
      <c r="M85" s="2">
        <v>45705</v>
      </c>
      <c r="N85" s="2">
        <v>45705</v>
      </c>
      <c r="O85" t="s">
        <v>26</v>
      </c>
      <c r="P85" t="s">
        <v>94</v>
      </c>
      <c r="Q85" t="s">
        <v>28</v>
      </c>
      <c r="R85" t="s">
        <v>29</v>
      </c>
      <c r="S85">
        <v>2025</v>
      </c>
      <c r="T85" t="s">
        <v>2751</v>
      </c>
      <c r="U85" t="s">
        <v>2752</v>
      </c>
      <c r="V85" s="4">
        <v>0</v>
      </c>
      <c r="W85" s="4">
        <v>1</v>
      </c>
    </row>
    <row r="86" spans="1:23">
      <c r="A86" t="s">
        <v>209</v>
      </c>
      <c r="B86" s="2">
        <v>45936</v>
      </c>
      <c r="C86" t="s">
        <v>71</v>
      </c>
      <c r="D86" t="s">
        <v>72</v>
      </c>
      <c r="E86" t="s">
        <v>73</v>
      </c>
      <c r="F86" t="s">
        <v>57</v>
      </c>
      <c r="G86" t="s">
        <v>74</v>
      </c>
      <c r="H86" t="s">
        <v>75</v>
      </c>
      <c r="I86">
        <v>9</v>
      </c>
      <c r="J86" s="3">
        <v>7932.17</v>
      </c>
      <c r="K86" s="3">
        <v>71389.53</v>
      </c>
      <c r="L86" t="s">
        <v>25</v>
      </c>
      <c r="M86" s="2">
        <v>45942</v>
      </c>
      <c r="N86" s="2">
        <v>45942</v>
      </c>
      <c r="O86" t="s">
        <v>60</v>
      </c>
      <c r="P86" t="s">
        <v>77</v>
      </c>
      <c r="Q86" t="s">
        <v>28</v>
      </c>
      <c r="R86" t="s">
        <v>29</v>
      </c>
      <c r="S86">
        <v>2025</v>
      </c>
      <c r="T86" t="s">
        <v>2749</v>
      </c>
      <c r="U86" t="s">
        <v>2750</v>
      </c>
      <c r="V86" s="4">
        <v>0</v>
      </c>
      <c r="W86" s="4">
        <v>1</v>
      </c>
    </row>
    <row r="87" spans="1:23">
      <c r="A87" t="s">
        <v>210</v>
      </c>
      <c r="B87" s="2">
        <v>45704</v>
      </c>
      <c r="C87" t="s">
        <v>142</v>
      </c>
      <c r="D87" t="s">
        <v>143</v>
      </c>
      <c r="E87" t="s">
        <v>112</v>
      </c>
      <c r="F87" t="s">
        <v>22</v>
      </c>
      <c r="G87" t="s">
        <v>23</v>
      </c>
      <c r="H87" t="s">
        <v>24</v>
      </c>
      <c r="I87">
        <v>54</v>
      </c>
      <c r="J87" s="3">
        <v>271.41000000000003</v>
      </c>
      <c r="K87" s="3">
        <v>14656.14</v>
      </c>
      <c r="L87" t="s">
        <v>25</v>
      </c>
      <c r="M87" s="2">
        <v>45711</v>
      </c>
      <c r="N87" s="2">
        <v>45709</v>
      </c>
      <c r="O87" t="s">
        <v>43</v>
      </c>
      <c r="P87" t="s">
        <v>115</v>
      </c>
      <c r="Q87" t="s">
        <v>28</v>
      </c>
      <c r="R87" t="s">
        <v>29</v>
      </c>
      <c r="S87">
        <v>2025</v>
      </c>
      <c r="T87" t="s">
        <v>2751</v>
      </c>
      <c r="U87" t="s">
        <v>2752</v>
      </c>
      <c r="V87" s="4">
        <v>0</v>
      </c>
      <c r="W87" s="4">
        <v>1</v>
      </c>
    </row>
    <row r="88" spans="1:23">
      <c r="A88" t="s">
        <v>211</v>
      </c>
      <c r="B88" s="2">
        <v>46098</v>
      </c>
      <c r="C88" t="s">
        <v>71</v>
      </c>
      <c r="D88" t="s">
        <v>72</v>
      </c>
      <c r="E88" t="s">
        <v>73</v>
      </c>
      <c r="F88" t="s">
        <v>57</v>
      </c>
      <c r="G88" t="s">
        <v>86</v>
      </c>
      <c r="H88" t="s">
        <v>87</v>
      </c>
      <c r="I88">
        <v>6</v>
      </c>
      <c r="J88" s="3">
        <v>10548.74</v>
      </c>
      <c r="K88" s="3">
        <v>63292.44</v>
      </c>
      <c r="L88" t="s">
        <v>25</v>
      </c>
      <c r="M88" s="2">
        <v>46104</v>
      </c>
      <c r="N88" s="2">
        <v>46104</v>
      </c>
      <c r="O88" t="s">
        <v>60</v>
      </c>
      <c r="P88" t="s">
        <v>77</v>
      </c>
      <c r="Q88" t="s">
        <v>28</v>
      </c>
      <c r="R88" t="s">
        <v>29</v>
      </c>
      <c r="S88">
        <v>2026</v>
      </c>
      <c r="T88" t="s">
        <v>2747</v>
      </c>
      <c r="U88" t="s">
        <v>2755</v>
      </c>
      <c r="V88" s="4">
        <v>0</v>
      </c>
      <c r="W88" s="4">
        <v>1</v>
      </c>
    </row>
    <row r="89" spans="1:23">
      <c r="A89" t="s">
        <v>212</v>
      </c>
      <c r="B89" s="2">
        <v>45978</v>
      </c>
      <c r="C89" t="s">
        <v>142</v>
      </c>
      <c r="D89" t="s">
        <v>143</v>
      </c>
      <c r="E89" t="s">
        <v>31</v>
      </c>
      <c r="F89" t="s">
        <v>22</v>
      </c>
      <c r="G89" t="s">
        <v>32</v>
      </c>
      <c r="H89" t="s">
        <v>33</v>
      </c>
      <c r="I89">
        <v>1</v>
      </c>
      <c r="J89" s="3">
        <v>7568.85</v>
      </c>
      <c r="K89" s="3">
        <v>7568.85</v>
      </c>
      <c r="L89" t="s">
        <v>34</v>
      </c>
      <c r="M89" s="2">
        <v>45988</v>
      </c>
      <c r="N89" s="2">
        <v>45985</v>
      </c>
      <c r="O89" t="s">
        <v>76</v>
      </c>
      <c r="P89" t="s">
        <v>94</v>
      </c>
      <c r="Q89" t="s">
        <v>28</v>
      </c>
      <c r="R89" t="s">
        <v>29</v>
      </c>
      <c r="S89">
        <v>2025</v>
      </c>
      <c r="T89" t="s">
        <v>2763</v>
      </c>
      <c r="U89" t="s">
        <v>2764</v>
      </c>
      <c r="V89" s="4">
        <v>0</v>
      </c>
      <c r="W89" s="4">
        <v>1</v>
      </c>
    </row>
    <row r="90" spans="1:23">
      <c r="A90" t="s">
        <v>213</v>
      </c>
      <c r="B90" s="2">
        <v>45907</v>
      </c>
      <c r="C90" t="s">
        <v>37</v>
      </c>
      <c r="D90" t="s">
        <v>38</v>
      </c>
      <c r="E90" t="s">
        <v>73</v>
      </c>
      <c r="F90" t="s">
        <v>22</v>
      </c>
      <c r="G90" t="s">
        <v>160</v>
      </c>
      <c r="H90" t="s">
        <v>161</v>
      </c>
      <c r="I90">
        <v>4</v>
      </c>
      <c r="J90" s="3">
        <v>3461.92</v>
      </c>
      <c r="K90" s="3">
        <v>13847.68</v>
      </c>
      <c r="L90" t="s">
        <v>25</v>
      </c>
      <c r="M90" s="2">
        <v>45917</v>
      </c>
      <c r="N90" s="2">
        <v>45917</v>
      </c>
      <c r="O90" t="s">
        <v>43</v>
      </c>
      <c r="P90" t="s">
        <v>77</v>
      </c>
      <c r="Q90" t="s">
        <v>28</v>
      </c>
      <c r="R90" t="s">
        <v>29</v>
      </c>
      <c r="S90">
        <v>2025</v>
      </c>
      <c r="T90" t="s">
        <v>2753</v>
      </c>
      <c r="U90" t="s">
        <v>2754</v>
      </c>
      <c r="V90" s="4">
        <v>0</v>
      </c>
      <c r="W90" s="4">
        <v>1</v>
      </c>
    </row>
    <row r="91" spans="1:23">
      <c r="A91" t="s">
        <v>214</v>
      </c>
      <c r="B91" s="2">
        <v>46015</v>
      </c>
      <c r="C91" t="s">
        <v>104</v>
      </c>
      <c r="D91" t="s">
        <v>105</v>
      </c>
      <c r="E91" t="s">
        <v>112</v>
      </c>
      <c r="F91" t="s">
        <v>49</v>
      </c>
      <c r="G91" t="s">
        <v>50</v>
      </c>
      <c r="H91" t="s">
        <v>51</v>
      </c>
      <c r="I91">
        <v>1</v>
      </c>
      <c r="J91" s="3">
        <v>50605.36</v>
      </c>
      <c r="K91" s="3">
        <v>50605.36</v>
      </c>
      <c r="L91" t="s">
        <v>25</v>
      </c>
      <c r="M91" s="2">
        <v>46022</v>
      </c>
      <c r="N91" s="2">
        <v>46022</v>
      </c>
      <c r="O91" t="s">
        <v>60</v>
      </c>
      <c r="P91" t="s">
        <v>115</v>
      </c>
      <c r="Q91" t="s">
        <v>28</v>
      </c>
      <c r="R91" t="s">
        <v>29</v>
      </c>
      <c r="S91">
        <v>2025</v>
      </c>
      <c r="T91" t="s">
        <v>2745</v>
      </c>
      <c r="U91" t="s">
        <v>2746</v>
      </c>
      <c r="V91" s="4">
        <v>0</v>
      </c>
      <c r="W91" s="4">
        <v>1</v>
      </c>
    </row>
    <row r="92" spans="1:23">
      <c r="A92" t="s">
        <v>215</v>
      </c>
      <c r="B92" s="2">
        <v>45981</v>
      </c>
      <c r="C92" t="s">
        <v>147</v>
      </c>
      <c r="D92" t="s">
        <v>148</v>
      </c>
      <c r="E92" t="s">
        <v>39</v>
      </c>
      <c r="F92" t="s">
        <v>40</v>
      </c>
      <c r="G92" t="s">
        <v>136</v>
      </c>
      <c r="H92" t="s">
        <v>137</v>
      </c>
      <c r="I92">
        <v>27</v>
      </c>
      <c r="J92" s="3">
        <v>1604.95</v>
      </c>
      <c r="K92" s="3">
        <v>43333.65</v>
      </c>
      <c r="L92" t="s">
        <v>25</v>
      </c>
      <c r="M92" s="2">
        <v>45994</v>
      </c>
      <c r="N92" s="2">
        <v>46003</v>
      </c>
      <c r="O92" t="s">
        <v>43</v>
      </c>
      <c r="P92" t="s">
        <v>44</v>
      </c>
      <c r="Q92" t="s">
        <v>28</v>
      </c>
      <c r="R92" t="s">
        <v>129</v>
      </c>
      <c r="S92">
        <v>2025</v>
      </c>
      <c r="T92" t="s">
        <v>2763</v>
      </c>
      <c r="U92" t="s">
        <v>2764</v>
      </c>
      <c r="V92" s="4">
        <v>9</v>
      </c>
      <c r="W92" s="4">
        <v>0</v>
      </c>
    </row>
    <row r="93" spans="1:23">
      <c r="A93" t="s">
        <v>216</v>
      </c>
      <c r="B93" s="2">
        <v>45951</v>
      </c>
      <c r="C93" t="s">
        <v>19</v>
      </c>
      <c r="D93" t="s">
        <v>20</v>
      </c>
      <c r="E93" t="s">
        <v>112</v>
      </c>
      <c r="F93" t="s">
        <v>22</v>
      </c>
      <c r="G93" t="s">
        <v>32</v>
      </c>
      <c r="H93" t="s">
        <v>33</v>
      </c>
      <c r="I93">
        <v>10</v>
      </c>
      <c r="J93" s="3">
        <v>7647.74</v>
      </c>
      <c r="K93" s="3">
        <v>76477.399999999994</v>
      </c>
      <c r="L93" t="s">
        <v>25</v>
      </c>
      <c r="M93" s="2">
        <v>45964</v>
      </c>
      <c r="N93" s="2">
        <v>45964</v>
      </c>
      <c r="O93" t="s">
        <v>26</v>
      </c>
      <c r="P93" t="s">
        <v>115</v>
      </c>
      <c r="Q93" t="s">
        <v>28</v>
      </c>
      <c r="R93" t="s">
        <v>29</v>
      </c>
      <c r="S93">
        <v>2025</v>
      </c>
      <c r="T93" t="s">
        <v>2749</v>
      </c>
      <c r="U93" t="s">
        <v>2750</v>
      </c>
      <c r="V93" s="4">
        <v>0</v>
      </c>
      <c r="W93" s="4">
        <v>1</v>
      </c>
    </row>
    <row r="94" spans="1:23">
      <c r="A94" t="s">
        <v>217</v>
      </c>
      <c r="B94" s="2">
        <v>46145</v>
      </c>
      <c r="C94" t="s">
        <v>147</v>
      </c>
      <c r="D94" t="s">
        <v>148</v>
      </c>
      <c r="E94" t="s">
        <v>112</v>
      </c>
      <c r="F94" t="s">
        <v>40</v>
      </c>
      <c r="G94" t="s">
        <v>41</v>
      </c>
      <c r="H94" t="s">
        <v>42</v>
      </c>
      <c r="I94">
        <v>12</v>
      </c>
      <c r="J94" s="3">
        <v>5367.33</v>
      </c>
      <c r="K94" s="3">
        <v>64407.96</v>
      </c>
      <c r="L94" t="s">
        <v>25</v>
      </c>
      <c r="M94" s="2">
        <v>46151</v>
      </c>
      <c r="N94" s="2">
        <v>46150</v>
      </c>
      <c r="O94" t="s">
        <v>60</v>
      </c>
      <c r="P94" t="s">
        <v>115</v>
      </c>
      <c r="Q94" t="s">
        <v>28</v>
      </c>
      <c r="R94" t="s">
        <v>29</v>
      </c>
      <c r="S94">
        <v>2026</v>
      </c>
      <c r="T94" t="s">
        <v>2766</v>
      </c>
      <c r="U94" t="s">
        <v>2769</v>
      </c>
      <c r="V94" s="4">
        <v>0</v>
      </c>
      <c r="W94" s="4">
        <v>1</v>
      </c>
    </row>
    <row r="95" spans="1:23">
      <c r="A95" t="s">
        <v>218</v>
      </c>
      <c r="B95" s="2">
        <v>46194</v>
      </c>
      <c r="C95" t="s">
        <v>134</v>
      </c>
      <c r="D95" t="s">
        <v>135</v>
      </c>
      <c r="E95" t="s">
        <v>39</v>
      </c>
      <c r="F95" t="s">
        <v>40</v>
      </c>
      <c r="G95" t="s">
        <v>136</v>
      </c>
      <c r="H95" t="s">
        <v>137</v>
      </c>
      <c r="I95">
        <v>48</v>
      </c>
      <c r="J95" s="3">
        <v>1699.01</v>
      </c>
      <c r="K95" s="3">
        <v>81552.479999999996</v>
      </c>
      <c r="L95" t="s">
        <v>25</v>
      </c>
      <c r="M95" s="2">
        <v>46208</v>
      </c>
      <c r="N95" s="2">
        <v>46220</v>
      </c>
      <c r="O95" t="s">
        <v>43</v>
      </c>
      <c r="P95" t="s">
        <v>44</v>
      </c>
      <c r="Q95" t="s">
        <v>28</v>
      </c>
      <c r="R95" t="s">
        <v>129</v>
      </c>
      <c r="S95">
        <v>2026</v>
      </c>
      <c r="T95" t="s">
        <v>2743</v>
      </c>
      <c r="U95" t="s">
        <v>2744</v>
      </c>
      <c r="V95" s="4">
        <v>12</v>
      </c>
      <c r="W95" s="4">
        <v>0</v>
      </c>
    </row>
    <row r="96" spans="1:23">
      <c r="A96" t="s">
        <v>219</v>
      </c>
      <c r="B96" s="2">
        <v>45948</v>
      </c>
      <c r="C96" t="s">
        <v>104</v>
      </c>
      <c r="D96" t="s">
        <v>105</v>
      </c>
      <c r="E96" t="s">
        <v>112</v>
      </c>
      <c r="F96" t="s">
        <v>49</v>
      </c>
      <c r="G96" t="s">
        <v>50</v>
      </c>
      <c r="H96" t="s">
        <v>51</v>
      </c>
      <c r="I96">
        <v>1</v>
      </c>
      <c r="J96" s="3">
        <v>52647.22</v>
      </c>
      <c r="K96" s="3">
        <v>52647.22</v>
      </c>
      <c r="L96" t="s">
        <v>25</v>
      </c>
      <c r="M96" s="2">
        <v>45958</v>
      </c>
      <c r="N96" s="2">
        <v>45955</v>
      </c>
      <c r="O96" t="s">
        <v>43</v>
      </c>
      <c r="P96" t="s">
        <v>115</v>
      </c>
      <c r="Q96" t="s">
        <v>28</v>
      </c>
      <c r="R96" t="s">
        <v>29</v>
      </c>
      <c r="S96">
        <v>2025</v>
      </c>
      <c r="T96" t="s">
        <v>2749</v>
      </c>
      <c r="U96" t="s">
        <v>2750</v>
      </c>
      <c r="V96" s="4">
        <v>0</v>
      </c>
      <c r="W96" s="4">
        <v>1</v>
      </c>
    </row>
    <row r="97" spans="1:23">
      <c r="A97" t="s">
        <v>220</v>
      </c>
      <c r="B97" s="2">
        <v>46197</v>
      </c>
      <c r="C97" t="s">
        <v>104</v>
      </c>
      <c r="D97" t="s">
        <v>105</v>
      </c>
      <c r="E97" t="s">
        <v>48</v>
      </c>
      <c r="F97" t="s">
        <v>49</v>
      </c>
      <c r="G97" t="s">
        <v>113</v>
      </c>
      <c r="H97" t="s">
        <v>114</v>
      </c>
      <c r="I97">
        <v>1</v>
      </c>
      <c r="J97" s="3">
        <v>37096.5</v>
      </c>
      <c r="K97" s="3">
        <v>37096.5</v>
      </c>
      <c r="L97" t="s">
        <v>52</v>
      </c>
      <c r="M97" s="2">
        <v>46207</v>
      </c>
      <c r="N97" s="2"/>
      <c r="O97" t="s">
        <v>26</v>
      </c>
      <c r="P97" t="s">
        <v>53</v>
      </c>
      <c r="Q97" t="s">
        <v>167</v>
      </c>
      <c r="R97" t="s">
        <v>167</v>
      </c>
      <c r="S97">
        <v>2026</v>
      </c>
      <c r="T97" t="s">
        <v>2743</v>
      </c>
      <c r="U97" t="s">
        <v>2744</v>
      </c>
      <c r="V97" s="4"/>
      <c r="W97" s="4"/>
    </row>
    <row r="98" spans="1:23">
      <c r="A98" t="s">
        <v>221</v>
      </c>
      <c r="B98" s="2">
        <v>45761</v>
      </c>
      <c r="C98" t="s">
        <v>142</v>
      </c>
      <c r="D98" t="s">
        <v>143</v>
      </c>
      <c r="E98" t="s">
        <v>31</v>
      </c>
      <c r="F98" t="s">
        <v>22</v>
      </c>
      <c r="G98" t="s">
        <v>32</v>
      </c>
      <c r="H98" t="s">
        <v>33</v>
      </c>
      <c r="I98">
        <v>13</v>
      </c>
      <c r="J98" s="3">
        <v>7724.41</v>
      </c>
      <c r="K98" s="3">
        <v>100417.33</v>
      </c>
      <c r="L98" t="s">
        <v>25</v>
      </c>
      <c r="M98" s="2">
        <v>45775</v>
      </c>
      <c r="N98" s="2">
        <v>45772</v>
      </c>
      <c r="O98" t="s">
        <v>26</v>
      </c>
      <c r="P98" t="s">
        <v>94</v>
      </c>
      <c r="Q98" t="s">
        <v>28</v>
      </c>
      <c r="R98" t="s">
        <v>29</v>
      </c>
      <c r="S98">
        <v>2025</v>
      </c>
      <c r="T98" t="s">
        <v>2741</v>
      </c>
      <c r="U98" t="s">
        <v>2742</v>
      </c>
      <c r="V98" s="4">
        <v>0</v>
      </c>
      <c r="W98" s="4">
        <v>1</v>
      </c>
    </row>
    <row r="99" spans="1:23">
      <c r="A99" t="s">
        <v>222</v>
      </c>
      <c r="B99" s="2">
        <v>46106</v>
      </c>
      <c r="C99" t="s">
        <v>131</v>
      </c>
      <c r="D99" t="s">
        <v>132</v>
      </c>
      <c r="E99" t="s">
        <v>73</v>
      </c>
      <c r="F99" t="s">
        <v>57</v>
      </c>
      <c r="G99" t="s">
        <v>86</v>
      </c>
      <c r="H99" t="s">
        <v>87</v>
      </c>
      <c r="I99">
        <v>8</v>
      </c>
      <c r="J99" s="3">
        <v>11594.83</v>
      </c>
      <c r="K99" s="3">
        <v>92758.64</v>
      </c>
      <c r="L99" t="s">
        <v>52</v>
      </c>
      <c r="M99" s="2">
        <v>46114</v>
      </c>
      <c r="N99" s="2">
        <v>46112</v>
      </c>
      <c r="O99" t="s">
        <v>60</v>
      </c>
      <c r="P99" t="s">
        <v>77</v>
      </c>
      <c r="Q99" t="s">
        <v>28</v>
      </c>
      <c r="R99" t="s">
        <v>29</v>
      </c>
      <c r="S99">
        <v>2026</v>
      </c>
      <c r="T99" t="s">
        <v>2747</v>
      </c>
      <c r="U99" t="s">
        <v>2755</v>
      </c>
      <c r="V99" s="4">
        <v>0</v>
      </c>
      <c r="W99" s="4">
        <v>1</v>
      </c>
    </row>
    <row r="100" spans="1:23">
      <c r="A100" t="s">
        <v>223</v>
      </c>
      <c r="B100" s="2">
        <v>46109</v>
      </c>
      <c r="C100" t="s">
        <v>66</v>
      </c>
      <c r="D100" t="s">
        <v>67</v>
      </c>
      <c r="E100" t="s">
        <v>21</v>
      </c>
      <c r="F100" t="s">
        <v>49</v>
      </c>
      <c r="G100" t="s">
        <v>68</v>
      </c>
      <c r="H100" t="s">
        <v>69</v>
      </c>
      <c r="I100">
        <v>3</v>
      </c>
      <c r="J100" s="3">
        <v>48120.7</v>
      </c>
      <c r="K100" s="3">
        <v>144362.1</v>
      </c>
      <c r="L100" t="s">
        <v>34</v>
      </c>
      <c r="M100" s="2">
        <v>46116</v>
      </c>
      <c r="N100" s="2">
        <v>46116</v>
      </c>
      <c r="O100" t="s">
        <v>76</v>
      </c>
      <c r="P100" t="s">
        <v>27</v>
      </c>
      <c r="Q100" t="s">
        <v>28</v>
      </c>
      <c r="R100" t="s">
        <v>29</v>
      </c>
      <c r="S100">
        <v>2026</v>
      </c>
      <c r="T100" t="s">
        <v>2747</v>
      </c>
      <c r="U100" t="s">
        <v>2755</v>
      </c>
      <c r="V100" s="4">
        <v>0</v>
      </c>
      <c r="W100" s="4">
        <v>1</v>
      </c>
    </row>
    <row r="101" spans="1:23">
      <c r="A101" t="s">
        <v>224</v>
      </c>
      <c r="B101" s="2">
        <v>45949</v>
      </c>
      <c r="C101" t="s">
        <v>147</v>
      </c>
      <c r="D101" t="s">
        <v>148</v>
      </c>
      <c r="E101" t="s">
        <v>39</v>
      </c>
      <c r="F101" t="s">
        <v>40</v>
      </c>
      <c r="G101" t="s">
        <v>149</v>
      </c>
      <c r="H101" t="s">
        <v>150</v>
      </c>
      <c r="I101">
        <v>19</v>
      </c>
      <c r="J101" s="3">
        <v>1254.8599999999999</v>
      </c>
      <c r="K101" s="3">
        <v>23842.34</v>
      </c>
      <c r="L101" t="s">
        <v>52</v>
      </c>
      <c r="M101" s="2">
        <v>45967</v>
      </c>
      <c r="N101" s="2">
        <v>45965</v>
      </c>
      <c r="O101" t="s">
        <v>60</v>
      </c>
      <c r="P101" t="s">
        <v>64</v>
      </c>
      <c r="Q101" t="s">
        <v>28</v>
      </c>
      <c r="R101" t="s">
        <v>29</v>
      </c>
      <c r="S101">
        <v>2025</v>
      </c>
      <c r="T101" t="s">
        <v>2749</v>
      </c>
      <c r="U101" t="s">
        <v>2750</v>
      </c>
      <c r="V101" s="4">
        <v>0</v>
      </c>
      <c r="W101" s="4">
        <v>1</v>
      </c>
    </row>
    <row r="102" spans="1:23">
      <c r="A102" t="s">
        <v>225</v>
      </c>
      <c r="B102" s="2">
        <v>46063</v>
      </c>
      <c r="C102" t="s">
        <v>142</v>
      </c>
      <c r="D102" t="s">
        <v>143</v>
      </c>
      <c r="E102" t="s">
        <v>39</v>
      </c>
      <c r="F102" t="s">
        <v>22</v>
      </c>
      <c r="G102" t="s">
        <v>160</v>
      </c>
      <c r="H102" t="s">
        <v>161</v>
      </c>
      <c r="I102">
        <v>2</v>
      </c>
      <c r="J102" s="3">
        <v>3114.35</v>
      </c>
      <c r="K102" s="3">
        <v>6228.7</v>
      </c>
      <c r="L102" t="s">
        <v>34</v>
      </c>
      <c r="M102" s="2">
        <v>46081</v>
      </c>
      <c r="N102" s="2">
        <v>46079</v>
      </c>
      <c r="O102" t="s">
        <v>26</v>
      </c>
      <c r="P102" t="s">
        <v>64</v>
      </c>
      <c r="Q102" t="s">
        <v>28</v>
      </c>
      <c r="R102" t="s">
        <v>29</v>
      </c>
      <c r="S102">
        <v>2026</v>
      </c>
      <c r="T102" t="s">
        <v>2751</v>
      </c>
      <c r="U102" t="s">
        <v>2765</v>
      </c>
      <c r="V102" s="4">
        <v>0</v>
      </c>
      <c r="W102" s="4">
        <v>1</v>
      </c>
    </row>
    <row r="103" spans="1:23">
      <c r="A103" t="s">
        <v>226</v>
      </c>
      <c r="B103" s="2">
        <v>46138</v>
      </c>
      <c r="C103" t="s">
        <v>142</v>
      </c>
      <c r="D103" t="s">
        <v>143</v>
      </c>
      <c r="E103" t="s">
        <v>39</v>
      </c>
      <c r="F103" t="s">
        <v>22</v>
      </c>
      <c r="G103" t="s">
        <v>23</v>
      </c>
      <c r="H103" t="s">
        <v>24</v>
      </c>
      <c r="I103">
        <v>40</v>
      </c>
      <c r="J103" s="3">
        <v>253.61</v>
      </c>
      <c r="K103" s="3">
        <v>10144.4</v>
      </c>
      <c r="L103" t="s">
        <v>25</v>
      </c>
      <c r="M103" s="2">
        <v>46154</v>
      </c>
      <c r="N103" s="2">
        <v>46151</v>
      </c>
      <c r="O103" t="s">
        <v>76</v>
      </c>
      <c r="P103" t="s">
        <v>64</v>
      </c>
      <c r="Q103" t="s">
        <v>28</v>
      </c>
      <c r="R103" t="s">
        <v>29</v>
      </c>
      <c r="S103">
        <v>2026</v>
      </c>
      <c r="T103" t="s">
        <v>2741</v>
      </c>
      <c r="U103" t="s">
        <v>2770</v>
      </c>
      <c r="V103" s="4">
        <v>0</v>
      </c>
      <c r="W103" s="4">
        <v>1</v>
      </c>
    </row>
    <row r="104" spans="1:23">
      <c r="A104" t="s">
        <v>227</v>
      </c>
      <c r="B104" s="2">
        <v>45966</v>
      </c>
      <c r="C104" t="s">
        <v>96</v>
      </c>
      <c r="D104" t="s">
        <v>97</v>
      </c>
      <c r="E104" t="s">
        <v>39</v>
      </c>
      <c r="F104" t="s">
        <v>82</v>
      </c>
      <c r="G104" t="s">
        <v>197</v>
      </c>
      <c r="H104" t="s">
        <v>198</v>
      </c>
      <c r="I104">
        <v>36</v>
      </c>
      <c r="J104" s="3">
        <v>2057.3200000000002</v>
      </c>
      <c r="K104" s="3">
        <v>74063.520000000004</v>
      </c>
      <c r="L104" t="s">
        <v>34</v>
      </c>
      <c r="M104" s="2">
        <v>45980</v>
      </c>
      <c r="N104" s="2">
        <v>45979</v>
      </c>
      <c r="O104" t="s">
        <v>76</v>
      </c>
      <c r="P104" t="s">
        <v>44</v>
      </c>
      <c r="Q104" t="s">
        <v>28</v>
      </c>
      <c r="R104" t="s">
        <v>29</v>
      </c>
      <c r="S104">
        <v>2025</v>
      </c>
      <c r="T104" t="s">
        <v>2763</v>
      </c>
      <c r="U104" t="s">
        <v>2764</v>
      </c>
      <c r="V104" s="4">
        <v>0</v>
      </c>
      <c r="W104" s="4">
        <v>1</v>
      </c>
    </row>
    <row r="105" spans="1:23">
      <c r="A105" t="s">
        <v>228</v>
      </c>
      <c r="B105" s="2">
        <v>45659</v>
      </c>
      <c r="C105" t="s">
        <v>46</v>
      </c>
      <c r="D105" t="s">
        <v>47</v>
      </c>
      <c r="E105" t="s">
        <v>21</v>
      </c>
      <c r="F105" t="s">
        <v>49</v>
      </c>
      <c r="G105" t="s">
        <v>50</v>
      </c>
      <c r="H105" t="s">
        <v>51</v>
      </c>
      <c r="I105">
        <v>1</v>
      </c>
      <c r="J105" s="3">
        <v>53339.91</v>
      </c>
      <c r="K105" s="3">
        <v>53339.91</v>
      </c>
      <c r="L105" t="s">
        <v>25</v>
      </c>
      <c r="M105" s="2">
        <v>45665</v>
      </c>
      <c r="N105" s="2">
        <v>45665</v>
      </c>
      <c r="O105" t="s">
        <v>60</v>
      </c>
      <c r="P105" t="s">
        <v>27</v>
      </c>
      <c r="Q105" t="s">
        <v>28</v>
      </c>
      <c r="R105" t="s">
        <v>29</v>
      </c>
      <c r="S105">
        <v>2025</v>
      </c>
      <c r="T105" t="s">
        <v>2757</v>
      </c>
      <c r="U105" t="s">
        <v>2768</v>
      </c>
      <c r="V105" s="4">
        <v>0</v>
      </c>
      <c r="W105" s="4">
        <v>1</v>
      </c>
    </row>
    <row r="106" spans="1:23">
      <c r="A106" t="s">
        <v>229</v>
      </c>
      <c r="B106" s="2">
        <v>46011</v>
      </c>
      <c r="C106" t="s">
        <v>71</v>
      </c>
      <c r="D106" t="s">
        <v>72</v>
      </c>
      <c r="E106" t="s">
        <v>48</v>
      </c>
      <c r="F106" t="s">
        <v>57</v>
      </c>
      <c r="G106" t="s">
        <v>127</v>
      </c>
      <c r="H106" t="s">
        <v>128</v>
      </c>
      <c r="I106">
        <v>1</v>
      </c>
      <c r="J106" s="3">
        <v>15134</v>
      </c>
      <c r="K106" s="3">
        <v>15134</v>
      </c>
      <c r="L106" t="s">
        <v>34</v>
      </c>
      <c r="M106" s="2">
        <v>46021</v>
      </c>
      <c r="N106" s="2">
        <v>46020</v>
      </c>
      <c r="O106" t="s">
        <v>60</v>
      </c>
      <c r="P106" t="s">
        <v>53</v>
      </c>
      <c r="Q106" t="s">
        <v>28</v>
      </c>
      <c r="R106" t="s">
        <v>29</v>
      </c>
      <c r="S106">
        <v>2025</v>
      </c>
      <c r="T106" t="s">
        <v>2745</v>
      </c>
      <c r="U106" t="s">
        <v>2746</v>
      </c>
      <c r="V106" s="4">
        <v>0</v>
      </c>
      <c r="W106" s="4">
        <v>1</v>
      </c>
    </row>
    <row r="107" spans="1:23">
      <c r="A107" t="s">
        <v>230</v>
      </c>
      <c r="B107" s="2">
        <v>45722</v>
      </c>
      <c r="C107" t="s">
        <v>142</v>
      </c>
      <c r="D107" t="s">
        <v>143</v>
      </c>
      <c r="E107" t="s">
        <v>112</v>
      </c>
      <c r="F107" t="s">
        <v>22</v>
      </c>
      <c r="G107" t="s">
        <v>160</v>
      </c>
      <c r="H107" t="s">
        <v>161</v>
      </c>
      <c r="I107">
        <v>15</v>
      </c>
      <c r="J107" s="3">
        <v>3443.18</v>
      </c>
      <c r="K107" s="3">
        <v>51647.7</v>
      </c>
      <c r="L107" t="s">
        <v>25</v>
      </c>
      <c r="M107" s="2">
        <v>45727</v>
      </c>
      <c r="N107" s="2">
        <v>45725</v>
      </c>
      <c r="O107" t="s">
        <v>60</v>
      </c>
      <c r="P107" t="s">
        <v>115</v>
      </c>
      <c r="Q107" t="s">
        <v>28</v>
      </c>
      <c r="R107" t="s">
        <v>29</v>
      </c>
      <c r="S107">
        <v>2025</v>
      </c>
      <c r="T107" t="s">
        <v>2747</v>
      </c>
      <c r="U107" t="s">
        <v>2748</v>
      </c>
      <c r="V107" s="4">
        <v>0</v>
      </c>
      <c r="W107" s="4">
        <v>1</v>
      </c>
    </row>
    <row r="108" spans="1:23">
      <c r="A108" t="s">
        <v>231</v>
      </c>
      <c r="B108" s="2">
        <v>45853</v>
      </c>
      <c r="C108" t="s">
        <v>142</v>
      </c>
      <c r="D108" t="s">
        <v>143</v>
      </c>
      <c r="E108" t="s">
        <v>112</v>
      </c>
      <c r="F108" t="s">
        <v>22</v>
      </c>
      <c r="G108" t="s">
        <v>32</v>
      </c>
      <c r="H108" t="s">
        <v>33</v>
      </c>
      <c r="I108">
        <v>6</v>
      </c>
      <c r="J108" s="3">
        <v>8029.9</v>
      </c>
      <c r="K108" s="3">
        <v>48179.4</v>
      </c>
      <c r="L108" t="s">
        <v>52</v>
      </c>
      <c r="M108" s="2">
        <v>45864</v>
      </c>
      <c r="N108" s="2">
        <v>45861</v>
      </c>
      <c r="O108" t="s">
        <v>60</v>
      </c>
      <c r="P108" t="s">
        <v>115</v>
      </c>
      <c r="Q108" t="s">
        <v>28</v>
      </c>
      <c r="R108" t="s">
        <v>29</v>
      </c>
      <c r="S108">
        <v>2025</v>
      </c>
      <c r="T108" t="s">
        <v>2759</v>
      </c>
      <c r="U108" t="s">
        <v>2760</v>
      </c>
      <c r="V108" s="4">
        <v>0</v>
      </c>
      <c r="W108" s="4">
        <v>1</v>
      </c>
    </row>
    <row r="109" spans="1:23">
      <c r="A109" t="s">
        <v>232</v>
      </c>
      <c r="B109" s="2">
        <v>45849</v>
      </c>
      <c r="C109" t="s">
        <v>37</v>
      </c>
      <c r="D109" t="s">
        <v>38</v>
      </c>
      <c r="E109" t="s">
        <v>31</v>
      </c>
      <c r="F109" t="s">
        <v>22</v>
      </c>
      <c r="G109" t="s">
        <v>160</v>
      </c>
      <c r="H109" t="s">
        <v>161</v>
      </c>
      <c r="I109">
        <v>2</v>
      </c>
      <c r="J109" s="3">
        <v>3456.24</v>
      </c>
      <c r="K109" s="3">
        <v>6912.48</v>
      </c>
      <c r="L109" t="s">
        <v>25</v>
      </c>
      <c r="M109" s="2">
        <v>45860</v>
      </c>
      <c r="N109" s="2">
        <v>45859</v>
      </c>
      <c r="O109" t="s">
        <v>76</v>
      </c>
      <c r="P109" t="s">
        <v>94</v>
      </c>
      <c r="Q109" t="s">
        <v>28</v>
      </c>
      <c r="R109" t="s">
        <v>29</v>
      </c>
      <c r="S109">
        <v>2025</v>
      </c>
      <c r="T109" t="s">
        <v>2759</v>
      </c>
      <c r="U109" t="s">
        <v>2760</v>
      </c>
      <c r="V109" s="4">
        <v>0</v>
      </c>
      <c r="W109" s="4">
        <v>1</v>
      </c>
    </row>
    <row r="110" spans="1:23">
      <c r="A110" t="s">
        <v>233</v>
      </c>
      <c r="B110" s="2">
        <v>45739</v>
      </c>
      <c r="C110" t="s">
        <v>104</v>
      </c>
      <c r="D110" t="s">
        <v>105</v>
      </c>
      <c r="E110" t="s">
        <v>21</v>
      </c>
      <c r="F110" t="s">
        <v>49</v>
      </c>
      <c r="G110" t="s">
        <v>68</v>
      </c>
      <c r="H110" t="s">
        <v>69</v>
      </c>
      <c r="I110">
        <v>2</v>
      </c>
      <c r="J110" s="3">
        <v>47997.68</v>
      </c>
      <c r="K110" s="3">
        <v>95995.36</v>
      </c>
      <c r="L110" t="s">
        <v>34</v>
      </c>
      <c r="M110" s="2">
        <v>45744</v>
      </c>
      <c r="N110" s="2">
        <v>45742</v>
      </c>
      <c r="O110" t="s">
        <v>60</v>
      </c>
      <c r="P110" t="s">
        <v>27</v>
      </c>
      <c r="Q110" t="s">
        <v>28</v>
      </c>
      <c r="R110" t="s">
        <v>29</v>
      </c>
      <c r="S110">
        <v>2025</v>
      </c>
      <c r="T110" t="s">
        <v>2747</v>
      </c>
      <c r="U110" t="s">
        <v>2748</v>
      </c>
      <c r="V110" s="4">
        <v>0</v>
      </c>
      <c r="W110" s="4">
        <v>1</v>
      </c>
    </row>
    <row r="111" spans="1:23">
      <c r="A111" t="s">
        <v>234</v>
      </c>
      <c r="B111" s="2">
        <v>45716</v>
      </c>
      <c r="C111" t="s">
        <v>71</v>
      </c>
      <c r="D111" t="s">
        <v>72</v>
      </c>
      <c r="E111" t="s">
        <v>31</v>
      </c>
      <c r="F111" t="s">
        <v>57</v>
      </c>
      <c r="G111" t="s">
        <v>127</v>
      </c>
      <c r="H111" t="s">
        <v>128</v>
      </c>
      <c r="I111">
        <v>1</v>
      </c>
      <c r="J111" s="3">
        <v>15611.29</v>
      </c>
      <c r="K111" s="3">
        <v>15611.29</v>
      </c>
      <c r="L111" t="s">
        <v>25</v>
      </c>
      <c r="M111" s="2">
        <v>45723</v>
      </c>
      <c r="N111" s="2">
        <v>45720</v>
      </c>
      <c r="O111" t="s">
        <v>43</v>
      </c>
      <c r="P111" t="s">
        <v>94</v>
      </c>
      <c r="Q111" t="s">
        <v>28</v>
      </c>
      <c r="R111" t="s">
        <v>29</v>
      </c>
      <c r="S111">
        <v>2025</v>
      </c>
      <c r="T111" t="s">
        <v>2751</v>
      </c>
      <c r="U111" t="s">
        <v>2752</v>
      </c>
      <c r="V111" s="4">
        <v>0</v>
      </c>
      <c r="W111" s="4">
        <v>1</v>
      </c>
    </row>
    <row r="112" spans="1:23">
      <c r="A112" t="s">
        <v>235</v>
      </c>
      <c r="B112" s="2">
        <v>46033</v>
      </c>
      <c r="C112" t="s">
        <v>142</v>
      </c>
      <c r="D112" t="s">
        <v>143</v>
      </c>
      <c r="E112" t="s">
        <v>112</v>
      </c>
      <c r="F112" t="s">
        <v>22</v>
      </c>
      <c r="G112" t="s">
        <v>32</v>
      </c>
      <c r="H112" t="s">
        <v>33</v>
      </c>
      <c r="I112">
        <v>6</v>
      </c>
      <c r="J112" s="3">
        <v>8272.08</v>
      </c>
      <c r="K112" s="3">
        <v>49632.480000000003</v>
      </c>
      <c r="L112" t="s">
        <v>34</v>
      </c>
      <c r="M112" s="2">
        <v>46043</v>
      </c>
      <c r="N112" s="2">
        <v>46043</v>
      </c>
      <c r="O112" t="s">
        <v>76</v>
      </c>
      <c r="P112" t="s">
        <v>115</v>
      </c>
      <c r="Q112" t="s">
        <v>28</v>
      </c>
      <c r="R112" t="s">
        <v>29</v>
      </c>
      <c r="S112">
        <v>2026</v>
      </c>
      <c r="T112" t="s">
        <v>2757</v>
      </c>
      <c r="U112" t="s">
        <v>2758</v>
      </c>
      <c r="V112" s="4">
        <v>0</v>
      </c>
      <c r="W112" s="4">
        <v>1</v>
      </c>
    </row>
    <row r="113" spans="1:23">
      <c r="A113" t="s">
        <v>236</v>
      </c>
      <c r="B113" s="2">
        <v>45979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H113" t="s">
        <v>24</v>
      </c>
      <c r="I113">
        <v>29</v>
      </c>
      <c r="J113" s="3">
        <v>228.97</v>
      </c>
      <c r="K113" s="3">
        <v>6640.13</v>
      </c>
      <c r="L113" t="s">
        <v>25</v>
      </c>
      <c r="M113" s="2">
        <v>45992</v>
      </c>
      <c r="N113" s="2">
        <v>46006</v>
      </c>
      <c r="O113" t="s">
        <v>60</v>
      </c>
      <c r="P113" t="s">
        <v>27</v>
      </c>
      <c r="Q113" t="s">
        <v>28</v>
      </c>
      <c r="R113" t="s">
        <v>129</v>
      </c>
      <c r="S113">
        <v>2025</v>
      </c>
      <c r="T113" t="s">
        <v>2763</v>
      </c>
      <c r="U113" t="s">
        <v>2764</v>
      </c>
      <c r="V113" s="4">
        <v>14</v>
      </c>
      <c r="W113" s="4">
        <v>0</v>
      </c>
    </row>
    <row r="114" spans="1:23">
      <c r="A114" t="s">
        <v>237</v>
      </c>
      <c r="B114" s="2">
        <v>45950</v>
      </c>
      <c r="C114" t="s">
        <v>142</v>
      </c>
      <c r="D114" t="s">
        <v>143</v>
      </c>
      <c r="E114" t="s">
        <v>112</v>
      </c>
      <c r="F114" t="s">
        <v>22</v>
      </c>
      <c r="G114" t="s">
        <v>23</v>
      </c>
      <c r="H114" t="s">
        <v>24</v>
      </c>
      <c r="I114">
        <v>16</v>
      </c>
      <c r="J114" s="3">
        <v>251.04</v>
      </c>
      <c r="K114" s="3">
        <v>4016.64</v>
      </c>
      <c r="L114" t="s">
        <v>34</v>
      </c>
      <c r="M114" s="2">
        <v>45966</v>
      </c>
      <c r="N114" s="2">
        <v>45966</v>
      </c>
      <c r="O114" t="s">
        <v>76</v>
      </c>
      <c r="P114" t="s">
        <v>115</v>
      </c>
      <c r="Q114" t="s">
        <v>28</v>
      </c>
      <c r="R114" t="s">
        <v>29</v>
      </c>
      <c r="S114">
        <v>2025</v>
      </c>
      <c r="T114" t="s">
        <v>2749</v>
      </c>
      <c r="U114" t="s">
        <v>2750</v>
      </c>
      <c r="V114" s="4">
        <v>0</v>
      </c>
      <c r="W114" s="4">
        <v>1</v>
      </c>
    </row>
    <row r="115" spans="1:23">
      <c r="A115" t="s">
        <v>238</v>
      </c>
      <c r="B115" s="2">
        <v>45724</v>
      </c>
      <c r="C115" t="s">
        <v>46</v>
      </c>
      <c r="D115" t="s">
        <v>47</v>
      </c>
      <c r="E115" t="s">
        <v>21</v>
      </c>
      <c r="F115" t="s">
        <v>49</v>
      </c>
      <c r="G115" t="s">
        <v>50</v>
      </c>
      <c r="H115" t="s">
        <v>51</v>
      </c>
      <c r="I115">
        <v>1</v>
      </c>
      <c r="J115" s="3">
        <v>57515.47</v>
      </c>
      <c r="K115" s="3">
        <v>57515.47</v>
      </c>
      <c r="L115" t="s">
        <v>25</v>
      </c>
      <c r="M115" s="2">
        <v>45741</v>
      </c>
      <c r="N115" s="2">
        <v>45740</v>
      </c>
      <c r="O115" t="s">
        <v>26</v>
      </c>
      <c r="P115" t="s">
        <v>27</v>
      </c>
      <c r="Q115" t="s">
        <v>28</v>
      </c>
      <c r="R115" t="s">
        <v>29</v>
      </c>
      <c r="S115">
        <v>2025</v>
      </c>
      <c r="T115" t="s">
        <v>2747</v>
      </c>
      <c r="U115" t="s">
        <v>2748</v>
      </c>
      <c r="V115" s="4">
        <v>0</v>
      </c>
      <c r="W115" s="4">
        <v>1</v>
      </c>
    </row>
    <row r="116" spans="1:23">
      <c r="A116" t="s">
        <v>239</v>
      </c>
      <c r="B116" s="2">
        <v>45684</v>
      </c>
      <c r="C116" t="s">
        <v>117</v>
      </c>
      <c r="D116" t="s">
        <v>118</v>
      </c>
      <c r="E116" t="s">
        <v>31</v>
      </c>
      <c r="F116" t="s">
        <v>57</v>
      </c>
      <c r="G116" t="s">
        <v>127</v>
      </c>
      <c r="H116" t="s">
        <v>128</v>
      </c>
      <c r="I116">
        <v>2</v>
      </c>
      <c r="J116" s="3">
        <v>17115.68</v>
      </c>
      <c r="K116" s="3">
        <v>34231.360000000001</v>
      </c>
      <c r="L116" t="s">
        <v>25</v>
      </c>
      <c r="M116" s="2">
        <v>45693</v>
      </c>
      <c r="N116" s="2">
        <v>45690</v>
      </c>
      <c r="O116" t="s">
        <v>60</v>
      </c>
      <c r="P116" t="s">
        <v>94</v>
      </c>
      <c r="Q116" t="s">
        <v>28</v>
      </c>
      <c r="R116" t="s">
        <v>29</v>
      </c>
      <c r="S116">
        <v>2025</v>
      </c>
      <c r="T116" t="s">
        <v>2757</v>
      </c>
      <c r="U116" t="s">
        <v>2768</v>
      </c>
      <c r="V116" s="4">
        <v>0</v>
      </c>
      <c r="W116" s="4">
        <v>1</v>
      </c>
    </row>
    <row r="117" spans="1:23">
      <c r="A117" t="s">
        <v>240</v>
      </c>
      <c r="B117" s="2">
        <v>45733</v>
      </c>
      <c r="C117" t="s">
        <v>66</v>
      </c>
      <c r="D117" t="s">
        <v>67</v>
      </c>
      <c r="E117" t="s">
        <v>48</v>
      </c>
      <c r="F117" t="s">
        <v>49</v>
      </c>
      <c r="G117" t="s">
        <v>50</v>
      </c>
      <c r="H117" t="s">
        <v>51</v>
      </c>
      <c r="I117">
        <v>3</v>
      </c>
      <c r="J117" s="3">
        <v>51964.480000000003</v>
      </c>
      <c r="K117" s="3">
        <v>155893.44</v>
      </c>
      <c r="L117" t="s">
        <v>25</v>
      </c>
      <c r="M117" s="2">
        <v>45740</v>
      </c>
      <c r="N117" s="2">
        <v>45739</v>
      </c>
      <c r="O117" t="s">
        <v>43</v>
      </c>
      <c r="P117" t="s">
        <v>53</v>
      </c>
      <c r="Q117" t="s">
        <v>28</v>
      </c>
      <c r="R117" t="s">
        <v>29</v>
      </c>
      <c r="S117">
        <v>2025</v>
      </c>
      <c r="T117" t="s">
        <v>2747</v>
      </c>
      <c r="U117" t="s">
        <v>2748</v>
      </c>
      <c r="V117" s="4">
        <v>0</v>
      </c>
      <c r="W117" s="4">
        <v>1</v>
      </c>
    </row>
    <row r="118" spans="1:23">
      <c r="A118" t="s">
        <v>241</v>
      </c>
      <c r="B118" s="2">
        <v>46188</v>
      </c>
      <c r="C118" t="s">
        <v>134</v>
      </c>
      <c r="D118" t="s">
        <v>135</v>
      </c>
      <c r="E118" t="s">
        <v>39</v>
      </c>
      <c r="F118" t="s">
        <v>40</v>
      </c>
      <c r="G118" t="s">
        <v>149</v>
      </c>
      <c r="H118" t="s">
        <v>150</v>
      </c>
      <c r="I118">
        <v>23</v>
      </c>
      <c r="J118" s="3">
        <v>1410.32</v>
      </c>
      <c r="K118" s="3">
        <v>32437.360000000001</v>
      </c>
      <c r="L118" t="s">
        <v>34</v>
      </c>
      <c r="M118" s="2">
        <v>46206</v>
      </c>
      <c r="N118" s="2">
        <v>46205</v>
      </c>
      <c r="O118" t="s">
        <v>26</v>
      </c>
      <c r="P118" t="s">
        <v>44</v>
      </c>
      <c r="Q118" t="s">
        <v>28</v>
      </c>
      <c r="R118" t="s">
        <v>29</v>
      </c>
      <c r="S118">
        <v>2026</v>
      </c>
      <c r="T118" t="s">
        <v>2743</v>
      </c>
      <c r="U118" t="s">
        <v>2744</v>
      </c>
      <c r="V118" s="4">
        <v>0</v>
      </c>
      <c r="W118" s="4">
        <v>1</v>
      </c>
    </row>
    <row r="119" spans="1:23">
      <c r="A119" t="s">
        <v>242</v>
      </c>
      <c r="B119" s="2">
        <v>45753</v>
      </c>
      <c r="C119" t="s">
        <v>96</v>
      </c>
      <c r="D119" t="s">
        <v>97</v>
      </c>
      <c r="E119" t="s">
        <v>39</v>
      </c>
      <c r="F119" t="s">
        <v>82</v>
      </c>
      <c r="G119" t="s">
        <v>83</v>
      </c>
      <c r="H119" t="s">
        <v>84</v>
      </c>
      <c r="I119">
        <v>43</v>
      </c>
      <c r="J119" s="3">
        <v>738.98</v>
      </c>
      <c r="K119" s="3">
        <v>31776.14</v>
      </c>
      <c r="L119" t="s">
        <v>34</v>
      </c>
      <c r="M119" s="2">
        <v>45763</v>
      </c>
      <c r="N119" s="2">
        <v>45763</v>
      </c>
      <c r="O119" t="s">
        <v>43</v>
      </c>
      <c r="P119" t="s">
        <v>64</v>
      </c>
      <c r="Q119" t="s">
        <v>28</v>
      </c>
      <c r="R119" t="s">
        <v>29</v>
      </c>
      <c r="S119">
        <v>2025</v>
      </c>
      <c r="T119" t="s">
        <v>2741</v>
      </c>
      <c r="U119" t="s">
        <v>2742</v>
      </c>
      <c r="V119" s="4">
        <v>0</v>
      </c>
      <c r="W119" s="4">
        <v>1</v>
      </c>
    </row>
    <row r="120" spans="1:23">
      <c r="A120" t="s">
        <v>243</v>
      </c>
      <c r="B120" s="2">
        <v>46084</v>
      </c>
      <c r="C120" t="s">
        <v>96</v>
      </c>
      <c r="D120" t="s">
        <v>97</v>
      </c>
      <c r="E120" t="s">
        <v>39</v>
      </c>
      <c r="F120" t="s">
        <v>82</v>
      </c>
      <c r="G120" t="s">
        <v>197</v>
      </c>
      <c r="H120" t="s">
        <v>198</v>
      </c>
      <c r="I120">
        <v>35</v>
      </c>
      <c r="J120" s="3">
        <v>2218.77</v>
      </c>
      <c r="K120" s="3">
        <v>77656.95</v>
      </c>
      <c r="L120" t="s">
        <v>25</v>
      </c>
      <c r="M120" s="2">
        <v>46092</v>
      </c>
      <c r="N120" s="2">
        <v>46089</v>
      </c>
      <c r="O120" t="s">
        <v>43</v>
      </c>
      <c r="P120" t="s">
        <v>64</v>
      </c>
      <c r="Q120" t="s">
        <v>28</v>
      </c>
      <c r="R120" t="s">
        <v>29</v>
      </c>
      <c r="S120">
        <v>2026</v>
      </c>
      <c r="T120" t="s">
        <v>2747</v>
      </c>
      <c r="U120" t="s">
        <v>2755</v>
      </c>
      <c r="V120" s="4">
        <v>0</v>
      </c>
      <c r="W120" s="4">
        <v>1</v>
      </c>
    </row>
    <row r="121" spans="1:23">
      <c r="A121" t="s">
        <v>244</v>
      </c>
      <c r="B121" s="2">
        <v>45819</v>
      </c>
      <c r="C121" t="s">
        <v>107</v>
      </c>
      <c r="D121" t="s">
        <v>108</v>
      </c>
      <c r="E121" t="s">
        <v>31</v>
      </c>
      <c r="F121" t="s">
        <v>91</v>
      </c>
      <c r="G121" t="s">
        <v>109</v>
      </c>
      <c r="H121" t="s">
        <v>110</v>
      </c>
      <c r="I121">
        <v>1</v>
      </c>
      <c r="J121" s="3">
        <v>13586.82</v>
      </c>
      <c r="K121" s="3">
        <v>13586.82</v>
      </c>
      <c r="L121" t="s">
        <v>52</v>
      </c>
      <c r="M121" s="2">
        <v>45835</v>
      </c>
      <c r="N121" s="2">
        <v>45833</v>
      </c>
      <c r="O121" t="s">
        <v>26</v>
      </c>
      <c r="P121" t="s">
        <v>35</v>
      </c>
      <c r="Q121" t="s">
        <v>28</v>
      </c>
      <c r="R121" t="s">
        <v>29</v>
      </c>
      <c r="S121">
        <v>2025</v>
      </c>
      <c r="T121" t="s">
        <v>2743</v>
      </c>
      <c r="U121" t="s">
        <v>2756</v>
      </c>
      <c r="V121" s="4">
        <v>0</v>
      </c>
      <c r="W121" s="4">
        <v>1</v>
      </c>
    </row>
    <row r="122" spans="1:23">
      <c r="A122" t="s">
        <v>245</v>
      </c>
      <c r="B122" s="2">
        <v>46185</v>
      </c>
      <c r="C122" t="s">
        <v>104</v>
      </c>
      <c r="D122" t="s">
        <v>105</v>
      </c>
      <c r="E122" t="s">
        <v>21</v>
      </c>
      <c r="F122" t="s">
        <v>49</v>
      </c>
      <c r="G122" t="s">
        <v>113</v>
      </c>
      <c r="H122" t="s">
        <v>114</v>
      </c>
      <c r="I122">
        <v>1</v>
      </c>
      <c r="J122" s="3">
        <v>37327.879999999997</v>
      </c>
      <c r="K122" s="3">
        <v>37327.879999999997</v>
      </c>
      <c r="L122" t="s">
        <v>52</v>
      </c>
      <c r="M122" s="2">
        <v>46190</v>
      </c>
      <c r="N122" s="2">
        <v>46187</v>
      </c>
      <c r="O122" t="s">
        <v>60</v>
      </c>
      <c r="P122" t="s">
        <v>27</v>
      </c>
      <c r="Q122" t="s">
        <v>28</v>
      </c>
      <c r="R122" t="s">
        <v>29</v>
      </c>
      <c r="S122">
        <v>2026</v>
      </c>
      <c r="T122" t="s">
        <v>2743</v>
      </c>
      <c r="U122" t="s">
        <v>2744</v>
      </c>
      <c r="V122" s="4">
        <v>0</v>
      </c>
      <c r="W122" s="4">
        <v>1</v>
      </c>
    </row>
    <row r="123" spans="1:23">
      <c r="A123" t="s">
        <v>246</v>
      </c>
      <c r="B123" s="2">
        <v>45978</v>
      </c>
      <c r="C123" t="s">
        <v>96</v>
      </c>
      <c r="D123" t="s">
        <v>97</v>
      </c>
      <c r="E123" t="s">
        <v>39</v>
      </c>
      <c r="F123" t="s">
        <v>82</v>
      </c>
      <c r="G123" t="s">
        <v>98</v>
      </c>
      <c r="H123" t="s">
        <v>99</v>
      </c>
      <c r="I123">
        <v>6</v>
      </c>
      <c r="J123" s="3">
        <v>1147.29</v>
      </c>
      <c r="K123" s="3">
        <v>6883.74</v>
      </c>
      <c r="L123" t="s">
        <v>52</v>
      </c>
      <c r="M123" s="2">
        <v>45984</v>
      </c>
      <c r="N123" s="2">
        <v>45981</v>
      </c>
      <c r="O123" t="s">
        <v>26</v>
      </c>
      <c r="P123" t="s">
        <v>44</v>
      </c>
      <c r="Q123" t="s">
        <v>28</v>
      </c>
      <c r="R123" t="s">
        <v>29</v>
      </c>
      <c r="S123">
        <v>2025</v>
      </c>
      <c r="T123" t="s">
        <v>2763</v>
      </c>
      <c r="U123" t="s">
        <v>2764</v>
      </c>
      <c r="V123" s="4">
        <v>0</v>
      </c>
      <c r="W123" s="4">
        <v>1</v>
      </c>
    </row>
    <row r="124" spans="1:23">
      <c r="A124" t="s">
        <v>247</v>
      </c>
      <c r="B124" s="2">
        <v>45707</v>
      </c>
      <c r="C124" t="s">
        <v>142</v>
      </c>
      <c r="D124" t="s">
        <v>143</v>
      </c>
      <c r="E124" t="s">
        <v>31</v>
      </c>
      <c r="F124" t="s">
        <v>22</v>
      </c>
      <c r="G124" t="s">
        <v>32</v>
      </c>
      <c r="H124" t="s">
        <v>33</v>
      </c>
      <c r="I124">
        <v>14</v>
      </c>
      <c r="J124" s="3">
        <v>7864.76</v>
      </c>
      <c r="K124" s="3">
        <v>110106.64</v>
      </c>
      <c r="L124" t="s">
        <v>34</v>
      </c>
      <c r="M124" s="2">
        <v>45713</v>
      </c>
      <c r="N124" s="2">
        <v>45711</v>
      </c>
      <c r="O124" t="s">
        <v>60</v>
      </c>
      <c r="P124" t="s">
        <v>35</v>
      </c>
      <c r="Q124" t="s">
        <v>28</v>
      </c>
      <c r="R124" t="s">
        <v>29</v>
      </c>
      <c r="S124">
        <v>2025</v>
      </c>
      <c r="T124" t="s">
        <v>2751</v>
      </c>
      <c r="U124" t="s">
        <v>2752</v>
      </c>
      <c r="V124" s="4">
        <v>0</v>
      </c>
      <c r="W124" s="4">
        <v>1</v>
      </c>
    </row>
    <row r="125" spans="1:23">
      <c r="A125" t="s">
        <v>248</v>
      </c>
      <c r="B125" s="2">
        <v>45704</v>
      </c>
      <c r="C125" t="s">
        <v>107</v>
      </c>
      <c r="D125" t="s">
        <v>108</v>
      </c>
      <c r="E125" t="s">
        <v>31</v>
      </c>
      <c r="F125" t="s">
        <v>91</v>
      </c>
      <c r="G125" t="s">
        <v>109</v>
      </c>
      <c r="H125" t="s">
        <v>110</v>
      </c>
      <c r="I125">
        <v>3</v>
      </c>
      <c r="J125" s="3">
        <v>13291</v>
      </c>
      <c r="K125" s="3">
        <v>39873</v>
      </c>
      <c r="L125" t="s">
        <v>34</v>
      </c>
      <c r="M125" s="2">
        <v>45716</v>
      </c>
      <c r="N125" s="2">
        <v>45714</v>
      </c>
      <c r="O125" t="s">
        <v>43</v>
      </c>
      <c r="P125" t="s">
        <v>94</v>
      </c>
      <c r="Q125" t="s">
        <v>28</v>
      </c>
      <c r="R125" t="s">
        <v>29</v>
      </c>
      <c r="S125">
        <v>2025</v>
      </c>
      <c r="T125" t="s">
        <v>2751</v>
      </c>
      <c r="U125" t="s">
        <v>2752</v>
      </c>
      <c r="V125" s="4">
        <v>0</v>
      </c>
      <c r="W125" s="4">
        <v>1</v>
      </c>
    </row>
    <row r="126" spans="1:23">
      <c r="A126" t="s">
        <v>249</v>
      </c>
      <c r="B126" s="2">
        <v>45757</v>
      </c>
      <c r="C126" t="s">
        <v>66</v>
      </c>
      <c r="D126" t="s">
        <v>67</v>
      </c>
      <c r="E126" t="s">
        <v>48</v>
      </c>
      <c r="F126" t="s">
        <v>49</v>
      </c>
      <c r="G126" t="s">
        <v>165</v>
      </c>
      <c r="H126" t="s">
        <v>166</v>
      </c>
      <c r="I126">
        <v>3</v>
      </c>
      <c r="J126" s="3">
        <v>42686</v>
      </c>
      <c r="K126" s="3">
        <v>128058</v>
      </c>
      <c r="L126" t="s">
        <v>25</v>
      </c>
      <c r="M126" s="2">
        <v>45768</v>
      </c>
      <c r="N126" s="2">
        <v>45768</v>
      </c>
      <c r="O126" t="s">
        <v>76</v>
      </c>
      <c r="P126" t="s">
        <v>53</v>
      </c>
      <c r="Q126" t="s">
        <v>28</v>
      </c>
      <c r="R126" t="s">
        <v>29</v>
      </c>
      <c r="S126">
        <v>2025</v>
      </c>
      <c r="T126" t="s">
        <v>2741</v>
      </c>
      <c r="U126" t="s">
        <v>2742</v>
      </c>
      <c r="V126" s="4">
        <v>0</v>
      </c>
      <c r="W126" s="4">
        <v>1</v>
      </c>
    </row>
    <row r="127" spans="1:23">
      <c r="A127" t="s">
        <v>250</v>
      </c>
      <c r="B127" s="2">
        <v>46189</v>
      </c>
      <c r="C127" t="s">
        <v>142</v>
      </c>
      <c r="D127" t="s">
        <v>143</v>
      </c>
      <c r="E127" t="s">
        <v>31</v>
      </c>
      <c r="F127" t="s">
        <v>22</v>
      </c>
      <c r="G127" t="s">
        <v>23</v>
      </c>
      <c r="H127" t="s">
        <v>24</v>
      </c>
      <c r="I127">
        <v>15</v>
      </c>
      <c r="J127" s="3">
        <v>248.72</v>
      </c>
      <c r="K127" s="3">
        <v>3730.8</v>
      </c>
      <c r="L127" t="s">
        <v>25</v>
      </c>
      <c r="M127" s="2">
        <v>46200</v>
      </c>
      <c r="N127" s="2">
        <v>46198</v>
      </c>
      <c r="O127" t="s">
        <v>60</v>
      </c>
      <c r="P127" t="s">
        <v>35</v>
      </c>
      <c r="Q127" t="s">
        <v>28</v>
      </c>
      <c r="R127" t="s">
        <v>29</v>
      </c>
      <c r="S127">
        <v>2026</v>
      </c>
      <c r="T127" t="s">
        <v>2743</v>
      </c>
      <c r="U127" t="s">
        <v>2744</v>
      </c>
      <c r="V127" s="4">
        <v>0</v>
      </c>
      <c r="W127" s="4">
        <v>1</v>
      </c>
    </row>
    <row r="128" spans="1:23">
      <c r="A128" t="s">
        <v>251</v>
      </c>
      <c r="B128" s="2">
        <v>46035</v>
      </c>
      <c r="C128" t="s">
        <v>147</v>
      </c>
      <c r="D128" t="s">
        <v>148</v>
      </c>
      <c r="E128" t="s">
        <v>39</v>
      </c>
      <c r="F128" t="s">
        <v>40</v>
      </c>
      <c r="G128" t="s">
        <v>136</v>
      </c>
      <c r="H128" t="s">
        <v>137</v>
      </c>
      <c r="I128">
        <v>49</v>
      </c>
      <c r="J128" s="3">
        <v>1624.04</v>
      </c>
      <c r="K128" s="3">
        <v>79577.960000000006</v>
      </c>
      <c r="L128" t="s">
        <v>25</v>
      </c>
      <c r="M128" s="2">
        <v>46050</v>
      </c>
      <c r="N128" s="2">
        <v>46059</v>
      </c>
      <c r="O128" t="s">
        <v>26</v>
      </c>
      <c r="P128" t="s">
        <v>64</v>
      </c>
      <c r="Q128" t="s">
        <v>28</v>
      </c>
      <c r="R128" t="s">
        <v>129</v>
      </c>
      <c r="S128">
        <v>2026</v>
      </c>
      <c r="T128" t="s">
        <v>2757</v>
      </c>
      <c r="U128" t="s">
        <v>2758</v>
      </c>
      <c r="V128" s="4">
        <v>9</v>
      </c>
      <c r="W128" s="4">
        <v>0</v>
      </c>
    </row>
    <row r="129" spans="1:23">
      <c r="A129" t="s">
        <v>252</v>
      </c>
      <c r="B129" s="2">
        <v>46149</v>
      </c>
      <c r="C129" t="s">
        <v>142</v>
      </c>
      <c r="D129" t="s">
        <v>143</v>
      </c>
      <c r="E129" t="s">
        <v>31</v>
      </c>
      <c r="F129" t="s">
        <v>22</v>
      </c>
      <c r="G129" t="s">
        <v>160</v>
      </c>
      <c r="H129" t="s">
        <v>161</v>
      </c>
      <c r="I129">
        <v>1</v>
      </c>
      <c r="J129" s="3">
        <v>3216.99</v>
      </c>
      <c r="K129" s="3">
        <v>3216.99</v>
      </c>
      <c r="L129" t="s">
        <v>25</v>
      </c>
      <c r="M129" s="2">
        <v>46163</v>
      </c>
      <c r="N129" s="2">
        <v>46163</v>
      </c>
      <c r="O129" t="s">
        <v>60</v>
      </c>
      <c r="P129" t="s">
        <v>35</v>
      </c>
      <c r="Q129" t="s">
        <v>28</v>
      </c>
      <c r="R129" t="s">
        <v>29</v>
      </c>
      <c r="S129">
        <v>2026</v>
      </c>
      <c r="T129" t="s">
        <v>2766</v>
      </c>
      <c r="U129" t="s">
        <v>2769</v>
      </c>
      <c r="V129" s="4">
        <v>0</v>
      </c>
      <c r="W129" s="4">
        <v>1</v>
      </c>
    </row>
    <row r="130" spans="1:23">
      <c r="A130" t="s">
        <v>253</v>
      </c>
      <c r="B130" s="2">
        <v>46086</v>
      </c>
      <c r="C130" t="s">
        <v>66</v>
      </c>
      <c r="D130" t="s">
        <v>67</v>
      </c>
      <c r="E130" t="s">
        <v>48</v>
      </c>
      <c r="F130" t="s">
        <v>49</v>
      </c>
      <c r="G130" t="s">
        <v>68</v>
      </c>
      <c r="H130" t="s">
        <v>69</v>
      </c>
      <c r="I130">
        <v>1</v>
      </c>
      <c r="J130" s="3">
        <v>47781.05</v>
      </c>
      <c r="K130" s="3">
        <v>47781.05</v>
      </c>
      <c r="L130" t="s">
        <v>34</v>
      </c>
      <c r="M130" s="2">
        <v>46102</v>
      </c>
      <c r="N130" s="2">
        <v>46101</v>
      </c>
      <c r="O130" t="s">
        <v>60</v>
      </c>
      <c r="P130" t="s">
        <v>53</v>
      </c>
      <c r="Q130" t="s">
        <v>28</v>
      </c>
      <c r="R130" t="s">
        <v>29</v>
      </c>
      <c r="S130">
        <v>2026</v>
      </c>
      <c r="T130" t="s">
        <v>2747</v>
      </c>
      <c r="U130" t="s">
        <v>2755</v>
      </c>
      <c r="V130" s="4">
        <v>0</v>
      </c>
      <c r="W130" s="4">
        <v>1</v>
      </c>
    </row>
    <row r="131" spans="1:23">
      <c r="A131" t="s">
        <v>254</v>
      </c>
      <c r="B131" s="2">
        <v>46008</v>
      </c>
      <c r="C131" t="s">
        <v>104</v>
      </c>
      <c r="D131" t="s">
        <v>105</v>
      </c>
      <c r="E131" t="s">
        <v>48</v>
      </c>
      <c r="F131" t="s">
        <v>49</v>
      </c>
      <c r="G131" t="s">
        <v>68</v>
      </c>
      <c r="H131" t="s">
        <v>69</v>
      </c>
      <c r="I131">
        <v>3</v>
      </c>
      <c r="J131" s="3">
        <v>47144.959999999999</v>
      </c>
      <c r="K131" s="3">
        <v>141434.88</v>
      </c>
      <c r="L131" t="s">
        <v>34</v>
      </c>
      <c r="M131" s="2">
        <v>46017</v>
      </c>
      <c r="N131" s="2">
        <v>46015</v>
      </c>
      <c r="O131" t="s">
        <v>26</v>
      </c>
      <c r="P131" t="s">
        <v>53</v>
      </c>
      <c r="Q131" t="s">
        <v>28</v>
      </c>
      <c r="R131" t="s">
        <v>29</v>
      </c>
      <c r="S131">
        <v>2025</v>
      </c>
      <c r="T131" t="s">
        <v>2745</v>
      </c>
      <c r="U131" t="s">
        <v>2746</v>
      </c>
      <c r="V131" s="4">
        <v>0</v>
      </c>
      <c r="W131" s="4">
        <v>1</v>
      </c>
    </row>
    <row r="132" spans="1:23">
      <c r="A132" t="s">
        <v>255</v>
      </c>
      <c r="B132" s="2">
        <v>45982</v>
      </c>
      <c r="C132" t="s">
        <v>142</v>
      </c>
      <c r="D132" t="s">
        <v>143</v>
      </c>
      <c r="E132" t="s">
        <v>31</v>
      </c>
      <c r="F132" t="s">
        <v>22</v>
      </c>
      <c r="G132" t="s">
        <v>160</v>
      </c>
      <c r="H132" t="s">
        <v>161</v>
      </c>
      <c r="I132">
        <v>9</v>
      </c>
      <c r="J132" s="3">
        <v>3186.58</v>
      </c>
      <c r="K132" s="3">
        <v>28679.22</v>
      </c>
      <c r="L132" t="s">
        <v>34</v>
      </c>
      <c r="M132" s="2">
        <v>45993</v>
      </c>
      <c r="N132" s="2">
        <v>45990</v>
      </c>
      <c r="O132" t="s">
        <v>26</v>
      </c>
      <c r="P132" t="s">
        <v>35</v>
      </c>
      <c r="Q132" t="s">
        <v>28</v>
      </c>
      <c r="R132" t="s">
        <v>29</v>
      </c>
      <c r="S132">
        <v>2025</v>
      </c>
      <c r="T132" t="s">
        <v>2763</v>
      </c>
      <c r="U132" t="s">
        <v>2764</v>
      </c>
      <c r="V132" s="4">
        <v>0</v>
      </c>
      <c r="W132" s="4">
        <v>1</v>
      </c>
    </row>
    <row r="133" spans="1:23">
      <c r="A133" t="s">
        <v>256</v>
      </c>
      <c r="B133" s="2">
        <v>45701</v>
      </c>
      <c r="C133" t="s">
        <v>46</v>
      </c>
      <c r="D133" t="s">
        <v>47</v>
      </c>
      <c r="E133" t="s">
        <v>48</v>
      </c>
      <c r="F133" t="s">
        <v>49</v>
      </c>
      <c r="G133" t="s">
        <v>68</v>
      </c>
      <c r="H133" t="s">
        <v>69</v>
      </c>
      <c r="I133">
        <v>1</v>
      </c>
      <c r="J133" s="3">
        <v>52267.01</v>
      </c>
      <c r="K133" s="3">
        <v>52267.01</v>
      </c>
      <c r="L133" t="s">
        <v>52</v>
      </c>
      <c r="M133" s="2">
        <v>45709</v>
      </c>
      <c r="N133" s="2">
        <v>45707</v>
      </c>
      <c r="O133" t="s">
        <v>76</v>
      </c>
      <c r="P133" t="s">
        <v>53</v>
      </c>
      <c r="Q133" t="s">
        <v>28</v>
      </c>
      <c r="R133" t="s">
        <v>29</v>
      </c>
      <c r="S133">
        <v>2025</v>
      </c>
      <c r="T133" t="s">
        <v>2751</v>
      </c>
      <c r="U133" t="s">
        <v>2752</v>
      </c>
      <c r="V133" s="4">
        <v>0</v>
      </c>
      <c r="W133" s="4">
        <v>1</v>
      </c>
    </row>
    <row r="134" spans="1:23">
      <c r="A134" t="s">
        <v>257</v>
      </c>
      <c r="B134" s="2">
        <v>45769</v>
      </c>
      <c r="C134" t="s">
        <v>107</v>
      </c>
      <c r="D134" t="s">
        <v>108</v>
      </c>
      <c r="E134" t="s">
        <v>31</v>
      </c>
      <c r="F134" t="s">
        <v>91</v>
      </c>
      <c r="G134" t="s">
        <v>92</v>
      </c>
      <c r="H134" t="s">
        <v>93</v>
      </c>
      <c r="I134">
        <v>1</v>
      </c>
      <c r="J134" s="3">
        <v>46560.07</v>
      </c>
      <c r="K134" s="3">
        <v>46560.07</v>
      </c>
      <c r="L134" t="s">
        <v>34</v>
      </c>
      <c r="M134" s="2">
        <v>45774</v>
      </c>
      <c r="N134" s="2">
        <v>45772</v>
      </c>
      <c r="O134" t="s">
        <v>43</v>
      </c>
      <c r="P134" t="s">
        <v>94</v>
      </c>
      <c r="Q134" t="s">
        <v>28</v>
      </c>
      <c r="R134" t="s">
        <v>29</v>
      </c>
      <c r="S134">
        <v>2025</v>
      </c>
      <c r="T134" t="s">
        <v>2741</v>
      </c>
      <c r="U134" t="s">
        <v>2742</v>
      </c>
      <c r="V134" s="4">
        <v>0</v>
      </c>
      <c r="W134" s="4">
        <v>1</v>
      </c>
    </row>
    <row r="135" spans="1:23">
      <c r="A135" t="s">
        <v>258</v>
      </c>
      <c r="B135" s="2">
        <v>45819</v>
      </c>
      <c r="C135" t="s">
        <v>134</v>
      </c>
      <c r="D135" t="s">
        <v>135</v>
      </c>
      <c r="E135" t="s">
        <v>112</v>
      </c>
      <c r="F135" t="s">
        <v>40</v>
      </c>
      <c r="G135" t="s">
        <v>62</v>
      </c>
      <c r="H135" t="s">
        <v>63</v>
      </c>
      <c r="I135">
        <v>5</v>
      </c>
      <c r="J135" s="3">
        <v>19018.59</v>
      </c>
      <c r="K135" s="3">
        <v>95092.95</v>
      </c>
      <c r="L135" t="s">
        <v>52</v>
      </c>
      <c r="M135" s="2">
        <v>45829</v>
      </c>
      <c r="N135" s="2">
        <v>45829</v>
      </c>
      <c r="O135" t="s">
        <v>43</v>
      </c>
      <c r="P135" t="s">
        <v>115</v>
      </c>
      <c r="Q135" t="s">
        <v>28</v>
      </c>
      <c r="R135" t="s">
        <v>29</v>
      </c>
      <c r="S135">
        <v>2025</v>
      </c>
      <c r="T135" t="s">
        <v>2743</v>
      </c>
      <c r="U135" t="s">
        <v>2756</v>
      </c>
      <c r="V135" s="4">
        <v>0</v>
      </c>
      <c r="W135" s="4">
        <v>1</v>
      </c>
    </row>
    <row r="136" spans="1:23">
      <c r="A136" t="s">
        <v>259</v>
      </c>
      <c r="B136" s="2">
        <v>45837</v>
      </c>
      <c r="C136" t="s">
        <v>71</v>
      </c>
      <c r="D136" t="s">
        <v>72</v>
      </c>
      <c r="E136" t="s">
        <v>48</v>
      </c>
      <c r="F136" t="s">
        <v>57</v>
      </c>
      <c r="G136" t="s">
        <v>74</v>
      </c>
      <c r="H136" t="s">
        <v>75</v>
      </c>
      <c r="I136">
        <v>12</v>
      </c>
      <c r="J136" s="3">
        <v>7910.84</v>
      </c>
      <c r="K136" s="3">
        <v>94930.08</v>
      </c>
      <c r="L136" t="s">
        <v>25</v>
      </c>
      <c r="M136" s="2">
        <v>45855</v>
      </c>
      <c r="N136" s="2">
        <v>45855</v>
      </c>
      <c r="O136" t="s">
        <v>43</v>
      </c>
      <c r="P136" t="s">
        <v>53</v>
      </c>
      <c r="Q136" t="s">
        <v>28</v>
      </c>
      <c r="R136" t="s">
        <v>29</v>
      </c>
      <c r="S136">
        <v>2025</v>
      </c>
      <c r="T136" t="s">
        <v>2743</v>
      </c>
      <c r="U136" t="s">
        <v>2756</v>
      </c>
      <c r="V136" s="4">
        <v>0</v>
      </c>
      <c r="W136" s="4">
        <v>1</v>
      </c>
    </row>
    <row r="137" spans="1:23">
      <c r="A137" t="s">
        <v>260</v>
      </c>
      <c r="B137" s="2">
        <v>45949</v>
      </c>
      <c r="C137" t="s">
        <v>37</v>
      </c>
      <c r="D137" t="s">
        <v>38</v>
      </c>
      <c r="E137" t="s">
        <v>31</v>
      </c>
      <c r="F137" t="s">
        <v>22</v>
      </c>
      <c r="G137" t="s">
        <v>160</v>
      </c>
      <c r="H137" t="s">
        <v>161</v>
      </c>
      <c r="I137">
        <v>9</v>
      </c>
      <c r="J137" s="3">
        <v>3276.39</v>
      </c>
      <c r="K137" s="3">
        <v>29487.51</v>
      </c>
      <c r="L137" t="s">
        <v>25</v>
      </c>
      <c r="M137" s="2">
        <v>45961</v>
      </c>
      <c r="N137" s="2">
        <v>45961</v>
      </c>
      <c r="O137" t="s">
        <v>60</v>
      </c>
      <c r="P137" t="s">
        <v>35</v>
      </c>
      <c r="Q137" t="s">
        <v>28</v>
      </c>
      <c r="R137" t="s">
        <v>29</v>
      </c>
      <c r="S137">
        <v>2025</v>
      </c>
      <c r="T137" t="s">
        <v>2749</v>
      </c>
      <c r="U137" t="s">
        <v>2750</v>
      </c>
      <c r="V137" s="4">
        <v>0</v>
      </c>
      <c r="W137" s="4">
        <v>1</v>
      </c>
    </row>
    <row r="138" spans="1:23">
      <c r="A138" t="s">
        <v>261</v>
      </c>
      <c r="B138" s="2">
        <v>45848</v>
      </c>
      <c r="C138" t="s">
        <v>104</v>
      </c>
      <c r="D138" t="s">
        <v>105</v>
      </c>
      <c r="E138" t="s">
        <v>21</v>
      </c>
      <c r="F138" t="s">
        <v>49</v>
      </c>
      <c r="G138" t="s">
        <v>50</v>
      </c>
      <c r="H138" t="s">
        <v>51</v>
      </c>
      <c r="I138">
        <v>2</v>
      </c>
      <c r="J138" s="3">
        <v>53926.77</v>
      </c>
      <c r="K138" s="3">
        <v>107853.54</v>
      </c>
      <c r="L138" t="s">
        <v>25</v>
      </c>
      <c r="M138" s="2">
        <v>45866</v>
      </c>
      <c r="N138" s="2">
        <v>45864</v>
      </c>
      <c r="O138" t="s">
        <v>43</v>
      </c>
      <c r="P138" t="s">
        <v>27</v>
      </c>
      <c r="Q138" t="s">
        <v>28</v>
      </c>
      <c r="R138" t="s">
        <v>29</v>
      </c>
      <c r="S138">
        <v>2025</v>
      </c>
      <c r="T138" t="s">
        <v>2759</v>
      </c>
      <c r="U138" t="s">
        <v>2760</v>
      </c>
      <c r="V138" s="4">
        <v>0</v>
      </c>
      <c r="W138" s="4">
        <v>1</v>
      </c>
    </row>
    <row r="139" spans="1:23">
      <c r="A139" t="s">
        <v>262</v>
      </c>
      <c r="B139" s="2">
        <v>45801</v>
      </c>
      <c r="C139" t="s">
        <v>142</v>
      </c>
      <c r="D139" t="s">
        <v>143</v>
      </c>
      <c r="E139" t="s">
        <v>112</v>
      </c>
      <c r="F139" t="s">
        <v>22</v>
      </c>
      <c r="G139" t="s">
        <v>160</v>
      </c>
      <c r="H139" t="s">
        <v>161</v>
      </c>
      <c r="I139">
        <v>5</v>
      </c>
      <c r="J139" s="3">
        <v>3339.69</v>
      </c>
      <c r="K139" s="3">
        <v>16698.45</v>
      </c>
      <c r="L139" t="s">
        <v>25</v>
      </c>
      <c r="M139" s="2">
        <v>45811</v>
      </c>
      <c r="N139" s="2">
        <v>45811</v>
      </c>
      <c r="O139" t="s">
        <v>76</v>
      </c>
      <c r="P139" t="s">
        <v>115</v>
      </c>
      <c r="Q139" t="s">
        <v>28</v>
      </c>
      <c r="R139" t="s">
        <v>29</v>
      </c>
      <c r="S139">
        <v>2025</v>
      </c>
      <c r="T139" t="s">
        <v>2766</v>
      </c>
      <c r="U139" t="s">
        <v>2767</v>
      </c>
      <c r="V139" s="4">
        <v>0</v>
      </c>
      <c r="W139" s="4">
        <v>1</v>
      </c>
    </row>
    <row r="140" spans="1:23">
      <c r="A140" t="s">
        <v>263</v>
      </c>
      <c r="B140" s="2">
        <v>45721</v>
      </c>
      <c r="C140" t="s">
        <v>19</v>
      </c>
      <c r="D140" t="s">
        <v>20</v>
      </c>
      <c r="E140" t="s">
        <v>73</v>
      </c>
      <c r="F140" t="s">
        <v>22</v>
      </c>
      <c r="G140" t="s">
        <v>160</v>
      </c>
      <c r="H140" t="s">
        <v>161</v>
      </c>
      <c r="I140">
        <v>15</v>
      </c>
      <c r="J140" s="3">
        <v>3055.7</v>
      </c>
      <c r="K140" s="3">
        <v>45835.5</v>
      </c>
      <c r="L140" t="s">
        <v>34</v>
      </c>
      <c r="M140" s="2">
        <v>45737</v>
      </c>
      <c r="N140" s="2">
        <v>45737</v>
      </c>
      <c r="O140" t="s">
        <v>76</v>
      </c>
      <c r="P140" t="s">
        <v>77</v>
      </c>
      <c r="Q140" t="s">
        <v>28</v>
      </c>
      <c r="R140" t="s">
        <v>29</v>
      </c>
      <c r="S140">
        <v>2025</v>
      </c>
      <c r="T140" t="s">
        <v>2747</v>
      </c>
      <c r="U140" t="s">
        <v>2748</v>
      </c>
      <c r="V140" s="4">
        <v>0</v>
      </c>
      <c r="W140" s="4">
        <v>1</v>
      </c>
    </row>
    <row r="141" spans="1:23">
      <c r="A141" t="s">
        <v>264</v>
      </c>
      <c r="B141" s="2">
        <v>45884</v>
      </c>
      <c r="C141" t="s">
        <v>19</v>
      </c>
      <c r="D141" t="s">
        <v>20</v>
      </c>
      <c r="E141" t="s">
        <v>39</v>
      </c>
      <c r="F141" t="s">
        <v>22</v>
      </c>
      <c r="G141" t="s">
        <v>160</v>
      </c>
      <c r="H141" t="s">
        <v>161</v>
      </c>
      <c r="I141">
        <v>7</v>
      </c>
      <c r="J141" s="3">
        <v>2972.03</v>
      </c>
      <c r="K141" s="3">
        <v>20804.21</v>
      </c>
      <c r="L141" t="s">
        <v>34</v>
      </c>
      <c r="M141" s="2">
        <v>45900</v>
      </c>
      <c r="N141" s="2">
        <v>45897</v>
      </c>
      <c r="O141" t="s">
        <v>26</v>
      </c>
      <c r="P141" t="s">
        <v>64</v>
      </c>
      <c r="Q141" t="s">
        <v>28</v>
      </c>
      <c r="R141" t="s">
        <v>29</v>
      </c>
      <c r="S141">
        <v>2025</v>
      </c>
      <c r="T141" t="s">
        <v>2761</v>
      </c>
      <c r="U141" t="s">
        <v>2762</v>
      </c>
      <c r="V141" s="4">
        <v>0</v>
      </c>
      <c r="W141" s="4">
        <v>1</v>
      </c>
    </row>
    <row r="142" spans="1:23">
      <c r="A142" t="s">
        <v>265</v>
      </c>
      <c r="B142" s="2">
        <v>45741</v>
      </c>
      <c r="C142" t="s">
        <v>131</v>
      </c>
      <c r="D142" t="s">
        <v>132</v>
      </c>
      <c r="E142" t="s">
        <v>31</v>
      </c>
      <c r="F142" t="s">
        <v>57</v>
      </c>
      <c r="G142" t="s">
        <v>101</v>
      </c>
      <c r="H142" t="s">
        <v>102</v>
      </c>
      <c r="I142">
        <v>58</v>
      </c>
      <c r="J142" s="3">
        <v>1830.58</v>
      </c>
      <c r="K142" s="3">
        <v>106173.64</v>
      </c>
      <c r="L142" t="s">
        <v>34</v>
      </c>
      <c r="M142" s="2">
        <v>45754</v>
      </c>
      <c r="N142" s="2">
        <v>45753</v>
      </c>
      <c r="O142" t="s">
        <v>26</v>
      </c>
      <c r="P142" t="s">
        <v>94</v>
      </c>
      <c r="Q142" t="s">
        <v>28</v>
      </c>
      <c r="R142" t="s">
        <v>29</v>
      </c>
      <c r="S142">
        <v>2025</v>
      </c>
      <c r="T142" t="s">
        <v>2747</v>
      </c>
      <c r="U142" t="s">
        <v>2748</v>
      </c>
      <c r="V142" s="4">
        <v>0</v>
      </c>
      <c r="W142" s="4">
        <v>1</v>
      </c>
    </row>
    <row r="143" spans="1:23">
      <c r="A143" t="s">
        <v>266</v>
      </c>
      <c r="B143" s="2">
        <v>46110</v>
      </c>
      <c r="C143" t="s">
        <v>96</v>
      </c>
      <c r="D143" t="s">
        <v>97</v>
      </c>
      <c r="E143" t="s">
        <v>39</v>
      </c>
      <c r="F143" t="s">
        <v>82</v>
      </c>
      <c r="G143" t="s">
        <v>98</v>
      </c>
      <c r="H143" t="s">
        <v>99</v>
      </c>
      <c r="I143">
        <v>56</v>
      </c>
      <c r="J143" s="3">
        <v>1168.3900000000001</v>
      </c>
      <c r="K143" s="3">
        <v>65429.84</v>
      </c>
      <c r="L143" t="s">
        <v>25</v>
      </c>
      <c r="M143" s="2">
        <v>46115</v>
      </c>
      <c r="N143" s="2">
        <v>46112</v>
      </c>
      <c r="O143" t="s">
        <v>43</v>
      </c>
      <c r="P143" t="s">
        <v>44</v>
      </c>
      <c r="Q143" t="s">
        <v>28</v>
      </c>
      <c r="R143" t="s">
        <v>29</v>
      </c>
      <c r="S143">
        <v>2026</v>
      </c>
      <c r="T143" t="s">
        <v>2747</v>
      </c>
      <c r="U143" t="s">
        <v>2755</v>
      </c>
      <c r="V143" s="4">
        <v>0</v>
      </c>
      <c r="W143" s="4">
        <v>1</v>
      </c>
    </row>
    <row r="144" spans="1:23">
      <c r="A144" t="s">
        <v>268</v>
      </c>
      <c r="B144" s="2">
        <v>45973</v>
      </c>
      <c r="C144" t="s">
        <v>142</v>
      </c>
      <c r="D144" t="s">
        <v>143</v>
      </c>
      <c r="E144" t="s">
        <v>73</v>
      </c>
      <c r="F144" t="s">
        <v>22</v>
      </c>
      <c r="G144" t="s">
        <v>32</v>
      </c>
      <c r="H144" t="s">
        <v>33</v>
      </c>
      <c r="I144">
        <v>7</v>
      </c>
      <c r="J144" s="3">
        <v>7539.27</v>
      </c>
      <c r="K144" s="3">
        <v>52774.89</v>
      </c>
      <c r="L144" t="s">
        <v>52</v>
      </c>
      <c r="M144" s="2">
        <v>45983</v>
      </c>
      <c r="N144" s="2">
        <v>45983</v>
      </c>
      <c r="O144" t="s">
        <v>43</v>
      </c>
      <c r="P144" t="s">
        <v>77</v>
      </c>
      <c r="Q144" t="s">
        <v>28</v>
      </c>
      <c r="R144" t="s">
        <v>29</v>
      </c>
      <c r="S144">
        <v>2025</v>
      </c>
      <c r="T144" t="s">
        <v>2763</v>
      </c>
      <c r="U144" t="s">
        <v>2764</v>
      </c>
      <c r="V144" s="4">
        <v>0</v>
      </c>
      <c r="W144" s="4">
        <v>1</v>
      </c>
    </row>
    <row r="145" spans="1:23">
      <c r="A145" t="s">
        <v>269</v>
      </c>
      <c r="B145" s="2">
        <v>45690</v>
      </c>
      <c r="C145" t="s">
        <v>37</v>
      </c>
      <c r="D145" t="s">
        <v>38</v>
      </c>
      <c r="E145" t="s">
        <v>39</v>
      </c>
      <c r="F145" t="s">
        <v>22</v>
      </c>
      <c r="G145" t="s">
        <v>32</v>
      </c>
      <c r="H145" t="s">
        <v>33</v>
      </c>
      <c r="I145">
        <v>7</v>
      </c>
      <c r="J145" s="3">
        <v>8497.31</v>
      </c>
      <c r="K145" s="3">
        <v>59481.17</v>
      </c>
      <c r="L145" t="s">
        <v>25</v>
      </c>
      <c r="M145" s="2">
        <v>45700</v>
      </c>
      <c r="N145" s="2">
        <v>45697</v>
      </c>
      <c r="O145" t="s">
        <v>60</v>
      </c>
      <c r="P145" t="s">
        <v>44</v>
      </c>
      <c r="Q145" t="s">
        <v>28</v>
      </c>
      <c r="R145" t="s">
        <v>29</v>
      </c>
      <c r="S145">
        <v>2025</v>
      </c>
      <c r="T145" t="s">
        <v>2751</v>
      </c>
      <c r="U145" t="s">
        <v>2752</v>
      </c>
      <c r="V145" s="4">
        <v>0</v>
      </c>
      <c r="W145" s="4">
        <v>1</v>
      </c>
    </row>
    <row r="146" spans="1:23">
      <c r="A146" t="s">
        <v>270</v>
      </c>
      <c r="B146" s="2">
        <v>45740</v>
      </c>
      <c r="C146" t="s">
        <v>131</v>
      </c>
      <c r="D146" t="s">
        <v>132</v>
      </c>
      <c r="E146" t="s">
        <v>48</v>
      </c>
      <c r="F146" t="s">
        <v>57</v>
      </c>
      <c r="G146" t="s">
        <v>120</v>
      </c>
      <c r="H146" t="s">
        <v>121</v>
      </c>
      <c r="I146">
        <v>7</v>
      </c>
      <c r="J146" s="3">
        <v>22277.040000000001</v>
      </c>
      <c r="K146" s="3">
        <v>155939.28</v>
      </c>
      <c r="L146" t="s">
        <v>34</v>
      </c>
      <c r="M146" s="2">
        <v>45753</v>
      </c>
      <c r="N146" s="2">
        <v>45752</v>
      </c>
      <c r="O146" t="s">
        <v>43</v>
      </c>
      <c r="P146" t="s">
        <v>53</v>
      </c>
      <c r="Q146" t="s">
        <v>28</v>
      </c>
      <c r="R146" t="s">
        <v>29</v>
      </c>
      <c r="S146">
        <v>2025</v>
      </c>
      <c r="T146" t="s">
        <v>2747</v>
      </c>
      <c r="U146" t="s">
        <v>2748</v>
      </c>
      <c r="V146" s="4">
        <v>0</v>
      </c>
      <c r="W146" s="4">
        <v>1</v>
      </c>
    </row>
    <row r="147" spans="1:23">
      <c r="A147" t="s">
        <v>271</v>
      </c>
      <c r="B147" s="2">
        <v>46092</v>
      </c>
      <c r="C147" t="s">
        <v>55</v>
      </c>
      <c r="D147" t="s">
        <v>56</v>
      </c>
      <c r="E147" t="s">
        <v>48</v>
      </c>
      <c r="F147" t="s">
        <v>57</v>
      </c>
      <c r="G147" t="s">
        <v>74</v>
      </c>
      <c r="H147" t="s">
        <v>75</v>
      </c>
      <c r="I147">
        <v>15</v>
      </c>
      <c r="J147" s="3">
        <v>9465.98</v>
      </c>
      <c r="K147" s="3">
        <v>141989.70000000001</v>
      </c>
      <c r="L147" t="s">
        <v>34</v>
      </c>
      <c r="M147" s="2">
        <v>46108</v>
      </c>
      <c r="N147" s="2">
        <v>46108</v>
      </c>
      <c r="O147" t="s">
        <v>60</v>
      </c>
      <c r="P147" t="s">
        <v>53</v>
      </c>
      <c r="Q147" t="s">
        <v>28</v>
      </c>
      <c r="R147" t="s">
        <v>29</v>
      </c>
      <c r="S147">
        <v>2026</v>
      </c>
      <c r="T147" t="s">
        <v>2747</v>
      </c>
      <c r="U147" t="s">
        <v>2755</v>
      </c>
      <c r="V147" s="4">
        <v>0</v>
      </c>
      <c r="W147" s="4">
        <v>1</v>
      </c>
    </row>
    <row r="148" spans="1:23">
      <c r="A148" t="s">
        <v>272</v>
      </c>
      <c r="B148" s="2">
        <v>45904</v>
      </c>
      <c r="C148" t="s">
        <v>19</v>
      </c>
      <c r="D148" t="s">
        <v>20</v>
      </c>
      <c r="E148" t="s">
        <v>39</v>
      </c>
      <c r="F148" t="s">
        <v>22</v>
      </c>
      <c r="G148" t="s">
        <v>160</v>
      </c>
      <c r="H148" t="s">
        <v>161</v>
      </c>
      <c r="I148">
        <v>1</v>
      </c>
      <c r="J148" s="3">
        <v>2997.74</v>
      </c>
      <c r="K148" s="3">
        <v>2997.74</v>
      </c>
      <c r="L148" t="s">
        <v>25</v>
      </c>
      <c r="M148" s="2">
        <v>45912</v>
      </c>
      <c r="N148" s="2">
        <v>45909</v>
      </c>
      <c r="O148" t="s">
        <v>26</v>
      </c>
      <c r="P148" t="s">
        <v>64</v>
      </c>
      <c r="Q148" t="s">
        <v>28</v>
      </c>
      <c r="R148" t="s">
        <v>29</v>
      </c>
      <c r="S148">
        <v>2025</v>
      </c>
      <c r="T148" t="s">
        <v>2753</v>
      </c>
      <c r="U148" t="s">
        <v>2754</v>
      </c>
      <c r="V148" s="4">
        <v>0</v>
      </c>
      <c r="W148" s="4">
        <v>1</v>
      </c>
    </row>
    <row r="149" spans="1:23">
      <c r="A149" t="s">
        <v>273</v>
      </c>
      <c r="B149" s="2">
        <v>45801</v>
      </c>
      <c r="C149" t="s">
        <v>55</v>
      </c>
      <c r="D149" t="s">
        <v>56</v>
      </c>
      <c r="E149" t="s">
        <v>21</v>
      </c>
      <c r="F149" t="s">
        <v>57</v>
      </c>
      <c r="G149" t="s">
        <v>127</v>
      </c>
      <c r="H149" t="s">
        <v>128</v>
      </c>
      <c r="I149">
        <v>6</v>
      </c>
      <c r="J149" s="3">
        <v>18394.62</v>
      </c>
      <c r="K149" s="3">
        <v>110367.72</v>
      </c>
      <c r="L149" t="s">
        <v>52</v>
      </c>
      <c r="M149" s="2">
        <v>45809</v>
      </c>
      <c r="N149" s="2">
        <v>45808</v>
      </c>
      <c r="O149" t="s">
        <v>26</v>
      </c>
      <c r="P149" t="s">
        <v>27</v>
      </c>
      <c r="Q149" t="s">
        <v>28</v>
      </c>
      <c r="R149" t="s">
        <v>29</v>
      </c>
      <c r="S149">
        <v>2025</v>
      </c>
      <c r="T149" t="s">
        <v>2766</v>
      </c>
      <c r="U149" t="s">
        <v>2767</v>
      </c>
      <c r="V149" s="4">
        <v>0</v>
      </c>
      <c r="W149" s="4">
        <v>1</v>
      </c>
    </row>
    <row r="150" spans="1:23">
      <c r="A150" t="s">
        <v>274</v>
      </c>
      <c r="B150" s="2">
        <v>45965</v>
      </c>
      <c r="C150" t="s">
        <v>37</v>
      </c>
      <c r="D150" t="s">
        <v>38</v>
      </c>
      <c r="E150" t="s">
        <v>31</v>
      </c>
      <c r="F150" t="s">
        <v>22</v>
      </c>
      <c r="G150" t="s">
        <v>32</v>
      </c>
      <c r="H150" t="s">
        <v>33</v>
      </c>
      <c r="I150">
        <v>7</v>
      </c>
      <c r="J150" s="3">
        <v>8482.3700000000008</v>
      </c>
      <c r="K150" s="3">
        <v>59376.59</v>
      </c>
      <c r="L150" t="s">
        <v>52</v>
      </c>
      <c r="M150" s="2">
        <v>45978</v>
      </c>
      <c r="N150" s="2">
        <v>45976</v>
      </c>
      <c r="O150" t="s">
        <v>60</v>
      </c>
      <c r="P150" t="s">
        <v>35</v>
      </c>
      <c r="Q150" t="s">
        <v>28</v>
      </c>
      <c r="R150" t="s">
        <v>29</v>
      </c>
      <c r="S150">
        <v>2025</v>
      </c>
      <c r="T150" t="s">
        <v>2763</v>
      </c>
      <c r="U150" t="s">
        <v>2764</v>
      </c>
      <c r="V150" s="4">
        <v>0</v>
      </c>
      <c r="W150" s="4">
        <v>1</v>
      </c>
    </row>
    <row r="151" spans="1:23">
      <c r="A151" t="s">
        <v>275</v>
      </c>
      <c r="B151" s="2">
        <v>46084</v>
      </c>
      <c r="C151" t="s">
        <v>142</v>
      </c>
      <c r="D151" t="s">
        <v>143</v>
      </c>
      <c r="E151" t="s">
        <v>21</v>
      </c>
      <c r="F151" t="s">
        <v>22</v>
      </c>
      <c r="G151" t="s">
        <v>32</v>
      </c>
      <c r="H151" t="s">
        <v>33</v>
      </c>
      <c r="I151">
        <v>5</v>
      </c>
      <c r="J151" s="3">
        <v>8084.24</v>
      </c>
      <c r="K151" s="3">
        <v>40421.199999999997</v>
      </c>
      <c r="L151" t="s">
        <v>52</v>
      </c>
      <c r="M151" s="2">
        <v>46102</v>
      </c>
      <c r="N151" s="2">
        <v>46099</v>
      </c>
      <c r="O151" t="s">
        <v>60</v>
      </c>
      <c r="P151" t="s">
        <v>27</v>
      </c>
      <c r="Q151" t="s">
        <v>28</v>
      </c>
      <c r="R151" t="s">
        <v>29</v>
      </c>
      <c r="S151">
        <v>2026</v>
      </c>
      <c r="T151" t="s">
        <v>2747</v>
      </c>
      <c r="U151" t="s">
        <v>2755</v>
      </c>
      <c r="V151" s="4">
        <v>0</v>
      </c>
      <c r="W151" s="4">
        <v>1</v>
      </c>
    </row>
    <row r="152" spans="1:23">
      <c r="A152" t="s">
        <v>276</v>
      </c>
      <c r="B152" s="2">
        <v>46200</v>
      </c>
      <c r="C152" t="s">
        <v>19</v>
      </c>
      <c r="D152" t="s">
        <v>20</v>
      </c>
      <c r="E152" t="s">
        <v>21</v>
      </c>
      <c r="F152" t="s">
        <v>22</v>
      </c>
      <c r="G152" t="s">
        <v>160</v>
      </c>
      <c r="H152" t="s">
        <v>161</v>
      </c>
      <c r="I152">
        <v>14</v>
      </c>
      <c r="J152" s="3">
        <v>3055.47</v>
      </c>
      <c r="K152" s="3">
        <v>42776.58</v>
      </c>
      <c r="L152" t="s">
        <v>25</v>
      </c>
      <c r="M152" s="2">
        <v>46210</v>
      </c>
      <c r="N152" s="2">
        <v>46223</v>
      </c>
      <c r="O152" t="s">
        <v>60</v>
      </c>
      <c r="P152" t="s">
        <v>27</v>
      </c>
      <c r="Q152" t="s">
        <v>28</v>
      </c>
      <c r="R152" t="s">
        <v>129</v>
      </c>
      <c r="S152">
        <v>2026</v>
      </c>
      <c r="T152" t="s">
        <v>2743</v>
      </c>
      <c r="U152" t="s">
        <v>2744</v>
      </c>
      <c r="V152" s="4">
        <v>13</v>
      </c>
      <c r="W152" s="4">
        <v>0</v>
      </c>
    </row>
    <row r="153" spans="1:23">
      <c r="A153" t="s">
        <v>277</v>
      </c>
      <c r="B153" s="2">
        <v>45732</v>
      </c>
      <c r="C153" t="s">
        <v>117</v>
      </c>
      <c r="D153" t="s">
        <v>118</v>
      </c>
      <c r="E153" t="s">
        <v>48</v>
      </c>
      <c r="F153" t="s">
        <v>57</v>
      </c>
      <c r="G153" t="s">
        <v>74</v>
      </c>
      <c r="H153" t="s">
        <v>75</v>
      </c>
      <c r="I153">
        <v>5</v>
      </c>
      <c r="J153" s="3">
        <v>9085.1200000000008</v>
      </c>
      <c r="K153" s="3">
        <v>45425.599999999999</v>
      </c>
      <c r="L153" t="s">
        <v>52</v>
      </c>
      <c r="M153" s="2">
        <v>45737</v>
      </c>
      <c r="N153" s="2">
        <v>45736</v>
      </c>
      <c r="O153" t="s">
        <v>43</v>
      </c>
      <c r="P153" t="s">
        <v>53</v>
      </c>
      <c r="Q153" t="s">
        <v>28</v>
      </c>
      <c r="R153" t="s">
        <v>29</v>
      </c>
      <c r="S153">
        <v>2025</v>
      </c>
      <c r="T153" t="s">
        <v>2747</v>
      </c>
      <c r="U153" t="s">
        <v>2748</v>
      </c>
      <c r="V153" s="4">
        <v>0</v>
      </c>
      <c r="W153" s="4">
        <v>1</v>
      </c>
    </row>
    <row r="154" spans="1:23">
      <c r="A154" t="s">
        <v>278</v>
      </c>
      <c r="B154" s="2">
        <v>45867</v>
      </c>
      <c r="C154" t="s">
        <v>134</v>
      </c>
      <c r="D154" t="s">
        <v>135</v>
      </c>
      <c r="E154" t="s">
        <v>39</v>
      </c>
      <c r="F154" t="s">
        <v>40</v>
      </c>
      <c r="G154" t="s">
        <v>136</v>
      </c>
      <c r="H154" t="s">
        <v>137</v>
      </c>
      <c r="I154">
        <v>27</v>
      </c>
      <c r="J154" s="3">
        <v>1663.25</v>
      </c>
      <c r="K154" s="3">
        <v>44907.75</v>
      </c>
      <c r="L154" t="s">
        <v>25</v>
      </c>
      <c r="M154" s="2">
        <v>45876</v>
      </c>
      <c r="N154" s="2">
        <v>45873</v>
      </c>
      <c r="O154" t="s">
        <v>60</v>
      </c>
      <c r="P154" t="s">
        <v>44</v>
      </c>
      <c r="Q154" t="s">
        <v>28</v>
      </c>
      <c r="R154" t="s">
        <v>29</v>
      </c>
      <c r="S154">
        <v>2025</v>
      </c>
      <c r="T154" t="s">
        <v>2759</v>
      </c>
      <c r="U154" t="s">
        <v>2760</v>
      </c>
      <c r="V154" s="4">
        <v>0</v>
      </c>
      <c r="W154" s="4">
        <v>1</v>
      </c>
    </row>
    <row r="155" spans="1:23">
      <c r="A155" t="s">
        <v>279</v>
      </c>
      <c r="B155" s="2">
        <v>45866</v>
      </c>
      <c r="C155" t="s">
        <v>71</v>
      </c>
      <c r="D155" t="s">
        <v>72</v>
      </c>
      <c r="E155" t="s">
        <v>73</v>
      </c>
      <c r="F155" t="s">
        <v>57</v>
      </c>
      <c r="G155" t="s">
        <v>86</v>
      </c>
      <c r="H155" t="s">
        <v>87</v>
      </c>
      <c r="I155">
        <v>7</v>
      </c>
      <c r="J155" s="3">
        <v>9799.2000000000007</v>
      </c>
      <c r="K155" s="3">
        <v>68594.399999999994</v>
      </c>
      <c r="L155" t="s">
        <v>25</v>
      </c>
      <c r="M155" s="2">
        <v>45875</v>
      </c>
      <c r="N155" s="2">
        <v>45882</v>
      </c>
      <c r="O155" t="s">
        <v>26</v>
      </c>
      <c r="P155" t="s">
        <v>77</v>
      </c>
      <c r="Q155" t="s">
        <v>28</v>
      </c>
      <c r="R155" t="s">
        <v>129</v>
      </c>
      <c r="S155">
        <v>2025</v>
      </c>
      <c r="T155" t="s">
        <v>2759</v>
      </c>
      <c r="U155" t="s">
        <v>2760</v>
      </c>
      <c r="V155" s="4">
        <v>7</v>
      </c>
      <c r="W155" s="4">
        <v>0</v>
      </c>
    </row>
    <row r="156" spans="1:23">
      <c r="A156" t="s">
        <v>280</v>
      </c>
      <c r="B156" s="2">
        <v>46003</v>
      </c>
      <c r="C156" t="s">
        <v>104</v>
      </c>
      <c r="D156" t="s">
        <v>105</v>
      </c>
      <c r="E156" t="s">
        <v>48</v>
      </c>
      <c r="F156" t="s">
        <v>49</v>
      </c>
      <c r="G156" t="s">
        <v>68</v>
      </c>
      <c r="H156" t="s">
        <v>69</v>
      </c>
      <c r="I156">
        <v>1</v>
      </c>
      <c r="J156" s="3">
        <v>49514.29</v>
      </c>
      <c r="K156" s="3">
        <v>49514.29</v>
      </c>
      <c r="L156" t="s">
        <v>25</v>
      </c>
      <c r="M156" s="2">
        <v>46010</v>
      </c>
      <c r="N156" s="2">
        <v>46007</v>
      </c>
      <c r="O156" t="s">
        <v>43</v>
      </c>
      <c r="P156" t="s">
        <v>53</v>
      </c>
      <c r="Q156" t="s">
        <v>28</v>
      </c>
      <c r="R156" t="s">
        <v>29</v>
      </c>
      <c r="S156">
        <v>2025</v>
      </c>
      <c r="T156" t="s">
        <v>2745</v>
      </c>
      <c r="U156" t="s">
        <v>2746</v>
      </c>
      <c r="V156" s="4">
        <v>0</v>
      </c>
      <c r="W156" s="4">
        <v>1</v>
      </c>
    </row>
    <row r="157" spans="1:23">
      <c r="A157" t="s">
        <v>281</v>
      </c>
      <c r="B157" s="2">
        <v>46080</v>
      </c>
      <c r="C157" t="s">
        <v>89</v>
      </c>
      <c r="D157" t="s">
        <v>90</v>
      </c>
      <c r="E157" t="s">
        <v>31</v>
      </c>
      <c r="F157" t="s">
        <v>91</v>
      </c>
      <c r="G157" t="s">
        <v>92</v>
      </c>
      <c r="H157" t="s">
        <v>93</v>
      </c>
      <c r="I157">
        <v>1</v>
      </c>
      <c r="J157" s="3">
        <v>42231.67</v>
      </c>
      <c r="K157" s="3">
        <v>42231.67</v>
      </c>
      <c r="L157" t="s">
        <v>34</v>
      </c>
      <c r="M157" s="2">
        <v>46085</v>
      </c>
      <c r="N157" s="2">
        <v>46082</v>
      </c>
      <c r="O157" t="s">
        <v>43</v>
      </c>
      <c r="P157" t="s">
        <v>94</v>
      </c>
      <c r="Q157" t="s">
        <v>28</v>
      </c>
      <c r="R157" t="s">
        <v>29</v>
      </c>
      <c r="S157">
        <v>2026</v>
      </c>
      <c r="T157" t="s">
        <v>2751</v>
      </c>
      <c r="U157" t="s">
        <v>2765</v>
      </c>
      <c r="V157" s="4">
        <v>0</v>
      </c>
      <c r="W157" s="4">
        <v>1</v>
      </c>
    </row>
    <row r="158" spans="1:23">
      <c r="A158" t="s">
        <v>282</v>
      </c>
      <c r="B158" s="2">
        <v>46202</v>
      </c>
      <c r="C158" t="s">
        <v>96</v>
      </c>
      <c r="D158" t="s">
        <v>97</v>
      </c>
      <c r="E158" t="s">
        <v>39</v>
      </c>
      <c r="F158" t="s">
        <v>82</v>
      </c>
      <c r="G158" t="s">
        <v>197</v>
      </c>
      <c r="H158" t="s">
        <v>198</v>
      </c>
      <c r="I158">
        <v>6</v>
      </c>
      <c r="J158" s="3">
        <v>2222.75</v>
      </c>
      <c r="K158" s="3">
        <v>13336.5</v>
      </c>
      <c r="L158" t="s">
        <v>52</v>
      </c>
      <c r="M158" s="2">
        <v>46215</v>
      </c>
      <c r="N158" s="2">
        <v>46212</v>
      </c>
      <c r="O158" t="s">
        <v>43</v>
      </c>
      <c r="P158" t="s">
        <v>64</v>
      </c>
      <c r="Q158" t="s">
        <v>28</v>
      </c>
      <c r="R158" t="s">
        <v>29</v>
      </c>
      <c r="S158">
        <v>2026</v>
      </c>
      <c r="T158" t="s">
        <v>2743</v>
      </c>
      <c r="U158" t="s">
        <v>2744</v>
      </c>
      <c r="V158" s="4">
        <v>0</v>
      </c>
      <c r="W158" s="4">
        <v>1</v>
      </c>
    </row>
    <row r="159" spans="1:23">
      <c r="A159" t="s">
        <v>283</v>
      </c>
      <c r="B159" s="2">
        <v>46194</v>
      </c>
      <c r="C159" t="s">
        <v>80</v>
      </c>
      <c r="D159" t="s">
        <v>81</v>
      </c>
      <c r="E159" t="s">
        <v>39</v>
      </c>
      <c r="F159" t="s">
        <v>82</v>
      </c>
      <c r="G159" t="s">
        <v>98</v>
      </c>
      <c r="H159" t="s">
        <v>99</v>
      </c>
      <c r="I159">
        <v>30</v>
      </c>
      <c r="J159" s="3">
        <v>1075.08</v>
      </c>
      <c r="K159" s="3">
        <v>32252.400000000001</v>
      </c>
      <c r="L159" t="s">
        <v>25</v>
      </c>
      <c r="M159" s="2">
        <v>46200</v>
      </c>
      <c r="N159" s="2">
        <v>46197</v>
      </c>
      <c r="O159" t="s">
        <v>26</v>
      </c>
      <c r="P159" t="s">
        <v>44</v>
      </c>
      <c r="Q159" t="s">
        <v>28</v>
      </c>
      <c r="R159" t="s">
        <v>29</v>
      </c>
      <c r="S159">
        <v>2026</v>
      </c>
      <c r="T159" t="s">
        <v>2743</v>
      </c>
      <c r="U159" t="s">
        <v>2744</v>
      </c>
      <c r="V159" s="4">
        <v>0</v>
      </c>
      <c r="W159" s="4">
        <v>1</v>
      </c>
    </row>
    <row r="160" spans="1:23">
      <c r="A160" t="s">
        <v>284</v>
      </c>
      <c r="B160" s="2">
        <v>45740</v>
      </c>
      <c r="C160" t="s">
        <v>142</v>
      </c>
      <c r="D160" t="s">
        <v>143</v>
      </c>
      <c r="E160" t="s">
        <v>112</v>
      </c>
      <c r="F160" t="s">
        <v>22</v>
      </c>
      <c r="G160" t="s">
        <v>23</v>
      </c>
      <c r="H160" t="s">
        <v>24</v>
      </c>
      <c r="I160">
        <v>35</v>
      </c>
      <c r="J160" s="3">
        <v>258.13</v>
      </c>
      <c r="K160" s="3">
        <v>9034.5499999999993</v>
      </c>
      <c r="L160" t="s">
        <v>25</v>
      </c>
      <c r="M160" s="2">
        <v>45745</v>
      </c>
      <c r="N160" s="2">
        <v>45744</v>
      </c>
      <c r="O160" t="s">
        <v>60</v>
      </c>
      <c r="P160" t="s">
        <v>115</v>
      </c>
      <c r="Q160" t="s">
        <v>28</v>
      </c>
      <c r="R160" t="s">
        <v>29</v>
      </c>
      <c r="S160">
        <v>2025</v>
      </c>
      <c r="T160" t="s">
        <v>2747</v>
      </c>
      <c r="U160" t="s">
        <v>2748</v>
      </c>
      <c r="V160" s="4">
        <v>0</v>
      </c>
      <c r="W160" s="4">
        <v>1</v>
      </c>
    </row>
    <row r="161" spans="1:23">
      <c r="A161" t="s">
        <v>285</v>
      </c>
      <c r="B161" s="2">
        <v>45701</v>
      </c>
      <c r="C161" t="s">
        <v>104</v>
      </c>
      <c r="D161" t="s">
        <v>105</v>
      </c>
      <c r="E161" t="s">
        <v>112</v>
      </c>
      <c r="F161" t="s">
        <v>49</v>
      </c>
      <c r="G161" t="s">
        <v>68</v>
      </c>
      <c r="H161" t="s">
        <v>69</v>
      </c>
      <c r="I161">
        <v>1</v>
      </c>
      <c r="J161" s="3">
        <v>50072.37</v>
      </c>
      <c r="K161" s="3">
        <v>50072.37</v>
      </c>
      <c r="L161" t="s">
        <v>25</v>
      </c>
      <c r="M161" s="2">
        <v>45714</v>
      </c>
      <c r="N161" s="2">
        <v>45714</v>
      </c>
      <c r="O161" t="s">
        <v>76</v>
      </c>
      <c r="P161" t="s">
        <v>115</v>
      </c>
      <c r="Q161" t="s">
        <v>28</v>
      </c>
      <c r="R161" t="s">
        <v>29</v>
      </c>
      <c r="S161">
        <v>2025</v>
      </c>
      <c r="T161" t="s">
        <v>2751</v>
      </c>
      <c r="U161" t="s">
        <v>2752</v>
      </c>
      <c r="V161" s="4">
        <v>0</v>
      </c>
      <c r="W161" s="4">
        <v>1</v>
      </c>
    </row>
    <row r="162" spans="1:23">
      <c r="A162" t="s">
        <v>286</v>
      </c>
      <c r="B162" s="2">
        <v>45870</v>
      </c>
      <c r="C162" t="s">
        <v>104</v>
      </c>
      <c r="D162" t="s">
        <v>105</v>
      </c>
      <c r="E162" t="s">
        <v>48</v>
      </c>
      <c r="F162" t="s">
        <v>49</v>
      </c>
      <c r="G162" t="s">
        <v>113</v>
      </c>
      <c r="H162" t="s">
        <v>114</v>
      </c>
      <c r="I162">
        <v>3</v>
      </c>
      <c r="J162" s="3">
        <v>38408.74</v>
      </c>
      <c r="K162" s="3">
        <v>115226.22</v>
      </c>
      <c r="L162" t="s">
        <v>25</v>
      </c>
      <c r="M162" s="2">
        <v>45888</v>
      </c>
      <c r="N162" s="2">
        <v>45886</v>
      </c>
      <c r="O162" t="s">
        <v>26</v>
      </c>
      <c r="P162" t="s">
        <v>53</v>
      </c>
      <c r="Q162" t="s">
        <v>28</v>
      </c>
      <c r="R162" t="s">
        <v>29</v>
      </c>
      <c r="S162">
        <v>2025</v>
      </c>
      <c r="T162" t="s">
        <v>2761</v>
      </c>
      <c r="U162" t="s">
        <v>2762</v>
      </c>
      <c r="V162" s="4">
        <v>0</v>
      </c>
      <c r="W162" s="4">
        <v>1</v>
      </c>
    </row>
    <row r="163" spans="1:23">
      <c r="A163" t="s">
        <v>287</v>
      </c>
      <c r="B163" s="2">
        <v>46012</v>
      </c>
      <c r="C163" t="s">
        <v>19</v>
      </c>
      <c r="D163" t="s">
        <v>20</v>
      </c>
      <c r="E163" t="s">
        <v>73</v>
      </c>
      <c r="F163" t="s">
        <v>22</v>
      </c>
      <c r="G163" t="s">
        <v>160</v>
      </c>
      <c r="H163" t="s">
        <v>161</v>
      </c>
      <c r="I163">
        <v>10</v>
      </c>
      <c r="J163" s="3">
        <v>2974.17</v>
      </c>
      <c r="K163" s="3">
        <v>29741.7</v>
      </c>
      <c r="L163" t="s">
        <v>25</v>
      </c>
      <c r="M163" s="2">
        <v>46023</v>
      </c>
      <c r="N163" s="2">
        <v>46021</v>
      </c>
      <c r="O163" t="s">
        <v>76</v>
      </c>
      <c r="P163" t="s">
        <v>77</v>
      </c>
      <c r="Q163" t="s">
        <v>28</v>
      </c>
      <c r="R163" t="s">
        <v>29</v>
      </c>
      <c r="S163">
        <v>2025</v>
      </c>
      <c r="T163" t="s">
        <v>2745</v>
      </c>
      <c r="U163" t="s">
        <v>2746</v>
      </c>
      <c r="V163" s="4">
        <v>0</v>
      </c>
      <c r="W163" s="4">
        <v>1</v>
      </c>
    </row>
    <row r="164" spans="1:23">
      <c r="A164" t="s">
        <v>288</v>
      </c>
      <c r="B164" s="2">
        <v>46160</v>
      </c>
      <c r="C164" t="s">
        <v>117</v>
      </c>
      <c r="D164" t="s">
        <v>118</v>
      </c>
      <c r="E164" t="s">
        <v>31</v>
      </c>
      <c r="F164" t="s">
        <v>57</v>
      </c>
      <c r="G164" t="s">
        <v>74</v>
      </c>
      <c r="H164" t="s">
        <v>75</v>
      </c>
      <c r="I164">
        <v>7</v>
      </c>
      <c r="J164" s="3">
        <v>8833.02</v>
      </c>
      <c r="K164" s="3">
        <v>61831.14</v>
      </c>
      <c r="L164" t="s">
        <v>34</v>
      </c>
      <c r="M164" s="2">
        <v>46166</v>
      </c>
      <c r="N164" s="2">
        <v>46164</v>
      </c>
      <c r="O164" t="s">
        <v>43</v>
      </c>
      <c r="P164" t="s">
        <v>94</v>
      </c>
      <c r="Q164" t="s">
        <v>28</v>
      </c>
      <c r="R164" t="s">
        <v>29</v>
      </c>
      <c r="S164">
        <v>2026</v>
      </c>
      <c r="T164" t="s">
        <v>2766</v>
      </c>
      <c r="U164" t="s">
        <v>2769</v>
      </c>
      <c r="V164" s="4">
        <v>0</v>
      </c>
      <c r="W164" s="4">
        <v>1</v>
      </c>
    </row>
    <row r="165" spans="1:23">
      <c r="A165" t="s">
        <v>289</v>
      </c>
      <c r="B165" s="2">
        <v>45932</v>
      </c>
      <c r="C165" t="s">
        <v>71</v>
      </c>
      <c r="D165" t="s">
        <v>72</v>
      </c>
      <c r="E165" t="s">
        <v>48</v>
      </c>
      <c r="F165" t="s">
        <v>57</v>
      </c>
      <c r="G165" t="s">
        <v>120</v>
      </c>
      <c r="H165" t="s">
        <v>121</v>
      </c>
      <c r="I165">
        <v>2</v>
      </c>
      <c r="J165" s="3">
        <v>20320.68</v>
      </c>
      <c r="K165" s="3">
        <v>40641.360000000001</v>
      </c>
      <c r="L165" t="s">
        <v>25</v>
      </c>
      <c r="M165" s="2">
        <v>45937</v>
      </c>
      <c r="N165" s="2">
        <v>45934</v>
      </c>
      <c r="O165" t="s">
        <v>76</v>
      </c>
      <c r="P165" t="s">
        <v>53</v>
      </c>
      <c r="Q165" t="s">
        <v>28</v>
      </c>
      <c r="R165" t="s">
        <v>29</v>
      </c>
      <c r="S165">
        <v>2025</v>
      </c>
      <c r="T165" t="s">
        <v>2749</v>
      </c>
      <c r="U165" t="s">
        <v>2750</v>
      </c>
      <c r="V165" s="4">
        <v>0</v>
      </c>
      <c r="W165" s="4">
        <v>1</v>
      </c>
    </row>
    <row r="166" spans="1:23">
      <c r="A166" t="s">
        <v>290</v>
      </c>
      <c r="B166" s="2">
        <v>45793</v>
      </c>
      <c r="C166" t="s">
        <v>71</v>
      </c>
      <c r="D166" t="s">
        <v>72</v>
      </c>
      <c r="E166" t="s">
        <v>73</v>
      </c>
      <c r="F166" t="s">
        <v>57</v>
      </c>
      <c r="G166" t="s">
        <v>127</v>
      </c>
      <c r="H166" t="s">
        <v>128</v>
      </c>
      <c r="I166">
        <v>2</v>
      </c>
      <c r="J166" s="3">
        <v>14818.6</v>
      </c>
      <c r="K166" s="3">
        <v>29637.200000000001</v>
      </c>
      <c r="L166" t="s">
        <v>52</v>
      </c>
      <c r="M166" s="2">
        <v>45803</v>
      </c>
      <c r="N166" s="2">
        <v>45801</v>
      </c>
      <c r="O166" t="s">
        <v>43</v>
      </c>
      <c r="P166" t="s">
        <v>77</v>
      </c>
      <c r="Q166" t="s">
        <v>28</v>
      </c>
      <c r="R166" t="s">
        <v>29</v>
      </c>
      <c r="S166">
        <v>2025</v>
      </c>
      <c r="T166" t="s">
        <v>2766</v>
      </c>
      <c r="U166" t="s">
        <v>2767</v>
      </c>
      <c r="V166" s="4">
        <v>0</v>
      </c>
      <c r="W166" s="4">
        <v>1</v>
      </c>
    </row>
    <row r="167" spans="1:23">
      <c r="A167" t="s">
        <v>291</v>
      </c>
      <c r="B167" s="2">
        <v>46081</v>
      </c>
      <c r="C167" t="s">
        <v>80</v>
      </c>
      <c r="D167" t="s">
        <v>81</v>
      </c>
      <c r="E167" t="s">
        <v>39</v>
      </c>
      <c r="F167" t="s">
        <v>82</v>
      </c>
      <c r="G167" t="s">
        <v>83</v>
      </c>
      <c r="H167" t="s">
        <v>84</v>
      </c>
      <c r="I167">
        <v>29</v>
      </c>
      <c r="J167" s="3">
        <v>667.08</v>
      </c>
      <c r="K167" s="3">
        <v>19345.32</v>
      </c>
      <c r="L167" t="s">
        <v>25</v>
      </c>
      <c r="M167" s="2">
        <v>46088</v>
      </c>
      <c r="N167" s="2">
        <v>46094</v>
      </c>
      <c r="O167" t="s">
        <v>26</v>
      </c>
      <c r="P167" t="s">
        <v>64</v>
      </c>
      <c r="Q167" t="s">
        <v>28</v>
      </c>
      <c r="R167" t="s">
        <v>129</v>
      </c>
      <c r="S167">
        <v>2026</v>
      </c>
      <c r="T167" t="s">
        <v>2751</v>
      </c>
      <c r="U167" t="s">
        <v>2765</v>
      </c>
      <c r="V167" s="4">
        <v>6</v>
      </c>
      <c r="W167" s="4">
        <v>0</v>
      </c>
    </row>
    <row r="168" spans="1:23">
      <c r="A168" t="s">
        <v>292</v>
      </c>
      <c r="B168" s="2">
        <v>45829</v>
      </c>
      <c r="C168" t="s">
        <v>104</v>
      </c>
      <c r="D168" t="s">
        <v>105</v>
      </c>
      <c r="E168" t="s">
        <v>73</v>
      </c>
      <c r="F168" t="s">
        <v>49</v>
      </c>
      <c r="G168" t="s">
        <v>113</v>
      </c>
      <c r="H168" t="s">
        <v>114</v>
      </c>
      <c r="I168">
        <v>2</v>
      </c>
      <c r="J168" s="3">
        <v>39709.24</v>
      </c>
      <c r="K168" s="3">
        <v>79418.48</v>
      </c>
      <c r="L168" t="s">
        <v>25</v>
      </c>
      <c r="M168" s="2">
        <v>45843</v>
      </c>
      <c r="N168" s="2">
        <v>45840</v>
      </c>
      <c r="O168" t="s">
        <v>76</v>
      </c>
      <c r="P168" t="s">
        <v>77</v>
      </c>
      <c r="Q168" t="s">
        <v>28</v>
      </c>
      <c r="R168" t="s">
        <v>29</v>
      </c>
      <c r="S168">
        <v>2025</v>
      </c>
      <c r="T168" t="s">
        <v>2743</v>
      </c>
      <c r="U168" t="s">
        <v>2756</v>
      </c>
      <c r="V168" s="4">
        <v>0</v>
      </c>
      <c r="W168" s="4">
        <v>1</v>
      </c>
    </row>
    <row r="169" spans="1:23">
      <c r="A169" t="s">
        <v>293</v>
      </c>
      <c r="B169" s="2">
        <v>46063</v>
      </c>
      <c r="C169" t="s">
        <v>55</v>
      </c>
      <c r="D169" t="s">
        <v>56</v>
      </c>
      <c r="E169" t="s">
        <v>31</v>
      </c>
      <c r="F169" t="s">
        <v>57</v>
      </c>
      <c r="G169" t="s">
        <v>74</v>
      </c>
      <c r="H169" t="s">
        <v>75</v>
      </c>
      <c r="I169">
        <v>14</v>
      </c>
      <c r="J169" s="3">
        <v>9932.9699999999993</v>
      </c>
      <c r="K169" s="3">
        <v>139061.57999999999</v>
      </c>
      <c r="L169" t="s">
        <v>25</v>
      </c>
      <c r="M169" s="2">
        <v>46078</v>
      </c>
      <c r="N169" s="2">
        <v>46077</v>
      </c>
      <c r="O169" t="s">
        <v>26</v>
      </c>
      <c r="P169" t="s">
        <v>35</v>
      </c>
      <c r="Q169" t="s">
        <v>28</v>
      </c>
      <c r="R169" t="s">
        <v>29</v>
      </c>
      <c r="S169">
        <v>2026</v>
      </c>
      <c r="T169" t="s">
        <v>2751</v>
      </c>
      <c r="U169" t="s">
        <v>2765</v>
      </c>
      <c r="V169" s="4">
        <v>0</v>
      </c>
      <c r="W169" s="4">
        <v>1</v>
      </c>
    </row>
    <row r="170" spans="1:23">
      <c r="A170" t="s">
        <v>294</v>
      </c>
      <c r="B170" s="2">
        <v>45979</v>
      </c>
      <c r="C170" t="s">
        <v>46</v>
      </c>
      <c r="D170" t="s">
        <v>47</v>
      </c>
      <c r="E170" t="s">
        <v>73</v>
      </c>
      <c r="F170" t="s">
        <v>49</v>
      </c>
      <c r="G170" t="s">
        <v>165</v>
      </c>
      <c r="H170" t="s">
        <v>166</v>
      </c>
      <c r="I170">
        <v>3</v>
      </c>
      <c r="J170" s="3">
        <v>48509.05</v>
      </c>
      <c r="K170" s="3">
        <v>145527.15</v>
      </c>
      <c r="L170" t="s">
        <v>25</v>
      </c>
      <c r="M170" s="2">
        <v>45996</v>
      </c>
      <c r="N170" s="2">
        <v>45993</v>
      </c>
      <c r="O170" t="s">
        <v>60</v>
      </c>
      <c r="P170" t="s">
        <v>77</v>
      </c>
      <c r="Q170" t="s">
        <v>28</v>
      </c>
      <c r="R170" t="s">
        <v>29</v>
      </c>
      <c r="S170">
        <v>2025</v>
      </c>
      <c r="T170" t="s">
        <v>2763</v>
      </c>
      <c r="U170" t="s">
        <v>2764</v>
      </c>
      <c r="V170" s="4">
        <v>0</v>
      </c>
      <c r="W170" s="4">
        <v>1</v>
      </c>
    </row>
    <row r="171" spans="1:23">
      <c r="A171" t="s">
        <v>295</v>
      </c>
      <c r="B171" s="2">
        <v>45862</v>
      </c>
      <c r="C171" t="s">
        <v>142</v>
      </c>
      <c r="D171" t="s">
        <v>143</v>
      </c>
      <c r="E171" t="s">
        <v>31</v>
      </c>
      <c r="F171" t="s">
        <v>22</v>
      </c>
      <c r="G171" t="s">
        <v>32</v>
      </c>
      <c r="H171" t="s">
        <v>33</v>
      </c>
      <c r="I171">
        <v>12</v>
      </c>
      <c r="J171" s="3">
        <v>7998.5</v>
      </c>
      <c r="K171" s="3">
        <v>95982</v>
      </c>
      <c r="L171" t="s">
        <v>34</v>
      </c>
      <c r="M171" s="2">
        <v>45870</v>
      </c>
      <c r="N171" s="2">
        <v>45868</v>
      </c>
      <c r="O171" t="s">
        <v>43</v>
      </c>
      <c r="P171" t="s">
        <v>35</v>
      </c>
      <c r="Q171" t="s">
        <v>28</v>
      </c>
      <c r="R171" t="s">
        <v>29</v>
      </c>
      <c r="S171">
        <v>2025</v>
      </c>
      <c r="T171" t="s">
        <v>2759</v>
      </c>
      <c r="U171" t="s">
        <v>2760</v>
      </c>
      <c r="V171" s="4">
        <v>0</v>
      </c>
      <c r="W171" s="4">
        <v>1</v>
      </c>
    </row>
    <row r="172" spans="1:23">
      <c r="A172" t="s">
        <v>296</v>
      </c>
      <c r="B172" s="2">
        <v>46169</v>
      </c>
      <c r="C172" t="s">
        <v>46</v>
      </c>
      <c r="D172" t="s">
        <v>47</v>
      </c>
      <c r="E172" t="s">
        <v>21</v>
      </c>
      <c r="F172" t="s">
        <v>49</v>
      </c>
      <c r="G172" t="s">
        <v>50</v>
      </c>
      <c r="H172" t="s">
        <v>51</v>
      </c>
      <c r="I172">
        <v>1</v>
      </c>
      <c r="J172" s="3">
        <v>56829.65</v>
      </c>
      <c r="K172" s="3">
        <v>56829.65</v>
      </c>
      <c r="L172" t="s">
        <v>34</v>
      </c>
      <c r="M172" s="2">
        <v>46181</v>
      </c>
      <c r="N172" s="2">
        <v>46178</v>
      </c>
      <c r="O172" t="s">
        <v>60</v>
      </c>
      <c r="P172" t="s">
        <v>27</v>
      </c>
      <c r="Q172" t="s">
        <v>28</v>
      </c>
      <c r="R172" t="s">
        <v>29</v>
      </c>
      <c r="S172">
        <v>2026</v>
      </c>
      <c r="T172" t="s">
        <v>2766</v>
      </c>
      <c r="U172" t="s">
        <v>2769</v>
      </c>
      <c r="V172" s="4">
        <v>0</v>
      </c>
      <c r="W172" s="4">
        <v>1</v>
      </c>
    </row>
    <row r="173" spans="1:23">
      <c r="A173" t="s">
        <v>297</v>
      </c>
      <c r="B173" s="2">
        <v>45745</v>
      </c>
      <c r="C173" t="s">
        <v>117</v>
      </c>
      <c r="D173" t="s">
        <v>118</v>
      </c>
      <c r="E173" t="s">
        <v>21</v>
      </c>
      <c r="F173" t="s">
        <v>57</v>
      </c>
      <c r="G173" t="s">
        <v>58</v>
      </c>
      <c r="H173" t="s">
        <v>59</v>
      </c>
      <c r="I173">
        <v>7</v>
      </c>
      <c r="J173" s="3">
        <v>58198.03</v>
      </c>
      <c r="K173" s="3">
        <v>407386.21</v>
      </c>
      <c r="L173" t="s">
        <v>25</v>
      </c>
      <c r="M173" s="2">
        <v>45762</v>
      </c>
      <c r="N173" s="2">
        <v>45759</v>
      </c>
      <c r="O173" t="s">
        <v>43</v>
      </c>
      <c r="P173" t="s">
        <v>27</v>
      </c>
      <c r="Q173" t="s">
        <v>28</v>
      </c>
      <c r="R173" t="s">
        <v>29</v>
      </c>
      <c r="S173">
        <v>2025</v>
      </c>
      <c r="T173" t="s">
        <v>2747</v>
      </c>
      <c r="U173" t="s">
        <v>2748</v>
      </c>
      <c r="V173" s="4">
        <v>0</v>
      </c>
      <c r="W173" s="4">
        <v>1</v>
      </c>
    </row>
    <row r="174" spans="1:23">
      <c r="A174" t="s">
        <v>298</v>
      </c>
      <c r="B174" s="2">
        <v>45885</v>
      </c>
      <c r="C174" t="s">
        <v>19</v>
      </c>
      <c r="D174" t="s">
        <v>20</v>
      </c>
      <c r="E174" t="s">
        <v>31</v>
      </c>
      <c r="F174" t="s">
        <v>22</v>
      </c>
      <c r="G174" t="s">
        <v>32</v>
      </c>
      <c r="H174" t="s">
        <v>33</v>
      </c>
      <c r="I174">
        <v>7</v>
      </c>
      <c r="J174" s="3">
        <v>7254.87</v>
      </c>
      <c r="K174" s="3">
        <v>50784.09</v>
      </c>
      <c r="L174" t="s">
        <v>25</v>
      </c>
      <c r="M174" s="2">
        <v>45897</v>
      </c>
      <c r="N174" s="2">
        <v>45896</v>
      </c>
      <c r="O174" t="s">
        <v>43</v>
      </c>
      <c r="P174" t="s">
        <v>35</v>
      </c>
      <c r="Q174" t="s">
        <v>28</v>
      </c>
      <c r="R174" t="s">
        <v>29</v>
      </c>
      <c r="S174">
        <v>2025</v>
      </c>
      <c r="T174" t="s">
        <v>2761</v>
      </c>
      <c r="U174" t="s">
        <v>2762</v>
      </c>
      <c r="V174" s="4">
        <v>0</v>
      </c>
      <c r="W174" s="4">
        <v>1</v>
      </c>
    </row>
    <row r="175" spans="1:23">
      <c r="A175" t="s">
        <v>299</v>
      </c>
      <c r="B175" s="2">
        <v>45765</v>
      </c>
      <c r="C175" t="s">
        <v>37</v>
      </c>
      <c r="D175" t="s">
        <v>38</v>
      </c>
      <c r="E175" t="s">
        <v>112</v>
      </c>
      <c r="F175" t="s">
        <v>22</v>
      </c>
      <c r="G175" t="s">
        <v>23</v>
      </c>
      <c r="H175" t="s">
        <v>24</v>
      </c>
      <c r="I175">
        <v>27</v>
      </c>
      <c r="J175" s="3">
        <v>285.02</v>
      </c>
      <c r="K175" s="3">
        <v>7695.54</v>
      </c>
      <c r="L175" t="s">
        <v>25</v>
      </c>
      <c r="M175" s="2">
        <v>45774</v>
      </c>
      <c r="N175" s="2">
        <v>45773</v>
      </c>
      <c r="O175" t="s">
        <v>76</v>
      </c>
      <c r="P175" t="s">
        <v>115</v>
      </c>
      <c r="Q175" t="s">
        <v>28</v>
      </c>
      <c r="R175" t="s">
        <v>29</v>
      </c>
      <c r="S175">
        <v>2025</v>
      </c>
      <c r="T175" t="s">
        <v>2741</v>
      </c>
      <c r="U175" t="s">
        <v>2742</v>
      </c>
      <c r="V175" s="4">
        <v>0</v>
      </c>
      <c r="W175" s="4">
        <v>1</v>
      </c>
    </row>
    <row r="176" spans="1:23">
      <c r="A176" t="s">
        <v>300</v>
      </c>
      <c r="B176" s="2">
        <v>45757</v>
      </c>
      <c r="C176" t="s">
        <v>104</v>
      </c>
      <c r="D176" t="s">
        <v>105</v>
      </c>
      <c r="E176" t="s">
        <v>48</v>
      </c>
      <c r="F176" t="s">
        <v>49</v>
      </c>
      <c r="G176" t="s">
        <v>113</v>
      </c>
      <c r="H176" t="s">
        <v>114</v>
      </c>
      <c r="I176">
        <v>1</v>
      </c>
      <c r="J176" s="3">
        <v>39250.839999999997</v>
      </c>
      <c r="K176" s="3">
        <v>39250.839999999997</v>
      </c>
      <c r="L176" t="s">
        <v>34</v>
      </c>
      <c r="M176" s="2">
        <v>45762</v>
      </c>
      <c r="N176" s="2">
        <v>45762</v>
      </c>
      <c r="O176" t="s">
        <v>26</v>
      </c>
      <c r="P176" t="s">
        <v>53</v>
      </c>
      <c r="Q176" t="s">
        <v>28</v>
      </c>
      <c r="R176" t="s">
        <v>29</v>
      </c>
      <c r="S176">
        <v>2025</v>
      </c>
      <c r="T176" t="s">
        <v>2741</v>
      </c>
      <c r="U176" t="s">
        <v>2742</v>
      </c>
      <c r="V176" s="4">
        <v>0</v>
      </c>
      <c r="W176" s="4">
        <v>1</v>
      </c>
    </row>
    <row r="177" spans="1:23">
      <c r="A177" t="s">
        <v>301</v>
      </c>
      <c r="B177" s="2">
        <v>46186</v>
      </c>
      <c r="C177" t="s">
        <v>80</v>
      </c>
      <c r="D177" t="s">
        <v>81</v>
      </c>
      <c r="E177" t="s">
        <v>39</v>
      </c>
      <c r="F177" t="s">
        <v>82</v>
      </c>
      <c r="G177" t="s">
        <v>98</v>
      </c>
      <c r="H177" t="s">
        <v>99</v>
      </c>
      <c r="I177">
        <v>30</v>
      </c>
      <c r="J177" s="3">
        <v>1071.5999999999999</v>
      </c>
      <c r="K177" s="3">
        <v>32148</v>
      </c>
      <c r="L177" t="s">
        <v>25</v>
      </c>
      <c r="M177" s="2">
        <v>46201</v>
      </c>
      <c r="N177" s="2">
        <v>46198</v>
      </c>
      <c r="O177" t="s">
        <v>26</v>
      </c>
      <c r="P177" t="s">
        <v>44</v>
      </c>
      <c r="Q177" t="s">
        <v>28</v>
      </c>
      <c r="R177" t="s">
        <v>29</v>
      </c>
      <c r="S177">
        <v>2026</v>
      </c>
      <c r="T177" t="s">
        <v>2743</v>
      </c>
      <c r="U177" t="s">
        <v>2744</v>
      </c>
      <c r="V177" s="4">
        <v>0</v>
      </c>
      <c r="W177" s="4">
        <v>1</v>
      </c>
    </row>
    <row r="178" spans="1:23">
      <c r="A178" t="s">
        <v>302</v>
      </c>
      <c r="B178" s="2">
        <v>46097</v>
      </c>
      <c r="C178" t="s">
        <v>71</v>
      </c>
      <c r="D178" t="s">
        <v>72</v>
      </c>
      <c r="E178" t="s">
        <v>48</v>
      </c>
      <c r="F178" t="s">
        <v>57</v>
      </c>
      <c r="G178" t="s">
        <v>58</v>
      </c>
      <c r="H178" t="s">
        <v>59</v>
      </c>
      <c r="I178">
        <v>2</v>
      </c>
      <c r="J178" s="3">
        <v>54980.35</v>
      </c>
      <c r="K178" s="3">
        <v>109960.7</v>
      </c>
      <c r="L178" t="s">
        <v>25</v>
      </c>
      <c r="M178" s="2">
        <v>46111</v>
      </c>
      <c r="N178" s="2">
        <v>46126</v>
      </c>
      <c r="O178" t="s">
        <v>76</v>
      </c>
      <c r="P178" t="s">
        <v>53</v>
      </c>
      <c r="Q178" t="s">
        <v>28</v>
      </c>
      <c r="R178" t="s">
        <v>129</v>
      </c>
      <c r="S178">
        <v>2026</v>
      </c>
      <c r="T178" t="s">
        <v>2747</v>
      </c>
      <c r="U178" t="s">
        <v>2755</v>
      </c>
      <c r="V178" s="4">
        <v>15</v>
      </c>
      <c r="W178" s="4">
        <v>0</v>
      </c>
    </row>
    <row r="179" spans="1:23">
      <c r="A179" t="s">
        <v>303</v>
      </c>
      <c r="B179" s="2">
        <v>45859</v>
      </c>
      <c r="C179" t="s">
        <v>46</v>
      </c>
      <c r="D179" t="s">
        <v>47</v>
      </c>
      <c r="E179" t="s">
        <v>21</v>
      </c>
      <c r="F179" t="s">
        <v>49</v>
      </c>
      <c r="G179" t="s">
        <v>165</v>
      </c>
      <c r="H179" t="s">
        <v>166</v>
      </c>
      <c r="I179">
        <v>3</v>
      </c>
      <c r="J179" s="3">
        <v>48416.35</v>
      </c>
      <c r="K179" s="3">
        <v>145249.04999999999</v>
      </c>
      <c r="L179" t="s">
        <v>34</v>
      </c>
      <c r="M179" s="2">
        <v>45865</v>
      </c>
      <c r="N179" s="2">
        <v>45862</v>
      </c>
      <c r="O179" t="s">
        <v>76</v>
      </c>
      <c r="P179" t="s">
        <v>27</v>
      </c>
      <c r="Q179" t="s">
        <v>28</v>
      </c>
      <c r="R179" t="s">
        <v>29</v>
      </c>
      <c r="S179">
        <v>2025</v>
      </c>
      <c r="T179" t="s">
        <v>2759</v>
      </c>
      <c r="U179" t="s">
        <v>2760</v>
      </c>
      <c r="V179" s="4">
        <v>0</v>
      </c>
      <c r="W179" s="4">
        <v>1</v>
      </c>
    </row>
    <row r="180" spans="1:23">
      <c r="A180" t="s">
        <v>304</v>
      </c>
      <c r="B180" s="2">
        <v>45795</v>
      </c>
      <c r="C180" t="s">
        <v>142</v>
      </c>
      <c r="D180" t="s">
        <v>143</v>
      </c>
      <c r="E180" t="s">
        <v>39</v>
      </c>
      <c r="F180" t="s">
        <v>22</v>
      </c>
      <c r="G180" t="s">
        <v>23</v>
      </c>
      <c r="H180" t="s">
        <v>24</v>
      </c>
      <c r="I180">
        <v>29</v>
      </c>
      <c r="J180" s="3">
        <v>238.32</v>
      </c>
      <c r="K180" s="3">
        <v>6911.28</v>
      </c>
      <c r="L180" t="s">
        <v>25</v>
      </c>
      <c r="M180" s="2">
        <v>45806</v>
      </c>
      <c r="N180" s="2">
        <v>45803</v>
      </c>
      <c r="O180" t="s">
        <v>60</v>
      </c>
      <c r="P180" t="s">
        <v>64</v>
      </c>
      <c r="Q180" t="s">
        <v>28</v>
      </c>
      <c r="R180" t="s">
        <v>29</v>
      </c>
      <c r="S180">
        <v>2025</v>
      </c>
      <c r="T180" t="s">
        <v>2766</v>
      </c>
      <c r="U180" t="s">
        <v>2767</v>
      </c>
      <c r="V180" s="4">
        <v>0</v>
      </c>
      <c r="W180" s="4">
        <v>1</v>
      </c>
    </row>
    <row r="181" spans="1:23">
      <c r="A181" t="s">
        <v>305</v>
      </c>
      <c r="B181" s="2">
        <v>45828</v>
      </c>
      <c r="C181" t="s">
        <v>134</v>
      </c>
      <c r="D181" t="s">
        <v>135</v>
      </c>
      <c r="E181" t="s">
        <v>39</v>
      </c>
      <c r="F181" t="s">
        <v>40</v>
      </c>
      <c r="G181" t="s">
        <v>62</v>
      </c>
      <c r="H181" t="s">
        <v>63</v>
      </c>
      <c r="I181">
        <v>1</v>
      </c>
      <c r="J181" s="3">
        <v>19201.09</v>
      </c>
      <c r="K181" s="3">
        <v>19201.09</v>
      </c>
      <c r="L181" t="s">
        <v>52</v>
      </c>
      <c r="M181" s="2">
        <v>45840</v>
      </c>
      <c r="N181" s="2">
        <v>45837</v>
      </c>
      <c r="O181" t="s">
        <v>60</v>
      </c>
      <c r="P181" t="s">
        <v>44</v>
      </c>
      <c r="Q181" t="s">
        <v>28</v>
      </c>
      <c r="R181" t="s">
        <v>29</v>
      </c>
      <c r="S181">
        <v>2025</v>
      </c>
      <c r="T181" t="s">
        <v>2743</v>
      </c>
      <c r="U181" t="s">
        <v>2756</v>
      </c>
      <c r="V181" s="4">
        <v>0</v>
      </c>
      <c r="W181" s="4">
        <v>1</v>
      </c>
    </row>
    <row r="182" spans="1:23">
      <c r="A182" t="s">
        <v>306</v>
      </c>
      <c r="B182" s="2">
        <v>46161</v>
      </c>
      <c r="C182" t="s">
        <v>104</v>
      </c>
      <c r="D182" t="s">
        <v>105</v>
      </c>
      <c r="E182" t="s">
        <v>48</v>
      </c>
      <c r="F182" t="s">
        <v>49</v>
      </c>
      <c r="G182" t="s">
        <v>50</v>
      </c>
      <c r="H182" t="s">
        <v>51</v>
      </c>
      <c r="I182">
        <v>1</v>
      </c>
      <c r="J182" s="3">
        <v>50064.43</v>
      </c>
      <c r="K182" s="3">
        <v>50064.43</v>
      </c>
      <c r="L182" t="s">
        <v>25</v>
      </c>
      <c r="M182" s="2">
        <v>46170</v>
      </c>
      <c r="N182" s="2">
        <v>46175</v>
      </c>
      <c r="O182" t="s">
        <v>26</v>
      </c>
      <c r="P182" t="s">
        <v>53</v>
      </c>
      <c r="Q182" t="s">
        <v>28</v>
      </c>
      <c r="R182" t="s">
        <v>129</v>
      </c>
      <c r="S182">
        <v>2026</v>
      </c>
      <c r="T182" t="s">
        <v>2766</v>
      </c>
      <c r="U182" t="s">
        <v>2769</v>
      </c>
      <c r="V182" s="4">
        <v>5</v>
      </c>
      <c r="W182" s="4">
        <v>0</v>
      </c>
    </row>
    <row r="183" spans="1:23">
      <c r="A183" t="s">
        <v>307</v>
      </c>
      <c r="B183" s="2">
        <v>46165</v>
      </c>
      <c r="C183" t="s">
        <v>19</v>
      </c>
      <c r="D183" t="s">
        <v>20</v>
      </c>
      <c r="E183" t="s">
        <v>39</v>
      </c>
      <c r="F183" t="s">
        <v>22</v>
      </c>
      <c r="G183" t="s">
        <v>160</v>
      </c>
      <c r="H183" t="s">
        <v>161</v>
      </c>
      <c r="I183">
        <v>6</v>
      </c>
      <c r="J183" s="3">
        <v>3029.38</v>
      </c>
      <c r="K183" s="3">
        <v>18176.28</v>
      </c>
      <c r="L183" t="s">
        <v>34</v>
      </c>
      <c r="M183" s="2">
        <v>46178</v>
      </c>
      <c r="N183" s="2">
        <v>46178</v>
      </c>
      <c r="O183" t="s">
        <v>60</v>
      </c>
      <c r="P183" t="s">
        <v>64</v>
      </c>
      <c r="Q183" t="s">
        <v>28</v>
      </c>
      <c r="R183" t="s">
        <v>29</v>
      </c>
      <c r="S183">
        <v>2026</v>
      </c>
      <c r="T183" t="s">
        <v>2766</v>
      </c>
      <c r="U183" t="s">
        <v>2769</v>
      </c>
      <c r="V183" s="4">
        <v>0</v>
      </c>
      <c r="W183" s="4">
        <v>1</v>
      </c>
    </row>
    <row r="184" spans="1:23">
      <c r="A184" t="s">
        <v>308</v>
      </c>
      <c r="B184" s="2">
        <v>46093</v>
      </c>
      <c r="C184" t="s">
        <v>131</v>
      </c>
      <c r="D184" t="s">
        <v>132</v>
      </c>
      <c r="E184" t="s">
        <v>48</v>
      </c>
      <c r="F184" t="s">
        <v>57</v>
      </c>
      <c r="G184" t="s">
        <v>58</v>
      </c>
      <c r="H184" t="s">
        <v>59</v>
      </c>
      <c r="I184">
        <v>5</v>
      </c>
      <c r="J184" s="3">
        <v>57456.29</v>
      </c>
      <c r="K184" s="3">
        <v>287281.45</v>
      </c>
      <c r="L184" t="s">
        <v>25</v>
      </c>
      <c r="M184" s="2">
        <v>46103</v>
      </c>
      <c r="N184" s="2">
        <v>46103</v>
      </c>
      <c r="O184" t="s">
        <v>43</v>
      </c>
      <c r="P184" t="s">
        <v>53</v>
      </c>
      <c r="Q184" t="s">
        <v>28</v>
      </c>
      <c r="R184" t="s">
        <v>29</v>
      </c>
      <c r="S184">
        <v>2026</v>
      </c>
      <c r="T184" t="s">
        <v>2747</v>
      </c>
      <c r="U184" t="s">
        <v>2755</v>
      </c>
      <c r="V184" s="4">
        <v>0</v>
      </c>
      <c r="W184" s="4">
        <v>1</v>
      </c>
    </row>
    <row r="185" spans="1:23">
      <c r="A185" t="s">
        <v>309</v>
      </c>
      <c r="B185" s="2">
        <v>46096</v>
      </c>
      <c r="C185" t="s">
        <v>37</v>
      </c>
      <c r="D185" t="s">
        <v>38</v>
      </c>
      <c r="E185" t="s">
        <v>39</v>
      </c>
      <c r="F185" t="s">
        <v>22</v>
      </c>
      <c r="G185" t="s">
        <v>23</v>
      </c>
      <c r="H185" t="s">
        <v>24</v>
      </c>
      <c r="I185">
        <v>39</v>
      </c>
      <c r="J185" s="3">
        <v>265.11</v>
      </c>
      <c r="K185" s="3">
        <v>10339.290000000001</v>
      </c>
      <c r="L185" t="s">
        <v>25</v>
      </c>
      <c r="M185" s="2">
        <v>46105</v>
      </c>
      <c r="N185" s="2">
        <v>46104</v>
      </c>
      <c r="O185" t="s">
        <v>76</v>
      </c>
      <c r="P185" t="s">
        <v>44</v>
      </c>
      <c r="Q185" t="s">
        <v>28</v>
      </c>
      <c r="R185" t="s">
        <v>29</v>
      </c>
      <c r="S185">
        <v>2026</v>
      </c>
      <c r="T185" t="s">
        <v>2747</v>
      </c>
      <c r="U185" t="s">
        <v>2755</v>
      </c>
      <c r="V185" s="4">
        <v>0</v>
      </c>
      <c r="W185" s="4">
        <v>1</v>
      </c>
    </row>
    <row r="186" spans="1:23">
      <c r="A186" t="s">
        <v>310</v>
      </c>
      <c r="B186" s="2">
        <v>45755</v>
      </c>
      <c r="C186" t="s">
        <v>66</v>
      </c>
      <c r="D186" t="s">
        <v>67</v>
      </c>
      <c r="E186" t="s">
        <v>48</v>
      </c>
      <c r="F186" t="s">
        <v>49</v>
      </c>
      <c r="G186" t="s">
        <v>113</v>
      </c>
      <c r="H186" t="s">
        <v>114</v>
      </c>
      <c r="I186">
        <v>1</v>
      </c>
      <c r="J186" s="3">
        <v>38261.94</v>
      </c>
      <c r="K186" s="3">
        <v>38261.94</v>
      </c>
      <c r="L186" t="s">
        <v>25</v>
      </c>
      <c r="M186" s="2">
        <v>45771</v>
      </c>
      <c r="N186" s="2">
        <v>45770</v>
      </c>
      <c r="O186" t="s">
        <v>76</v>
      </c>
      <c r="P186" t="s">
        <v>53</v>
      </c>
      <c r="Q186" t="s">
        <v>28</v>
      </c>
      <c r="R186" t="s">
        <v>29</v>
      </c>
      <c r="S186">
        <v>2025</v>
      </c>
      <c r="T186" t="s">
        <v>2741</v>
      </c>
      <c r="U186" t="s">
        <v>2742</v>
      </c>
      <c r="V186" s="4">
        <v>0</v>
      </c>
      <c r="W186" s="4">
        <v>1</v>
      </c>
    </row>
    <row r="187" spans="1:23">
      <c r="A187" t="s">
        <v>311</v>
      </c>
      <c r="B187" s="2">
        <v>46060</v>
      </c>
      <c r="C187" t="s">
        <v>71</v>
      </c>
      <c r="D187" t="s">
        <v>72</v>
      </c>
      <c r="E187" t="s">
        <v>31</v>
      </c>
      <c r="F187" t="s">
        <v>57</v>
      </c>
      <c r="G187" t="s">
        <v>120</v>
      </c>
      <c r="H187" t="s">
        <v>121</v>
      </c>
      <c r="I187">
        <v>2</v>
      </c>
      <c r="J187" s="3">
        <v>20488.91</v>
      </c>
      <c r="K187" s="3">
        <v>40977.82</v>
      </c>
      <c r="L187" t="s">
        <v>34</v>
      </c>
      <c r="M187" s="2">
        <v>46071</v>
      </c>
      <c r="N187" s="2">
        <v>46069</v>
      </c>
      <c r="O187" t="s">
        <v>76</v>
      </c>
      <c r="P187" t="s">
        <v>35</v>
      </c>
      <c r="Q187" t="s">
        <v>28</v>
      </c>
      <c r="R187" t="s">
        <v>29</v>
      </c>
      <c r="S187">
        <v>2026</v>
      </c>
      <c r="T187" t="s">
        <v>2751</v>
      </c>
      <c r="U187" t="s">
        <v>2765</v>
      </c>
      <c r="V187" s="4">
        <v>0</v>
      </c>
      <c r="W187" s="4">
        <v>1</v>
      </c>
    </row>
    <row r="188" spans="1:23">
      <c r="A188" t="s">
        <v>312</v>
      </c>
      <c r="B188" s="2">
        <v>46157</v>
      </c>
      <c r="C188" t="s">
        <v>80</v>
      </c>
      <c r="D188" t="s">
        <v>81</v>
      </c>
      <c r="E188" t="s">
        <v>39</v>
      </c>
      <c r="F188" t="s">
        <v>82</v>
      </c>
      <c r="G188" t="s">
        <v>83</v>
      </c>
      <c r="H188" t="s">
        <v>84</v>
      </c>
      <c r="I188">
        <v>47</v>
      </c>
      <c r="J188" s="3">
        <v>684.86</v>
      </c>
      <c r="K188" s="3">
        <v>32188.42</v>
      </c>
      <c r="L188" t="s">
        <v>34</v>
      </c>
      <c r="M188" s="2">
        <v>46173</v>
      </c>
      <c r="N188" s="2">
        <v>46173</v>
      </c>
      <c r="O188" t="s">
        <v>60</v>
      </c>
      <c r="P188" t="s">
        <v>64</v>
      </c>
      <c r="Q188" t="s">
        <v>28</v>
      </c>
      <c r="R188" t="s">
        <v>29</v>
      </c>
      <c r="S188">
        <v>2026</v>
      </c>
      <c r="T188" t="s">
        <v>2766</v>
      </c>
      <c r="U188" t="s">
        <v>2769</v>
      </c>
      <c r="V188" s="4">
        <v>0</v>
      </c>
      <c r="W188" s="4">
        <v>1</v>
      </c>
    </row>
    <row r="189" spans="1:23">
      <c r="A189" t="s">
        <v>313</v>
      </c>
      <c r="B189" s="2">
        <v>46164</v>
      </c>
      <c r="C189" t="s">
        <v>46</v>
      </c>
      <c r="D189" t="s">
        <v>47</v>
      </c>
      <c r="E189" t="s">
        <v>48</v>
      </c>
      <c r="F189" t="s">
        <v>49</v>
      </c>
      <c r="G189" t="s">
        <v>50</v>
      </c>
      <c r="H189" t="s">
        <v>51</v>
      </c>
      <c r="I189">
        <v>1</v>
      </c>
      <c r="J189" s="3">
        <v>55322.86</v>
      </c>
      <c r="K189" s="3">
        <v>55322.86</v>
      </c>
      <c r="L189" t="s">
        <v>25</v>
      </c>
      <c r="M189" s="2">
        <v>46179</v>
      </c>
      <c r="N189" s="2">
        <v>46179</v>
      </c>
      <c r="O189" t="s">
        <v>60</v>
      </c>
      <c r="P189" t="s">
        <v>53</v>
      </c>
      <c r="Q189" t="s">
        <v>28</v>
      </c>
      <c r="R189" t="s">
        <v>29</v>
      </c>
      <c r="S189">
        <v>2026</v>
      </c>
      <c r="T189" t="s">
        <v>2766</v>
      </c>
      <c r="U189" t="s">
        <v>2769</v>
      </c>
      <c r="V189" s="4">
        <v>0</v>
      </c>
      <c r="W189" s="4">
        <v>1</v>
      </c>
    </row>
    <row r="190" spans="1:23">
      <c r="A190" t="s">
        <v>314</v>
      </c>
      <c r="B190" s="2">
        <v>45819</v>
      </c>
      <c r="C190" t="s">
        <v>147</v>
      </c>
      <c r="D190" t="s">
        <v>148</v>
      </c>
      <c r="E190" t="s">
        <v>39</v>
      </c>
      <c r="F190" t="s">
        <v>40</v>
      </c>
      <c r="G190" t="s">
        <v>149</v>
      </c>
      <c r="H190" t="s">
        <v>150</v>
      </c>
      <c r="I190">
        <v>46</v>
      </c>
      <c r="J190" s="3">
        <v>1350.23</v>
      </c>
      <c r="K190" s="3">
        <v>62110.58</v>
      </c>
      <c r="L190" t="s">
        <v>25</v>
      </c>
      <c r="M190" s="2">
        <v>45828</v>
      </c>
      <c r="N190" s="2">
        <v>45834</v>
      </c>
      <c r="O190" t="s">
        <v>76</v>
      </c>
      <c r="P190" t="s">
        <v>44</v>
      </c>
      <c r="Q190" t="s">
        <v>28</v>
      </c>
      <c r="R190" t="s">
        <v>129</v>
      </c>
      <c r="S190">
        <v>2025</v>
      </c>
      <c r="T190" t="s">
        <v>2743</v>
      </c>
      <c r="U190" t="s">
        <v>2756</v>
      </c>
      <c r="V190" s="4">
        <v>6</v>
      </c>
      <c r="W190" s="4">
        <v>0</v>
      </c>
    </row>
    <row r="191" spans="1:23">
      <c r="A191" t="s">
        <v>315</v>
      </c>
      <c r="B191" s="2">
        <v>45742</v>
      </c>
      <c r="C191" t="s">
        <v>142</v>
      </c>
      <c r="D191" t="s">
        <v>143</v>
      </c>
      <c r="E191" t="s">
        <v>112</v>
      </c>
      <c r="F191" t="s">
        <v>22</v>
      </c>
      <c r="G191" t="s">
        <v>23</v>
      </c>
      <c r="H191" t="s">
        <v>24</v>
      </c>
      <c r="I191">
        <v>49</v>
      </c>
      <c r="J191" s="3">
        <v>256.45</v>
      </c>
      <c r="K191" s="3">
        <v>12566.05</v>
      </c>
      <c r="L191" t="s">
        <v>34</v>
      </c>
      <c r="M191" s="2">
        <v>45759</v>
      </c>
      <c r="N191" s="2">
        <v>45759</v>
      </c>
      <c r="O191" t="s">
        <v>43</v>
      </c>
      <c r="P191" t="s">
        <v>115</v>
      </c>
      <c r="Q191" t="s">
        <v>28</v>
      </c>
      <c r="R191" t="s">
        <v>29</v>
      </c>
      <c r="S191">
        <v>2025</v>
      </c>
      <c r="T191" t="s">
        <v>2747</v>
      </c>
      <c r="U191" t="s">
        <v>2748</v>
      </c>
      <c r="V191" s="4">
        <v>0</v>
      </c>
      <c r="W191" s="4">
        <v>1</v>
      </c>
    </row>
    <row r="192" spans="1:23">
      <c r="A192" t="s">
        <v>316</v>
      </c>
      <c r="B192" s="2">
        <v>46146</v>
      </c>
      <c r="C192" t="s">
        <v>142</v>
      </c>
      <c r="D192" t="s">
        <v>143</v>
      </c>
      <c r="E192" t="s">
        <v>31</v>
      </c>
      <c r="F192" t="s">
        <v>22</v>
      </c>
      <c r="G192" t="s">
        <v>32</v>
      </c>
      <c r="H192" t="s">
        <v>33</v>
      </c>
      <c r="I192">
        <v>6</v>
      </c>
      <c r="J192" s="3">
        <v>7493.66</v>
      </c>
      <c r="K192" s="3">
        <v>44961.96</v>
      </c>
      <c r="L192" t="s">
        <v>34</v>
      </c>
      <c r="M192" s="2">
        <v>46164</v>
      </c>
      <c r="N192" s="2">
        <v>46161</v>
      </c>
      <c r="O192" t="s">
        <v>60</v>
      </c>
      <c r="P192" t="s">
        <v>94</v>
      </c>
      <c r="Q192" t="s">
        <v>28</v>
      </c>
      <c r="R192" t="s">
        <v>29</v>
      </c>
      <c r="S192">
        <v>2026</v>
      </c>
      <c r="T192" t="s">
        <v>2766</v>
      </c>
      <c r="U192" t="s">
        <v>2769</v>
      </c>
      <c r="V192" s="4">
        <v>0</v>
      </c>
      <c r="W192" s="4">
        <v>1</v>
      </c>
    </row>
    <row r="193" spans="1:23">
      <c r="A193" t="s">
        <v>317</v>
      </c>
      <c r="B193" s="2">
        <v>45892</v>
      </c>
      <c r="C193" t="s">
        <v>55</v>
      </c>
      <c r="D193" t="s">
        <v>56</v>
      </c>
      <c r="E193" t="s">
        <v>48</v>
      </c>
      <c r="F193" t="s">
        <v>57</v>
      </c>
      <c r="G193" t="s">
        <v>101</v>
      </c>
      <c r="H193" t="s">
        <v>102</v>
      </c>
      <c r="I193">
        <v>13</v>
      </c>
      <c r="J193" s="3">
        <v>2076.5</v>
      </c>
      <c r="K193" s="3">
        <v>26994.5</v>
      </c>
      <c r="L193" t="s">
        <v>34</v>
      </c>
      <c r="M193" s="2">
        <v>45903</v>
      </c>
      <c r="N193" s="2">
        <v>45902</v>
      </c>
      <c r="O193" t="s">
        <v>26</v>
      </c>
      <c r="P193" t="s">
        <v>53</v>
      </c>
      <c r="Q193" t="s">
        <v>28</v>
      </c>
      <c r="R193" t="s">
        <v>29</v>
      </c>
      <c r="S193">
        <v>2025</v>
      </c>
      <c r="T193" t="s">
        <v>2761</v>
      </c>
      <c r="U193" t="s">
        <v>2762</v>
      </c>
      <c r="V193" s="4">
        <v>0</v>
      </c>
      <c r="W193" s="4">
        <v>1</v>
      </c>
    </row>
    <row r="194" spans="1:23">
      <c r="A194" t="s">
        <v>318</v>
      </c>
      <c r="B194" s="2">
        <v>46201</v>
      </c>
      <c r="C194" t="s">
        <v>89</v>
      </c>
      <c r="D194" t="s">
        <v>90</v>
      </c>
      <c r="E194" t="s">
        <v>31</v>
      </c>
      <c r="F194" t="s">
        <v>91</v>
      </c>
      <c r="G194" t="s">
        <v>109</v>
      </c>
      <c r="H194" t="s">
        <v>110</v>
      </c>
      <c r="I194">
        <v>1</v>
      </c>
      <c r="J194" s="3">
        <v>12239.69</v>
      </c>
      <c r="K194" s="3">
        <v>12239.69</v>
      </c>
      <c r="L194" t="s">
        <v>25</v>
      </c>
      <c r="M194" s="2">
        <v>46212</v>
      </c>
      <c r="N194" s="2">
        <v>46209</v>
      </c>
      <c r="O194" t="s">
        <v>43</v>
      </c>
      <c r="P194" t="s">
        <v>94</v>
      </c>
      <c r="Q194" t="s">
        <v>28</v>
      </c>
      <c r="R194" t="s">
        <v>29</v>
      </c>
      <c r="S194">
        <v>2026</v>
      </c>
      <c r="T194" t="s">
        <v>2743</v>
      </c>
      <c r="U194" t="s">
        <v>2744</v>
      </c>
      <c r="V194" s="4">
        <v>0</v>
      </c>
      <c r="W194" s="4">
        <v>1</v>
      </c>
    </row>
    <row r="195" spans="1:23">
      <c r="A195" t="s">
        <v>319</v>
      </c>
      <c r="B195" s="2">
        <v>45784</v>
      </c>
      <c r="C195" t="s">
        <v>66</v>
      </c>
      <c r="D195" t="s">
        <v>67</v>
      </c>
      <c r="E195" t="s">
        <v>73</v>
      </c>
      <c r="F195" t="s">
        <v>49</v>
      </c>
      <c r="G195" t="s">
        <v>165</v>
      </c>
      <c r="H195" t="s">
        <v>166</v>
      </c>
      <c r="I195">
        <v>1</v>
      </c>
      <c r="J195" s="3">
        <v>42877.43</v>
      </c>
      <c r="K195" s="3">
        <v>42877.43</v>
      </c>
      <c r="L195" t="s">
        <v>34</v>
      </c>
      <c r="M195" s="2">
        <v>45792</v>
      </c>
      <c r="N195" s="2">
        <v>45790</v>
      </c>
      <c r="O195" t="s">
        <v>43</v>
      </c>
      <c r="P195" t="s">
        <v>77</v>
      </c>
      <c r="Q195" t="s">
        <v>28</v>
      </c>
      <c r="R195" t="s">
        <v>29</v>
      </c>
      <c r="S195">
        <v>2025</v>
      </c>
      <c r="T195" t="s">
        <v>2766</v>
      </c>
      <c r="U195" t="s">
        <v>2767</v>
      </c>
      <c r="V195" s="4">
        <v>0</v>
      </c>
      <c r="W195" s="4">
        <v>1</v>
      </c>
    </row>
    <row r="196" spans="1:23">
      <c r="A196" t="s">
        <v>320</v>
      </c>
      <c r="B196" s="2">
        <v>45868</v>
      </c>
      <c r="C196" t="s">
        <v>142</v>
      </c>
      <c r="D196" t="s">
        <v>143</v>
      </c>
      <c r="E196" t="s">
        <v>31</v>
      </c>
      <c r="F196" t="s">
        <v>22</v>
      </c>
      <c r="G196" t="s">
        <v>160</v>
      </c>
      <c r="H196" t="s">
        <v>161</v>
      </c>
      <c r="I196">
        <v>15</v>
      </c>
      <c r="J196" s="3">
        <v>3039.47</v>
      </c>
      <c r="K196" s="3">
        <v>45592.05</v>
      </c>
      <c r="L196" t="s">
        <v>25</v>
      </c>
      <c r="M196" s="2">
        <v>45885</v>
      </c>
      <c r="N196" s="2">
        <v>45882</v>
      </c>
      <c r="O196" t="s">
        <v>26</v>
      </c>
      <c r="P196" t="s">
        <v>35</v>
      </c>
      <c r="Q196" t="s">
        <v>28</v>
      </c>
      <c r="R196" t="s">
        <v>29</v>
      </c>
      <c r="S196">
        <v>2025</v>
      </c>
      <c r="T196" t="s">
        <v>2759</v>
      </c>
      <c r="U196" t="s">
        <v>2760</v>
      </c>
      <c r="V196" s="4">
        <v>0</v>
      </c>
      <c r="W196" s="4">
        <v>1</v>
      </c>
    </row>
    <row r="197" spans="1:23">
      <c r="A197" t="s">
        <v>321</v>
      </c>
      <c r="B197" s="2">
        <v>45730</v>
      </c>
      <c r="C197" t="s">
        <v>37</v>
      </c>
      <c r="D197" t="s">
        <v>38</v>
      </c>
      <c r="E197" t="s">
        <v>112</v>
      </c>
      <c r="F197" t="s">
        <v>40</v>
      </c>
      <c r="G197" t="s">
        <v>136</v>
      </c>
      <c r="H197" t="s">
        <v>137</v>
      </c>
      <c r="I197">
        <v>41</v>
      </c>
      <c r="J197" s="3">
        <v>1831.66</v>
      </c>
      <c r="K197" s="3">
        <v>75098.06</v>
      </c>
      <c r="L197" t="s">
        <v>34</v>
      </c>
      <c r="M197" s="2">
        <v>45741</v>
      </c>
      <c r="N197" s="2">
        <v>45740</v>
      </c>
      <c r="O197" t="s">
        <v>43</v>
      </c>
      <c r="P197" t="s">
        <v>115</v>
      </c>
      <c r="Q197" t="s">
        <v>28</v>
      </c>
      <c r="R197" t="s">
        <v>29</v>
      </c>
      <c r="S197">
        <v>2025</v>
      </c>
      <c r="T197" t="s">
        <v>2747</v>
      </c>
      <c r="U197" t="s">
        <v>2748</v>
      </c>
      <c r="V197" s="4">
        <v>0</v>
      </c>
      <c r="W197" s="4">
        <v>1</v>
      </c>
    </row>
    <row r="198" spans="1:23">
      <c r="A198" t="s">
        <v>322</v>
      </c>
      <c r="B198" s="2">
        <v>45727</v>
      </c>
      <c r="C198" t="s">
        <v>19</v>
      </c>
      <c r="D198" t="s">
        <v>20</v>
      </c>
      <c r="E198" t="s">
        <v>39</v>
      </c>
      <c r="F198" t="s">
        <v>22</v>
      </c>
      <c r="G198" t="s">
        <v>160</v>
      </c>
      <c r="H198" t="s">
        <v>161</v>
      </c>
      <c r="I198">
        <v>9</v>
      </c>
      <c r="J198" s="3">
        <v>2978.05</v>
      </c>
      <c r="K198" s="3">
        <v>26802.45</v>
      </c>
      <c r="L198" t="s">
        <v>25</v>
      </c>
      <c r="M198" s="2">
        <v>45744</v>
      </c>
      <c r="N198" s="2">
        <v>45741</v>
      </c>
      <c r="O198" t="s">
        <v>26</v>
      </c>
      <c r="P198" t="s">
        <v>44</v>
      </c>
      <c r="Q198" t="s">
        <v>28</v>
      </c>
      <c r="R198" t="s">
        <v>29</v>
      </c>
      <c r="S198">
        <v>2025</v>
      </c>
      <c r="T198" t="s">
        <v>2747</v>
      </c>
      <c r="U198" t="s">
        <v>2748</v>
      </c>
      <c r="V198" s="4">
        <v>0</v>
      </c>
      <c r="W198" s="4">
        <v>1</v>
      </c>
    </row>
    <row r="199" spans="1:23">
      <c r="A199" t="s">
        <v>323</v>
      </c>
      <c r="B199" s="2">
        <v>45743</v>
      </c>
      <c r="C199" t="s">
        <v>107</v>
      </c>
      <c r="D199" t="s">
        <v>108</v>
      </c>
      <c r="E199" t="s">
        <v>31</v>
      </c>
      <c r="F199" t="s">
        <v>91</v>
      </c>
      <c r="G199" t="s">
        <v>92</v>
      </c>
      <c r="H199" t="s">
        <v>93</v>
      </c>
      <c r="I199">
        <v>1</v>
      </c>
      <c r="J199" s="3">
        <v>45976.66</v>
      </c>
      <c r="K199" s="3">
        <v>45976.66</v>
      </c>
      <c r="L199" t="s">
        <v>25</v>
      </c>
      <c r="M199" s="2">
        <v>45752</v>
      </c>
      <c r="N199" s="2">
        <v>45751</v>
      </c>
      <c r="O199" t="s">
        <v>43</v>
      </c>
      <c r="P199" t="s">
        <v>35</v>
      </c>
      <c r="Q199" t="s">
        <v>28</v>
      </c>
      <c r="R199" t="s">
        <v>29</v>
      </c>
      <c r="S199">
        <v>2025</v>
      </c>
      <c r="T199" t="s">
        <v>2747</v>
      </c>
      <c r="U199" t="s">
        <v>2748</v>
      </c>
      <c r="V199" s="4">
        <v>0</v>
      </c>
      <c r="W199" s="4">
        <v>1</v>
      </c>
    </row>
    <row r="200" spans="1:23">
      <c r="A200" t="s">
        <v>324</v>
      </c>
      <c r="B200" s="2">
        <v>45776</v>
      </c>
      <c r="C200" t="s">
        <v>71</v>
      </c>
      <c r="D200" t="s">
        <v>72</v>
      </c>
      <c r="E200" t="s">
        <v>31</v>
      </c>
      <c r="F200" t="s">
        <v>57</v>
      </c>
      <c r="G200" t="s">
        <v>120</v>
      </c>
      <c r="H200" t="s">
        <v>121</v>
      </c>
      <c r="I200">
        <v>2</v>
      </c>
      <c r="J200" s="3">
        <v>21020.85</v>
      </c>
      <c r="K200" s="3">
        <v>42041.7</v>
      </c>
      <c r="L200" t="s">
        <v>25</v>
      </c>
      <c r="M200" s="2">
        <v>45781</v>
      </c>
      <c r="N200" s="2">
        <v>45781</v>
      </c>
      <c r="O200" t="s">
        <v>76</v>
      </c>
      <c r="P200" t="s">
        <v>35</v>
      </c>
      <c r="Q200" t="s">
        <v>28</v>
      </c>
      <c r="R200" t="s">
        <v>29</v>
      </c>
      <c r="S200">
        <v>2025</v>
      </c>
      <c r="T200" t="s">
        <v>2741</v>
      </c>
      <c r="U200" t="s">
        <v>2742</v>
      </c>
      <c r="V200" s="4">
        <v>0</v>
      </c>
      <c r="W200" s="4">
        <v>1</v>
      </c>
    </row>
    <row r="201" spans="1:23">
      <c r="A201" t="s">
        <v>325</v>
      </c>
      <c r="B201" s="2">
        <v>45828</v>
      </c>
      <c r="C201" t="s">
        <v>66</v>
      </c>
      <c r="D201" t="s">
        <v>67</v>
      </c>
      <c r="E201" t="s">
        <v>48</v>
      </c>
      <c r="F201" t="s">
        <v>49</v>
      </c>
      <c r="G201" t="s">
        <v>113</v>
      </c>
      <c r="H201" t="s">
        <v>114</v>
      </c>
      <c r="I201">
        <v>2</v>
      </c>
      <c r="J201" s="3">
        <v>35482.99</v>
      </c>
      <c r="K201" s="3">
        <v>70965.98</v>
      </c>
      <c r="L201" t="s">
        <v>34</v>
      </c>
      <c r="M201" s="2">
        <v>45837</v>
      </c>
      <c r="N201" s="2">
        <v>45835</v>
      </c>
      <c r="O201" t="s">
        <v>43</v>
      </c>
      <c r="P201" t="s">
        <v>53</v>
      </c>
      <c r="Q201" t="s">
        <v>28</v>
      </c>
      <c r="R201" t="s">
        <v>29</v>
      </c>
      <c r="S201">
        <v>2025</v>
      </c>
      <c r="T201" t="s">
        <v>2743</v>
      </c>
      <c r="U201" t="s">
        <v>2756</v>
      </c>
      <c r="V201" s="4">
        <v>0</v>
      </c>
      <c r="W201" s="4">
        <v>1</v>
      </c>
    </row>
    <row r="202" spans="1:23">
      <c r="A202" t="s">
        <v>326</v>
      </c>
      <c r="B202" s="2">
        <v>46124</v>
      </c>
      <c r="C202" t="s">
        <v>96</v>
      </c>
      <c r="D202" t="s">
        <v>97</v>
      </c>
      <c r="E202" t="s">
        <v>39</v>
      </c>
      <c r="F202" t="s">
        <v>82</v>
      </c>
      <c r="G202" t="s">
        <v>83</v>
      </c>
      <c r="H202" t="s">
        <v>84</v>
      </c>
      <c r="I202">
        <v>11</v>
      </c>
      <c r="J202" s="3">
        <v>714.81</v>
      </c>
      <c r="K202" s="3">
        <v>7862.91</v>
      </c>
      <c r="L202" t="s">
        <v>25</v>
      </c>
      <c r="M202" s="2">
        <v>46138</v>
      </c>
      <c r="N202" s="2">
        <v>46138</v>
      </c>
      <c r="O202" t="s">
        <v>43</v>
      </c>
      <c r="P202" t="s">
        <v>64</v>
      </c>
      <c r="Q202" t="s">
        <v>28</v>
      </c>
      <c r="R202" t="s">
        <v>29</v>
      </c>
      <c r="S202">
        <v>2026</v>
      </c>
      <c r="T202" t="s">
        <v>2741</v>
      </c>
      <c r="U202" t="s">
        <v>2770</v>
      </c>
      <c r="V202" s="4">
        <v>0</v>
      </c>
      <c r="W202" s="4">
        <v>1</v>
      </c>
    </row>
    <row r="203" spans="1:23">
      <c r="A203" t="s">
        <v>327</v>
      </c>
      <c r="B203" s="2">
        <v>45670</v>
      </c>
      <c r="C203" t="s">
        <v>117</v>
      </c>
      <c r="D203" t="s">
        <v>118</v>
      </c>
      <c r="E203" t="s">
        <v>31</v>
      </c>
      <c r="F203" t="s">
        <v>57</v>
      </c>
      <c r="G203" t="s">
        <v>86</v>
      </c>
      <c r="H203" t="s">
        <v>87</v>
      </c>
      <c r="I203">
        <v>1</v>
      </c>
      <c r="J203" s="3">
        <v>11485.62</v>
      </c>
      <c r="K203" s="3">
        <v>11485.62</v>
      </c>
      <c r="L203" t="s">
        <v>25</v>
      </c>
      <c r="M203" s="2">
        <v>45683</v>
      </c>
      <c r="N203" s="2">
        <v>45680</v>
      </c>
      <c r="O203" t="s">
        <v>26</v>
      </c>
      <c r="P203" t="s">
        <v>35</v>
      </c>
      <c r="Q203" t="s">
        <v>28</v>
      </c>
      <c r="R203" t="s">
        <v>29</v>
      </c>
      <c r="S203">
        <v>2025</v>
      </c>
      <c r="T203" t="s">
        <v>2757</v>
      </c>
      <c r="U203" t="s">
        <v>2768</v>
      </c>
      <c r="V203" s="4">
        <v>0</v>
      </c>
      <c r="W203" s="4">
        <v>1</v>
      </c>
    </row>
    <row r="204" spans="1:23">
      <c r="A204" t="s">
        <v>328</v>
      </c>
      <c r="B204" s="2">
        <v>45985</v>
      </c>
      <c r="C204" t="s">
        <v>134</v>
      </c>
      <c r="D204" t="s">
        <v>135</v>
      </c>
      <c r="E204" t="s">
        <v>39</v>
      </c>
      <c r="F204" t="s">
        <v>40</v>
      </c>
      <c r="G204" t="s">
        <v>41</v>
      </c>
      <c r="H204" t="s">
        <v>42</v>
      </c>
      <c r="I204">
        <v>3</v>
      </c>
      <c r="J204" s="3">
        <v>5622.34</v>
      </c>
      <c r="K204" s="3">
        <v>16867.02</v>
      </c>
      <c r="L204" t="s">
        <v>52</v>
      </c>
      <c r="M204" s="2">
        <v>45993</v>
      </c>
      <c r="N204" s="2">
        <v>45993</v>
      </c>
      <c r="O204" t="s">
        <v>43</v>
      </c>
      <c r="P204" t="s">
        <v>44</v>
      </c>
      <c r="Q204" t="s">
        <v>28</v>
      </c>
      <c r="R204" t="s">
        <v>29</v>
      </c>
      <c r="S204">
        <v>2025</v>
      </c>
      <c r="T204" t="s">
        <v>2763</v>
      </c>
      <c r="U204" t="s">
        <v>2764</v>
      </c>
      <c r="V204" s="4">
        <v>0</v>
      </c>
      <c r="W204" s="4">
        <v>1</v>
      </c>
    </row>
    <row r="205" spans="1:23">
      <c r="A205" t="s">
        <v>329</v>
      </c>
      <c r="B205" s="2">
        <v>45947</v>
      </c>
      <c r="C205" t="s">
        <v>142</v>
      </c>
      <c r="D205" t="s">
        <v>143</v>
      </c>
      <c r="E205" t="s">
        <v>21</v>
      </c>
      <c r="F205" t="s">
        <v>22</v>
      </c>
      <c r="G205" t="s">
        <v>32</v>
      </c>
      <c r="H205" t="s">
        <v>33</v>
      </c>
      <c r="I205">
        <v>5</v>
      </c>
      <c r="J205" s="3">
        <v>7746.98</v>
      </c>
      <c r="K205" s="3">
        <v>38734.9</v>
      </c>
      <c r="L205" t="s">
        <v>25</v>
      </c>
      <c r="M205" s="2">
        <v>45961</v>
      </c>
      <c r="N205" s="2">
        <v>45960</v>
      </c>
      <c r="O205" t="s">
        <v>60</v>
      </c>
      <c r="P205" t="s">
        <v>27</v>
      </c>
      <c r="Q205" t="s">
        <v>28</v>
      </c>
      <c r="R205" t="s">
        <v>29</v>
      </c>
      <c r="S205">
        <v>2025</v>
      </c>
      <c r="T205" t="s">
        <v>2749</v>
      </c>
      <c r="U205" t="s">
        <v>2750</v>
      </c>
      <c r="V205" s="4">
        <v>0</v>
      </c>
      <c r="W205" s="4">
        <v>1</v>
      </c>
    </row>
    <row r="206" spans="1:23">
      <c r="A206" t="s">
        <v>330</v>
      </c>
      <c r="B206" s="2">
        <v>45909</v>
      </c>
      <c r="C206" t="s">
        <v>19</v>
      </c>
      <c r="D206" t="s">
        <v>20</v>
      </c>
      <c r="E206" t="s">
        <v>112</v>
      </c>
      <c r="F206" t="s">
        <v>22</v>
      </c>
      <c r="G206" t="s">
        <v>23</v>
      </c>
      <c r="H206" t="s">
        <v>24</v>
      </c>
      <c r="I206">
        <v>49</v>
      </c>
      <c r="J206" s="3">
        <v>245.68</v>
      </c>
      <c r="K206" s="3">
        <v>12038.32</v>
      </c>
      <c r="L206" t="s">
        <v>34</v>
      </c>
      <c r="M206" s="2">
        <v>45914</v>
      </c>
      <c r="N206" s="2">
        <v>45914</v>
      </c>
      <c r="O206" t="s">
        <v>60</v>
      </c>
      <c r="P206" t="s">
        <v>115</v>
      </c>
      <c r="Q206" t="s">
        <v>28</v>
      </c>
      <c r="R206" t="s">
        <v>29</v>
      </c>
      <c r="S206">
        <v>2025</v>
      </c>
      <c r="T206" t="s">
        <v>2753</v>
      </c>
      <c r="U206" t="s">
        <v>2754</v>
      </c>
      <c r="V206" s="4">
        <v>0</v>
      </c>
      <c r="W206" s="4">
        <v>1</v>
      </c>
    </row>
    <row r="207" spans="1:23">
      <c r="A207" t="s">
        <v>331</v>
      </c>
      <c r="B207" s="2">
        <v>45764</v>
      </c>
      <c r="C207" t="s">
        <v>147</v>
      </c>
      <c r="D207" t="s">
        <v>148</v>
      </c>
      <c r="E207" t="s">
        <v>112</v>
      </c>
      <c r="F207" t="s">
        <v>40</v>
      </c>
      <c r="G207" t="s">
        <v>62</v>
      </c>
      <c r="H207" t="s">
        <v>63</v>
      </c>
      <c r="I207">
        <v>3</v>
      </c>
      <c r="J207" s="3">
        <v>18604.14</v>
      </c>
      <c r="K207" s="3">
        <v>55812.42</v>
      </c>
      <c r="L207" t="s">
        <v>52</v>
      </c>
      <c r="M207" s="2">
        <v>45780</v>
      </c>
      <c r="N207" s="2">
        <v>45780</v>
      </c>
      <c r="O207" t="s">
        <v>60</v>
      </c>
      <c r="P207" t="s">
        <v>115</v>
      </c>
      <c r="Q207" t="s">
        <v>28</v>
      </c>
      <c r="R207" t="s">
        <v>29</v>
      </c>
      <c r="S207">
        <v>2025</v>
      </c>
      <c r="T207" t="s">
        <v>2741</v>
      </c>
      <c r="U207" t="s">
        <v>2742</v>
      </c>
      <c r="V207" s="4">
        <v>0</v>
      </c>
      <c r="W207" s="4">
        <v>1</v>
      </c>
    </row>
    <row r="208" spans="1:23">
      <c r="A208" t="s">
        <v>332</v>
      </c>
      <c r="B208" s="2">
        <v>45744</v>
      </c>
      <c r="C208" t="s">
        <v>142</v>
      </c>
      <c r="D208" t="s">
        <v>143</v>
      </c>
      <c r="E208" t="s">
        <v>31</v>
      </c>
      <c r="F208" t="s">
        <v>22</v>
      </c>
      <c r="G208" t="s">
        <v>160</v>
      </c>
      <c r="H208" t="s">
        <v>161</v>
      </c>
      <c r="I208">
        <v>7</v>
      </c>
      <c r="J208" s="3">
        <v>3184.98</v>
      </c>
      <c r="K208" s="3">
        <v>22294.86</v>
      </c>
      <c r="L208" t="s">
        <v>25</v>
      </c>
      <c r="M208" s="2">
        <v>45759</v>
      </c>
      <c r="N208" s="2">
        <v>45758</v>
      </c>
      <c r="O208" t="s">
        <v>76</v>
      </c>
      <c r="P208" t="s">
        <v>35</v>
      </c>
      <c r="Q208" t="s">
        <v>28</v>
      </c>
      <c r="R208" t="s">
        <v>29</v>
      </c>
      <c r="S208">
        <v>2025</v>
      </c>
      <c r="T208" t="s">
        <v>2747</v>
      </c>
      <c r="U208" t="s">
        <v>2748</v>
      </c>
      <c r="V208" s="4">
        <v>0</v>
      </c>
      <c r="W208" s="4">
        <v>1</v>
      </c>
    </row>
    <row r="209" spans="1:23">
      <c r="A209" t="s">
        <v>333</v>
      </c>
      <c r="B209" s="2">
        <v>45992</v>
      </c>
      <c r="C209" t="s">
        <v>142</v>
      </c>
      <c r="D209" t="s">
        <v>143</v>
      </c>
      <c r="E209" t="s">
        <v>21</v>
      </c>
      <c r="F209" t="s">
        <v>22</v>
      </c>
      <c r="G209" t="s">
        <v>23</v>
      </c>
      <c r="H209" t="s">
        <v>24</v>
      </c>
      <c r="I209">
        <v>11</v>
      </c>
      <c r="J209" s="3">
        <v>252.18</v>
      </c>
      <c r="K209" s="3">
        <v>2773.98</v>
      </c>
      <c r="L209" t="s">
        <v>25</v>
      </c>
      <c r="M209" s="2">
        <v>45999</v>
      </c>
      <c r="N209" s="2">
        <v>45996</v>
      </c>
      <c r="O209" t="s">
        <v>60</v>
      </c>
      <c r="P209" t="s">
        <v>27</v>
      </c>
      <c r="Q209" t="s">
        <v>28</v>
      </c>
      <c r="R209" t="s">
        <v>29</v>
      </c>
      <c r="S209">
        <v>2025</v>
      </c>
      <c r="T209" t="s">
        <v>2745</v>
      </c>
      <c r="U209" t="s">
        <v>2746</v>
      </c>
      <c r="V209" s="4">
        <v>0</v>
      </c>
      <c r="W209" s="4">
        <v>1</v>
      </c>
    </row>
    <row r="210" spans="1:23">
      <c r="A210" t="s">
        <v>334</v>
      </c>
      <c r="B210" s="2">
        <v>45870</v>
      </c>
      <c r="C210" t="s">
        <v>142</v>
      </c>
      <c r="D210" t="s">
        <v>143</v>
      </c>
      <c r="E210" t="s">
        <v>73</v>
      </c>
      <c r="F210" t="s">
        <v>22</v>
      </c>
      <c r="G210" t="s">
        <v>23</v>
      </c>
      <c r="H210" t="s">
        <v>24</v>
      </c>
      <c r="I210">
        <v>57</v>
      </c>
      <c r="J210" s="3">
        <v>250.33</v>
      </c>
      <c r="K210" s="3">
        <v>14268.81</v>
      </c>
      <c r="L210" t="s">
        <v>25</v>
      </c>
      <c r="M210" s="2">
        <v>45886</v>
      </c>
      <c r="N210" s="2">
        <v>45886</v>
      </c>
      <c r="O210" t="s">
        <v>76</v>
      </c>
      <c r="P210" t="s">
        <v>77</v>
      </c>
      <c r="Q210" t="s">
        <v>28</v>
      </c>
      <c r="R210" t="s">
        <v>29</v>
      </c>
      <c r="S210">
        <v>2025</v>
      </c>
      <c r="T210" t="s">
        <v>2761</v>
      </c>
      <c r="U210" t="s">
        <v>2762</v>
      </c>
      <c r="V210" s="4">
        <v>0</v>
      </c>
      <c r="W210" s="4">
        <v>1</v>
      </c>
    </row>
    <row r="211" spans="1:23">
      <c r="A211" t="s">
        <v>335</v>
      </c>
      <c r="B211" s="2">
        <v>46022</v>
      </c>
      <c r="C211" t="s">
        <v>147</v>
      </c>
      <c r="D211" t="s">
        <v>148</v>
      </c>
      <c r="E211" t="s">
        <v>39</v>
      </c>
      <c r="F211" t="s">
        <v>40</v>
      </c>
      <c r="G211" t="s">
        <v>136</v>
      </c>
      <c r="H211" t="s">
        <v>137</v>
      </c>
      <c r="I211">
        <v>30</v>
      </c>
      <c r="J211" s="3">
        <v>1545.43</v>
      </c>
      <c r="K211" s="3">
        <v>46362.9</v>
      </c>
      <c r="L211" t="s">
        <v>25</v>
      </c>
      <c r="M211" s="2">
        <v>46040</v>
      </c>
      <c r="N211" s="2">
        <v>46039</v>
      </c>
      <c r="O211" t="s">
        <v>43</v>
      </c>
      <c r="P211" t="s">
        <v>64</v>
      </c>
      <c r="Q211" t="s">
        <v>28</v>
      </c>
      <c r="R211" t="s">
        <v>29</v>
      </c>
      <c r="S211">
        <v>2025</v>
      </c>
      <c r="T211" t="s">
        <v>2745</v>
      </c>
      <c r="U211" t="s">
        <v>2746</v>
      </c>
      <c r="V211" s="4">
        <v>0</v>
      </c>
      <c r="W211" s="4">
        <v>1</v>
      </c>
    </row>
    <row r="212" spans="1:23">
      <c r="A212" t="s">
        <v>336</v>
      </c>
      <c r="B212" s="2">
        <v>45782</v>
      </c>
      <c r="C212" t="s">
        <v>117</v>
      </c>
      <c r="D212" t="s">
        <v>118</v>
      </c>
      <c r="E212" t="s">
        <v>48</v>
      </c>
      <c r="F212" t="s">
        <v>57</v>
      </c>
      <c r="G212" t="s">
        <v>86</v>
      </c>
      <c r="H212" t="s">
        <v>87</v>
      </c>
      <c r="I212">
        <v>2</v>
      </c>
      <c r="J212" s="3">
        <v>10932.67</v>
      </c>
      <c r="K212" s="3">
        <v>21865.34</v>
      </c>
      <c r="L212" t="s">
        <v>25</v>
      </c>
      <c r="M212" s="2">
        <v>45796</v>
      </c>
      <c r="N212" s="2">
        <v>45796</v>
      </c>
      <c r="O212" t="s">
        <v>43</v>
      </c>
      <c r="P212" t="s">
        <v>53</v>
      </c>
      <c r="Q212" t="s">
        <v>28</v>
      </c>
      <c r="R212" t="s">
        <v>29</v>
      </c>
      <c r="S212">
        <v>2025</v>
      </c>
      <c r="T212" t="s">
        <v>2766</v>
      </c>
      <c r="U212" t="s">
        <v>2767</v>
      </c>
      <c r="V212" s="4">
        <v>0</v>
      </c>
      <c r="W212" s="4">
        <v>1</v>
      </c>
    </row>
    <row r="213" spans="1:23">
      <c r="A213" t="s">
        <v>337</v>
      </c>
      <c r="B213" s="2">
        <v>46112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42</v>
      </c>
      <c r="I213">
        <v>3</v>
      </c>
      <c r="J213" s="3">
        <v>5786.61</v>
      </c>
      <c r="K213" s="3">
        <v>17359.830000000002</v>
      </c>
      <c r="L213" t="s">
        <v>25</v>
      </c>
      <c r="M213" s="2">
        <v>46126</v>
      </c>
      <c r="N213" s="2">
        <v>46123</v>
      </c>
      <c r="O213" t="s">
        <v>60</v>
      </c>
      <c r="P213" t="s">
        <v>44</v>
      </c>
      <c r="Q213" t="s">
        <v>28</v>
      </c>
      <c r="R213" t="s">
        <v>29</v>
      </c>
      <c r="S213">
        <v>2026</v>
      </c>
      <c r="T213" t="s">
        <v>2747</v>
      </c>
      <c r="U213" t="s">
        <v>2755</v>
      </c>
      <c r="V213" s="4">
        <v>0</v>
      </c>
      <c r="W213" s="4">
        <v>1</v>
      </c>
    </row>
    <row r="214" spans="1:23">
      <c r="A214" t="s">
        <v>338</v>
      </c>
      <c r="B214" s="2">
        <v>45834</v>
      </c>
      <c r="C214" t="s">
        <v>134</v>
      </c>
      <c r="D214" t="s">
        <v>135</v>
      </c>
      <c r="E214" t="s">
        <v>112</v>
      </c>
      <c r="F214" t="s">
        <v>40</v>
      </c>
      <c r="G214" t="s">
        <v>136</v>
      </c>
      <c r="H214" t="s">
        <v>137</v>
      </c>
      <c r="I214">
        <v>44</v>
      </c>
      <c r="J214" s="3">
        <v>1606.07</v>
      </c>
      <c r="K214" s="3">
        <v>70667.08</v>
      </c>
      <c r="L214" t="s">
        <v>25</v>
      </c>
      <c r="M214" s="2">
        <v>45848</v>
      </c>
      <c r="N214" s="2">
        <v>45846</v>
      </c>
      <c r="O214" t="s">
        <v>60</v>
      </c>
      <c r="P214" t="s">
        <v>115</v>
      </c>
      <c r="Q214" t="s">
        <v>28</v>
      </c>
      <c r="R214" t="s">
        <v>29</v>
      </c>
      <c r="S214">
        <v>2025</v>
      </c>
      <c r="T214" t="s">
        <v>2743</v>
      </c>
      <c r="U214" t="s">
        <v>2756</v>
      </c>
      <c r="V214" s="4">
        <v>0</v>
      </c>
      <c r="W214" s="4">
        <v>1</v>
      </c>
    </row>
    <row r="215" spans="1:23">
      <c r="A215" t="s">
        <v>339</v>
      </c>
      <c r="B215" s="2">
        <v>45747</v>
      </c>
      <c r="C215" t="s">
        <v>37</v>
      </c>
      <c r="D215" t="s">
        <v>38</v>
      </c>
      <c r="E215" t="s">
        <v>39</v>
      </c>
      <c r="F215" t="s">
        <v>22</v>
      </c>
      <c r="G215" t="s">
        <v>32</v>
      </c>
      <c r="H215" t="s">
        <v>33</v>
      </c>
      <c r="I215">
        <v>11</v>
      </c>
      <c r="J215" s="3">
        <v>8407.1200000000008</v>
      </c>
      <c r="K215" s="3">
        <v>92478.32</v>
      </c>
      <c r="L215" t="s">
        <v>52</v>
      </c>
      <c r="M215" s="2">
        <v>45764</v>
      </c>
      <c r="N215" s="2">
        <v>45764</v>
      </c>
      <c r="O215" t="s">
        <v>76</v>
      </c>
      <c r="P215" t="s">
        <v>44</v>
      </c>
      <c r="Q215" t="s">
        <v>28</v>
      </c>
      <c r="R215" t="s">
        <v>29</v>
      </c>
      <c r="S215">
        <v>2025</v>
      </c>
      <c r="T215" t="s">
        <v>2747</v>
      </c>
      <c r="U215" t="s">
        <v>2748</v>
      </c>
      <c r="V215" s="4">
        <v>0</v>
      </c>
      <c r="W215" s="4">
        <v>1</v>
      </c>
    </row>
    <row r="216" spans="1:23">
      <c r="A216" t="s">
        <v>340</v>
      </c>
      <c r="B216" s="2">
        <v>46154</v>
      </c>
      <c r="C216" t="s">
        <v>55</v>
      </c>
      <c r="D216" t="s">
        <v>56</v>
      </c>
      <c r="E216" t="s">
        <v>31</v>
      </c>
      <c r="F216" t="s">
        <v>57</v>
      </c>
      <c r="G216" t="s">
        <v>74</v>
      </c>
      <c r="H216" t="s">
        <v>75</v>
      </c>
      <c r="I216">
        <v>10</v>
      </c>
      <c r="J216" s="3">
        <v>9250.07</v>
      </c>
      <c r="K216" s="3">
        <v>92500.7</v>
      </c>
      <c r="L216" t="s">
        <v>34</v>
      </c>
      <c r="M216" s="2">
        <v>46162</v>
      </c>
      <c r="N216" s="2">
        <v>46176</v>
      </c>
      <c r="O216" t="s">
        <v>43</v>
      </c>
      <c r="P216" t="s">
        <v>35</v>
      </c>
      <c r="Q216" t="s">
        <v>28</v>
      </c>
      <c r="R216" t="s">
        <v>129</v>
      </c>
      <c r="S216">
        <v>2026</v>
      </c>
      <c r="T216" t="s">
        <v>2766</v>
      </c>
      <c r="U216" t="s">
        <v>2769</v>
      </c>
      <c r="V216" s="4">
        <v>14</v>
      </c>
      <c r="W216" s="4">
        <v>0</v>
      </c>
    </row>
    <row r="217" spans="1:23">
      <c r="A217" t="s">
        <v>341</v>
      </c>
      <c r="B217" s="2">
        <v>46200</v>
      </c>
      <c r="C217" t="s">
        <v>89</v>
      </c>
      <c r="D217" t="s">
        <v>90</v>
      </c>
      <c r="E217" t="s">
        <v>31</v>
      </c>
      <c r="F217" t="s">
        <v>91</v>
      </c>
      <c r="G217" t="s">
        <v>92</v>
      </c>
      <c r="H217" t="s">
        <v>93</v>
      </c>
      <c r="I217">
        <v>1</v>
      </c>
      <c r="J217" s="3">
        <v>42802.95</v>
      </c>
      <c r="K217" s="3">
        <v>42802.95</v>
      </c>
      <c r="L217" t="s">
        <v>52</v>
      </c>
      <c r="M217" s="2">
        <v>46213</v>
      </c>
      <c r="N217" s="2">
        <v>46213</v>
      </c>
      <c r="O217" t="s">
        <v>60</v>
      </c>
      <c r="P217" t="s">
        <v>35</v>
      </c>
      <c r="Q217" t="s">
        <v>28</v>
      </c>
      <c r="R217" t="s">
        <v>29</v>
      </c>
      <c r="S217">
        <v>2026</v>
      </c>
      <c r="T217" t="s">
        <v>2743</v>
      </c>
      <c r="U217" t="s">
        <v>2744</v>
      </c>
      <c r="V217" s="4">
        <v>0</v>
      </c>
      <c r="W217" s="4">
        <v>1</v>
      </c>
    </row>
    <row r="218" spans="1:23">
      <c r="A218" t="s">
        <v>342</v>
      </c>
      <c r="B218" s="2">
        <v>45835</v>
      </c>
      <c r="C218" t="s">
        <v>142</v>
      </c>
      <c r="D218" t="s">
        <v>143</v>
      </c>
      <c r="E218" t="s">
        <v>31</v>
      </c>
      <c r="F218" t="s">
        <v>22</v>
      </c>
      <c r="G218" t="s">
        <v>32</v>
      </c>
      <c r="H218" t="s">
        <v>33</v>
      </c>
      <c r="I218">
        <v>12</v>
      </c>
      <c r="J218" s="3">
        <v>7903.28</v>
      </c>
      <c r="K218" s="3">
        <v>94839.360000000001</v>
      </c>
      <c r="L218" t="s">
        <v>34</v>
      </c>
      <c r="M218" s="2">
        <v>45851</v>
      </c>
      <c r="N218" s="2">
        <v>45850</v>
      </c>
      <c r="O218" t="s">
        <v>26</v>
      </c>
      <c r="P218" t="s">
        <v>35</v>
      </c>
      <c r="Q218" t="s">
        <v>28</v>
      </c>
      <c r="R218" t="s">
        <v>29</v>
      </c>
      <c r="S218">
        <v>2025</v>
      </c>
      <c r="T218" t="s">
        <v>2743</v>
      </c>
      <c r="U218" t="s">
        <v>2756</v>
      </c>
      <c r="V218" s="4">
        <v>0</v>
      </c>
      <c r="W218" s="4">
        <v>1</v>
      </c>
    </row>
    <row r="219" spans="1:23">
      <c r="A219" t="s">
        <v>343</v>
      </c>
      <c r="B219" s="2">
        <v>45974</v>
      </c>
      <c r="C219" t="s">
        <v>19</v>
      </c>
      <c r="D219" t="s">
        <v>20</v>
      </c>
      <c r="E219" t="s">
        <v>39</v>
      </c>
      <c r="F219" t="s">
        <v>22</v>
      </c>
      <c r="G219" t="s">
        <v>23</v>
      </c>
      <c r="H219" t="s">
        <v>24</v>
      </c>
      <c r="I219">
        <v>35</v>
      </c>
      <c r="J219" s="3">
        <v>219.14</v>
      </c>
      <c r="K219" s="3">
        <v>7669.9</v>
      </c>
      <c r="L219" t="s">
        <v>34</v>
      </c>
      <c r="M219" s="2">
        <v>45979</v>
      </c>
      <c r="N219" s="2">
        <v>45978</v>
      </c>
      <c r="O219" t="s">
        <v>76</v>
      </c>
      <c r="P219" t="s">
        <v>64</v>
      </c>
      <c r="Q219" t="s">
        <v>28</v>
      </c>
      <c r="R219" t="s">
        <v>29</v>
      </c>
      <c r="S219">
        <v>2025</v>
      </c>
      <c r="T219" t="s">
        <v>2763</v>
      </c>
      <c r="U219" t="s">
        <v>2764</v>
      </c>
      <c r="V219" s="4">
        <v>0</v>
      </c>
      <c r="W219" s="4">
        <v>1</v>
      </c>
    </row>
    <row r="220" spans="1:23">
      <c r="A220" t="s">
        <v>344</v>
      </c>
      <c r="B220" s="2">
        <v>45989</v>
      </c>
      <c r="C220" t="s">
        <v>80</v>
      </c>
      <c r="D220" t="s">
        <v>81</v>
      </c>
      <c r="E220" t="s">
        <v>39</v>
      </c>
      <c r="F220" t="s">
        <v>82</v>
      </c>
      <c r="G220" t="s">
        <v>83</v>
      </c>
      <c r="H220" t="s">
        <v>84</v>
      </c>
      <c r="I220">
        <v>60</v>
      </c>
      <c r="J220" s="3">
        <v>708.75</v>
      </c>
      <c r="K220" s="3">
        <v>42525</v>
      </c>
      <c r="L220" t="s">
        <v>34</v>
      </c>
      <c r="M220" s="2">
        <v>45999</v>
      </c>
      <c r="N220" s="2">
        <v>45997</v>
      </c>
      <c r="O220" t="s">
        <v>60</v>
      </c>
      <c r="P220" t="s">
        <v>64</v>
      </c>
      <c r="Q220" t="s">
        <v>28</v>
      </c>
      <c r="R220" t="s">
        <v>29</v>
      </c>
      <c r="S220">
        <v>2025</v>
      </c>
      <c r="T220" t="s">
        <v>2763</v>
      </c>
      <c r="U220" t="s">
        <v>2764</v>
      </c>
      <c r="V220" s="4">
        <v>0</v>
      </c>
      <c r="W220" s="4">
        <v>1</v>
      </c>
    </row>
    <row r="221" spans="1:23">
      <c r="A221" t="s">
        <v>345</v>
      </c>
      <c r="B221" s="2">
        <v>46002</v>
      </c>
      <c r="C221" t="s">
        <v>37</v>
      </c>
      <c r="D221" t="s">
        <v>38</v>
      </c>
      <c r="E221" t="s">
        <v>39</v>
      </c>
      <c r="F221" t="s">
        <v>22</v>
      </c>
      <c r="G221" t="s">
        <v>32</v>
      </c>
      <c r="H221" t="s">
        <v>33</v>
      </c>
      <c r="I221">
        <v>8</v>
      </c>
      <c r="J221" s="3">
        <v>8606.94</v>
      </c>
      <c r="K221" s="3">
        <v>68855.520000000004</v>
      </c>
      <c r="L221" t="s">
        <v>25</v>
      </c>
      <c r="M221" s="2">
        <v>46017</v>
      </c>
      <c r="N221" s="2">
        <v>46015</v>
      </c>
      <c r="O221" t="s">
        <v>26</v>
      </c>
      <c r="P221" t="s">
        <v>44</v>
      </c>
      <c r="Q221" t="s">
        <v>28</v>
      </c>
      <c r="R221" t="s">
        <v>29</v>
      </c>
      <c r="S221">
        <v>2025</v>
      </c>
      <c r="T221" t="s">
        <v>2745</v>
      </c>
      <c r="U221" t="s">
        <v>2746</v>
      </c>
      <c r="V221" s="4">
        <v>0</v>
      </c>
      <c r="W221" s="4">
        <v>1</v>
      </c>
    </row>
    <row r="222" spans="1:23">
      <c r="A222" t="s">
        <v>346</v>
      </c>
      <c r="B222" s="2">
        <v>45972</v>
      </c>
      <c r="C222" t="s">
        <v>142</v>
      </c>
      <c r="D222" t="s">
        <v>143</v>
      </c>
      <c r="E222" t="s">
        <v>21</v>
      </c>
      <c r="F222" t="s">
        <v>22</v>
      </c>
      <c r="G222" t="s">
        <v>32</v>
      </c>
      <c r="H222" t="s">
        <v>33</v>
      </c>
      <c r="I222">
        <v>10</v>
      </c>
      <c r="J222" s="3">
        <v>7980.81</v>
      </c>
      <c r="K222" s="3">
        <v>79808.100000000006</v>
      </c>
      <c r="L222" t="s">
        <v>25</v>
      </c>
      <c r="M222" s="2">
        <v>45983</v>
      </c>
      <c r="N222" s="2">
        <v>45983</v>
      </c>
      <c r="O222" t="s">
        <v>76</v>
      </c>
      <c r="P222" t="s">
        <v>27</v>
      </c>
      <c r="Q222" t="s">
        <v>28</v>
      </c>
      <c r="R222" t="s">
        <v>29</v>
      </c>
      <c r="S222">
        <v>2025</v>
      </c>
      <c r="T222" t="s">
        <v>2763</v>
      </c>
      <c r="U222" t="s">
        <v>2764</v>
      </c>
      <c r="V222" s="4">
        <v>0</v>
      </c>
      <c r="W222" s="4">
        <v>1</v>
      </c>
    </row>
    <row r="223" spans="1:23">
      <c r="A223" t="s">
        <v>347</v>
      </c>
      <c r="B223" s="2">
        <v>45802</v>
      </c>
      <c r="C223" t="s">
        <v>37</v>
      </c>
      <c r="D223" t="s">
        <v>38</v>
      </c>
      <c r="E223" t="s">
        <v>39</v>
      </c>
      <c r="F223" t="s">
        <v>40</v>
      </c>
      <c r="G223" t="s">
        <v>136</v>
      </c>
      <c r="H223" t="s">
        <v>137</v>
      </c>
      <c r="I223">
        <v>10</v>
      </c>
      <c r="J223" s="3">
        <v>1835.55</v>
      </c>
      <c r="K223" s="3">
        <v>18355.5</v>
      </c>
      <c r="L223" t="s">
        <v>25</v>
      </c>
      <c r="M223" s="2">
        <v>45820</v>
      </c>
      <c r="N223" s="2">
        <v>45818</v>
      </c>
      <c r="O223" t="s">
        <v>76</v>
      </c>
      <c r="P223" t="s">
        <v>64</v>
      </c>
      <c r="Q223" t="s">
        <v>28</v>
      </c>
      <c r="R223" t="s">
        <v>29</v>
      </c>
      <c r="S223">
        <v>2025</v>
      </c>
      <c r="T223" t="s">
        <v>2766</v>
      </c>
      <c r="U223" t="s">
        <v>2767</v>
      </c>
      <c r="V223" s="4">
        <v>0</v>
      </c>
      <c r="W223" s="4">
        <v>1</v>
      </c>
    </row>
    <row r="224" spans="1:23">
      <c r="A224" t="s">
        <v>348</v>
      </c>
      <c r="B224" s="2">
        <v>46016</v>
      </c>
      <c r="C224" t="s">
        <v>142</v>
      </c>
      <c r="D224" t="s">
        <v>143</v>
      </c>
      <c r="E224" t="s">
        <v>39</v>
      </c>
      <c r="F224" t="s">
        <v>22</v>
      </c>
      <c r="G224" t="s">
        <v>23</v>
      </c>
      <c r="H224" t="s">
        <v>24</v>
      </c>
      <c r="I224">
        <v>15</v>
      </c>
      <c r="J224" s="3">
        <v>251.35</v>
      </c>
      <c r="K224" s="3">
        <v>3770.25</v>
      </c>
      <c r="L224" t="s">
        <v>25</v>
      </c>
      <c r="M224" s="2">
        <v>46027</v>
      </c>
      <c r="N224" s="2">
        <v>46024</v>
      </c>
      <c r="O224" t="s">
        <v>60</v>
      </c>
      <c r="P224" t="s">
        <v>64</v>
      </c>
      <c r="Q224" t="s">
        <v>28</v>
      </c>
      <c r="R224" t="s">
        <v>29</v>
      </c>
      <c r="S224">
        <v>2025</v>
      </c>
      <c r="T224" t="s">
        <v>2745</v>
      </c>
      <c r="U224" t="s">
        <v>2746</v>
      </c>
      <c r="V224" s="4">
        <v>0</v>
      </c>
      <c r="W224" s="4">
        <v>1</v>
      </c>
    </row>
    <row r="225" spans="1:23">
      <c r="A225" t="s">
        <v>349</v>
      </c>
      <c r="B225" s="2">
        <v>45888</v>
      </c>
      <c r="C225" t="s">
        <v>142</v>
      </c>
      <c r="D225" t="s">
        <v>143</v>
      </c>
      <c r="E225" t="s">
        <v>39</v>
      </c>
      <c r="F225" t="s">
        <v>22</v>
      </c>
      <c r="G225" t="s">
        <v>160</v>
      </c>
      <c r="H225" t="s">
        <v>161</v>
      </c>
      <c r="I225">
        <v>2</v>
      </c>
      <c r="J225" s="3">
        <v>3098.03</v>
      </c>
      <c r="K225" s="3">
        <v>6196.06</v>
      </c>
      <c r="L225" t="s">
        <v>25</v>
      </c>
      <c r="M225" s="2">
        <v>45894</v>
      </c>
      <c r="N225" s="2">
        <v>45891</v>
      </c>
      <c r="O225" t="s">
        <v>43</v>
      </c>
      <c r="P225" t="s">
        <v>64</v>
      </c>
      <c r="Q225" t="s">
        <v>28</v>
      </c>
      <c r="R225" t="s">
        <v>29</v>
      </c>
      <c r="S225">
        <v>2025</v>
      </c>
      <c r="T225" t="s">
        <v>2761</v>
      </c>
      <c r="U225" t="s">
        <v>2762</v>
      </c>
      <c r="V225" s="4">
        <v>0</v>
      </c>
      <c r="W225" s="4">
        <v>1</v>
      </c>
    </row>
    <row r="226" spans="1:23">
      <c r="A226" t="s">
        <v>350</v>
      </c>
      <c r="B226" s="2">
        <v>46004</v>
      </c>
      <c r="C226" t="s">
        <v>117</v>
      </c>
      <c r="D226" t="s">
        <v>118</v>
      </c>
      <c r="E226" t="s">
        <v>31</v>
      </c>
      <c r="F226" t="s">
        <v>57</v>
      </c>
      <c r="G226" t="s">
        <v>120</v>
      </c>
      <c r="H226" t="s">
        <v>121</v>
      </c>
      <c r="I226">
        <v>3</v>
      </c>
      <c r="J226" s="3">
        <v>23038.28</v>
      </c>
      <c r="K226" s="3">
        <v>69114.84</v>
      </c>
      <c r="L226" t="s">
        <v>25</v>
      </c>
      <c r="M226" s="2">
        <v>46018</v>
      </c>
      <c r="N226" s="2">
        <v>46017</v>
      </c>
      <c r="O226" t="s">
        <v>76</v>
      </c>
      <c r="P226" t="s">
        <v>94</v>
      </c>
      <c r="Q226" t="s">
        <v>28</v>
      </c>
      <c r="R226" t="s">
        <v>29</v>
      </c>
      <c r="S226">
        <v>2025</v>
      </c>
      <c r="T226" t="s">
        <v>2745</v>
      </c>
      <c r="U226" t="s">
        <v>2746</v>
      </c>
      <c r="V226" s="4">
        <v>0</v>
      </c>
      <c r="W226" s="4">
        <v>1</v>
      </c>
    </row>
    <row r="227" spans="1:23">
      <c r="A227" t="s">
        <v>351</v>
      </c>
      <c r="B227" s="2">
        <v>45852</v>
      </c>
      <c r="C227" t="s">
        <v>142</v>
      </c>
      <c r="D227" t="s">
        <v>143</v>
      </c>
      <c r="E227" t="s">
        <v>31</v>
      </c>
      <c r="F227" t="s">
        <v>22</v>
      </c>
      <c r="G227" t="s">
        <v>32</v>
      </c>
      <c r="H227" t="s">
        <v>33</v>
      </c>
      <c r="I227">
        <v>4</v>
      </c>
      <c r="J227" s="3">
        <v>7685.63</v>
      </c>
      <c r="K227" s="3">
        <v>30742.52</v>
      </c>
      <c r="L227" t="s">
        <v>25</v>
      </c>
      <c r="M227" s="2">
        <v>45858</v>
      </c>
      <c r="N227" s="2">
        <v>45869</v>
      </c>
      <c r="O227" t="s">
        <v>60</v>
      </c>
      <c r="P227" t="s">
        <v>94</v>
      </c>
      <c r="Q227" t="s">
        <v>28</v>
      </c>
      <c r="R227" t="s">
        <v>129</v>
      </c>
      <c r="S227">
        <v>2025</v>
      </c>
      <c r="T227" t="s">
        <v>2759</v>
      </c>
      <c r="U227" t="s">
        <v>2760</v>
      </c>
      <c r="V227" s="4">
        <v>11</v>
      </c>
      <c r="W227" s="4">
        <v>0</v>
      </c>
    </row>
    <row r="228" spans="1:23">
      <c r="A228" t="s">
        <v>352</v>
      </c>
      <c r="B228" s="2">
        <v>45713</v>
      </c>
      <c r="C228" t="s">
        <v>104</v>
      </c>
      <c r="D228" t="s">
        <v>105</v>
      </c>
      <c r="E228" t="s">
        <v>73</v>
      </c>
      <c r="F228" t="s">
        <v>49</v>
      </c>
      <c r="G228" t="s">
        <v>68</v>
      </c>
      <c r="H228" t="s">
        <v>69</v>
      </c>
      <c r="I228">
        <v>1</v>
      </c>
      <c r="J228" s="3">
        <v>46191.18</v>
      </c>
      <c r="K228" s="3">
        <v>46191.18</v>
      </c>
      <c r="L228" t="s">
        <v>25</v>
      </c>
      <c r="M228" s="2">
        <v>45728</v>
      </c>
      <c r="N228" s="2">
        <v>45728</v>
      </c>
      <c r="O228" t="s">
        <v>43</v>
      </c>
      <c r="P228" t="s">
        <v>77</v>
      </c>
      <c r="Q228" t="s">
        <v>28</v>
      </c>
      <c r="R228" t="s">
        <v>29</v>
      </c>
      <c r="S228">
        <v>2025</v>
      </c>
      <c r="T228" t="s">
        <v>2751</v>
      </c>
      <c r="U228" t="s">
        <v>2752</v>
      </c>
      <c r="V228" s="4">
        <v>0</v>
      </c>
      <c r="W228" s="4">
        <v>1</v>
      </c>
    </row>
    <row r="229" spans="1:23">
      <c r="A229" t="s">
        <v>353</v>
      </c>
      <c r="B229" s="2">
        <v>46065</v>
      </c>
      <c r="C229" t="s">
        <v>134</v>
      </c>
      <c r="D229" t="s">
        <v>135</v>
      </c>
      <c r="E229" t="s">
        <v>112</v>
      </c>
      <c r="F229" t="s">
        <v>40</v>
      </c>
      <c r="G229" t="s">
        <v>41</v>
      </c>
      <c r="H229" t="s">
        <v>42</v>
      </c>
      <c r="I229">
        <v>6</v>
      </c>
      <c r="J229" s="3">
        <v>5372.34</v>
      </c>
      <c r="K229" s="3">
        <v>32234.04</v>
      </c>
      <c r="L229" t="s">
        <v>25</v>
      </c>
      <c r="M229" s="2">
        <v>46076</v>
      </c>
      <c r="N229" s="2">
        <v>46073</v>
      </c>
      <c r="O229" t="s">
        <v>60</v>
      </c>
      <c r="P229" t="s">
        <v>115</v>
      </c>
      <c r="Q229" t="s">
        <v>28</v>
      </c>
      <c r="R229" t="s">
        <v>29</v>
      </c>
      <c r="S229">
        <v>2026</v>
      </c>
      <c r="T229" t="s">
        <v>2751</v>
      </c>
      <c r="U229" t="s">
        <v>2765</v>
      </c>
      <c r="V229" s="4">
        <v>0</v>
      </c>
      <c r="W229" s="4">
        <v>1</v>
      </c>
    </row>
    <row r="230" spans="1:23">
      <c r="A230" t="s">
        <v>354</v>
      </c>
      <c r="B230" s="2">
        <v>45927</v>
      </c>
      <c r="C230" t="s">
        <v>19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>
        <v>10</v>
      </c>
      <c r="J230" s="3">
        <v>232.42</v>
      </c>
      <c r="K230" s="3">
        <v>2324.1999999999998</v>
      </c>
      <c r="L230" t="s">
        <v>52</v>
      </c>
      <c r="M230" s="2">
        <v>45942</v>
      </c>
      <c r="N230" s="2">
        <v>45939</v>
      </c>
      <c r="O230" t="s">
        <v>26</v>
      </c>
      <c r="P230" t="s">
        <v>27</v>
      </c>
      <c r="Q230" t="s">
        <v>28</v>
      </c>
      <c r="R230" t="s">
        <v>29</v>
      </c>
      <c r="S230">
        <v>2025</v>
      </c>
      <c r="T230" t="s">
        <v>2753</v>
      </c>
      <c r="U230" t="s">
        <v>2754</v>
      </c>
      <c r="V230" s="4">
        <v>0</v>
      </c>
      <c r="W230" s="4">
        <v>1</v>
      </c>
    </row>
    <row r="231" spans="1:23">
      <c r="A231" t="s">
        <v>355</v>
      </c>
      <c r="B231" s="2">
        <v>46144</v>
      </c>
      <c r="C231" t="s">
        <v>134</v>
      </c>
      <c r="D231" t="s">
        <v>135</v>
      </c>
      <c r="E231" t="s">
        <v>39</v>
      </c>
      <c r="F231" t="s">
        <v>40</v>
      </c>
      <c r="G231" t="s">
        <v>41</v>
      </c>
      <c r="H231" t="s">
        <v>42</v>
      </c>
      <c r="I231">
        <v>1</v>
      </c>
      <c r="J231" s="3">
        <v>5599.01</v>
      </c>
      <c r="K231" s="3">
        <v>5599.01</v>
      </c>
      <c r="L231" t="s">
        <v>25</v>
      </c>
      <c r="M231" s="2">
        <v>46157</v>
      </c>
      <c r="N231" s="2">
        <v>46156</v>
      </c>
      <c r="O231" t="s">
        <v>60</v>
      </c>
      <c r="P231" t="s">
        <v>64</v>
      </c>
      <c r="Q231" t="s">
        <v>28</v>
      </c>
      <c r="R231" t="s">
        <v>29</v>
      </c>
      <c r="S231">
        <v>2026</v>
      </c>
      <c r="T231" t="s">
        <v>2766</v>
      </c>
      <c r="U231" t="s">
        <v>2769</v>
      </c>
      <c r="V231" s="4">
        <v>0</v>
      </c>
      <c r="W231" s="4">
        <v>1</v>
      </c>
    </row>
    <row r="232" spans="1:23">
      <c r="A232" t="s">
        <v>356</v>
      </c>
      <c r="B232" s="2">
        <v>45855</v>
      </c>
      <c r="C232" t="s">
        <v>117</v>
      </c>
      <c r="D232" t="s">
        <v>118</v>
      </c>
      <c r="E232" t="s">
        <v>73</v>
      </c>
      <c r="F232" t="s">
        <v>57</v>
      </c>
      <c r="G232" t="s">
        <v>74</v>
      </c>
      <c r="H232" t="s">
        <v>75</v>
      </c>
      <c r="I232">
        <v>3</v>
      </c>
      <c r="J232" s="3">
        <v>9018.82</v>
      </c>
      <c r="K232" s="3">
        <v>27056.46</v>
      </c>
      <c r="L232" t="s">
        <v>52</v>
      </c>
      <c r="M232" s="2">
        <v>45873</v>
      </c>
      <c r="N232" s="2">
        <v>45871</v>
      </c>
      <c r="O232" t="s">
        <v>43</v>
      </c>
      <c r="P232" t="s">
        <v>77</v>
      </c>
      <c r="Q232" t="s">
        <v>28</v>
      </c>
      <c r="R232" t="s">
        <v>29</v>
      </c>
      <c r="S232">
        <v>2025</v>
      </c>
      <c r="T232" t="s">
        <v>2759</v>
      </c>
      <c r="U232" t="s">
        <v>2760</v>
      </c>
      <c r="V232" s="4">
        <v>0</v>
      </c>
      <c r="W232" s="4">
        <v>1</v>
      </c>
    </row>
    <row r="233" spans="1:23">
      <c r="A233" t="s">
        <v>357</v>
      </c>
      <c r="B233" s="2">
        <v>46055</v>
      </c>
      <c r="C233" t="s">
        <v>71</v>
      </c>
      <c r="D233" t="s">
        <v>72</v>
      </c>
      <c r="E233" t="s">
        <v>31</v>
      </c>
      <c r="F233" t="s">
        <v>57</v>
      </c>
      <c r="G233" t="s">
        <v>127</v>
      </c>
      <c r="H233" t="s">
        <v>128</v>
      </c>
      <c r="I233">
        <v>7</v>
      </c>
      <c r="J233" s="3">
        <v>15878.3</v>
      </c>
      <c r="K233" s="3">
        <v>111148.1</v>
      </c>
      <c r="L233" t="s">
        <v>34</v>
      </c>
      <c r="M233" s="2">
        <v>46061</v>
      </c>
      <c r="N233" s="2">
        <v>46060</v>
      </c>
      <c r="O233" t="s">
        <v>43</v>
      </c>
      <c r="P233" t="s">
        <v>94</v>
      </c>
      <c r="Q233" t="s">
        <v>28</v>
      </c>
      <c r="R233" t="s">
        <v>29</v>
      </c>
      <c r="S233">
        <v>2026</v>
      </c>
      <c r="T233" t="s">
        <v>2751</v>
      </c>
      <c r="U233" t="s">
        <v>2765</v>
      </c>
      <c r="V233" s="4">
        <v>0</v>
      </c>
      <c r="W233" s="4">
        <v>1</v>
      </c>
    </row>
    <row r="234" spans="1:23">
      <c r="A234" t="s">
        <v>358</v>
      </c>
      <c r="B234" s="2">
        <v>45928</v>
      </c>
      <c r="C234" t="s">
        <v>142</v>
      </c>
      <c r="D234" t="s">
        <v>143</v>
      </c>
      <c r="E234" t="s">
        <v>31</v>
      </c>
      <c r="F234" t="s">
        <v>22</v>
      </c>
      <c r="G234" t="s">
        <v>160</v>
      </c>
      <c r="H234" t="s">
        <v>161</v>
      </c>
      <c r="I234">
        <v>3</v>
      </c>
      <c r="J234" s="3">
        <v>3102.08</v>
      </c>
      <c r="K234" s="3">
        <v>9306.24</v>
      </c>
      <c r="L234" t="s">
        <v>25</v>
      </c>
      <c r="M234" s="2">
        <v>45942</v>
      </c>
      <c r="N234" s="2">
        <v>45939</v>
      </c>
      <c r="O234" t="s">
        <v>76</v>
      </c>
      <c r="P234" t="s">
        <v>94</v>
      </c>
      <c r="Q234" t="s">
        <v>28</v>
      </c>
      <c r="R234" t="s">
        <v>29</v>
      </c>
      <c r="S234">
        <v>2025</v>
      </c>
      <c r="T234" t="s">
        <v>2753</v>
      </c>
      <c r="U234" t="s">
        <v>2754</v>
      </c>
      <c r="V234" s="4">
        <v>0</v>
      </c>
      <c r="W234" s="4">
        <v>1</v>
      </c>
    </row>
    <row r="235" spans="1:23">
      <c r="A235" t="s">
        <v>359</v>
      </c>
      <c r="B235" s="2">
        <v>45678</v>
      </c>
      <c r="C235" t="s">
        <v>66</v>
      </c>
      <c r="D235" t="s">
        <v>67</v>
      </c>
      <c r="E235" t="s">
        <v>48</v>
      </c>
      <c r="F235" t="s">
        <v>49</v>
      </c>
      <c r="G235" t="s">
        <v>165</v>
      </c>
      <c r="H235" t="s">
        <v>166</v>
      </c>
      <c r="I235">
        <v>1</v>
      </c>
      <c r="J235" s="3">
        <v>45275.58</v>
      </c>
      <c r="K235" s="3">
        <v>45275.58</v>
      </c>
      <c r="L235" t="s">
        <v>52</v>
      </c>
      <c r="M235" s="2">
        <v>45696</v>
      </c>
      <c r="N235" s="2">
        <v>45694</v>
      </c>
      <c r="O235" t="s">
        <v>60</v>
      </c>
      <c r="P235" t="s">
        <v>53</v>
      </c>
      <c r="Q235" t="s">
        <v>28</v>
      </c>
      <c r="R235" t="s">
        <v>29</v>
      </c>
      <c r="S235">
        <v>2025</v>
      </c>
      <c r="T235" t="s">
        <v>2757</v>
      </c>
      <c r="U235" t="s">
        <v>2768</v>
      </c>
      <c r="V235" s="4">
        <v>0</v>
      </c>
      <c r="W235" s="4">
        <v>1</v>
      </c>
    </row>
    <row r="236" spans="1:23">
      <c r="A236" t="s">
        <v>360</v>
      </c>
      <c r="B236" s="2">
        <v>45933</v>
      </c>
      <c r="C236" t="s">
        <v>89</v>
      </c>
      <c r="D236" t="s">
        <v>90</v>
      </c>
      <c r="E236" t="s">
        <v>31</v>
      </c>
      <c r="F236" t="s">
        <v>91</v>
      </c>
      <c r="G236" t="s">
        <v>92</v>
      </c>
      <c r="H236" t="s">
        <v>93</v>
      </c>
      <c r="I236">
        <v>2</v>
      </c>
      <c r="J236" s="3">
        <v>43772.78</v>
      </c>
      <c r="K236" s="3">
        <v>87545.56</v>
      </c>
      <c r="L236" t="s">
        <v>34</v>
      </c>
      <c r="M236" s="2">
        <v>45949</v>
      </c>
      <c r="N236" s="2">
        <v>45947</v>
      </c>
      <c r="O236" t="s">
        <v>26</v>
      </c>
      <c r="P236" t="s">
        <v>94</v>
      </c>
      <c r="Q236" t="s">
        <v>28</v>
      </c>
      <c r="R236" t="s">
        <v>29</v>
      </c>
      <c r="S236">
        <v>2025</v>
      </c>
      <c r="T236" t="s">
        <v>2749</v>
      </c>
      <c r="U236" t="s">
        <v>2750</v>
      </c>
      <c r="V236" s="4">
        <v>0</v>
      </c>
      <c r="W236" s="4">
        <v>1</v>
      </c>
    </row>
    <row r="237" spans="1:23">
      <c r="A237" t="s">
        <v>361</v>
      </c>
      <c r="B237" s="2">
        <v>45976</v>
      </c>
      <c r="C237" t="s">
        <v>117</v>
      </c>
      <c r="D237" t="s">
        <v>118</v>
      </c>
      <c r="E237" t="s">
        <v>73</v>
      </c>
      <c r="F237" t="s">
        <v>57</v>
      </c>
      <c r="G237" t="s">
        <v>127</v>
      </c>
      <c r="H237" t="s">
        <v>128</v>
      </c>
      <c r="I237">
        <v>4</v>
      </c>
      <c r="J237" s="3">
        <v>16091.07</v>
      </c>
      <c r="K237" s="3">
        <v>64364.28</v>
      </c>
      <c r="L237" t="s">
        <v>25</v>
      </c>
      <c r="M237" s="2">
        <v>45994</v>
      </c>
      <c r="N237" s="2">
        <v>45996</v>
      </c>
      <c r="O237" t="s">
        <v>76</v>
      </c>
      <c r="P237" t="s">
        <v>77</v>
      </c>
      <c r="Q237" t="s">
        <v>28</v>
      </c>
      <c r="R237" t="s">
        <v>129</v>
      </c>
      <c r="S237">
        <v>2025</v>
      </c>
      <c r="T237" t="s">
        <v>2763</v>
      </c>
      <c r="U237" t="s">
        <v>2764</v>
      </c>
      <c r="V237" s="4">
        <v>2</v>
      </c>
      <c r="W237" s="4">
        <v>0</v>
      </c>
    </row>
    <row r="238" spans="1:23">
      <c r="A238" t="s">
        <v>362</v>
      </c>
      <c r="B238" s="2">
        <v>45938</v>
      </c>
      <c r="C238" t="s">
        <v>46</v>
      </c>
      <c r="D238" t="s">
        <v>47</v>
      </c>
      <c r="E238" t="s">
        <v>73</v>
      </c>
      <c r="F238" t="s">
        <v>49</v>
      </c>
      <c r="G238" t="s">
        <v>113</v>
      </c>
      <c r="H238" t="s">
        <v>114</v>
      </c>
      <c r="I238">
        <v>2</v>
      </c>
      <c r="J238" s="3">
        <v>39545.870000000003</v>
      </c>
      <c r="K238" s="3">
        <v>79091.740000000005</v>
      </c>
      <c r="L238" t="s">
        <v>34</v>
      </c>
      <c r="M238" s="2">
        <v>45952</v>
      </c>
      <c r="N238" s="2">
        <v>45949</v>
      </c>
      <c r="O238" t="s">
        <v>76</v>
      </c>
      <c r="P238" t="s">
        <v>77</v>
      </c>
      <c r="Q238" t="s">
        <v>28</v>
      </c>
      <c r="R238" t="s">
        <v>29</v>
      </c>
      <c r="S238">
        <v>2025</v>
      </c>
      <c r="T238" t="s">
        <v>2749</v>
      </c>
      <c r="U238" t="s">
        <v>2750</v>
      </c>
      <c r="V238" s="4">
        <v>0</v>
      </c>
      <c r="W238" s="4">
        <v>1</v>
      </c>
    </row>
    <row r="239" spans="1:23">
      <c r="A239" t="s">
        <v>363</v>
      </c>
      <c r="B239" s="2">
        <v>45750</v>
      </c>
      <c r="C239" t="s">
        <v>19</v>
      </c>
      <c r="D239" t="s">
        <v>20</v>
      </c>
      <c r="E239" t="s">
        <v>73</v>
      </c>
      <c r="F239" t="s">
        <v>22</v>
      </c>
      <c r="G239" t="s">
        <v>32</v>
      </c>
      <c r="H239" t="s">
        <v>33</v>
      </c>
      <c r="I239">
        <v>4</v>
      </c>
      <c r="J239" s="3">
        <v>7103.76</v>
      </c>
      <c r="K239" s="3">
        <v>28415.040000000001</v>
      </c>
      <c r="L239" t="s">
        <v>25</v>
      </c>
      <c r="M239" s="2">
        <v>45765</v>
      </c>
      <c r="N239" s="2">
        <v>45764</v>
      </c>
      <c r="O239" t="s">
        <v>60</v>
      </c>
      <c r="P239" t="s">
        <v>77</v>
      </c>
      <c r="Q239" t="s">
        <v>28</v>
      </c>
      <c r="R239" t="s">
        <v>29</v>
      </c>
      <c r="S239">
        <v>2025</v>
      </c>
      <c r="T239" t="s">
        <v>2741</v>
      </c>
      <c r="U239" t="s">
        <v>2742</v>
      </c>
      <c r="V239" s="4">
        <v>0</v>
      </c>
      <c r="W239" s="4">
        <v>1</v>
      </c>
    </row>
    <row r="240" spans="1:23">
      <c r="A240" t="s">
        <v>364</v>
      </c>
      <c r="B240" s="2">
        <v>45667</v>
      </c>
      <c r="C240" t="s">
        <v>37</v>
      </c>
      <c r="D240" t="s">
        <v>38</v>
      </c>
      <c r="E240" t="s">
        <v>39</v>
      </c>
      <c r="F240" t="s">
        <v>22</v>
      </c>
      <c r="G240" t="s">
        <v>32</v>
      </c>
      <c r="H240" t="s">
        <v>33</v>
      </c>
      <c r="I240">
        <v>10</v>
      </c>
      <c r="J240" s="3">
        <v>8180.24</v>
      </c>
      <c r="K240" s="3">
        <v>81802.399999999994</v>
      </c>
      <c r="L240" t="s">
        <v>25</v>
      </c>
      <c r="M240" s="2">
        <v>45684</v>
      </c>
      <c r="N240" s="2">
        <v>45682</v>
      </c>
      <c r="O240" t="s">
        <v>60</v>
      </c>
      <c r="P240" t="s">
        <v>44</v>
      </c>
      <c r="Q240" t="s">
        <v>28</v>
      </c>
      <c r="R240" t="s">
        <v>29</v>
      </c>
      <c r="S240">
        <v>2025</v>
      </c>
      <c r="T240" t="s">
        <v>2757</v>
      </c>
      <c r="U240" t="s">
        <v>2768</v>
      </c>
      <c r="V240" s="4">
        <v>0</v>
      </c>
      <c r="W240" s="4">
        <v>1</v>
      </c>
    </row>
    <row r="241" spans="1:23">
      <c r="A241" t="s">
        <v>365</v>
      </c>
      <c r="B241" s="2">
        <v>46128</v>
      </c>
      <c r="C241" t="s">
        <v>71</v>
      </c>
      <c r="D241" t="s">
        <v>72</v>
      </c>
      <c r="E241" t="s">
        <v>73</v>
      </c>
      <c r="F241" t="s">
        <v>57</v>
      </c>
      <c r="G241" t="s">
        <v>127</v>
      </c>
      <c r="H241" t="s">
        <v>128</v>
      </c>
      <c r="I241">
        <v>2</v>
      </c>
      <c r="J241" s="3">
        <v>15222.93</v>
      </c>
      <c r="K241" s="3">
        <v>30445.86</v>
      </c>
      <c r="L241" t="s">
        <v>34</v>
      </c>
      <c r="M241" s="2">
        <v>46133</v>
      </c>
      <c r="N241" s="2">
        <v>46131</v>
      </c>
      <c r="O241" t="s">
        <v>76</v>
      </c>
      <c r="P241" t="s">
        <v>77</v>
      </c>
      <c r="Q241" t="s">
        <v>28</v>
      </c>
      <c r="R241" t="s">
        <v>29</v>
      </c>
      <c r="S241">
        <v>2026</v>
      </c>
      <c r="T241" t="s">
        <v>2741</v>
      </c>
      <c r="U241" t="s">
        <v>2770</v>
      </c>
      <c r="V241" s="4">
        <v>0</v>
      </c>
      <c r="W241" s="4">
        <v>1</v>
      </c>
    </row>
    <row r="242" spans="1:23">
      <c r="A242" t="s">
        <v>366</v>
      </c>
      <c r="B242" s="2">
        <v>45768</v>
      </c>
      <c r="C242" t="s">
        <v>66</v>
      </c>
      <c r="D242" t="s">
        <v>67</v>
      </c>
      <c r="E242" t="s">
        <v>21</v>
      </c>
      <c r="F242" t="s">
        <v>49</v>
      </c>
      <c r="G242" t="s">
        <v>165</v>
      </c>
      <c r="H242" t="s">
        <v>166</v>
      </c>
      <c r="I242">
        <v>1</v>
      </c>
      <c r="J242" s="3">
        <v>42929.919999999998</v>
      </c>
      <c r="K242" s="3">
        <v>42929.919999999998</v>
      </c>
      <c r="L242" t="s">
        <v>52</v>
      </c>
      <c r="M242" s="2">
        <v>45776</v>
      </c>
      <c r="N242" s="2">
        <v>45775</v>
      </c>
      <c r="O242" t="s">
        <v>60</v>
      </c>
      <c r="P242" t="s">
        <v>27</v>
      </c>
      <c r="Q242" t="s">
        <v>28</v>
      </c>
      <c r="R242" t="s">
        <v>29</v>
      </c>
      <c r="S242">
        <v>2025</v>
      </c>
      <c r="T242" t="s">
        <v>2741</v>
      </c>
      <c r="U242" t="s">
        <v>2742</v>
      </c>
      <c r="V242" s="4">
        <v>0</v>
      </c>
      <c r="W242" s="4">
        <v>1</v>
      </c>
    </row>
    <row r="243" spans="1:23">
      <c r="A243" t="s">
        <v>367</v>
      </c>
      <c r="B243" s="2">
        <v>46072</v>
      </c>
      <c r="C243" t="s">
        <v>80</v>
      </c>
      <c r="D243" t="s">
        <v>81</v>
      </c>
      <c r="E243" t="s">
        <v>39</v>
      </c>
      <c r="F243" t="s">
        <v>82</v>
      </c>
      <c r="G243" t="s">
        <v>197</v>
      </c>
      <c r="H243" t="s">
        <v>198</v>
      </c>
      <c r="I243">
        <v>50</v>
      </c>
      <c r="J243" s="3">
        <v>1976.82</v>
      </c>
      <c r="K243" s="3">
        <v>98841</v>
      </c>
      <c r="L243" t="s">
        <v>52</v>
      </c>
      <c r="M243" s="2">
        <v>46080</v>
      </c>
      <c r="N243" s="2">
        <v>46077</v>
      </c>
      <c r="O243" t="s">
        <v>76</v>
      </c>
      <c r="P243" t="s">
        <v>44</v>
      </c>
      <c r="Q243" t="s">
        <v>28</v>
      </c>
      <c r="R243" t="s">
        <v>29</v>
      </c>
      <c r="S243">
        <v>2026</v>
      </c>
      <c r="T243" t="s">
        <v>2751</v>
      </c>
      <c r="U243" t="s">
        <v>2765</v>
      </c>
      <c r="V243" s="4">
        <v>0</v>
      </c>
      <c r="W243" s="4">
        <v>1</v>
      </c>
    </row>
    <row r="244" spans="1:23">
      <c r="A244" t="s">
        <v>368</v>
      </c>
      <c r="B244" s="2">
        <v>45843</v>
      </c>
      <c r="C244" t="s">
        <v>19</v>
      </c>
      <c r="D244" t="s">
        <v>20</v>
      </c>
      <c r="E244" t="s">
        <v>31</v>
      </c>
      <c r="F244" t="s">
        <v>22</v>
      </c>
      <c r="G244" t="s">
        <v>160</v>
      </c>
      <c r="H244" t="s">
        <v>161</v>
      </c>
      <c r="I244">
        <v>15</v>
      </c>
      <c r="J244" s="3">
        <v>2959.71</v>
      </c>
      <c r="K244" s="3">
        <v>44395.65</v>
      </c>
      <c r="L244" t="s">
        <v>34</v>
      </c>
      <c r="M244" s="2">
        <v>45850</v>
      </c>
      <c r="N244" s="2">
        <v>45848</v>
      </c>
      <c r="O244" t="s">
        <v>26</v>
      </c>
      <c r="P244" t="s">
        <v>35</v>
      </c>
      <c r="Q244" t="s">
        <v>28</v>
      </c>
      <c r="R244" t="s">
        <v>29</v>
      </c>
      <c r="S244">
        <v>2025</v>
      </c>
      <c r="T244" t="s">
        <v>2759</v>
      </c>
      <c r="U244" t="s">
        <v>2760</v>
      </c>
      <c r="V244" s="4">
        <v>0</v>
      </c>
      <c r="W244" s="4">
        <v>1</v>
      </c>
    </row>
    <row r="245" spans="1:23">
      <c r="A245" t="s">
        <v>369</v>
      </c>
      <c r="B245" s="2">
        <v>45972</v>
      </c>
      <c r="C245" t="s">
        <v>134</v>
      </c>
      <c r="D245" t="s">
        <v>135</v>
      </c>
      <c r="E245" t="s">
        <v>112</v>
      </c>
      <c r="F245" t="s">
        <v>40</v>
      </c>
      <c r="G245" t="s">
        <v>136</v>
      </c>
      <c r="H245" t="s">
        <v>137</v>
      </c>
      <c r="I245">
        <v>12</v>
      </c>
      <c r="J245" s="3">
        <v>1652.87</v>
      </c>
      <c r="K245" s="3">
        <v>19834.439999999999</v>
      </c>
      <c r="L245" t="s">
        <v>34</v>
      </c>
      <c r="M245" s="2">
        <v>45984</v>
      </c>
      <c r="N245" s="2">
        <v>45996</v>
      </c>
      <c r="O245" t="s">
        <v>43</v>
      </c>
      <c r="P245" t="s">
        <v>115</v>
      </c>
      <c r="Q245" t="s">
        <v>28</v>
      </c>
      <c r="R245" t="s">
        <v>129</v>
      </c>
      <c r="S245">
        <v>2025</v>
      </c>
      <c r="T245" t="s">
        <v>2763</v>
      </c>
      <c r="U245" t="s">
        <v>2764</v>
      </c>
      <c r="V245" s="4">
        <v>12</v>
      </c>
      <c r="W245" s="4">
        <v>0</v>
      </c>
    </row>
    <row r="246" spans="1:23">
      <c r="A246" t="s">
        <v>370</v>
      </c>
      <c r="B246" s="2">
        <v>45857</v>
      </c>
      <c r="C246" t="s">
        <v>134</v>
      </c>
      <c r="D246" t="s">
        <v>135</v>
      </c>
      <c r="E246" t="s">
        <v>112</v>
      </c>
      <c r="F246" t="s">
        <v>40</v>
      </c>
      <c r="G246" t="s">
        <v>136</v>
      </c>
      <c r="H246" t="s">
        <v>137</v>
      </c>
      <c r="I246">
        <v>14</v>
      </c>
      <c r="J246" s="3">
        <v>1713.32</v>
      </c>
      <c r="K246" s="3">
        <v>23986.48</v>
      </c>
      <c r="L246" t="s">
        <v>25</v>
      </c>
      <c r="M246" s="2">
        <v>45864</v>
      </c>
      <c r="N246" s="2">
        <v>45862</v>
      </c>
      <c r="O246" t="s">
        <v>60</v>
      </c>
      <c r="P246" t="s">
        <v>115</v>
      </c>
      <c r="Q246" t="s">
        <v>28</v>
      </c>
      <c r="R246" t="s">
        <v>29</v>
      </c>
      <c r="S246">
        <v>2025</v>
      </c>
      <c r="T246" t="s">
        <v>2759</v>
      </c>
      <c r="U246" t="s">
        <v>2760</v>
      </c>
      <c r="V246" s="4">
        <v>0</v>
      </c>
      <c r="W246" s="4">
        <v>1</v>
      </c>
    </row>
    <row r="247" spans="1:23">
      <c r="A247" t="s">
        <v>371</v>
      </c>
      <c r="B247" s="2">
        <v>46157</v>
      </c>
      <c r="C247" t="s">
        <v>37</v>
      </c>
      <c r="D247" t="s">
        <v>38</v>
      </c>
      <c r="E247" t="s">
        <v>112</v>
      </c>
      <c r="F247" t="s">
        <v>40</v>
      </c>
      <c r="G247" t="s">
        <v>41</v>
      </c>
      <c r="H247" t="s">
        <v>42</v>
      </c>
      <c r="I247">
        <v>13</v>
      </c>
      <c r="J247" s="3">
        <v>5689.12</v>
      </c>
      <c r="K247" s="3">
        <v>73958.559999999998</v>
      </c>
      <c r="L247" t="s">
        <v>25</v>
      </c>
      <c r="M247" s="2">
        <v>46174</v>
      </c>
      <c r="N247" s="2">
        <v>46173</v>
      </c>
      <c r="O247" t="s">
        <v>43</v>
      </c>
      <c r="P247" t="s">
        <v>115</v>
      </c>
      <c r="Q247" t="s">
        <v>28</v>
      </c>
      <c r="R247" t="s">
        <v>29</v>
      </c>
      <c r="S247">
        <v>2026</v>
      </c>
      <c r="T247" t="s">
        <v>2766</v>
      </c>
      <c r="U247" t="s">
        <v>2769</v>
      </c>
      <c r="V247" s="4">
        <v>0</v>
      </c>
      <c r="W247" s="4">
        <v>1</v>
      </c>
    </row>
    <row r="248" spans="1:23">
      <c r="A248" t="s">
        <v>372</v>
      </c>
      <c r="B248" s="2">
        <v>46102</v>
      </c>
      <c r="C248" t="s">
        <v>104</v>
      </c>
      <c r="D248" t="s">
        <v>105</v>
      </c>
      <c r="E248" t="s">
        <v>73</v>
      </c>
      <c r="F248" t="s">
        <v>49</v>
      </c>
      <c r="G248" t="s">
        <v>68</v>
      </c>
      <c r="H248" t="s">
        <v>69</v>
      </c>
      <c r="I248">
        <v>1</v>
      </c>
      <c r="J248" s="3">
        <v>48385.94</v>
      </c>
      <c r="K248" s="3">
        <v>48385.94</v>
      </c>
      <c r="L248" t="s">
        <v>25</v>
      </c>
      <c r="M248" s="2">
        <v>46107</v>
      </c>
      <c r="N248" s="2">
        <v>46106</v>
      </c>
      <c r="O248" t="s">
        <v>43</v>
      </c>
      <c r="P248" t="s">
        <v>77</v>
      </c>
      <c r="Q248" t="s">
        <v>28</v>
      </c>
      <c r="R248" t="s">
        <v>29</v>
      </c>
      <c r="S248">
        <v>2026</v>
      </c>
      <c r="T248" t="s">
        <v>2747</v>
      </c>
      <c r="U248" t="s">
        <v>2755</v>
      </c>
      <c r="V248" s="4">
        <v>0</v>
      </c>
      <c r="W248" s="4">
        <v>1</v>
      </c>
    </row>
    <row r="249" spans="1:23">
      <c r="A249" t="s">
        <v>373</v>
      </c>
      <c r="B249" s="2">
        <v>46010</v>
      </c>
      <c r="C249" t="s">
        <v>96</v>
      </c>
      <c r="D249" t="s">
        <v>97</v>
      </c>
      <c r="E249" t="s">
        <v>39</v>
      </c>
      <c r="F249" t="s">
        <v>82</v>
      </c>
      <c r="G249" t="s">
        <v>197</v>
      </c>
      <c r="H249" t="s">
        <v>198</v>
      </c>
      <c r="I249">
        <v>7</v>
      </c>
      <c r="J249" s="3">
        <v>2048.62</v>
      </c>
      <c r="K249" s="3">
        <v>14340.34</v>
      </c>
      <c r="L249" t="s">
        <v>34</v>
      </c>
      <c r="M249" s="2">
        <v>46019</v>
      </c>
      <c r="N249" s="2">
        <v>46016</v>
      </c>
      <c r="O249" t="s">
        <v>76</v>
      </c>
      <c r="P249" t="s">
        <v>44</v>
      </c>
      <c r="Q249" t="s">
        <v>28</v>
      </c>
      <c r="R249" t="s">
        <v>29</v>
      </c>
      <c r="S249">
        <v>2025</v>
      </c>
      <c r="T249" t="s">
        <v>2745</v>
      </c>
      <c r="U249" t="s">
        <v>2746</v>
      </c>
      <c r="V249" s="4">
        <v>0</v>
      </c>
      <c r="W249" s="4">
        <v>1</v>
      </c>
    </row>
    <row r="250" spans="1:23">
      <c r="A250" t="s">
        <v>374</v>
      </c>
      <c r="B250" s="2">
        <v>45795</v>
      </c>
      <c r="C250" t="s">
        <v>37</v>
      </c>
      <c r="D250" t="s">
        <v>38</v>
      </c>
      <c r="E250" t="s">
        <v>112</v>
      </c>
      <c r="F250" t="s">
        <v>40</v>
      </c>
      <c r="G250" t="s">
        <v>149</v>
      </c>
      <c r="H250" t="s">
        <v>150</v>
      </c>
      <c r="I250">
        <v>56</v>
      </c>
      <c r="J250" s="3">
        <v>1504.62</v>
      </c>
      <c r="K250" s="3">
        <v>84258.72</v>
      </c>
      <c r="L250" t="s">
        <v>34</v>
      </c>
      <c r="M250" s="2">
        <v>45806</v>
      </c>
      <c r="N250" s="2">
        <v>45811</v>
      </c>
      <c r="O250" t="s">
        <v>26</v>
      </c>
      <c r="P250" t="s">
        <v>115</v>
      </c>
      <c r="Q250" t="s">
        <v>28</v>
      </c>
      <c r="R250" t="s">
        <v>129</v>
      </c>
      <c r="S250">
        <v>2025</v>
      </c>
      <c r="T250" t="s">
        <v>2766</v>
      </c>
      <c r="U250" t="s">
        <v>2767</v>
      </c>
      <c r="V250" s="4">
        <v>5</v>
      </c>
      <c r="W250" s="4">
        <v>0</v>
      </c>
    </row>
    <row r="251" spans="1:23">
      <c r="A251" t="s">
        <v>375</v>
      </c>
      <c r="B251" s="2">
        <v>45680</v>
      </c>
      <c r="C251" t="s">
        <v>134</v>
      </c>
      <c r="D251" t="s">
        <v>135</v>
      </c>
      <c r="E251" t="s">
        <v>39</v>
      </c>
      <c r="F251" t="s">
        <v>40</v>
      </c>
      <c r="G251" t="s">
        <v>41</v>
      </c>
      <c r="H251" t="s">
        <v>42</v>
      </c>
      <c r="I251">
        <v>13</v>
      </c>
      <c r="J251" s="3">
        <v>5495.2</v>
      </c>
      <c r="K251" s="3">
        <v>71437.600000000006</v>
      </c>
      <c r="L251" t="s">
        <v>34</v>
      </c>
      <c r="M251" s="2">
        <v>45693</v>
      </c>
      <c r="N251" s="2">
        <v>45693</v>
      </c>
      <c r="O251" t="s">
        <v>43</v>
      </c>
      <c r="P251" t="s">
        <v>64</v>
      </c>
      <c r="Q251" t="s">
        <v>28</v>
      </c>
      <c r="R251" t="s">
        <v>29</v>
      </c>
      <c r="S251">
        <v>2025</v>
      </c>
      <c r="T251" t="s">
        <v>2757</v>
      </c>
      <c r="U251" t="s">
        <v>2768</v>
      </c>
      <c r="V251" s="4">
        <v>0</v>
      </c>
      <c r="W251" s="4">
        <v>1</v>
      </c>
    </row>
    <row r="252" spans="1:23">
      <c r="A252" t="s">
        <v>376</v>
      </c>
      <c r="B252" s="2">
        <v>45776</v>
      </c>
      <c r="C252" t="s">
        <v>71</v>
      </c>
      <c r="D252" t="s">
        <v>72</v>
      </c>
      <c r="E252" t="s">
        <v>73</v>
      </c>
      <c r="F252" t="s">
        <v>57</v>
      </c>
      <c r="G252" t="s">
        <v>58</v>
      </c>
      <c r="H252" t="s">
        <v>59</v>
      </c>
      <c r="I252">
        <v>1</v>
      </c>
      <c r="J252" s="3">
        <v>51839.25</v>
      </c>
      <c r="K252" s="3">
        <v>51839.25</v>
      </c>
      <c r="L252" t="s">
        <v>34</v>
      </c>
      <c r="M252" s="2">
        <v>45785</v>
      </c>
      <c r="N252" s="2">
        <v>45785</v>
      </c>
      <c r="O252" t="s">
        <v>76</v>
      </c>
      <c r="P252" t="s">
        <v>77</v>
      </c>
      <c r="Q252" t="s">
        <v>28</v>
      </c>
      <c r="R252" t="s">
        <v>29</v>
      </c>
      <c r="S252">
        <v>2025</v>
      </c>
      <c r="T252" t="s">
        <v>2741</v>
      </c>
      <c r="U252" t="s">
        <v>2742</v>
      </c>
      <c r="V252" s="4">
        <v>0</v>
      </c>
      <c r="W252" s="4">
        <v>1</v>
      </c>
    </row>
    <row r="253" spans="1:23">
      <c r="A253" t="s">
        <v>378</v>
      </c>
      <c r="B253" s="2">
        <v>45765</v>
      </c>
      <c r="C253" t="s">
        <v>71</v>
      </c>
      <c r="D253" t="s">
        <v>72</v>
      </c>
      <c r="E253" t="s">
        <v>31</v>
      </c>
      <c r="F253" t="s">
        <v>57</v>
      </c>
      <c r="G253" t="s">
        <v>101</v>
      </c>
      <c r="H253" t="s">
        <v>102</v>
      </c>
      <c r="I253">
        <v>43</v>
      </c>
      <c r="J253" s="3">
        <v>1691.57</v>
      </c>
      <c r="K253" s="3">
        <v>72737.509999999995</v>
      </c>
      <c r="L253" t="s">
        <v>25</v>
      </c>
      <c r="M253" s="2">
        <v>45773</v>
      </c>
      <c r="N253" s="2">
        <v>45772</v>
      </c>
      <c r="O253" t="s">
        <v>60</v>
      </c>
      <c r="P253" t="s">
        <v>35</v>
      </c>
      <c r="Q253" t="s">
        <v>28</v>
      </c>
      <c r="R253" t="s">
        <v>29</v>
      </c>
      <c r="S253">
        <v>2025</v>
      </c>
      <c r="T253" t="s">
        <v>2741</v>
      </c>
      <c r="U253" t="s">
        <v>2742</v>
      </c>
      <c r="V253" s="4">
        <v>0</v>
      </c>
      <c r="W253" s="4">
        <v>1</v>
      </c>
    </row>
    <row r="254" spans="1:23">
      <c r="A254" t="s">
        <v>379</v>
      </c>
      <c r="B254" s="2">
        <v>45822</v>
      </c>
      <c r="C254" t="s">
        <v>89</v>
      </c>
      <c r="D254" t="s">
        <v>90</v>
      </c>
      <c r="E254" t="s">
        <v>31</v>
      </c>
      <c r="F254" t="s">
        <v>91</v>
      </c>
      <c r="G254" t="s">
        <v>109</v>
      </c>
      <c r="H254" t="s">
        <v>110</v>
      </c>
      <c r="I254">
        <v>1</v>
      </c>
      <c r="J254" s="3">
        <v>12003.08</v>
      </c>
      <c r="K254" s="3">
        <v>12003.08</v>
      </c>
      <c r="L254" t="s">
        <v>25</v>
      </c>
      <c r="M254" s="2">
        <v>45828</v>
      </c>
      <c r="N254" s="2">
        <v>45825</v>
      </c>
      <c r="O254" t="s">
        <v>43</v>
      </c>
      <c r="P254" t="s">
        <v>94</v>
      </c>
      <c r="Q254" t="s">
        <v>28</v>
      </c>
      <c r="R254" t="s">
        <v>29</v>
      </c>
      <c r="S254">
        <v>2025</v>
      </c>
      <c r="T254" t="s">
        <v>2743</v>
      </c>
      <c r="U254" t="s">
        <v>2756</v>
      </c>
      <c r="V254" s="4">
        <v>0</v>
      </c>
      <c r="W254" s="4">
        <v>1</v>
      </c>
    </row>
    <row r="255" spans="1:23">
      <c r="A255" t="s">
        <v>380</v>
      </c>
      <c r="B255" s="2">
        <v>45894</v>
      </c>
      <c r="C255" t="s">
        <v>37</v>
      </c>
      <c r="D255" t="s">
        <v>38</v>
      </c>
      <c r="E255" t="s">
        <v>112</v>
      </c>
      <c r="F255" t="s">
        <v>40</v>
      </c>
      <c r="G255" t="s">
        <v>62</v>
      </c>
      <c r="H255" t="s">
        <v>63</v>
      </c>
      <c r="I255">
        <v>1</v>
      </c>
      <c r="J255" s="3">
        <v>20451.919999999998</v>
      </c>
      <c r="K255" s="3">
        <v>20451.919999999998</v>
      </c>
      <c r="L255" t="s">
        <v>25</v>
      </c>
      <c r="M255" s="2">
        <v>45912</v>
      </c>
      <c r="N255" s="2">
        <v>45910</v>
      </c>
      <c r="O255" t="s">
        <v>43</v>
      </c>
      <c r="P255" t="s">
        <v>115</v>
      </c>
      <c r="Q255" t="s">
        <v>28</v>
      </c>
      <c r="R255" t="s">
        <v>29</v>
      </c>
      <c r="S255">
        <v>2025</v>
      </c>
      <c r="T255" t="s">
        <v>2761</v>
      </c>
      <c r="U255" t="s">
        <v>2762</v>
      </c>
      <c r="V255" s="4">
        <v>0</v>
      </c>
      <c r="W255" s="4">
        <v>1</v>
      </c>
    </row>
    <row r="256" spans="1:23">
      <c r="A256" t="s">
        <v>381</v>
      </c>
      <c r="B256" s="2">
        <v>45704</v>
      </c>
      <c r="C256" t="s">
        <v>96</v>
      </c>
      <c r="D256" t="s">
        <v>97</v>
      </c>
      <c r="E256" t="s">
        <v>39</v>
      </c>
      <c r="F256" t="s">
        <v>82</v>
      </c>
      <c r="G256" t="s">
        <v>83</v>
      </c>
      <c r="H256" t="s">
        <v>84</v>
      </c>
      <c r="I256">
        <v>44</v>
      </c>
      <c r="J256" s="3">
        <v>756.66</v>
      </c>
      <c r="K256" s="3">
        <v>33293.040000000001</v>
      </c>
      <c r="L256" t="s">
        <v>25</v>
      </c>
      <c r="M256" s="2">
        <v>45713</v>
      </c>
      <c r="N256" s="2">
        <v>45713</v>
      </c>
      <c r="O256" t="s">
        <v>76</v>
      </c>
      <c r="P256" t="s">
        <v>64</v>
      </c>
      <c r="Q256" t="s">
        <v>28</v>
      </c>
      <c r="R256" t="s">
        <v>29</v>
      </c>
      <c r="S256">
        <v>2025</v>
      </c>
      <c r="T256" t="s">
        <v>2751</v>
      </c>
      <c r="U256" t="s">
        <v>2752</v>
      </c>
      <c r="V256" s="4">
        <v>0</v>
      </c>
      <c r="W256" s="4">
        <v>1</v>
      </c>
    </row>
    <row r="257" spans="1:23">
      <c r="A257" t="s">
        <v>382</v>
      </c>
      <c r="B257" s="2">
        <v>45774</v>
      </c>
      <c r="C257" t="s">
        <v>147</v>
      </c>
      <c r="D257" t="s">
        <v>148</v>
      </c>
      <c r="E257" t="s">
        <v>112</v>
      </c>
      <c r="F257" t="s">
        <v>40</v>
      </c>
      <c r="G257" t="s">
        <v>62</v>
      </c>
      <c r="H257" t="s">
        <v>63</v>
      </c>
      <c r="I257">
        <v>7</v>
      </c>
      <c r="J257" s="3">
        <v>17814.03</v>
      </c>
      <c r="K257" s="3">
        <v>124698.21</v>
      </c>
      <c r="L257" t="s">
        <v>25</v>
      </c>
      <c r="M257" s="2">
        <v>45789</v>
      </c>
      <c r="N257" s="2">
        <v>45788</v>
      </c>
      <c r="O257" t="s">
        <v>43</v>
      </c>
      <c r="P257" t="s">
        <v>115</v>
      </c>
      <c r="Q257" t="s">
        <v>28</v>
      </c>
      <c r="R257" t="s">
        <v>29</v>
      </c>
      <c r="S257">
        <v>2025</v>
      </c>
      <c r="T257" t="s">
        <v>2741</v>
      </c>
      <c r="U257" t="s">
        <v>2742</v>
      </c>
      <c r="V257" s="4">
        <v>0</v>
      </c>
      <c r="W257" s="4">
        <v>1</v>
      </c>
    </row>
    <row r="258" spans="1:23">
      <c r="A258" t="s">
        <v>383</v>
      </c>
      <c r="B258" s="2">
        <v>45764</v>
      </c>
      <c r="C258" t="s">
        <v>142</v>
      </c>
      <c r="D258" t="s">
        <v>143</v>
      </c>
      <c r="E258" t="s">
        <v>31</v>
      </c>
      <c r="F258" t="s">
        <v>22</v>
      </c>
      <c r="G258" t="s">
        <v>32</v>
      </c>
      <c r="H258" t="s">
        <v>33</v>
      </c>
      <c r="I258">
        <v>13</v>
      </c>
      <c r="J258" s="3">
        <v>7917.15</v>
      </c>
      <c r="K258" s="3">
        <v>102922.95</v>
      </c>
      <c r="L258" t="s">
        <v>25</v>
      </c>
      <c r="M258" s="2">
        <v>45774</v>
      </c>
      <c r="N258" s="2">
        <v>45773</v>
      </c>
      <c r="O258" t="s">
        <v>60</v>
      </c>
      <c r="P258" t="s">
        <v>94</v>
      </c>
      <c r="Q258" t="s">
        <v>28</v>
      </c>
      <c r="R258" t="s">
        <v>29</v>
      </c>
      <c r="S258">
        <v>2025</v>
      </c>
      <c r="T258" t="s">
        <v>2741</v>
      </c>
      <c r="U258" t="s">
        <v>2742</v>
      </c>
      <c r="V258" s="4">
        <v>0</v>
      </c>
      <c r="W258" s="4">
        <v>1</v>
      </c>
    </row>
    <row r="259" spans="1:23">
      <c r="A259" t="s">
        <v>384</v>
      </c>
      <c r="B259" s="2">
        <v>46079</v>
      </c>
      <c r="C259" t="s">
        <v>96</v>
      </c>
      <c r="D259" t="s">
        <v>97</v>
      </c>
      <c r="E259" t="s">
        <v>39</v>
      </c>
      <c r="F259" t="s">
        <v>82</v>
      </c>
      <c r="G259" t="s">
        <v>98</v>
      </c>
      <c r="H259" t="s">
        <v>99</v>
      </c>
      <c r="I259">
        <v>38</v>
      </c>
      <c r="J259" s="3">
        <v>1205.81</v>
      </c>
      <c r="K259" s="3">
        <v>45820.78</v>
      </c>
      <c r="L259" t="s">
        <v>52</v>
      </c>
      <c r="M259" s="2">
        <v>46096</v>
      </c>
      <c r="N259" s="2">
        <v>46095</v>
      </c>
      <c r="O259" t="s">
        <v>76</v>
      </c>
      <c r="P259" t="s">
        <v>64</v>
      </c>
      <c r="Q259" t="s">
        <v>28</v>
      </c>
      <c r="R259" t="s">
        <v>29</v>
      </c>
      <c r="S259">
        <v>2026</v>
      </c>
      <c r="T259" t="s">
        <v>2751</v>
      </c>
      <c r="U259" t="s">
        <v>2765</v>
      </c>
      <c r="V259" s="4">
        <v>0</v>
      </c>
      <c r="W259" s="4">
        <v>1</v>
      </c>
    </row>
    <row r="260" spans="1:23">
      <c r="A260" t="s">
        <v>385</v>
      </c>
      <c r="B260" s="2">
        <v>46101</v>
      </c>
      <c r="C260" t="s">
        <v>104</v>
      </c>
      <c r="D260" t="s">
        <v>105</v>
      </c>
      <c r="E260" t="s">
        <v>21</v>
      </c>
      <c r="F260" t="s">
        <v>49</v>
      </c>
      <c r="G260" t="s">
        <v>68</v>
      </c>
      <c r="H260" t="s">
        <v>69</v>
      </c>
      <c r="I260">
        <v>3</v>
      </c>
      <c r="J260" s="3">
        <v>49650.21</v>
      </c>
      <c r="K260" s="3">
        <v>148950.63</v>
      </c>
      <c r="L260" t="s">
        <v>25</v>
      </c>
      <c r="M260" s="2">
        <v>46106</v>
      </c>
      <c r="N260" s="2">
        <v>46110</v>
      </c>
      <c r="O260" t="s">
        <v>60</v>
      </c>
      <c r="P260" t="s">
        <v>27</v>
      </c>
      <c r="Q260" t="s">
        <v>28</v>
      </c>
      <c r="R260" t="s">
        <v>129</v>
      </c>
      <c r="S260">
        <v>2026</v>
      </c>
      <c r="T260" t="s">
        <v>2747</v>
      </c>
      <c r="U260" t="s">
        <v>2755</v>
      </c>
      <c r="V260" s="4">
        <v>4</v>
      </c>
      <c r="W260" s="4">
        <v>0</v>
      </c>
    </row>
    <row r="261" spans="1:23">
      <c r="A261" t="s">
        <v>386</v>
      </c>
      <c r="B261" s="2">
        <v>45827</v>
      </c>
      <c r="C261" t="s">
        <v>107</v>
      </c>
      <c r="D261" t="s">
        <v>108</v>
      </c>
      <c r="E261" t="s">
        <v>31</v>
      </c>
      <c r="F261" t="s">
        <v>91</v>
      </c>
      <c r="G261" t="s">
        <v>109</v>
      </c>
      <c r="H261" t="s">
        <v>110</v>
      </c>
      <c r="I261">
        <v>1</v>
      </c>
      <c r="J261" s="3">
        <v>13262.31</v>
      </c>
      <c r="K261" s="3">
        <v>13262.31</v>
      </c>
      <c r="L261" t="s">
        <v>34</v>
      </c>
      <c r="M261" s="2">
        <v>45840</v>
      </c>
      <c r="N261" s="2">
        <v>45837</v>
      </c>
      <c r="O261" t="s">
        <v>43</v>
      </c>
      <c r="P261" t="s">
        <v>35</v>
      </c>
      <c r="Q261" t="s">
        <v>28</v>
      </c>
      <c r="R261" t="s">
        <v>29</v>
      </c>
      <c r="S261">
        <v>2025</v>
      </c>
      <c r="T261" t="s">
        <v>2743</v>
      </c>
      <c r="U261" t="s">
        <v>2756</v>
      </c>
      <c r="V261" s="4">
        <v>0</v>
      </c>
      <c r="W261" s="4">
        <v>1</v>
      </c>
    </row>
    <row r="262" spans="1:23">
      <c r="A262" t="s">
        <v>387</v>
      </c>
      <c r="B262" s="2">
        <v>46112</v>
      </c>
      <c r="C262" t="s">
        <v>104</v>
      </c>
      <c r="D262" t="s">
        <v>105</v>
      </c>
      <c r="E262" t="s">
        <v>73</v>
      </c>
      <c r="F262" t="s">
        <v>49</v>
      </c>
      <c r="G262" t="s">
        <v>68</v>
      </c>
      <c r="H262" t="s">
        <v>69</v>
      </c>
      <c r="I262">
        <v>1</v>
      </c>
      <c r="J262" s="3">
        <v>50316.5</v>
      </c>
      <c r="K262" s="3">
        <v>50316.5</v>
      </c>
      <c r="L262" t="s">
        <v>34</v>
      </c>
      <c r="M262" s="2">
        <v>46118</v>
      </c>
      <c r="N262" s="2">
        <v>46118</v>
      </c>
      <c r="O262" t="s">
        <v>43</v>
      </c>
      <c r="P262" t="s">
        <v>77</v>
      </c>
      <c r="Q262" t="s">
        <v>28</v>
      </c>
      <c r="R262" t="s">
        <v>29</v>
      </c>
      <c r="S262">
        <v>2026</v>
      </c>
      <c r="T262" t="s">
        <v>2747</v>
      </c>
      <c r="U262" t="s">
        <v>2755</v>
      </c>
      <c r="V262" s="4">
        <v>0</v>
      </c>
      <c r="W262" s="4">
        <v>1</v>
      </c>
    </row>
    <row r="263" spans="1:23">
      <c r="A263" t="s">
        <v>388</v>
      </c>
      <c r="B263" s="2">
        <v>45997</v>
      </c>
      <c r="C263" t="s">
        <v>71</v>
      </c>
      <c r="D263" t="s">
        <v>72</v>
      </c>
      <c r="E263" t="s">
        <v>31</v>
      </c>
      <c r="F263" t="s">
        <v>57</v>
      </c>
      <c r="G263" t="s">
        <v>120</v>
      </c>
      <c r="H263" t="s">
        <v>121</v>
      </c>
      <c r="I263">
        <v>2</v>
      </c>
      <c r="J263" s="3">
        <v>20975.25</v>
      </c>
      <c r="K263" s="3">
        <v>41950.5</v>
      </c>
      <c r="L263" t="s">
        <v>25</v>
      </c>
      <c r="M263" s="2">
        <v>46003</v>
      </c>
      <c r="N263" s="2">
        <v>46002</v>
      </c>
      <c r="O263" t="s">
        <v>76</v>
      </c>
      <c r="P263" t="s">
        <v>35</v>
      </c>
      <c r="Q263" t="s">
        <v>28</v>
      </c>
      <c r="R263" t="s">
        <v>29</v>
      </c>
      <c r="S263">
        <v>2025</v>
      </c>
      <c r="T263" t="s">
        <v>2745</v>
      </c>
      <c r="U263" t="s">
        <v>2746</v>
      </c>
      <c r="V263" s="4">
        <v>0</v>
      </c>
      <c r="W263" s="4">
        <v>1</v>
      </c>
    </row>
    <row r="264" spans="1:23">
      <c r="A264" t="s">
        <v>389</v>
      </c>
      <c r="B264" s="2">
        <v>46192</v>
      </c>
      <c r="C264" t="s">
        <v>142</v>
      </c>
      <c r="D264" t="s">
        <v>143</v>
      </c>
      <c r="E264" t="s">
        <v>39</v>
      </c>
      <c r="F264" t="s">
        <v>22</v>
      </c>
      <c r="G264" t="s">
        <v>160</v>
      </c>
      <c r="H264" t="s">
        <v>161</v>
      </c>
      <c r="I264">
        <v>12</v>
      </c>
      <c r="J264" s="3">
        <v>3227.23</v>
      </c>
      <c r="K264" s="3">
        <v>38726.76</v>
      </c>
      <c r="L264" t="s">
        <v>52</v>
      </c>
      <c r="M264" s="2">
        <v>46203</v>
      </c>
      <c r="N264" s="2"/>
      <c r="O264" t="s">
        <v>60</v>
      </c>
      <c r="P264" t="s">
        <v>64</v>
      </c>
      <c r="Q264" t="s">
        <v>167</v>
      </c>
      <c r="R264" t="s">
        <v>167</v>
      </c>
      <c r="S264">
        <v>2026</v>
      </c>
      <c r="T264" t="s">
        <v>2743</v>
      </c>
      <c r="U264" t="s">
        <v>2744</v>
      </c>
      <c r="V264" s="4"/>
      <c r="W264" s="4"/>
    </row>
    <row r="265" spans="1:23">
      <c r="A265" t="s">
        <v>390</v>
      </c>
      <c r="B265" s="2">
        <v>46119</v>
      </c>
      <c r="C265" t="s">
        <v>37</v>
      </c>
      <c r="D265" t="s">
        <v>38</v>
      </c>
      <c r="E265" t="s">
        <v>31</v>
      </c>
      <c r="F265" t="s">
        <v>22</v>
      </c>
      <c r="G265" t="s">
        <v>23</v>
      </c>
      <c r="H265" t="s">
        <v>24</v>
      </c>
      <c r="I265">
        <v>52</v>
      </c>
      <c r="J265" s="3">
        <v>251.77</v>
      </c>
      <c r="K265" s="3">
        <v>13092.04</v>
      </c>
      <c r="L265" t="s">
        <v>34</v>
      </c>
      <c r="M265" s="2">
        <v>46124</v>
      </c>
      <c r="N265" s="2">
        <v>46121</v>
      </c>
      <c r="O265" t="s">
        <v>60</v>
      </c>
      <c r="P265" t="s">
        <v>94</v>
      </c>
      <c r="Q265" t="s">
        <v>28</v>
      </c>
      <c r="R265" t="s">
        <v>29</v>
      </c>
      <c r="S265">
        <v>2026</v>
      </c>
      <c r="T265" t="s">
        <v>2741</v>
      </c>
      <c r="U265" t="s">
        <v>2770</v>
      </c>
      <c r="V265" s="4">
        <v>0</v>
      </c>
      <c r="W265" s="4">
        <v>1</v>
      </c>
    </row>
    <row r="266" spans="1:23">
      <c r="A266" t="s">
        <v>391</v>
      </c>
      <c r="B266" s="2">
        <v>45789</v>
      </c>
      <c r="C266" t="s">
        <v>104</v>
      </c>
      <c r="D266" t="s">
        <v>105</v>
      </c>
      <c r="E266" t="s">
        <v>48</v>
      </c>
      <c r="F266" t="s">
        <v>49</v>
      </c>
      <c r="G266" t="s">
        <v>68</v>
      </c>
      <c r="H266" t="s">
        <v>69</v>
      </c>
      <c r="I266">
        <v>1</v>
      </c>
      <c r="J266" s="3">
        <v>48710.85</v>
      </c>
      <c r="K266" s="3">
        <v>48710.85</v>
      </c>
      <c r="L266" t="s">
        <v>52</v>
      </c>
      <c r="M266" s="2">
        <v>45798</v>
      </c>
      <c r="N266" s="2">
        <v>45796</v>
      </c>
      <c r="O266" t="s">
        <v>60</v>
      </c>
      <c r="P266" t="s">
        <v>53</v>
      </c>
      <c r="Q266" t="s">
        <v>28</v>
      </c>
      <c r="R266" t="s">
        <v>29</v>
      </c>
      <c r="S266">
        <v>2025</v>
      </c>
      <c r="T266" t="s">
        <v>2766</v>
      </c>
      <c r="U266" t="s">
        <v>2767</v>
      </c>
      <c r="V266" s="4">
        <v>0</v>
      </c>
      <c r="W266" s="4">
        <v>1</v>
      </c>
    </row>
    <row r="267" spans="1:23">
      <c r="A267" t="s">
        <v>392</v>
      </c>
      <c r="B267" s="2">
        <v>45799</v>
      </c>
      <c r="C267" t="s">
        <v>46</v>
      </c>
      <c r="D267" t="s">
        <v>47</v>
      </c>
      <c r="E267" t="s">
        <v>48</v>
      </c>
      <c r="F267" t="s">
        <v>49</v>
      </c>
      <c r="G267" t="s">
        <v>165</v>
      </c>
      <c r="H267" t="s">
        <v>166</v>
      </c>
      <c r="I267">
        <v>1</v>
      </c>
      <c r="J267" s="3">
        <v>49808.15</v>
      </c>
      <c r="K267" s="3">
        <v>49808.15</v>
      </c>
      <c r="L267" t="s">
        <v>34</v>
      </c>
      <c r="M267" s="2">
        <v>45807</v>
      </c>
      <c r="N267" s="2">
        <v>45805</v>
      </c>
      <c r="O267" t="s">
        <v>26</v>
      </c>
      <c r="P267" t="s">
        <v>53</v>
      </c>
      <c r="Q267" t="s">
        <v>28</v>
      </c>
      <c r="R267" t="s">
        <v>29</v>
      </c>
      <c r="S267">
        <v>2025</v>
      </c>
      <c r="T267" t="s">
        <v>2766</v>
      </c>
      <c r="U267" t="s">
        <v>2767</v>
      </c>
      <c r="V267" s="4">
        <v>0</v>
      </c>
      <c r="W267" s="4">
        <v>1</v>
      </c>
    </row>
    <row r="268" spans="1:23">
      <c r="A268" t="s">
        <v>393</v>
      </c>
      <c r="B268" s="2">
        <v>46173</v>
      </c>
      <c r="C268" t="s">
        <v>19</v>
      </c>
      <c r="D268" t="s">
        <v>20</v>
      </c>
      <c r="E268" t="s">
        <v>31</v>
      </c>
      <c r="F268" t="s">
        <v>22</v>
      </c>
      <c r="G268" t="s">
        <v>23</v>
      </c>
      <c r="H268" t="s">
        <v>24</v>
      </c>
      <c r="I268">
        <v>42</v>
      </c>
      <c r="J268" s="3">
        <v>230.27</v>
      </c>
      <c r="K268" s="3">
        <v>9671.34</v>
      </c>
      <c r="L268" t="s">
        <v>34</v>
      </c>
      <c r="M268" s="2">
        <v>46187</v>
      </c>
      <c r="N268" s="2">
        <v>46184</v>
      </c>
      <c r="O268" t="s">
        <v>76</v>
      </c>
      <c r="P268" t="s">
        <v>35</v>
      </c>
      <c r="Q268" t="s">
        <v>28</v>
      </c>
      <c r="R268" t="s">
        <v>29</v>
      </c>
      <c r="S268">
        <v>2026</v>
      </c>
      <c r="T268" t="s">
        <v>2766</v>
      </c>
      <c r="U268" t="s">
        <v>2769</v>
      </c>
      <c r="V268" s="4">
        <v>0</v>
      </c>
      <c r="W268" s="4">
        <v>1</v>
      </c>
    </row>
    <row r="269" spans="1:23">
      <c r="A269" t="s">
        <v>394</v>
      </c>
      <c r="B269" s="2">
        <v>45671</v>
      </c>
      <c r="C269" t="s">
        <v>19</v>
      </c>
      <c r="D269" t="s">
        <v>20</v>
      </c>
      <c r="E269" t="s">
        <v>39</v>
      </c>
      <c r="F269" t="s">
        <v>22</v>
      </c>
      <c r="G269" t="s">
        <v>23</v>
      </c>
      <c r="H269" t="s">
        <v>24</v>
      </c>
      <c r="I269">
        <v>53</v>
      </c>
      <c r="J269" s="3">
        <v>222.84</v>
      </c>
      <c r="K269" s="3">
        <v>11810.52</v>
      </c>
      <c r="L269" t="s">
        <v>34</v>
      </c>
      <c r="M269" s="2">
        <v>45688</v>
      </c>
      <c r="N269" s="2">
        <v>45694</v>
      </c>
      <c r="O269" t="s">
        <v>26</v>
      </c>
      <c r="P269" t="s">
        <v>64</v>
      </c>
      <c r="Q269" t="s">
        <v>28</v>
      </c>
      <c r="R269" t="s">
        <v>129</v>
      </c>
      <c r="S269">
        <v>2025</v>
      </c>
      <c r="T269" t="s">
        <v>2757</v>
      </c>
      <c r="U269" t="s">
        <v>2768</v>
      </c>
      <c r="V269" s="4">
        <v>6</v>
      </c>
      <c r="W269" s="4">
        <v>0</v>
      </c>
    </row>
    <row r="270" spans="1:23">
      <c r="A270" t="s">
        <v>395</v>
      </c>
      <c r="B270" s="2">
        <v>45960</v>
      </c>
      <c r="C270" t="s">
        <v>117</v>
      </c>
      <c r="D270" t="s">
        <v>118</v>
      </c>
      <c r="E270" t="s">
        <v>31</v>
      </c>
      <c r="F270" t="s">
        <v>57</v>
      </c>
      <c r="G270" t="s">
        <v>74</v>
      </c>
      <c r="H270" t="s">
        <v>75</v>
      </c>
      <c r="I270">
        <v>12</v>
      </c>
      <c r="J270" s="3">
        <v>9054.51</v>
      </c>
      <c r="K270" s="3">
        <v>108654.12</v>
      </c>
      <c r="L270" t="s">
        <v>25</v>
      </c>
      <c r="M270" s="2">
        <v>45973</v>
      </c>
      <c r="N270" s="2">
        <v>45970</v>
      </c>
      <c r="O270" t="s">
        <v>76</v>
      </c>
      <c r="P270" t="s">
        <v>94</v>
      </c>
      <c r="Q270" t="s">
        <v>28</v>
      </c>
      <c r="R270" t="s">
        <v>29</v>
      </c>
      <c r="S270">
        <v>2025</v>
      </c>
      <c r="T270" t="s">
        <v>2749</v>
      </c>
      <c r="U270" t="s">
        <v>2750</v>
      </c>
      <c r="V270" s="4">
        <v>0</v>
      </c>
      <c r="W270" s="4">
        <v>1</v>
      </c>
    </row>
    <row r="271" spans="1:23">
      <c r="A271" t="s">
        <v>396</v>
      </c>
      <c r="B271" s="2">
        <v>46048</v>
      </c>
      <c r="C271" t="s">
        <v>66</v>
      </c>
      <c r="D271" t="s">
        <v>67</v>
      </c>
      <c r="E271" t="s">
        <v>112</v>
      </c>
      <c r="F271" t="s">
        <v>49</v>
      </c>
      <c r="G271" t="s">
        <v>165</v>
      </c>
      <c r="H271" t="s">
        <v>166</v>
      </c>
      <c r="I271">
        <v>1</v>
      </c>
      <c r="J271" s="3">
        <v>42115.360000000001</v>
      </c>
      <c r="K271" s="3">
        <v>42115.360000000001</v>
      </c>
      <c r="L271" t="s">
        <v>34</v>
      </c>
      <c r="M271" s="2">
        <v>46056</v>
      </c>
      <c r="N271" s="2">
        <v>46053</v>
      </c>
      <c r="O271" t="s">
        <v>76</v>
      </c>
      <c r="P271" t="s">
        <v>115</v>
      </c>
      <c r="Q271" t="s">
        <v>28</v>
      </c>
      <c r="R271" t="s">
        <v>29</v>
      </c>
      <c r="S271">
        <v>2026</v>
      </c>
      <c r="T271" t="s">
        <v>2757</v>
      </c>
      <c r="U271" t="s">
        <v>2758</v>
      </c>
      <c r="V271" s="4">
        <v>0</v>
      </c>
      <c r="W271" s="4">
        <v>1</v>
      </c>
    </row>
    <row r="272" spans="1:23">
      <c r="A272" t="s">
        <v>397</v>
      </c>
      <c r="B272" s="2">
        <v>45856</v>
      </c>
      <c r="C272" t="s">
        <v>96</v>
      </c>
      <c r="D272" t="s">
        <v>97</v>
      </c>
      <c r="E272" t="s">
        <v>39</v>
      </c>
      <c r="F272" t="s">
        <v>82</v>
      </c>
      <c r="G272" t="s">
        <v>83</v>
      </c>
      <c r="H272" t="s">
        <v>84</v>
      </c>
      <c r="I272">
        <v>37</v>
      </c>
      <c r="J272" s="3">
        <v>709.49</v>
      </c>
      <c r="K272" s="3">
        <v>26251.13</v>
      </c>
      <c r="L272" t="s">
        <v>25</v>
      </c>
      <c r="M272" s="2">
        <v>45862</v>
      </c>
      <c r="N272" s="2">
        <v>45859</v>
      </c>
      <c r="O272" t="s">
        <v>76</v>
      </c>
      <c r="P272" t="s">
        <v>64</v>
      </c>
      <c r="Q272" t="s">
        <v>28</v>
      </c>
      <c r="R272" t="s">
        <v>29</v>
      </c>
      <c r="S272">
        <v>2025</v>
      </c>
      <c r="T272" t="s">
        <v>2759</v>
      </c>
      <c r="U272" t="s">
        <v>2760</v>
      </c>
      <c r="V272" s="4">
        <v>0</v>
      </c>
      <c r="W272" s="4">
        <v>1</v>
      </c>
    </row>
    <row r="273" spans="1:23">
      <c r="A273" t="s">
        <v>398</v>
      </c>
      <c r="B273" s="2">
        <v>45822</v>
      </c>
      <c r="C273" t="s">
        <v>46</v>
      </c>
      <c r="D273" t="s">
        <v>47</v>
      </c>
      <c r="E273" t="s">
        <v>21</v>
      </c>
      <c r="F273" t="s">
        <v>49</v>
      </c>
      <c r="G273" t="s">
        <v>68</v>
      </c>
      <c r="H273" t="s">
        <v>69</v>
      </c>
      <c r="I273">
        <v>1</v>
      </c>
      <c r="J273" s="3">
        <v>49553.69</v>
      </c>
      <c r="K273" s="3">
        <v>49553.69</v>
      </c>
      <c r="L273" t="s">
        <v>25</v>
      </c>
      <c r="M273" s="2">
        <v>45832</v>
      </c>
      <c r="N273" s="2">
        <v>45830</v>
      </c>
      <c r="O273" t="s">
        <v>76</v>
      </c>
      <c r="P273" t="s">
        <v>27</v>
      </c>
      <c r="Q273" t="s">
        <v>28</v>
      </c>
      <c r="R273" t="s">
        <v>29</v>
      </c>
      <c r="S273">
        <v>2025</v>
      </c>
      <c r="T273" t="s">
        <v>2743</v>
      </c>
      <c r="U273" t="s">
        <v>2756</v>
      </c>
      <c r="V273" s="4">
        <v>0</v>
      </c>
      <c r="W273" s="4">
        <v>1</v>
      </c>
    </row>
    <row r="274" spans="1:23">
      <c r="A274" t="s">
        <v>399</v>
      </c>
      <c r="B274" s="2">
        <v>45983</v>
      </c>
      <c r="C274" t="s">
        <v>66</v>
      </c>
      <c r="D274" t="s">
        <v>67</v>
      </c>
      <c r="E274" t="s">
        <v>112</v>
      </c>
      <c r="F274" t="s">
        <v>49</v>
      </c>
      <c r="G274" t="s">
        <v>113</v>
      </c>
      <c r="H274" t="s">
        <v>114</v>
      </c>
      <c r="I274">
        <v>3</v>
      </c>
      <c r="J274" s="3">
        <v>35914.300000000003</v>
      </c>
      <c r="K274" s="3">
        <v>107742.9</v>
      </c>
      <c r="L274" t="s">
        <v>25</v>
      </c>
      <c r="M274" s="2">
        <v>45996</v>
      </c>
      <c r="N274" s="2">
        <v>45994</v>
      </c>
      <c r="O274" t="s">
        <v>26</v>
      </c>
      <c r="P274" t="s">
        <v>115</v>
      </c>
      <c r="Q274" t="s">
        <v>28</v>
      </c>
      <c r="R274" t="s">
        <v>29</v>
      </c>
      <c r="S274">
        <v>2025</v>
      </c>
      <c r="T274" t="s">
        <v>2763</v>
      </c>
      <c r="U274" t="s">
        <v>2764</v>
      </c>
      <c r="V274" s="4">
        <v>0</v>
      </c>
      <c r="W274" s="4">
        <v>1</v>
      </c>
    </row>
    <row r="275" spans="1:23">
      <c r="A275" t="s">
        <v>400</v>
      </c>
      <c r="B275" s="2">
        <v>45997</v>
      </c>
      <c r="C275" t="s">
        <v>96</v>
      </c>
      <c r="D275" t="s">
        <v>97</v>
      </c>
      <c r="E275" t="s">
        <v>39</v>
      </c>
      <c r="F275" t="s">
        <v>82</v>
      </c>
      <c r="G275" t="s">
        <v>197</v>
      </c>
      <c r="H275" t="s">
        <v>198</v>
      </c>
      <c r="I275">
        <v>53</v>
      </c>
      <c r="J275" s="3">
        <v>2143.31</v>
      </c>
      <c r="K275" s="3">
        <v>113595.43</v>
      </c>
      <c r="L275" t="s">
        <v>25</v>
      </c>
      <c r="M275" s="2">
        <v>46012</v>
      </c>
      <c r="N275" s="2">
        <v>46024</v>
      </c>
      <c r="O275" t="s">
        <v>26</v>
      </c>
      <c r="P275" t="s">
        <v>64</v>
      </c>
      <c r="Q275" t="s">
        <v>28</v>
      </c>
      <c r="R275" t="s">
        <v>129</v>
      </c>
      <c r="S275">
        <v>2025</v>
      </c>
      <c r="T275" t="s">
        <v>2745</v>
      </c>
      <c r="U275" t="s">
        <v>2746</v>
      </c>
      <c r="V275" s="4">
        <v>12</v>
      </c>
      <c r="W275" s="4">
        <v>0</v>
      </c>
    </row>
    <row r="276" spans="1:23">
      <c r="A276" t="s">
        <v>401</v>
      </c>
      <c r="B276" s="2">
        <v>45986</v>
      </c>
      <c r="C276" t="s">
        <v>55</v>
      </c>
      <c r="D276" t="s">
        <v>56</v>
      </c>
      <c r="E276" t="s">
        <v>48</v>
      </c>
      <c r="F276" t="s">
        <v>57</v>
      </c>
      <c r="G276" t="s">
        <v>74</v>
      </c>
      <c r="H276" t="s">
        <v>75</v>
      </c>
      <c r="I276">
        <v>1</v>
      </c>
      <c r="J276" s="3">
        <v>9853.82</v>
      </c>
      <c r="K276" s="3">
        <v>9853.82</v>
      </c>
      <c r="L276" t="s">
        <v>25</v>
      </c>
      <c r="M276" s="2">
        <v>45999</v>
      </c>
      <c r="N276" s="2">
        <v>45997</v>
      </c>
      <c r="O276" t="s">
        <v>60</v>
      </c>
      <c r="P276" t="s">
        <v>53</v>
      </c>
      <c r="Q276" t="s">
        <v>28</v>
      </c>
      <c r="R276" t="s">
        <v>29</v>
      </c>
      <c r="S276">
        <v>2025</v>
      </c>
      <c r="T276" t="s">
        <v>2763</v>
      </c>
      <c r="U276" t="s">
        <v>2764</v>
      </c>
      <c r="V276" s="4">
        <v>0</v>
      </c>
      <c r="W276" s="4">
        <v>1</v>
      </c>
    </row>
    <row r="277" spans="1:23">
      <c r="A277" t="s">
        <v>402</v>
      </c>
      <c r="B277" s="2">
        <v>45702</v>
      </c>
      <c r="C277" t="s">
        <v>66</v>
      </c>
      <c r="D277" t="s">
        <v>67</v>
      </c>
      <c r="E277" t="s">
        <v>48</v>
      </c>
      <c r="F277" t="s">
        <v>49</v>
      </c>
      <c r="G277" t="s">
        <v>113</v>
      </c>
      <c r="H277" t="s">
        <v>114</v>
      </c>
      <c r="I277">
        <v>3</v>
      </c>
      <c r="J277" s="3">
        <v>35940.92</v>
      </c>
      <c r="K277" s="3">
        <v>107822.76</v>
      </c>
      <c r="L277" t="s">
        <v>25</v>
      </c>
      <c r="M277" s="2">
        <v>45715</v>
      </c>
      <c r="N277" s="2">
        <v>45718</v>
      </c>
      <c r="O277" t="s">
        <v>26</v>
      </c>
      <c r="P277" t="s">
        <v>53</v>
      </c>
      <c r="Q277" t="s">
        <v>28</v>
      </c>
      <c r="R277" t="s">
        <v>129</v>
      </c>
      <c r="S277">
        <v>2025</v>
      </c>
      <c r="T277" t="s">
        <v>2751</v>
      </c>
      <c r="U277" t="s">
        <v>2752</v>
      </c>
      <c r="V277" s="4">
        <v>3</v>
      </c>
      <c r="W277" s="4">
        <v>0</v>
      </c>
    </row>
    <row r="278" spans="1:23">
      <c r="A278" t="s">
        <v>403</v>
      </c>
      <c r="B278" s="2">
        <v>45764</v>
      </c>
      <c r="C278" t="s">
        <v>46</v>
      </c>
      <c r="D278" t="s">
        <v>47</v>
      </c>
      <c r="E278" t="s">
        <v>48</v>
      </c>
      <c r="F278" t="s">
        <v>49</v>
      </c>
      <c r="G278" t="s">
        <v>113</v>
      </c>
      <c r="H278" t="s">
        <v>114</v>
      </c>
      <c r="I278">
        <v>2</v>
      </c>
      <c r="J278" s="3">
        <v>39226.19</v>
      </c>
      <c r="K278" s="3">
        <v>78452.38</v>
      </c>
      <c r="L278" t="s">
        <v>25</v>
      </c>
      <c r="M278" s="2">
        <v>45780</v>
      </c>
      <c r="N278" s="2">
        <v>45780</v>
      </c>
      <c r="O278" t="s">
        <v>26</v>
      </c>
      <c r="P278" t="s">
        <v>53</v>
      </c>
      <c r="Q278" t="s">
        <v>28</v>
      </c>
      <c r="R278" t="s">
        <v>29</v>
      </c>
      <c r="S278">
        <v>2025</v>
      </c>
      <c r="T278" t="s">
        <v>2741</v>
      </c>
      <c r="U278" t="s">
        <v>2742</v>
      </c>
      <c r="V278" s="4">
        <v>0</v>
      </c>
      <c r="W278" s="4">
        <v>1</v>
      </c>
    </row>
    <row r="279" spans="1:23">
      <c r="A279" t="s">
        <v>404</v>
      </c>
      <c r="B279" s="2">
        <v>45730</v>
      </c>
      <c r="C279" t="s">
        <v>134</v>
      </c>
      <c r="D279" t="s">
        <v>135</v>
      </c>
      <c r="E279" t="s">
        <v>39</v>
      </c>
      <c r="F279" t="s">
        <v>40</v>
      </c>
      <c r="G279" t="s">
        <v>62</v>
      </c>
      <c r="H279" t="s">
        <v>63</v>
      </c>
      <c r="I279">
        <v>7</v>
      </c>
      <c r="J279" s="3">
        <v>18809.310000000001</v>
      </c>
      <c r="K279" s="3">
        <v>131665.17000000001</v>
      </c>
      <c r="L279" t="s">
        <v>25</v>
      </c>
      <c r="M279" s="2">
        <v>45740</v>
      </c>
      <c r="N279" s="2">
        <v>45752</v>
      </c>
      <c r="O279" t="s">
        <v>43</v>
      </c>
      <c r="P279" t="s">
        <v>64</v>
      </c>
      <c r="Q279" t="s">
        <v>28</v>
      </c>
      <c r="R279" t="s">
        <v>129</v>
      </c>
      <c r="S279">
        <v>2025</v>
      </c>
      <c r="T279" t="s">
        <v>2747</v>
      </c>
      <c r="U279" t="s">
        <v>2748</v>
      </c>
      <c r="V279" s="4">
        <v>12</v>
      </c>
      <c r="W279" s="4">
        <v>0</v>
      </c>
    </row>
    <row r="280" spans="1:23">
      <c r="A280" t="s">
        <v>405</v>
      </c>
      <c r="B280" s="2">
        <v>45732</v>
      </c>
      <c r="C280" t="s">
        <v>55</v>
      </c>
      <c r="D280" t="s">
        <v>56</v>
      </c>
      <c r="E280" t="s">
        <v>31</v>
      </c>
      <c r="F280" t="s">
        <v>57</v>
      </c>
      <c r="G280" t="s">
        <v>120</v>
      </c>
      <c r="H280" t="s">
        <v>121</v>
      </c>
      <c r="I280">
        <v>8</v>
      </c>
      <c r="J280" s="3">
        <v>23517.19</v>
      </c>
      <c r="K280" s="3">
        <v>188137.52</v>
      </c>
      <c r="L280" t="s">
        <v>25</v>
      </c>
      <c r="M280" s="2">
        <v>45743</v>
      </c>
      <c r="N280" s="2">
        <v>45743</v>
      </c>
      <c r="O280" t="s">
        <v>26</v>
      </c>
      <c r="P280" t="s">
        <v>94</v>
      </c>
      <c r="Q280" t="s">
        <v>28</v>
      </c>
      <c r="R280" t="s">
        <v>29</v>
      </c>
      <c r="S280">
        <v>2025</v>
      </c>
      <c r="T280" t="s">
        <v>2747</v>
      </c>
      <c r="U280" t="s">
        <v>2748</v>
      </c>
      <c r="V280" s="4">
        <v>0</v>
      </c>
      <c r="W280" s="4">
        <v>1</v>
      </c>
    </row>
    <row r="281" spans="1:23">
      <c r="A281" t="s">
        <v>406</v>
      </c>
      <c r="B281" s="2">
        <v>45805</v>
      </c>
      <c r="C281" t="s">
        <v>66</v>
      </c>
      <c r="D281" t="s">
        <v>67</v>
      </c>
      <c r="E281" t="s">
        <v>112</v>
      </c>
      <c r="F281" t="s">
        <v>49</v>
      </c>
      <c r="G281" t="s">
        <v>165</v>
      </c>
      <c r="H281" t="s">
        <v>166</v>
      </c>
      <c r="I281">
        <v>3</v>
      </c>
      <c r="J281" s="3">
        <v>41947.8</v>
      </c>
      <c r="K281" s="3">
        <v>125843.4</v>
      </c>
      <c r="L281" t="s">
        <v>34</v>
      </c>
      <c r="M281" s="2">
        <v>45812</v>
      </c>
      <c r="N281" s="2">
        <v>45812</v>
      </c>
      <c r="O281" t="s">
        <v>60</v>
      </c>
      <c r="P281" t="s">
        <v>115</v>
      </c>
      <c r="Q281" t="s">
        <v>28</v>
      </c>
      <c r="R281" t="s">
        <v>29</v>
      </c>
      <c r="S281">
        <v>2025</v>
      </c>
      <c r="T281" t="s">
        <v>2766</v>
      </c>
      <c r="U281" t="s">
        <v>2767</v>
      </c>
      <c r="V281" s="4">
        <v>0</v>
      </c>
      <c r="W281" s="4">
        <v>1</v>
      </c>
    </row>
    <row r="282" spans="1:23">
      <c r="A282" t="s">
        <v>407</v>
      </c>
      <c r="B282" s="2">
        <v>45970</v>
      </c>
      <c r="C282" t="s">
        <v>104</v>
      </c>
      <c r="D282" t="s">
        <v>105</v>
      </c>
      <c r="E282" t="s">
        <v>48</v>
      </c>
      <c r="F282" t="s">
        <v>49</v>
      </c>
      <c r="G282" t="s">
        <v>50</v>
      </c>
      <c r="H282" t="s">
        <v>51</v>
      </c>
      <c r="I282">
        <v>3</v>
      </c>
      <c r="J282" s="3">
        <v>52942.96</v>
      </c>
      <c r="K282" s="3">
        <v>158828.88</v>
      </c>
      <c r="L282" t="s">
        <v>34</v>
      </c>
      <c r="M282" s="2">
        <v>45977</v>
      </c>
      <c r="N282" s="2">
        <v>45976</v>
      </c>
      <c r="O282" t="s">
        <v>76</v>
      </c>
      <c r="P282" t="s">
        <v>53</v>
      </c>
      <c r="Q282" t="s">
        <v>28</v>
      </c>
      <c r="R282" t="s">
        <v>29</v>
      </c>
      <c r="S282">
        <v>2025</v>
      </c>
      <c r="T282" t="s">
        <v>2763</v>
      </c>
      <c r="U282" t="s">
        <v>2764</v>
      </c>
      <c r="V282" s="4">
        <v>0</v>
      </c>
      <c r="W282" s="4">
        <v>1</v>
      </c>
    </row>
    <row r="283" spans="1:23">
      <c r="A283" t="s">
        <v>408</v>
      </c>
      <c r="B283" s="2">
        <v>45775</v>
      </c>
      <c r="C283" t="s">
        <v>71</v>
      </c>
      <c r="D283" t="s">
        <v>72</v>
      </c>
      <c r="E283" t="s">
        <v>48</v>
      </c>
      <c r="F283" t="s">
        <v>57</v>
      </c>
      <c r="G283" t="s">
        <v>127</v>
      </c>
      <c r="H283" t="s">
        <v>128</v>
      </c>
      <c r="I283">
        <v>5</v>
      </c>
      <c r="J283" s="3">
        <v>15432.77</v>
      </c>
      <c r="K283" s="3">
        <v>77163.850000000006</v>
      </c>
      <c r="L283" t="s">
        <v>25</v>
      </c>
      <c r="M283" s="2">
        <v>45790</v>
      </c>
      <c r="N283" s="2">
        <v>45793</v>
      </c>
      <c r="O283" t="s">
        <v>60</v>
      </c>
      <c r="P283" t="s">
        <v>53</v>
      </c>
      <c r="Q283" t="s">
        <v>28</v>
      </c>
      <c r="R283" t="s">
        <v>129</v>
      </c>
      <c r="S283">
        <v>2025</v>
      </c>
      <c r="T283" t="s">
        <v>2741</v>
      </c>
      <c r="U283" t="s">
        <v>2742</v>
      </c>
      <c r="V283" s="4">
        <v>3</v>
      </c>
      <c r="W283" s="4">
        <v>0</v>
      </c>
    </row>
    <row r="284" spans="1:23">
      <c r="A284" t="s">
        <v>409</v>
      </c>
      <c r="B284" s="2">
        <v>46023</v>
      </c>
      <c r="C284" t="s">
        <v>71</v>
      </c>
      <c r="D284" t="s">
        <v>72</v>
      </c>
      <c r="E284" t="s">
        <v>48</v>
      </c>
      <c r="F284" t="s">
        <v>57</v>
      </c>
      <c r="G284" t="s">
        <v>58</v>
      </c>
      <c r="H284" t="s">
        <v>59</v>
      </c>
      <c r="I284">
        <v>6</v>
      </c>
      <c r="J284" s="3">
        <v>55418.2</v>
      </c>
      <c r="K284" s="3">
        <v>332509.2</v>
      </c>
      <c r="L284" t="s">
        <v>34</v>
      </c>
      <c r="M284" s="2">
        <v>46035</v>
      </c>
      <c r="N284" s="2">
        <v>46033</v>
      </c>
      <c r="O284" t="s">
        <v>26</v>
      </c>
      <c r="P284" t="s">
        <v>53</v>
      </c>
      <c r="Q284" t="s">
        <v>28</v>
      </c>
      <c r="R284" t="s">
        <v>29</v>
      </c>
      <c r="S284">
        <v>2026</v>
      </c>
      <c r="T284" t="s">
        <v>2757</v>
      </c>
      <c r="U284" t="s">
        <v>2758</v>
      </c>
      <c r="V284" s="4">
        <v>0</v>
      </c>
      <c r="W284" s="4">
        <v>1</v>
      </c>
    </row>
    <row r="285" spans="1:23">
      <c r="A285" t="s">
        <v>410</v>
      </c>
      <c r="B285" s="2">
        <v>45830</v>
      </c>
      <c r="C285" t="s">
        <v>19</v>
      </c>
      <c r="D285" t="s">
        <v>20</v>
      </c>
      <c r="E285" t="s">
        <v>21</v>
      </c>
      <c r="F285" t="s">
        <v>22</v>
      </c>
      <c r="G285" t="s">
        <v>32</v>
      </c>
      <c r="H285" t="s">
        <v>33</v>
      </c>
      <c r="I285">
        <v>14</v>
      </c>
      <c r="J285" s="3">
        <v>7248.57</v>
      </c>
      <c r="K285" s="3">
        <v>101479.98</v>
      </c>
      <c r="L285" t="s">
        <v>25</v>
      </c>
      <c r="M285" s="2">
        <v>45840</v>
      </c>
      <c r="N285" s="2">
        <v>45853</v>
      </c>
      <c r="O285" t="s">
        <v>60</v>
      </c>
      <c r="P285" t="s">
        <v>27</v>
      </c>
      <c r="Q285" t="s">
        <v>28</v>
      </c>
      <c r="R285" t="s">
        <v>129</v>
      </c>
      <c r="S285">
        <v>2025</v>
      </c>
      <c r="T285" t="s">
        <v>2743</v>
      </c>
      <c r="U285" t="s">
        <v>2756</v>
      </c>
      <c r="V285" s="4">
        <v>13</v>
      </c>
      <c r="W285" s="4">
        <v>0</v>
      </c>
    </row>
    <row r="286" spans="1:23">
      <c r="A286" t="s">
        <v>411</v>
      </c>
      <c r="B286" s="2">
        <v>46114</v>
      </c>
      <c r="C286" t="s">
        <v>117</v>
      </c>
      <c r="D286" t="s">
        <v>118</v>
      </c>
      <c r="E286" t="s">
        <v>21</v>
      </c>
      <c r="F286" t="s">
        <v>57</v>
      </c>
      <c r="G286" t="s">
        <v>101</v>
      </c>
      <c r="H286" t="s">
        <v>102</v>
      </c>
      <c r="I286">
        <v>58</v>
      </c>
      <c r="J286" s="3">
        <v>1839.46</v>
      </c>
      <c r="K286" s="3">
        <v>106688.68</v>
      </c>
      <c r="L286" t="s">
        <v>52</v>
      </c>
      <c r="M286" s="2">
        <v>46123</v>
      </c>
      <c r="N286" s="2">
        <v>46122</v>
      </c>
      <c r="O286" t="s">
        <v>26</v>
      </c>
      <c r="P286" t="s">
        <v>27</v>
      </c>
      <c r="Q286" t="s">
        <v>28</v>
      </c>
      <c r="R286" t="s">
        <v>29</v>
      </c>
      <c r="S286">
        <v>2026</v>
      </c>
      <c r="T286" t="s">
        <v>2741</v>
      </c>
      <c r="U286" t="s">
        <v>2770</v>
      </c>
      <c r="V286" s="4">
        <v>0</v>
      </c>
      <c r="W286" s="4">
        <v>1</v>
      </c>
    </row>
    <row r="287" spans="1:23">
      <c r="A287" t="s">
        <v>412</v>
      </c>
      <c r="B287" s="2">
        <v>45736</v>
      </c>
      <c r="C287" t="s">
        <v>66</v>
      </c>
      <c r="D287" t="s">
        <v>67</v>
      </c>
      <c r="E287" t="s">
        <v>112</v>
      </c>
      <c r="F287" t="s">
        <v>49</v>
      </c>
      <c r="G287" t="s">
        <v>113</v>
      </c>
      <c r="H287" t="s">
        <v>114</v>
      </c>
      <c r="I287">
        <v>3</v>
      </c>
      <c r="J287" s="3">
        <v>37306.050000000003</v>
      </c>
      <c r="K287" s="3">
        <v>111918.15</v>
      </c>
      <c r="L287" t="s">
        <v>25</v>
      </c>
      <c r="M287" s="2">
        <v>45744</v>
      </c>
      <c r="N287" s="2">
        <v>45742</v>
      </c>
      <c r="O287" t="s">
        <v>60</v>
      </c>
      <c r="P287" t="s">
        <v>115</v>
      </c>
      <c r="Q287" t="s">
        <v>28</v>
      </c>
      <c r="R287" t="s">
        <v>29</v>
      </c>
      <c r="S287">
        <v>2025</v>
      </c>
      <c r="T287" t="s">
        <v>2747</v>
      </c>
      <c r="U287" t="s">
        <v>2748</v>
      </c>
      <c r="V287" s="4">
        <v>0</v>
      </c>
      <c r="W287" s="4">
        <v>1</v>
      </c>
    </row>
    <row r="288" spans="1:23">
      <c r="A288" t="s">
        <v>413</v>
      </c>
      <c r="B288" s="2">
        <v>46032</v>
      </c>
      <c r="C288" t="s">
        <v>104</v>
      </c>
      <c r="D288" t="s">
        <v>105</v>
      </c>
      <c r="E288" t="s">
        <v>112</v>
      </c>
      <c r="F288" t="s">
        <v>49</v>
      </c>
      <c r="G288" t="s">
        <v>165</v>
      </c>
      <c r="H288" t="s">
        <v>166</v>
      </c>
      <c r="I288">
        <v>1</v>
      </c>
      <c r="J288" s="3">
        <v>45229.55</v>
      </c>
      <c r="K288" s="3">
        <v>45229.55</v>
      </c>
      <c r="L288" t="s">
        <v>34</v>
      </c>
      <c r="M288" s="2">
        <v>46043</v>
      </c>
      <c r="N288" s="2">
        <v>46043</v>
      </c>
      <c r="O288" t="s">
        <v>26</v>
      </c>
      <c r="P288" t="s">
        <v>115</v>
      </c>
      <c r="Q288" t="s">
        <v>28</v>
      </c>
      <c r="R288" t="s">
        <v>29</v>
      </c>
      <c r="S288">
        <v>2026</v>
      </c>
      <c r="T288" t="s">
        <v>2757</v>
      </c>
      <c r="U288" t="s">
        <v>2758</v>
      </c>
      <c r="V288" s="4">
        <v>0</v>
      </c>
      <c r="W288" s="4">
        <v>1</v>
      </c>
    </row>
    <row r="289" spans="1:23">
      <c r="A289" t="s">
        <v>414</v>
      </c>
      <c r="B289" s="2">
        <v>46114</v>
      </c>
      <c r="C289" t="s">
        <v>37</v>
      </c>
      <c r="D289" t="s">
        <v>38</v>
      </c>
      <c r="E289" t="s">
        <v>31</v>
      </c>
      <c r="F289" t="s">
        <v>22</v>
      </c>
      <c r="G289" t="s">
        <v>32</v>
      </c>
      <c r="H289" t="s">
        <v>33</v>
      </c>
      <c r="I289">
        <v>12</v>
      </c>
      <c r="J289" s="3">
        <v>8121.98</v>
      </c>
      <c r="K289" s="3">
        <v>97463.76</v>
      </c>
      <c r="L289" t="s">
        <v>25</v>
      </c>
      <c r="M289" s="2">
        <v>46126</v>
      </c>
      <c r="N289" s="2">
        <v>46126</v>
      </c>
      <c r="O289" t="s">
        <v>60</v>
      </c>
      <c r="P289" t="s">
        <v>94</v>
      </c>
      <c r="Q289" t="s">
        <v>28</v>
      </c>
      <c r="R289" t="s">
        <v>29</v>
      </c>
      <c r="S289">
        <v>2026</v>
      </c>
      <c r="T289" t="s">
        <v>2741</v>
      </c>
      <c r="U289" t="s">
        <v>2770</v>
      </c>
      <c r="V289" s="4">
        <v>0</v>
      </c>
      <c r="W289" s="4">
        <v>1</v>
      </c>
    </row>
    <row r="290" spans="1:23">
      <c r="A290" t="s">
        <v>415</v>
      </c>
      <c r="B290" s="2">
        <v>45722</v>
      </c>
      <c r="C290" t="s">
        <v>80</v>
      </c>
      <c r="D290" t="s">
        <v>81</v>
      </c>
      <c r="E290" t="s">
        <v>39</v>
      </c>
      <c r="F290" t="s">
        <v>82</v>
      </c>
      <c r="G290" t="s">
        <v>83</v>
      </c>
      <c r="H290" t="s">
        <v>84</v>
      </c>
      <c r="I290">
        <v>29</v>
      </c>
      <c r="J290" s="3">
        <v>705.36</v>
      </c>
      <c r="K290" s="3">
        <v>20455.439999999999</v>
      </c>
      <c r="L290" t="s">
        <v>25</v>
      </c>
      <c r="M290" s="2">
        <v>45734</v>
      </c>
      <c r="N290" s="2">
        <v>45734</v>
      </c>
      <c r="O290" t="s">
        <v>76</v>
      </c>
      <c r="P290" t="s">
        <v>64</v>
      </c>
      <c r="Q290" t="s">
        <v>28</v>
      </c>
      <c r="R290" t="s">
        <v>29</v>
      </c>
      <c r="S290">
        <v>2025</v>
      </c>
      <c r="T290" t="s">
        <v>2747</v>
      </c>
      <c r="U290" t="s">
        <v>2748</v>
      </c>
      <c r="V290" s="4">
        <v>0</v>
      </c>
      <c r="W290" s="4">
        <v>1</v>
      </c>
    </row>
    <row r="291" spans="1:23">
      <c r="A291" t="s">
        <v>416</v>
      </c>
      <c r="B291" s="2">
        <v>46191</v>
      </c>
      <c r="C291" t="s">
        <v>71</v>
      </c>
      <c r="D291" t="s">
        <v>72</v>
      </c>
      <c r="E291" t="s">
        <v>21</v>
      </c>
      <c r="F291" t="s">
        <v>57</v>
      </c>
      <c r="G291" t="s">
        <v>58</v>
      </c>
      <c r="H291" t="s">
        <v>59</v>
      </c>
      <c r="I291">
        <v>7</v>
      </c>
      <c r="J291" s="3">
        <v>53837.32</v>
      </c>
      <c r="K291" s="3">
        <v>376861.24</v>
      </c>
      <c r="L291" t="s">
        <v>25</v>
      </c>
      <c r="M291" s="2">
        <v>46206</v>
      </c>
      <c r="N291" s="2">
        <v>46206</v>
      </c>
      <c r="O291" t="s">
        <v>26</v>
      </c>
      <c r="P291" t="s">
        <v>27</v>
      </c>
      <c r="Q291" t="s">
        <v>28</v>
      </c>
      <c r="R291" t="s">
        <v>29</v>
      </c>
      <c r="S291">
        <v>2026</v>
      </c>
      <c r="T291" t="s">
        <v>2743</v>
      </c>
      <c r="U291" t="s">
        <v>2744</v>
      </c>
      <c r="V291" s="4">
        <v>0</v>
      </c>
      <c r="W291" s="4">
        <v>1</v>
      </c>
    </row>
    <row r="292" spans="1:23">
      <c r="A292" t="s">
        <v>417</v>
      </c>
      <c r="B292" s="2">
        <v>46011</v>
      </c>
      <c r="C292" t="s">
        <v>19</v>
      </c>
      <c r="D292" t="s">
        <v>20</v>
      </c>
      <c r="E292" t="s">
        <v>31</v>
      </c>
      <c r="F292" t="s">
        <v>22</v>
      </c>
      <c r="G292" t="s">
        <v>23</v>
      </c>
      <c r="H292" t="s">
        <v>24</v>
      </c>
      <c r="I292">
        <v>15</v>
      </c>
      <c r="J292" s="3">
        <v>221.59</v>
      </c>
      <c r="K292" s="3">
        <v>3323.85</v>
      </c>
      <c r="L292" t="s">
        <v>25</v>
      </c>
      <c r="M292" s="2">
        <v>46019</v>
      </c>
      <c r="N292" s="2">
        <v>46031</v>
      </c>
      <c r="O292" t="s">
        <v>26</v>
      </c>
      <c r="P292" t="s">
        <v>94</v>
      </c>
      <c r="Q292" t="s">
        <v>28</v>
      </c>
      <c r="R292" t="s">
        <v>129</v>
      </c>
      <c r="S292">
        <v>2025</v>
      </c>
      <c r="T292" t="s">
        <v>2745</v>
      </c>
      <c r="U292" t="s">
        <v>2746</v>
      </c>
      <c r="V292" s="4">
        <v>12</v>
      </c>
      <c r="W292" s="4">
        <v>0</v>
      </c>
    </row>
    <row r="293" spans="1:23">
      <c r="A293" t="s">
        <v>418</v>
      </c>
      <c r="B293" s="2">
        <v>45819</v>
      </c>
      <c r="C293" t="s">
        <v>55</v>
      </c>
      <c r="D293" t="s">
        <v>56</v>
      </c>
      <c r="E293" t="s">
        <v>48</v>
      </c>
      <c r="F293" t="s">
        <v>57</v>
      </c>
      <c r="G293" t="s">
        <v>120</v>
      </c>
      <c r="H293" t="s">
        <v>121</v>
      </c>
      <c r="I293">
        <v>2</v>
      </c>
      <c r="J293" s="3">
        <v>25102.03</v>
      </c>
      <c r="K293" s="3">
        <v>50204.06</v>
      </c>
      <c r="L293" t="s">
        <v>25</v>
      </c>
      <c r="M293" s="2">
        <v>45831</v>
      </c>
      <c r="N293" s="2">
        <v>45828</v>
      </c>
      <c r="O293" t="s">
        <v>26</v>
      </c>
      <c r="P293" t="s">
        <v>53</v>
      </c>
      <c r="Q293" t="s">
        <v>28</v>
      </c>
      <c r="R293" t="s">
        <v>29</v>
      </c>
      <c r="S293">
        <v>2025</v>
      </c>
      <c r="T293" t="s">
        <v>2743</v>
      </c>
      <c r="U293" t="s">
        <v>2756</v>
      </c>
      <c r="V293" s="4">
        <v>0</v>
      </c>
      <c r="W293" s="4">
        <v>1</v>
      </c>
    </row>
    <row r="294" spans="1:23">
      <c r="A294" t="s">
        <v>419</v>
      </c>
      <c r="B294" s="2">
        <v>45680</v>
      </c>
      <c r="C294" t="s">
        <v>96</v>
      </c>
      <c r="D294" t="s">
        <v>97</v>
      </c>
      <c r="E294" t="s">
        <v>39</v>
      </c>
      <c r="F294" t="s">
        <v>82</v>
      </c>
      <c r="G294" t="s">
        <v>83</v>
      </c>
      <c r="H294" t="s">
        <v>84</v>
      </c>
      <c r="I294">
        <v>41</v>
      </c>
      <c r="J294" s="3">
        <v>731.66</v>
      </c>
      <c r="K294" s="3">
        <v>29998.06</v>
      </c>
      <c r="L294" t="s">
        <v>52</v>
      </c>
      <c r="M294" s="2">
        <v>45687</v>
      </c>
      <c r="N294" s="2">
        <v>45685</v>
      </c>
      <c r="O294" t="s">
        <v>60</v>
      </c>
      <c r="P294" t="s">
        <v>64</v>
      </c>
      <c r="Q294" t="s">
        <v>28</v>
      </c>
      <c r="R294" t="s">
        <v>29</v>
      </c>
      <c r="S294">
        <v>2025</v>
      </c>
      <c r="T294" t="s">
        <v>2757</v>
      </c>
      <c r="U294" t="s">
        <v>2768</v>
      </c>
      <c r="V294" s="4">
        <v>0</v>
      </c>
      <c r="W294" s="4">
        <v>1</v>
      </c>
    </row>
    <row r="295" spans="1:23">
      <c r="A295" t="s">
        <v>420</v>
      </c>
      <c r="B295" s="2">
        <v>45879</v>
      </c>
      <c r="C295" t="s">
        <v>37</v>
      </c>
      <c r="D295" t="s">
        <v>38</v>
      </c>
      <c r="E295" t="s">
        <v>112</v>
      </c>
      <c r="F295" t="s">
        <v>40</v>
      </c>
      <c r="G295" t="s">
        <v>149</v>
      </c>
      <c r="H295" t="s">
        <v>150</v>
      </c>
      <c r="I295">
        <v>14</v>
      </c>
      <c r="J295" s="3">
        <v>1440.12</v>
      </c>
      <c r="K295" s="3">
        <v>20161.68</v>
      </c>
      <c r="L295" t="s">
        <v>34</v>
      </c>
      <c r="M295" s="2">
        <v>45896</v>
      </c>
      <c r="N295" s="2">
        <v>45895</v>
      </c>
      <c r="O295" t="s">
        <v>76</v>
      </c>
      <c r="P295" t="s">
        <v>115</v>
      </c>
      <c r="Q295" t="s">
        <v>28</v>
      </c>
      <c r="R295" t="s">
        <v>29</v>
      </c>
      <c r="S295">
        <v>2025</v>
      </c>
      <c r="T295" t="s">
        <v>2761</v>
      </c>
      <c r="U295" t="s">
        <v>2762</v>
      </c>
      <c r="V295" s="4">
        <v>0</v>
      </c>
      <c r="W295" s="4">
        <v>1</v>
      </c>
    </row>
    <row r="296" spans="1:23">
      <c r="A296" t="s">
        <v>421</v>
      </c>
      <c r="B296" s="2">
        <v>45728</v>
      </c>
      <c r="C296" t="s">
        <v>142</v>
      </c>
      <c r="D296" t="s">
        <v>143</v>
      </c>
      <c r="E296" t="s">
        <v>73</v>
      </c>
      <c r="F296" t="s">
        <v>22</v>
      </c>
      <c r="G296" t="s">
        <v>23</v>
      </c>
      <c r="H296" t="s">
        <v>24</v>
      </c>
      <c r="I296">
        <v>37</v>
      </c>
      <c r="J296" s="3">
        <v>254.15</v>
      </c>
      <c r="K296" s="3">
        <v>9403.5499999999993</v>
      </c>
      <c r="L296" t="s">
        <v>34</v>
      </c>
      <c r="M296" s="2">
        <v>45743</v>
      </c>
      <c r="N296" s="2">
        <v>45742</v>
      </c>
      <c r="O296" t="s">
        <v>26</v>
      </c>
      <c r="P296" t="s">
        <v>77</v>
      </c>
      <c r="Q296" t="s">
        <v>28</v>
      </c>
      <c r="R296" t="s">
        <v>29</v>
      </c>
      <c r="S296">
        <v>2025</v>
      </c>
      <c r="T296" t="s">
        <v>2747</v>
      </c>
      <c r="U296" t="s">
        <v>2748</v>
      </c>
      <c r="V296" s="4">
        <v>0</v>
      </c>
      <c r="W296" s="4">
        <v>1</v>
      </c>
    </row>
    <row r="297" spans="1:23">
      <c r="A297" t="s">
        <v>422</v>
      </c>
      <c r="B297" s="2">
        <v>46202</v>
      </c>
      <c r="C297" t="s">
        <v>147</v>
      </c>
      <c r="D297" t="s">
        <v>148</v>
      </c>
      <c r="E297" t="s">
        <v>39</v>
      </c>
      <c r="F297" t="s">
        <v>40</v>
      </c>
      <c r="G297" t="s">
        <v>149</v>
      </c>
      <c r="H297" t="s">
        <v>150</v>
      </c>
      <c r="I297">
        <v>5</v>
      </c>
      <c r="J297" s="3">
        <v>1307.06</v>
      </c>
      <c r="K297" s="3">
        <v>6535.3</v>
      </c>
      <c r="L297" t="s">
        <v>25</v>
      </c>
      <c r="M297" s="2">
        <v>46219</v>
      </c>
      <c r="N297" s="2">
        <v>46216</v>
      </c>
      <c r="O297" t="s">
        <v>43</v>
      </c>
      <c r="P297" t="s">
        <v>44</v>
      </c>
      <c r="Q297" t="s">
        <v>28</v>
      </c>
      <c r="R297" t="s">
        <v>29</v>
      </c>
      <c r="S297">
        <v>2026</v>
      </c>
      <c r="T297" t="s">
        <v>2743</v>
      </c>
      <c r="U297" t="s">
        <v>2744</v>
      </c>
      <c r="V297" s="4">
        <v>0</v>
      </c>
      <c r="W297" s="4">
        <v>1</v>
      </c>
    </row>
    <row r="298" spans="1:23">
      <c r="A298" t="s">
        <v>423</v>
      </c>
      <c r="B298" s="2">
        <v>46048</v>
      </c>
      <c r="C298" t="s">
        <v>117</v>
      </c>
      <c r="D298" t="s">
        <v>118</v>
      </c>
      <c r="E298" t="s">
        <v>48</v>
      </c>
      <c r="F298" t="s">
        <v>57</v>
      </c>
      <c r="G298" t="s">
        <v>74</v>
      </c>
      <c r="H298" t="s">
        <v>75</v>
      </c>
      <c r="I298">
        <v>4</v>
      </c>
      <c r="J298" s="3">
        <v>8747.67</v>
      </c>
      <c r="K298" s="3">
        <v>34990.68</v>
      </c>
      <c r="L298" t="s">
        <v>25</v>
      </c>
      <c r="M298" s="2">
        <v>46066</v>
      </c>
      <c r="N298" s="2">
        <v>46063</v>
      </c>
      <c r="O298" t="s">
        <v>43</v>
      </c>
      <c r="P298" t="s">
        <v>53</v>
      </c>
      <c r="Q298" t="s">
        <v>28</v>
      </c>
      <c r="R298" t="s">
        <v>29</v>
      </c>
      <c r="S298">
        <v>2026</v>
      </c>
      <c r="T298" t="s">
        <v>2757</v>
      </c>
      <c r="U298" t="s">
        <v>2758</v>
      </c>
      <c r="V298" s="4">
        <v>0</v>
      </c>
      <c r="W298" s="4">
        <v>1</v>
      </c>
    </row>
    <row r="299" spans="1:23">
      <c r="A299" t="s">
        <v>425</v>
      </c>
      <c r="B299" s="2">
        <v>46193</v>
      </c>
      <c r="C299" t="s">
        <v>80</v>
      </c>
      <c r="D299" t="s">
        <v>81</v>
      </c>
      <c r="E299" t="s">
        <v>39</v>
      </c>
      <c r="F299" t="s">
        <v>82</v>
      </c>
      <c r="G299" t="s">
        <v>83</v>
      </c>
      <c r="H299" t="s">
        <v>84</v>
      </c>
      <c r="I299">
        <v>28</v>
      </c>
      <c r="J299" s="3">
        <v>676.09</v>
      </c>
      <c r="K299" s="3">
        <v>18930.52</v>
      </c>
      <c r="L299" t="s">
        <v>25</v>
      </c>
      <c r="M299" s="2">
        <v>46199</v>
      </c>
      <c r="N299" s="2"/>
      <c r="O299" t="s">
        <v>76</v>
      </c>
      <c r="P299" t="s">
        <v>44</v>
      </c>
      <c r="Q299" t="s">
        <v>167</v>
      </c>
      <c r="R299" t="s">
        <v>167</v>
      </c>
      <c r="S299">
        <v>2026</v>
      </c>
      <c r="T299" t="s">
        <v>2743</v>
      </c>
      <c r="U299" t="s">
        <v>2744</v>
      </c>
      <c r="V299" s="4"/>
      <c r="W299" s="4"/>
    </row>
    <row r="300" spans="1:23">
      <c r="A300" t="s">
        <v>426</v>
      </c>
      <c r="B300" s="2">
        <v>46081</v>
      </c>
      <c r="C300" t="s">
        <v>107</v>
      </c>
      <c r="D300" t="s">
        <v>108</v>
      </c>
      <c r="E300" t="s">
        <v>31</v>
      </c>
      <c r="F300" t="s">
        <v>91</v>
      </c>
      <c r="G300" t="s">
        <v>109</v>
      </c>
      <c r="H300" t="s">
        <v>110</v>
      </c>
      <c r="I300">
        <v>1</v>
      </c>
      <c r="J300" s="3">
        <v>13798.65</v>
      </c>
      <c r="K300" s="3">
        <v>13798.65</v>
      </c>
      <c r="L300" t="s">
        <v>34</v>
      </c>
      <c r="M300" s="2">
        <v>46095</v>
      </c>
      <c r="N300" s="2">
        <v>46092</v>
      </c>
      <c r="O300" t="s">
        <v>43</v>
      </c>
      <c r="P300" t="s">
        <v>94</v>
      </c>
      <c r="Q300" t="s">
        <v>28</v>
      </c>
      <c r="R300" t="s">
        <v>29</v>
      </c>
      <c r="S300">
        <v>2026</v>
      </c>
      <c r="T300" t="s">
        <v>2751</v>
      </c>
      <c r="U300" t="s">
        <v>2765</v>
      </c>
      <c r="V300" s="4">
        <v>0</v>
      </c>
      <c r="W300" s="4">
        <v>1</v>
      </c>
    </row>
    <row r="301" spans="1:23">
      <c r="A301" t="s">
        <v>427</v>
      </c>
      <c r="B301" s="2">
        <v>45823</v>
      </c>
      <c r="C301" t="s">
        <v>71</v>
      </c>
      <c r="D301" t="s">
        <v>72</v>
      </c>
      <c r="E301" t="s">
        <v>31</v>
      </c>
      <c r="F301" t="s">
        <v>57</v>
      </c>
      <c r="G301" t="s">
        <v>127</v>
      </c>
      <c r="H301" t="s">
        <v>128</v>
      </c>
      <c r="I301">
        <v>1</v>
      </c>
      <c r="J301" s="3">
        <v>15618.39</v>
      </c>
      <c r="K301" s="3">
        <v>15618.39</v>
      </c>
      <c r="L301" t="s">
        <v>34</v>
      </c>
      <c r="M301" s="2">
        <v>45830</v>
      </c>
      <c r="N301" s="2">
        <v>45830</v>
      </c>
      <c r="O301" t="s">
        <v>26</v>
      </c>
      <c r="P301" t="s">
        <v>35</v>
      </c>
      <c r="Q301" t="s">
        <v>28</v>
      </c>
      <c r="R301" t="s">
        <v>29</v>
      </c>
      <c r="S301">
        <v>2025</v>
      </c>
      <c r="T301" t="s">
        <v>2743</v>
      </c>
      <c r="U301" t="s">
        <v>2756</v>
      </c>
      <c r="V301" s="4">
        <v>0</v>
      </c>
      <c r="W301" s="4">
        <v>1</v>
      </c>
    </row>
    <row r="302" spans="1:23">
      <c r="A302" t="s">
        <v>428</v>
      </c>
      <c r="B302" s="2">
        <v>46103</v>
      </c>
      <c r="C302" t="s">
        <v>46</v>
      </c>
      <c r="D302" t="s">
        <v>47</v>
      </c>
      <c r="E302" t="s">
        <v>21</v>
      </c>
      <c r="F302" t="s">
        <v>49</v>
      </c>
      <c r="G302" t="s">
        <v>113</v>
      </c>
      <c r="H302" t="s">
        <v>114</v>
      </c>
      <c r="I302">
        <v>2</v>
      </c>
      <c r="J302" s="3">
        <v>41295.24</v>
      </c>
      <c r="K302" s="3">
        <v>82590.48</v>
      </c>
      <c r="L302" t="s">
        <v>34</v>
      </c>
      <c r="M302" s="2">
        <v>46117</v>
      </c>
      <c r="N302" s="2">
        <v>46115</v>
      </c>
      <c r="O302" t="s">
        <v>43</v>
      </c>
      <c r="P302" t="s">
        <v>27</v>
      </c>
      <c r="Q302" t="s">
        <v>28</v>
      </c>
      <c r="R302" t="s">
        <v>29</v>
      </c>
      <c r="S302">
        <v>2026</v>
      </c>
      <c r="T302" t="s">
        <v>2747</v>
      </c>
      <c r="U302" t="s">
        <v>2755</v>
      </c>
      <c r="V302" s="4">
        <v>0</v>
      </c>
      <c r="W302" s="4">
        <v>1</v>
      </c>
    </row>
    <row r="303" spans="1:23">
      <c r="A303" t="s">
        <v>429</v>
      </c>
      <c r="B303" s="2">
        <v>46164</v>
      </c>
      <c r="C303" t="s">
        <v>96</v>
      </c>
      <c r="D303" t="s">
        <v>97</v>
      </c>
      <c r="E303" t="s">
        <v>39</v>
      </c>
      <c r="F303" t="s">
        <v>82</v>
      </c>
      <c r="G303" t="s">
        <v>197</v>
      </c>
      <c r="H303" t="s">
        <v>198</v>
      </c>
      <c r="I303">
        <v>43</v>
      </c>
      <c r="J303" s="3">
        <v>2042.58</v>
      </c>
      <c r="K303" s="3">
        <v>87830.94</v>
      </c>
      <c r="L303" t="s">
        <v>34</v>
      </c>
      <c r="M303" s="2">
        <v>46177</v>
      </c>
      <c r="N303" s="2">
        <v>46176</v>
      </c>
      <c r="O303" t="s">
        <v>43</v>
      </c>
      <c r="P303" t="s">
        <v>44</v>
      </c>
      <c r="Q303" t="s">
        <v>28</v>
      </c>
      <c r="R303" t="s">
        <v>29</v>
      </c>
      <c r="S303">
        <v>2026</v>
      </c>
      <c r="T303" t="s">
        <v>2766</v>
      </c>
      <c r="U303" t="s">
        <v>2769</v>
      </c>
      <c r="V303" s="4">
        <v>0</v>
      </c>
      <c r="W303" s="4">
        <v>1</v>
      </c>
    </row>
    <row r="304" spans="1:23">
      <c r="A304" t="s">
        <v>430</v>
      </c>
      <c r="B304" s="2">
        <v>45819</v>
      </c>
      <c r="C304" t="s">
        <v>46</v>
      </c>
      <c r="D304" t="s">
        <v>47</v>
      </c>
      <c r="E304" t="s">
        <v>21</v>
      </c>
      <c r="F304" t="s">
        <v>49</v>
      </c>
      <c r="G304" t="s">
        <v>165</v>
      </c>
      <c r="H304" t="s">
        <v>166</v>
      </c>
      <c r="I304">
        <v>1</v>
      </c>
      <c r="J304" s="3">
        <v>47532.6</v>
      </c>
      <c r="K304" s="3">
        <v>47532.6</v>
      </c>
      <c r="L304" t="s">
        <v>25</v>
      </c>
      <c r="M304" s="2">
        <v>45832</v>
      </c>
      <c r="N304" s="2">
        <v>45845</v>
      </c>
      <c r="O304" t="s">
        <v>43</v>
      </c>
      <c r="P304" t="s">
        <v>27</v>
      </c>
      <c r="Q304" t="s">
        <v>28</v>
      </c>
      <c r="R304" t="s">
        <v>129</v>
      </c>
      <c r="S304">
        <v>2025</v>
      </c>
      <c r="T304" t="s">
        <v>2743</v>
      </c>
      <c r="U304" t="s">
        <v>2756</v>
      </c>
      <c r="V304" s="4">
        <v>13</v>
      </c>
      <c r="W304" s="4">
        <v>0</v>
      </c>
    </row>
    <row r="305" spans="1:23">
      <c r="A305" t="s">
        <v>431</v>
      </c>
      <c r="B305" s="2">
        <v>46014</v>
      </c>
      <c r="C305" t="s">
        <v>131</v>
      </c>
      <c r="D305" t="s">
        <v>132</v>
      </c>
      <c r="E305" t="s">
        <v>48</v>
      </c>
      <c r="F305" t="s">
        <v>57</v>
      </c>
      <c r="G305" t="s">
        <v>127</v>
      </c>
      <c r="H305" t="s">
        <v>128</v>
      </c>
      <c r="I305">
        <v>7</v>
      </c>
      <c r="J305" s="3">
        <v>17151.91</v>
      </c>
      <c r="K305" s="3">
        <v>120063.37</v>
      </c>
      <c r="L305" t="s">
        <v>25</v>
      </c>
      <c r="M305" s="2">
        <v>46028</v>
      </c>
      <c r="N305" s="2">
        <v>46032</v>
      </c>
      <c r="O305" t="s">
        <v>43</v>
      </c>
      <c r="P305" t="s">
        <v>53</v>
      </c>
      <c r="Q305" t="s">
        <v>28</v>
      </c>
      <c r="R305" t="s">
        <v>129</v>
      </c>
      <c r="S305">
        <v>2025</v>
      </c>
      <c r="T305" t="s">
        <v>2745</v>
      </c>
      <c r="U305" t="s">
        <v>2746</v>
      </c>
      <c r="V305" s="4">
        <v>4</v>
      </c>
      <c r="W305" s="4">
        <v>0</v>
      </c>
    </row>
    <row r="306" spans="1:23">
      <c r="A306" t="s">
        <v>432</v>
      </c>
      <c r="B306" s="2">
        <v>46173</v>
      </c>
      <c r="C306" t="s">
        <v>66</v>
      </c>
      <c r="D306" t="s">
        <v>67</v>
      </c>
      <c r="E306" t="s">
        <v>112</v>
      </c>
      <c r="F306" t="s">
        <v>49</v>
      </c>
      <c r="G306" t="s">
        <v>165</v>
      </c>
      <c r="H306" t="s">
        <v>166</v>
      </c>
      <c r="I306">
        <v>3</v>
      </c>
      <c r="J306" s="3">
        <v>45098.45</v>
      </c>
      <c r="K306" s="3">
        <v>135295.35</v>
      </c>
      <c r="L306" t="s">
        <v>34</v>
      </c>
      <c r="M306" s="2">
        <v>46182</v>
      </c>
      <c r="N306" s="2">
        <v>46179</v>
      </c>
      <c r="O306" t="s">
        <v>26</v>
      </c>
      <c r="P306" t="s">
        <v>115</v>
      </c>
      <c r="Q306" t="s">
        <v>28</v>
      </c>
      <c r="R306" t="s">
        <v>29</v>
      </c>
      <c r="S306">
        <v>2026</v>
      </c>
      <c r="T306" t="s">
        <v>2766</v>
      </c>
      <c r="U306" t="s">
        <v>2769</v>
      </c>
      <c r="V306" s="4">
        <v>0</v>
      </c>
      <c r="W306" s="4">
        <v>1</v>
      </c>
    </row>
    <row r="307" spans="1:23">
      <c r="A307" t="s">
        <v>433</v>
      </c>
      <c r="B307" s="2">
        <v>45686</v>
      </c>
      <c r="C307" t="s">
        <v>46</v>
      </c>
      <c r="D307" t="s">
        <v>47</v>
      </c>
      <c r="E307" t="s">
        <v>21</v>
      </c>
      <c r="F307" t="s">
        <v>49</v>
      </c>
      <c r="G307" t="s">
        <v>50</v>
      </c>
      <c r="H307" t="s">
        <v>51</v>
      </c>
      <c r="I307">
        <v>1</v>
      </c>
      <c r="J307" s="3">
        <v>54055.839999999997</v>
      </c>
      <c r="K307" s="3">
        <v>54055.839999999997</v>
      </c>
      <c r="L307" t="s">
        <v>34</v>
      </c>
      <c r="M307" s="2">
        <v>45697</v>
      </c>
      <c r="N307" s="2">
        <v>45697</v>
      </c>
      <c r="O307" t="s">
        <v>76</v>
      </c>
      <c r="P307" t="s">
        <v>27</v>
      </c>
      <c r="Q307" t="s">
        <v>28</v>
      </c>
      <c r="R307" t="s">
        <v>29</v>
      </c>
      <c r="S307">
        <v>2025</v>
      </c>
      <c r="T307" t="s">
        <v>2757</v>
      </c>
      <c r="U307" t="s">
        <v>2768</v>
      </c>
      <c r="V307" s="4">
        <v>0</v>
      </c>
      <c r="W307" s="4">
        <v>1</v>
      </c>
    </row>
    <row r="308" spans="1:23">
      <c r="A308" t="s">
        <v>434</v>
      </c>
      <c r="B308" s="2">
        <v>45952</v>
      </c>
      <c r="C308" t="s">
        <v>46</v>
      </c>
      <c r="D308" t="s">
        <v>47</v>
      </c>
      <c r="E308" t="s">
        <v>48</v>
      </c>
      <c r="F308" t="s">
        <v>49</v>
      </c>
      <c r="G308" t="s">
        <v>113</v>
      </c>
      <c r="H308" t="s">
        <v>114</v>
      </c>
      <c r="I308">
        <v>1</v>
      </c>
      <c r="J308" s="3">
        <v>39315.85</v>
      </c>
      <c r="K308" s="3">
        <v>39315.85</v>
      </c>
      <c r="L308" t="s">
        <v>25</v>
      </c>
      <c r="M308" s="2">
        <v>45962</v>
      </c>
      <c r="N308" s="2">
        <v>45960</v>
      </c>
      <c r="O308" t="s">
        <v>26</v>
      </c>
      <c r="P308" t="s">
        <v>53</v>
      </c>
      <c r="Q308" t="s">
        <v>28</v>
      </c>
      <c r="R308" t="s">
        <v>29</v>
      </c>
      <c r="S308">
        <v>2025</v>
      </c>
      <c r="T308" t="s">
        <v>2749</v>
      </c>
      <c r="U308" t="s">
        <v>2750</v>
      </c>
      <c r="V308" s="4">
        <v>0</v>
      </c>
      <c r="W308" s="4">
        <v>1</v>
      </c>
    </row>
    <row r="309" spans="1:23">
      <c r="A309" t="s">
        <v>435</v>
      </c>
      <c r="B309" s="2">
        <v>45862</v>
      </c>
      <c r="C309" t="s">
        <v>104</v>
      </c>
      <c r="D309" t="s">
        <v>105</v>
      </c>
      <c r="E309" t="s">
        <v>21</v>
      </c>
      <c r="F309" t="s">
        <v>49</v>
      </c>
      <c r="G309" t="s">
        <v>50</v>
      </c>
      <c r="H309" t="s">
        <v>51</v>
      </c>
      <c r="I309">
        <v>3</v>
      </c>
      <c r="J309" s="3">
        <v>53827.519999999997</v>
      </c>
      <c r="K309" s="3">
        <v>161482.56</v>
      </c>
      <c r="L309" t="s">
        <v>25</v>
      </c>
      <c r="M309" s="2">
        <v>45872</v>
      </c>
      <c r="N309" s="2">
        <v>45872</v>
      </c>
      <c r="O309" t="s">
        <v>43</v>
      </c>
      <c r="P309" t="s">
        <v>27</v>
      </c>
      <c r="Q309" t="s">
        <v>28</v>
      </c>
      <c r="R309" t="s">
        <v>29</v>
      </c>
      <c r="S309">
        <v>2025</v>
      </c>
      <c r="T309" t="s">
        <v>2759</v>
      </c>
      <c r="U309" t="s">
        <v>2760</v>
      </c>
      <c r="V309" s="4">
        <v>0</v>
      </c>
      <c r="W309" s="4">
        <v>1</v>
      </c>
    </row>
    <row r="310" spans="1:23">
      <c r="A310" t="s">
        <v>436</v>
      </c>
      <c r="B310" s="2">
        <v>46038</v>
      </c>
      <c r="C310" t="s">
        <v>19</v>
      </c>
      <c r="D310" t="s">
        <v>20</v>
      </c>
      <c r="E310" t="s">
        <v>31</v>
      </c>
      <c r="F310" t="s">
        <v>22</v>
      </c>
      <c r="G310" t="s">
        <v>160</v>
      </c>
      <c r="H310" t="s">
        <v>161</v>
      </c>
      <c r="I310">
        <v>15</v>
      </c>
      <c r="J310" s="3">
        <v>3071.86</v>
      </c>
      <c r="K310" s="3">
        <v>46077.9</v>
      </c>
      <c r="L310" t="s">
        <v>34</v>
      </c>
      <c r="M310" s="2">
        <v>46051</v>
      </c>
      <c r="N310" s="2">
        <v>46050</v>
      </c>
      <c r="O310" t="s">
        <v>26</v>
      </c>
      <c r="P310" t="s">
        <v>94</v>
      </c>
      <c r="Q310" t="s">
        <v>28</v>
      </c>
      <c r="R310" t="s">
        <v>29</v>
      </c>
      <c r="S310">
        <v>2026</v>
      </c>
      <c r="T310" t="s">
        <v>2757</v>
      </c>
      <c r="U310" t="s">
        <v>2758</v>
      </c>
      <c r="V310" s="4">
        <v>0</v>
      </c>
      <c r="W310" s="4">
        <v>1</v>
      </c>
    </row>
    <row r="311" spans="1:23">
      <c r="A311" t="s">
        <v>437</v>
      </c>
      <c r="B311" s="2">
        <v>45691</v>
      </c>
      <c r="C311" t="s">
        <v>71</v>
      </c>
      <c r="D311" t="s">
        <v>72</v>
      </c>
      <c r="E311" t="s">
        <v>73</v>
      </c>
      <c r="F311" t="s">
        <v>57</v>
      </c>
      <c r="G311" t="s">
        <v>86</v>
      </c>
      <c r="H311" t="s">
        <v>87</v>
      </c>
      <c r="I311">
        <v>8</v>
      </c>
      <c r="J311" s="3">
        <v>9894.73</v>
      </c>
      <c r="K311" s="3">
        <v>79157.84</v>
      </c>
      <c r="L311" t="s">
        <v>34</v>
      </c>
      <c r="M311" s="2">
        <v>45701</v>
      </c>
      <c r="N311" s="2">
        <v>45701</v>
      </c>
      <c r="O311" t="s">
        <v>60</v>
      </c>
      <c r="P311" t="s">
        <v>77</v>
      </c>
      <c r="Q311" t="s">
        <v>28</v>
      </c>
      <c r="R311" t="s">
        <v>29</v>
      </c>
      <c r="S311">
        <v>2025</v>
      </c>
      <c r="T311" t="s">
        <v>2751</v>
      </c>
      <c r="U311" t="s">
        <v>2752</v>
      </c>
      <c r="V311" s="4">
        <v>0</v>
      </c>
      <c r="W311" s="4">
        <v>1</v>
      </c>
    </row>
    <row r="312" spans="1:23">
      <c r="A312" t="s">
        <v>438</v>
      </c>
      <c r="B312" s="2">
        <v>45991</v>
      </c>
      <c r="C312" t="s">
        <v>142</v>
      </c>
      <c r="D312" t="s">
        <v>143</v>
      </c>
      <c r="E312" t="s">
        <v>112</v>
      </c>
      <c r="F312" t="s">
        <v>22</v>
      </c>
      <c r="G312" t="s">
        <v>32</v>
      </c>
      <c r="H312" t="s">
        <v>33</v>
      </c>
      <c r="I312">
        <v>10</v>
      </c>
      <c r="J312" s="3">
        <v>8137.75</v>
      </c>
      <c r="K312" s="3">
        <v>81377.5</v>
      </c>
      <c r="L312" t="s">
        <v>25</v>
      </c>
      <c r="M312" s="2">
        <v>46001</v>
      </c>
      <c r="N312" s="2">
        <v>45998</v>
      </c>
      <c r="O312" t="s">
        <v>60</v>
      </c>
      <c r="P312" t="s">
        <v>115</v>
      </c>
      <c r="Q312" t="s">
        <v>28</v>
      </c>
      <c r="R312" t="s">
        <v>29</v>
      </c>
      <c r="S312">
        <v>2025</v>
      </c>
      <c r="T312" t="s">
        <v>2763</v>
      </c>
      <c r="U312" t="s">
        <v>2764</v>
      </c>
      <c r="V312" s="4">
        <v>0</v>
      </c>
      <c r="W312" s="4">
        <v>1</v>
      </c>
    </row>
    <row r="313" spans="1:23">
      <c r="A313" t="s">
        <v>439</v>
      </c>
      <c r="B313" s="2">
        <v>45944</v>
      </c>
      <c r="C313" t="s">
        <v>142</v>
      </c>
      <c r="D313" t="s">
        <v>143</v>
      </c>
      <c r="E313" t="s">
        <v>31</v>
      </c>
      <c r="F313" t="s">
        <v>22</v>
      </c>
      <c r="G313" t="s">
        <v>32</v>
      </c>
      <c r="H313" t="s">
        <v>33</v>
      </c>
      <c r="I313">
        <v>5</v>
      </c>
      <c r="J313" s="3">
        <v>7558.11</v>
      </c>
      <c r="K313" s="3">
        <v>37790.550000000003</v>
      </c>
      <c r="L313" t="s">
        <v>52</v>
      </c>
      <c r="M313" s="2">
        <v>45961</v>
      </c>
      <c r="N313" s="2">
        <v>45958</v>
      </c>
      <c r="O313" t="s">
        <v>26</v>
      </c>
      <c r="P313" t="s">
        <v>94</v>
      </c>
      <c r="Q313" t="s">
        <v>28</v>
      </c>
      <c r="R313" t="s">
        <v>29</v>
      </c>
      <c r="S313">
        <v>2025</v>
      </c>
      <c r="T313" t="s">
        <v>2749</v>
      </c>
      <c r="U313" t="s">
        <v>2750</v>
      </c>
      <c r="V313" s="4">
        <v>0</v>
      </c>
      <c r="W313" s="4">
        <v>1</v>
      </c>
    </row>
    <row r="314" spans="1:23">
      <c r="A314" t="s">
        <v>440</v>
      </c>
      <c r="B314" s="2">
        <v>45811</v>
      </c>
      <c r="C314" t="s">
        <v>37</v>
      </c>
      <c r="D314" t="s">
        <v>38</v>
      </c>
      <c r="E314" t="s">
        <v>39</v>
      </c>
      <c r="F314" t="s">
        <v>40</v>
      </c>
      <c r="G314" t="s">
        <v>62</v>
      </c>
      <c r="H314" t="s">
        <v>63</v>
      </c>
      <c r="I314">
        <v>6</v>
      </c>
      <c r="J314" s="3">
        <v>20594.61</v>
      </c>
      <c r="K314" s="3">
        <v>123567.66</v>
      </c>
      <c r="L314" t="s">
        <v>34</v>
      </c>
      <c r="M314" s="2">
        <v>45828</v>
      </c>
      <c r="N314" s="2">
        <v>45826</v>
      </c>
      <c r="O314" t="s">
        <v>43</v>
      </c>
      <c r="P314" t="s">
        <v>44</v>
      </c>
      <c r="Q314" t="s">
        <v>28</v>
      </c>
      <c r="R314" t="s">
        <v>29</v>
      </c>
      <c r="S314">
        <v>2025</v>
      </c>
      <c r="T314" t="s">
        <v>2743</v>
      </c>
      <c r="U314" t="s">
        <v>2756</v>
      </c>
      <c r="V314" s="4">
        <v>0</v>
      </c>
      <c r="W314" s="4">
        <v>1</v>
      </c>
    </row>
    <row r="315" spans="1:23">
      <c r="A315" t="s">
        <v>441</v>
      </c>
      <c r="B315" s="2">
        <v>45719</v>
      </c>
      <c r="C315" t="s">
        <v>71</v>
      </c>
      <c r="D315" t="s">
        <v>72</v>
      </c>
      <c r="E315" t="s">
        <v>21</v>
      </c>
      <c r="F315" t="s">
        <v>57</v>
      </c>
      <c r="G315" t="s">
        <v>101</v>
      </c>
      <c r="H315" t="s">
        <v>102</v>
      </c>
      <c r="I315">
        <v>28</v>
      </c>
      <c r="J315" s="3">
        <v>1666.87</v>
      </c>
      <c r="K315" s="3">
        <v>46672.36</v>
      </c>
      <c r="L315" t="s">
        <v>25</v>
      </c>
      <c r="M315" s="2">
        <v>45729</v>
      </c>
      <c r="N315" s="2">
        <v>45727</v>
      </c>
      <c r="O315" t="s">
        <v>60</v>
      </c>
      <c r="P315" t="s">
        <v>27</v>
      </c>
      <c r="Q315" t="s">
        <v>28</v>
      </c>
      <c r="R315" t="s">
        <v>29</v>
      </c>
      <c r="S315">
        <v>2025</v>
      </c>
      <c r="T315" t="s">
        <v>2747</v>
      </c>
      <c r="U315" t="s">
        <v>2748</v>
      </c>
      <c r="V315" s="4">
        <v>0</v>
      </c>
      <c r="W315" s="4">
        <v>1</v>
      </c>
    </row>
    <row r="316" spans="1:23">
      <c r="A316" t="s">
        <v>442</v>
      </c>
      <c r="B316" s="2">
        <v>45861</v>
      </c>
      <c r="C316" t="s">
        <v>37</v>
      </c>
      <c r="D316" t="s">
        <v>38</v>
      </c>
      <c r="E316" t="s">
        <v>31</v>
      </c>
      <c r="F316" t="s">
        <v>22</v>
      </c>
      <c r="G316" t="s">
        <v>23</v>
      </c>
      <c r="H316" t="s">
        <v>24</v>
      </c>
      <c r="I316">
        <v>25</v>
      </c>
      <c r="J316" s="3">
        <v>258.38</v>
      </c>
      <c r="K316" s="3">
        <v>6459.5</v>
      </c>
      <c r="L316" t="s">
        <v>52</v>
      </c>
      <c r="M316" s="2">
        <v>45876</v>
      </c>
      <c r="N316" s="2">
        <v>45873</v>
      </c>
      <c r="O316" t="s">
        <v>60</v>
      </c>
      <c r="P316" t="s">
        <v>35</v>
      </c>
      <c r="Q316" t="s">
        <v>28</v>
      </c>
      <c r="R316" t="s">
        <v>29</v>
      </c>
      <c r="S316">
        <v>2025</v>
      </c>
      <c r="T316" t="s">
        <v>2759</v>
      </c>
      <c r="U316" t="s">
        <v>2760</v>
      </c>
      <c r="V316" s="4">
        <v>0</v>
      </c>
      <c r="W316" s="4">
        <v>1</v>
      </c>
    </row>
    <row r="317" spans="1:23">
      <c r="A317" t="s">
        <v>443</v>
      </c>
      <c r="B317" s="2">
        <v>46132</v>
      </c>
      <c r="C317" t="s">
        <v>37</v>
      </c>
      <c r="D317" t="s">
        <v>38</v>
      </c>
      <c r="E317" t="s">
        <v>39</v>
      </c>
      <c r="F317" t="s">
        <v>22</v>
      </c>
      <c r="G317" t="s">
        <v>32</v>
      </c>
      <c r="H317" t="s">
        <v>33</v>
      </c>
      <c r="I317">
        <v>11</v>
      </c>
      <c r="J317" s="3">
        <v>8265.59</v>
      </c>
      <c r="K317" s="3">
        <v>90921.49</v>
      </c>
      <c r="L317" t="s">
        <v>25</v>
      </c>
      <c r="M317" s="2">
        <v>46146</v>
      </c>
      <c r="N317" s="2">
        <v>46146</v>
      </c>
      <c r="O317" t="s">
        <v>76</v>
      </c>
      <c r="P317" t="s">
        <v>64</v>
      </c>
      <c r="Q317" t="s">
        <v>28</v>
      </c>
      <c r="R317" t="s">
        <v>29</v>
      </c>
      <c r="S317">
        <v>2026</v>
      </c>
      <c r="T317" t="s">
        <v>2741</v>
      </c>
      <c r="U317" t="s">
        <v>2770</v>
      </c>
      <c r="V317" s="4">
        <v>0</v>
      </c>
      <c r="W317" s="4">
        <v>1</v>
      </c>
    </row>
    <row r="318" spans="1:23">
      <c r="A318" t="s">
        <v>444</v>
      </c>
      <c r="B318" s="2">
        <v>45979</v>
      </c>
      <c r="C318" t="s">
        <v>104</v>
      </c>
      <c r="D318" t="s">
        <v>105</v>
      </c>
      <c r="E318" t="s">
        <v>21</v>
      </c>
      <c r="F318" t="s">
        <v>49</v>
      </c>
      <c r="G318" t="s">
        <v>68</v>
      </c>
      <c r="H318" t="s">
        <v>69</v>
      </c>
      <c r="I318">
        <v>1</v>
      </c>
      <c r="J318" s="3">
        <v>48001.96</v>
      </c>
      <c r="K318" s="3">
        <v>48001.96</v>
      </c>
      <c r="L318" t="s">
        <v>25</v>
      </c>
      <c r="M318" s="2">
        <v>45995</v>
      </c>
      <c r="N318" s="2">
        <v>45992</v>
      </c>
      <c r="O318" t="s">
        <v>26</v>
      </c>
      <c r="P318" t="s">
        <v>27</v>
      </c>
      <c r="Q318" t="s">
        <v>28</v>
      </c>
      <c r="R318" t="s">
        <v>29</v>
      </c>
      <c r="S318">
        <v>2025</v>
      </c>
      <c r="T318" t="s">
        <v>2763</v>
      </c>
      <c r="U318" t="s">
        <v>2764</v>
      </c>
      <c r="V318" s="4">
        <v>0</v>
      </c>
      <c r="W318" s="4">
        <v>1</v>
      </c>
    </row>
    <row r="319" spans="1:23">
      <c r="A319" t="s">
        <v>445</v>
      </c>
      <c r="B319" s="2">
        <v>45739</v>
      </c>
      <c r="C319" t="s">
        <v>37</v>
      </c>
      <c r="D319" t="s">
        <v>38</v>
      </c>
      <c r="E319" t="s">
        <v>73</v>
      </c>
      <c r="F319" t="s">
        <v>22</v>
      </c>
      <c r="G319" t="s">
        <v>23</v>
      </c>
      <c r="H319" t="s">
        <v>24</v>
      </c>
      <c r="I319">
        <v>8</v>
      </c>
      <c r="J319" s="3">
        <v>262.83</v>
      </c>
      <c r="K319" s="3">
        <v>2102.64</v>
      </c>
      <c r="L319" t="s">
        <v>25</v>
      </c>
      <c r="M319" s="2">
        <v>45744</v>
      </c>
      <c r="N319" s="2">
        <v>45744</v>
      </c>
      <c r="O319" t="s">
        <v>26</v>
      </c>
      <c r="P319" t="s">
        <v>77</v>
      </c>
      <c r="Q319" t="s">
        <v>28</v>
      </c>
      <c r="R319" t="s">
        <v>29</v>
      </c>
      <c r="S319">
        <v>2025</v>
      </c>
      <c r="T319" t="s">
        <v>2747</v>
      </c>
      <c r="U319" t="s">
        <v>2748</v>
      </c>
      <c r="V319" s="4">
        <v>0</v>
      </c>
      <c r="W319" s="4">
        <v>1</v>
      </c>
    </row>
    <row r="320" spans="1:23">
      <c r="A320" t="s">
        <v>446</v>
      </c>
      <c r="B320" s="2">
        <v>46057</v>
      </c>
      <c r="C320" t="s">
        <v>46</v>
      </c>
      <c r="D320" t="s">
        <v>47</v>
      </c>
      <c r="E320" t="s">
        <v>21</v>
      </c>
      <c r="F320" t="s">
        <v>49</v>
      </c>
      <c r="G320" t="s">
        <v>68</v>
      </c>
      <c r="H320" t="s">
        <v>69</v>
      </c>
      <c r="I320">
        <v>1</v>
      </c>
      <c r="J320" s="3">
        <v>49445.94</v>
      </c>
      <c r="K320" s="3">
        <v>49445.94</v>
      </c>
      <c r="L320" t="s">
        <v>52</v>
      </c>
      <c r="M320" s="2">
        <v>46062</v>
      </c>
      <c r="N320" s="2">
        <v>46069</v>
      </c>
      <c r="O320" t="s">
        <v>76</v>
      </c>
      <c r="P320" t="s">
        <v>27</v>
      </c>
      <c r="Q320" t="s">
        <v>28</v>
      </c>
      <c r="R320" t="s">
        <v>129</v>
      </c>
      <c r="S320">
        <v>2026</v>
      </c>
      <c r="T320" t="s">
        <v>2751</v>
      </c>
      <c r="U320" t="s">
        <v>2765</v>
      </c>
      <c r="V320" s="4">
        <v>7</v>
      </c>
      <c r="W320" s="4">
        <v>0</v>
      </c>
    </row>
    <row r="321" spans="1:23">
      <c r="A321" t="s">
        <v>447</v>
      </c>
      <c r="B321" s="2">
        <v>45936</v>
      </c>
      <c r="C321" t="s">
        <v>96</v>
      </c>
      <c r="D321" t="s">
        <v>97</v>
      </c>
      <c r="E321" t="s">
        <v>39</v>
      </c>
      <c r="F321" t="s">
        <v>82</v>
      </c>
      <c r="G321" t="s">
        <v>197</v>
      </c>
      <c r="H321" t="s">
        <v>198</v>
      </c>
      <c r="I321">
        <v>45</v>
      </c>
      <c r="J321" s="3">
        <v>2150.23</v>
      </c>
      <c r="K321" s="3">
        <v>96760.35</v>
      </c>
      <c r="L321" t="s">
        <v>25</v>
      </c>
      <c r="M321" s="2">
        <v>45952</v>
      </c>
      <c r="N321" s="2">
        <v>45949</v>
      </c>
      <c r="O321" t="s">
        <v>76</v>
      </c>
      <c r="P321" t="s">
        <v>44</v>
      </c>
      <c r="Q321" t="s">
        <v>28</v>
      </c>
      <c r="R321" t="s">
        <v>29</v>
      </c>
      <c r="S321">
        <v>2025</v>
      </c>
      <c r="T321" t="s">
        <v>2749</v>
      </c>
      <c r="U321" t="s">
        <v>2750</v>
      </c>
      <c r="V321" s="4">
        <v>0</v>
      </c>
      <c r="W321" s="4">
        <v>1</v>
      </c>
    </row>
    <row r="322" spans="1:23">
      <c r="A322" t="s">
        <v>448</v>
      </c>
      <c r="B322" s="2">
        <v>46151</v>
      </c>
      <c r="C322" t="s">
        <v>104</v>
      </c>
      <c r="D322" t="s">
        <v>105</v>
      </c>
      <c r="E322" t="s">
        <v>48</v>
      </c>
      <c r="F322" t="s">
        <v>49</v>
      </c>
      <c r="G322" t="s">
        <v>165</v>
      </c>
      <c r="H322" t="s">
        <v>166</v>
      </c>
      <c r="I322">
        <v>1</v>
      </c>
      <c r="J322" s="3">
        <v>44252.22</v>
      </c>
      <c r="K322" s="3">
        <v>44252.22</v>
      </c>
      <c r="L322" t="s">
        <v>34</v>
      </c>
      <c r="M322" s="2">
        <v>46156</v>
      </c>
      <c r="N322" s="2">
        <v>46171</v>
      </c>
      <c r="O322" t="s">
        <v>26</v>
      </c>
      <c r="P322" t="s">
        <v>53</v>
      </c>
      <c r="Q322" t="s">
        <v>28</v>
      </c>
      <c r="R322" t="s">
        <v>129</v>
      </c>
      <c r="S322">
        <v>2026</v>
      </c>
      <c r="T322" t="s">
        <v>2766</v>
      </c>
      <c r="U322" t="s">
        <v>2769</v>
      </c>
      <c r="V322" s="4">
        <v>15</v>
      </c>
      <c r="W322" s="4">
        <v>0</v>
      </c>
    </row>
    <row r="323" spans="1:23">
      <c r="A323" t="s">
        <v>449</v>
      </c>
      <c r="B323" s="2">
        <v>45951</v>
      </c>
      <c r="C323" t="s">
        <v>37</v>
      </c>
      <c r="D323" t="s">
        <v>38</v>
      </c>
      <c r="E323" t="s">
        <v>39</v>
      </c>
      <c r="F323" t="s">
        <v>40</v>
      </c>
      <c r="G323" t="s">
        <v>62</v>
      </c>
      <c r="H323" t="s">
        <v>63</v>
      </c>
      <c r="I323">
        <v>5</v>
      </c>
      <c r="J323" s="3">
        <v>20367.63</v>
      </c>
      <c r="K323" s="3">
        <v>101838.15</v>
      </c>
      <c r="L323" t="s">
        <v>25</v>
      </c>
      <c r="M323" s="2">
        <v>45965</v>
      </c>
      <c r="N323" s="2">
        <v>45965</v>
      </c>
      <c r="O323" t="s">
        <v>26</v>
      </c>
      <c r="P323" t="s">
        <v>44</v>
      </c>
      <c r="Q323" t="s">
        <v>28</v>
      </c>
      <c r="R323" t="s">
        <v>29</v>
      </c>
      <c r="S323">
        <v>2025</v>
      </c>
      <c r="T323" t="s">
        <v>2749</v>
      </c>
      <c r="U323" t="s">
        <v>2750</v>
      </c>
      <c r="V323" s="4">
        <v>0</v>
      </c>
      <c r="W323" s="4">
        <v>1</v>
      </c>
    </row>
    <row r="324" spans="1:23">
      <c r="A324" t="s">
        <v>450</v>
      </c>
      <c r="B324" s="2">
        <v>46105</v>
      </c>
      <c r="C324" t="s">
        <v>96</v>
      </c>
      <c r="D324" t="s">
        <v>97</v>
      </c>
      <c r="E324" t="s">
        <v>39</v>
      </c>
      <c r="F324" t="s">
        <v>82</v>
      </c>
      <c r="G324" t="s">
        <v>197</v>
      </c>
      <c r="H324" t="s">
        <v>198</v>
      </c>
      <c r="I324">
        <v>21</v>
      </c>
      <c r="J324" s="3">
        <v>2108.38</v>
      </c>
      <c r="K324" s="3">
        <v>44275.98</v>
      </c>
      <c r="L324" t="s">
        <v>25</v>
      </c>
      <c r="M324" s="2">
        <v>46111</v>
      </c>
      <c r="N324" s="2">
        <v>46110</v>
      </c>
      <c r="O324" t="s">
        <v>76</v>
      </c>
      <c r="P324" t="s">
        <v>44</v>
      </c>
      <c r="Q324" t="s">
        <v>28</v>
      </c>
      <c r="R324" t="s">
        <v>29</v>
      </c>
      <c r="S324">
        <v>2026</v>
      </c>
      <c r="T324" t="s">
        <v>2747</v>
      </c>
      <c r="U324" t="s">
        <v>2755</v>
      </c>
      <c r="V324" s="4">
        <v>0</v>
      </c>
      <c r="W324" s="4">
        <v>1</v>
      </c>
    </row>
    <row r="325" spans="1:23">
      <c r="A325" t="s">
        <v>451</v>
      </c>
      <c r="B325" s="2">
        <v>46080</v>
      </c>
      <c r="C325" t="s">
        <v>142</v>
      </c>
      <c r="D325" t="s">
        <v>143</v>
      </c>
      <c r="E325" t="s">
        <v>39</v>
      </c>
      <c r="F325" t="s">
        <v>22</v>
      </c>
      <c r="G325" t="s">
        <v>160</v>
      </c>
      <c r="H325" t="s">
        <v>161</v>
      </c>
      <c r="I325">
        <v>8</v>
      </c>
      <c r="J325" s="3">
        <v>3153.09</v>
      </c>
      <c r="K325" s="3">
        <v>25224.720000000001</v>
      </c>
      <c r="L325" t="s">
        <v>25</v>
      </c>
      <c r="M325" s="2">
        <v>46089</v>
      </c>
      <c r="N325" s="2">
        <v>46086</v>
      </c>
      <c r="O325" t="s">
        <v>43</v>
      </c>
      <c r="P325" t="s">
        <v>64</v>
      </c>
      <c r="Q325" t="s">
        <v>28</v>
      </c>
      <c r="R325" t="s">
        <v>29</v>
      </c>
      <c r="S325">
        <v>2026</v>
      </c>
      <c r="T325" t="s">
        <v>2751</v>
      </c>
      <c r="U325" t="s">
        <v>2765</v>
      </c>
      <c r="V325" s="4">
        <v>0</v>
      </c>
      <c r="W325" s="4">
        <v>1</v>
      </c>
    </row>
    <row r="326" spans="1:23">
      <c r="A326" t="s">
        <v>452</v>
      </c>
      <c r="B326" s="2">
        <v>45680</v>
      </c>
      <c r="C326" t="s">
        <v>147</v>
      </c>
      <c r="D326" t="s">
        <v>148</v>
      </c>
      <c r="E326" t="s">
        <v>39</v>
      </c>
      <c r="F326" t="s">
        <v>40</v>
      </c>
      <c r="G326" t="s">
        <v>149</v>
      </c>
      <c r="H326" t="s">
        <v>150</v>
      </c>
      <c r="I326">
        <v>19</v>
      </c>
      <c r="J326" s="3">
        <v>1328.97</v>
      </c>
      <c r="K326" s="3">
        <v>25250.43</v>
      </c>
      <c r="L326" t="s">
        <v>25</v>
      </c>
      <c r="M326" s="2">
        <v>45686</v>
      </c>
      <c r="N326" s="2">
        <v>45695</v>
      </c>
      <c r="O326" t="s">
        <v>60</v>
      </c>
      <c r="P326" t="s">
        <v>44</v>
      </c>
      <c r="Q326" t="s">
        <v>28</v>
      </c>
      <c r="R326" t="s">
        <v>129</v>
      </c>
      <c r="S326">
        <v>2025</v>
      </c>
      <c r="T326" t="s">
        <v>2757</v>
      </c>
      <c r="U326" t="s">
        <v>2768</v>
      </c>
      <c r="V326" s="4">
        <v>9</v>
      </c>
      <c r="W326" s="4">
        <v>0</v>
      </c>
    </row>
    <row r="327" spans="1:23">
      <c r="A327" t="s">
        <v>453</v>
      </c>
      <c r="B327" s="2">
        <v>45690</v>
      </c>
      <c r="C327" t="s">
        <v>55</v>
      </c>
      <c r="D327" t="s">
        <v>56</v>
      </c>
      <c r="E327" t="s">
        <v>48</v>
      </c>
      <c r="F327" t="s">
        <v>57</v>
      </c>
      <c r="G327" t="s">
        <v>101</v>
      </c>
      <c r="H327" t="s">
        <v>102</v>
      </c>
      <c r="I327">
        <v>39</v>
      </c>
      <c r="J327" s="3">
        <v>1988.65</v>
      </c>
      <c r="K327" s="3">
        <v>77557.350000000006</v>
      </c>
      <c r="L327" t="s">
        <v>34</v>
      </c>
      <c r="M327" s="2">
        <v>45702</v>
      </c>
      <c r="N327" s="2">
        <v>45700</v>
      </c>
      <c r="O327" t="s">
        <v>43</v>
      </c>
      <c r="P327" t="s">
        <v>53</v>
      </c>
      <c r="Q327" t="s">
        <v>28</v>
      </c>
      <c r="R327" t="s">
        <v>29</v>
      </c>
      <c r="S327">
        <v>2025</v>
      </c>
      <c r="T327" t="s">
        <v>2751</v>
      </c>
      <c r="U327" t="s">
        <v>2752</v>
      </c>
      <c r="V327" s="4">
        <v>0</v>
      </c>
      <c r="W327" s="4">
        <v>1</v>
      </c>
    </row>
    <row r="328" spans="1:23">
      <c r="A328" t="s">
        <v>454</v>
      </c>
      <c r="B328" s="2">
        <v>45912</v>
      </c>
      <c r="C328" t="s">
        <v>37</v>
      </c>
      <c r="D328" t="s">
        <v>38</v>
      </c>
      <c r="E328" t="s">
        <v>112</v>
      </c>
      <c r="F328" t="s">
        <v>22</v>
      </c>
      <c r="G328" t="s">
        <v>32</v>
      </c>
      <c r="H328" t="s">
        <v>33</v>
      </c>
      <c r="I328">
        <v>12</v>
      </c>
      <c r="J328" s="3">
        <v>8651.48</v>
      </c>
      <c r="K328" s="3">
        <v>103817.76</v>
      </c>
      <c r="L328" t="s">
        <v>25</v>
      </c>
      <c r="M328" s="2">
        <v>45929</v>
      </c>
      <c r="N328" s="2">
        <v>45928</v>
      </c>
      <c r="O328" t="s">
        <v>76</v>
      </c>
      <c r="P328" t="s">
        <v>115</v>
      </c>
      <c r="Q328" t="s">
        <v>28</v>
      </c>
      <c r="R328" t="s">
        <v>29</v>
      </c>
      <c r="S328">
        <v>2025</v>
      </c>
      <c r="T328" t="s">
        <v>2753</v>
      </c>
      <c r="U328" t="s">
        <v>2754</v>
      </c>
      <c r="V328" s="4">
        <v>0</v>
      </c>
      <c r="W328" s="4">
        <v>1</v>
      </c>
    </row>
    <row r="329" spans="1:23">
      <c r="A329" t="s">
        <v>455</v>
      </c>
      <c r="B329" s="2">
        <v>45820</v>
      </c>
      <c r="C329" t="s">
        <v>96</v>
      </c>
      <c r="D329" t="s">
        <v>97</v>
      </c>
      <c r="E329" t="s">
        <v>39</v>
      </c>
      <c r="F329" t="s">
        <v>82</v>
      </c>
      <c r="G329" t="s">
        <v>197</v>
      </c>
      <c r="H329" t="s">
        <v>198</v>
      </c>
      <c r="I329">
        <v>24</v>
      </c>
      <c r="J329" s="3">
        <v>2128.02</v>
      </c>
      <c r="K329" s="3">
        <v>51072.480000000003</v>
      </c>
      <c r="L329" t="s">
        <v>52</v>
      </c>
      <c r="M329" s="2">
        <v>45828</v>
      </c>
      <c r="N329" s="2">
        <v>45828</v>
      </c>
      <c r="O329" t="s">
        <v>26</v>
      </c>
      <c r="P329" t="s">
        <v>64</v>
      </c>
      <c r="Q329" t="s">
        <v>28</v>
      </c>
      <c r="R329" t="s">
        <v>29</v>
      </c>
      <c r="S329">
        <v>2025</v>
      </c>
      <c r="T329" t="s">
        <v>2743</v>
      </c>
      <c r="U329" t="s">
        <v>2756</v>
      </c>
      <c r="V329" s="4">
        <v>0</v>
      </c>
      <c r="W329" s="4">
        <v>1</v>
      </c>
    </row>
    <row r="330" spans="1:23">
      <c r="A330" t="s">
        <v>456</v>
      </c>
      <c r="B330" s="2">
        <v>45899</v>
      </c>
      <c r="C330" t="s">
        <v>19</v>
      </c>
      <c r="D330" t="s">
        <v>20</v>
      </c>
      <c r="E330" t="s">
        <v>21</v>
      </c>
      <c r="F330" t="s">
        <v>22</v>
      </c>
      <c r="G330" t="s">
        <v>160</v>
      </c>
      <c r="H330" t="s">
        <v>161</v>
      </c>
      <c r="I330">
        <v>4</v>
      </c>
      <c r="J330" s="3">
        <v>2916.68</v>
      </c>
      <c r="K330" s="3">
        <v>11666.72</v>
      </c>
      <c r="L330" t="s">
        <v>34</v>
      </c>
      <c r="M330" s="2">
        <v>45904</v>
      </c>
      <c r="N330" s="2">
        <v>45901</v>
      </c>
      <c r="O330" t="s">
        <v>26</v>
      </c>
      <c r="P330" t="s">
        <v>27</v>
      </c>
      <c r="Q330" t="s">
        <v>28</v>
      </c>
      <c r="R330" t="s">
        <v>29</v>
      </c>
      <c r="S330">
        <v>2025</v>
      </c>
      <c r="T330" t="s">
        <v>2761</v>
      </c>
      <c r="U330" t="s">
        <v>2762</v>
      </c>
      <c r="V330" s="4">
        <v>0</v>
      </c>
      <c r="W330" s="4">
        <v>1</v>
      </c>
    </row>
    <row r="331" spans="1:23">
      <c r="A331" t="s">
        <v>457</v>
      </c>
      <c r="B331" s="2">
        <v>45749</v>
      </c>
      <c r="C331" t="s">
        <v>142</v>
      </c>
      <c r="D331" t="s">
        <v>143</v>
      </c>
      <c r="E331" t="s">
        <v>31</v>
      </c>
      <c r="F331" t="s">
        <v>22</v>
      </c>
      <c r="G331" t="s">
        <v>32</v>
      </c>
      <c r="H331" t="s">
        <v>33</v>
      </c>
      <c r="I331">
        <v>13</v>
      </c>
      <c r="J331" s="3">
        <v>8168.7</v>
      </c>
      <c r="K331" s="3">
        <v>106193.1</v>
      </c>
      <c r="L331" t="s">
        <v>34</v>
      </c>
      <c r="M331" s="2">
        <v>45764</v>
      </c>
      <c r="N331" s="2">
        <v>45771</v>
      </c>
      <c r="O331" t="s">
        <v>43</v>
      </c>
      <c r="P331" t="s">
        <v>94</v>
      </c>
      <c r="Q331" t="s">
        <v>28</v>
      </c>
      <c r="R331" t="s">
        <v>129</v>
      </c>
      <c r="S331">
        <v>2025</v>
      </c>
      <c r="T331" t="s">
        <v>2741</v>
      </c>
      <c r="U331" t="s">
        <v>2742</v>
      </c>
      <c r="V331" s="4">
        <v>7</v>
      </c>
      <c r="W331" s="4">
        <v>0</v>
      </c>
    </row>
    <row r="332" spans="1:23">
      <c r="A332" t="s">
        <v>458</v>
      </c>
      <c r="B332" s="2">
        <v>46157</v>
      </c>
      <c r="C332" t="s">
        <v>66</v>
      </c>
      <c r="D332" t="s">
        <v>67</v>
      </c>
      <c r="E332" t="s">
        <v>112</v>
      </c>
      <c r="F332" t="s">
        <v>49</v>
      </c>
      <c r="G332" t="s">
        <v>165</v>
      </c>
      <c r="H332" t="s">
        <v>166</v>
      </c>
      <c r="I332">
        <v>1</v>
      </c>
      <c r="J332" s="3">
        <v>43627.51</v>
      </c>
      <c r="K332" s="3">
        <v>43627.51</v>
      </c>
      <c r="L332" t="s">
        <v>34</v>
      </c>
      <c r="M332" s="2">
        <v>46162</v>
      </c>
      <c r="N332" s="2">
        <v>46160</v>
      </c>
      <c r="O332" t="s">
        <v>76</v>
      </c>
      <c r="P332" t="s">
        <v>115</v>
      </c>
      <c r="Q332" t="s">
        <v>28</v>
      </c>
      <c r="R332" t="s">
        <v>29</v>
      </c>
      <c r="S332">
        <v>2026</v>
      </c>
      <c r="T332" t="s">
        <v>2766</v>
      </c>
      <c r="U332" t="s">
        <v>2769</v>
      </c>
      <c r="V332" s="4">
        <v>0</v>
      </c>
      <c r="W332" s="4">
        <v>1</v>
      </c>
    </row>
    <row r="333" spans="1:23">
      <c r="A333" t="s">
        <v>459</v>
      </c>
      <c r="B333" s="2">
        <v>45959</v>
      </c>
      <c r="C333" t="s">
        <v>19</v>
      </c>
      <c r="D333" t="s">
        <v>20</v>
      </c>
      <c r="E333" t="s">
        <v>31</v>
      </c>
      <c r="F333" t="s">
        <v>22</v>
      </c>
      <c r="G333" t="s">
        <v>23</v>
      </c>
      <c r="H333" t="s">
        <v>24</v>
      </c>
      <c r="I333">
        <v>34</v>
      </c>
      <c r="J333" s="3">
        <v>225.37</v>
      </c>
      <c r="K333" s="3">
        <v>7662.58</v>
      </c>
      <c r="L333" t="s">
        <v>25</v>
      </c>
      <c r="M333" s="2">
        <v>45968</v>
      </c>
      <c r="N333" s="2">
        <v>45967</v>
      </c>
      <c r="O333" t="s">
        <v>26</v>
      </c>
      <c r="P333" t="s">
        <v>35</v>
      </c>
      <c r="Q333" t="s">
        <v>28</v>
      </c>
      <c r="R333" t="s">
        <v>29</v>
      </c>
      <c r="S333">
        <v>2025</v>
      </c>
      <c r="T333" t="s">
        <v>2749</v>
      </c>
      <c r="U333" t="s">
        <v>2750</v>
      </c>
      <c r="V333" s="4">
        <v>0</v>
      </c>
      <c r="W333" s="4">
        <v>1</v>
      </c>
    </row>
    <row r="334" spans="1:23">
      <c r="A334" t="s">
        <v>460</v>
      </c>
      <c r="B334" s="2">
        <v>45960</v>
      </c>
      <c r="C334" t="s">
        <v>71</v>
      </c>
      <c r="D334" t="s">
        <v>72</v>
      </c>
      <c r="E334" t="s">
        <v>31</v>
      </c>
      <c r="F334" t="s">
        <v>57</v>
      </c>
      <c r="G334" t="s">
        <v>101</v>
      </c>
      <c r="H334" t="s">
        <v>102</v>
      </c>
      <c r="I334">
        <v>51</v>
      </c>
      <c r="J334" s="3">
        <v>1692.82</v>
      </c>
      <c r="K334" s="3">
        <v>86333.82</v>
      </c>
      <c r="L334" t="s">
        <v>34</v>
      </c>
      <c r="M334" s="2">
        <v>45967</v>
      </c>
      <c r="N334" s="2">
        <v>45965</v>
      </c>
      <c r="O334" t="s">
        <v>26</v>
      </c>
      <c r="P334" t="s">
        <v>35</v>
      </c>
      <c r="Q334" t="s">
        <v>28</v>
      </c>
      <c r="R334" t="s">
        <v>29</v>
      </c>
      <c r="S334">
        <v>2025</v>
      </c>
      <c r="T334" t="s">
        <v>2749</v>
      </c>
      <c r="U334" t="s">
        <v>2750</v>
      </c>
      <c r="V334" s="4">
        <v>0</v>
      </c>
      <c r="W334" s="4">
        <v>1</v>
      </c>
    </row>
    <row r="335" spans="1:23">
      <c r="A335" t="s">
        <v>461</v>
      </c>
      <c r="B335" s="2">
        <v>45722</v>
      </c>
      <c r="C335" t="s">
        <v>71</v>
      </c>
      <c r="D335" t="s">
        <v>72</v>
      </c>
      <c r="E335" t="s">
        <v>31</v>
      </c>
      <c r="F335" t="s">
        <v>57</v>
      </c>
      <c r="G335" t="s">
        <v>86</v>
      </c>
      <c r="H335" t="s">
        <v>87</v>
      </c>
      <c r="I335">
        <v>3</v>
      </c>
      <c r="J335" s="3">
        <v>10240.709999999999</v>
      </c>
      <c r="K335" s="3">
        <v>30722.13</v>
      </c>
      <c r="L335" t="s">
        <v>34</v>
      </c>
      <c r="M335" s="2">
        <v>45736</v>
      </c>
      <c r="N335" s="2">
        <v>45733</v>
      </c>
      <c r="O335" t="s">
        <v>43</v>
      </c>
      <c r="P335" t="s">
        <v>94</v>
      </c>
      <c r="Q335" t="s">
        <v>28</v>
      </c>
      <c r="R335" t="s">
        <v>29</v>
      </c>
      <c r="S335">
        <v>2025</v>
      </c>
      <c r="T335" t="s">
        <v>2747</v>
      </c>
      <c r="U335" t="s">
        <v>2748</v>
      </c>
      <c r="V335" s="4">
        <v>0</v>
      </c>
      <c r="W335" s="4">
        <v>1</v>
      </c>
    </row>
    <row r="336" spans="1:23">
      <c r="A336" t="s">
        <v>462</v>
      </c>
      <c r="B336" s="2">
        <v>45790</v>
      </c>
      <c r="C336" t="s">
        <v>142</v>
      </c>
      <c r="D336" t="s">
        <v>143</v>
      </c>
      <c r="E336" t="s">
        <v>39</v>
      </c>
      <c r="F336" t="s">
        <v>22</v>
      </c>
      <c r="G336" t="s">
        <v>160</v>
      </c>
      <c r="H336" t="s">
        <v>161</v>
      </c>
      <c r="I336">
        <v>11</v>
      </c>
      <c r="J336" s="3">
        <v>3033.02</v>
      </c>
      <c r="K336" s="3">
        <v>33363.22</v>
      </c>
      <c r="L336" t="s">
        <v>25</v>
      </c>
      <c r="M336" s="2">
        <v>45808</v>
      </c>
      <c r="N336" s="2">
        <v>45805</v>
      </c>
      <c r="O336" t="s">
        <v>76</v>
      </c>
      <c r="P336" t="s">
        <v>64</v>
      </c>
      <c r="Q336" t="s">
        <v>28</v>
      </c>
      <c r="R336" t="s">
        <v>29</v>
      </c>
      <c r="S336">
        <v>2025</v>
      </c>
      <c r="T336" t="s">
        <v>2766</v>
      </c>
      <c r="U336" t="s">
        <v>2767</v>
      </c>
      <c r="V336" s="4">
        <v>0</v>
      </c>
      <c r="W336" s="4">
        <v>1</v>
      </c>
    </row>
    <row r="337" spans="1:23">
      <c r="A337" t="s">
        <v>463</v>
      </c>
      <c r="B337" s="2">
        <v>46033</v>
      </c>
      <c r="C337" t="s">
        <v>71</v>
      </c>
      <c r="D337" t="s">
        <v>72</v>
      </c>
      <c r="E337" t="s">
        <v>48</v>
      </c>
      <c r="F337" t="s">
        <v>57</v>
      </c>
      <c r="G337" t="s">
        <v>86</v>
      </c>
      <c r="H337" t="s">
        <v>87</v>
      </c>
      <c r="I337">
        <v>2</v>
      </c>
      <c r="J337" s="3">
        <v>10635.93</v>
      </c>
      <c r="K337" s="3">
        <v>21271.86</v>
      </c>
      <c r="L337" t="s">
        <v>25</v>
      </c>
      <c r="M337" s="2">
        <v>46045</v>
      </c>
      <c r="N337" s="2">
        <v>46045</v>
      </c>
      <c r="O337" t="s">
        <v>60</v>
      </c>
      <c r="P337" t="s">
        <v>53</v>
      </c>
      <c r="Q337" t="s">
        <v>28</v>
      </c>
      <c r="R337" t="s">
        <v>29</v>
      </c>
      <c r="S337">
        <v>2026</v>
      </c>
      <c r="T337" t="s">
        <v>2757</v>
      </c>
      <c r="U337" t="s">
        <v>2758</v>
      </c>
      <c r="V337" s="4">
        <v>0</v>
      </c>
      <c r="W337" s="4">
        <v>1</v>
      </c>
    </row>
    <row r="338" spans="1:23">
      <c r="A338" t="s">
        <v>464</v>
      </c>
      <c r="B338" s="2">
        <v>45930</v>
      </c>
      <c r="C338" t="s">
        <v>66</v>
      </c>
      <c r="D338" t="s">
        <v>67</v>
      </c>
      <c r="E338" t="s">
        <v>48</v>
      </c>
      <c r="F338" t="s">
        <v>49</v>
      </c>
      <c r="G338" t="s">
        <v>113</v>
      </c>
      <c r="H338" t="s">
        <v>114</v>
      </c>
      <c r="I338">
        <v>1</v>
      </c>
      <c r="J338" s="3">
        <v>38572.25</v>
      </c>
      <c r="K338" s="3">
        <v>38572.25</v>
      </c>
      <c r="L338" t="s">
        <v>25</v>
      </c>
      <c r="M338" s="2">
        <v>45936</v>
      </c>
      <c r="N338" s="2">
        <v>45933</v>
      </c>
      <c r="O338" t="s">
        <v>26</v>
      </c>
      <c r="P338" t="s">
        <v>53</v>
      </c>
      <c r="Q338" t="s">
        <v>28</v>
      </c>
      <c r="R338" t="s">
        <v>29</v>
      </c>
      <c r="S338">
        <v>2025</v>
      </c>
      <c r="T338" t="s">
        <v>2753</v>
      </c>
      <c r="U338" t="s">
        <v>2754</v>
      </c>
      <c r="V338" s="4">
        <v>0</v>
      </c>
      <c r="W338" s="4">
        <v>1</v>
      </c>
    </row>
    <row r="339" spans="1:23">
      <c r="A339" t="s">
        <v>465</v>
      </c>
      <c r="B339" s="2">
        <v>46083</v>
      </c>
      <c r="C339" t="s">
        <v>46</v>
      </c>
      <c r="D339" t="s">
        <v>47</v>
      </c>
      <c r="E339" t="s">
        <v>48</v>
      </c>
      <c r="F339" t="s">
        <v>49</v>
      </c>
      <c r="G339" t="s">
        <v>68</v>
      </c>
      <c r="H339" t="s">
        <v>69</v>
      </c>
      <c r="I339">
        <v>1</v>
      </c>
      <c r="J339" s="3">
        <v>50800.46</v>
      </c>
      <c r="K339" s="3">
        <v>50800.46</v>
      </c>
      <c r="L339" t="s">
        <v>25</v>
      </c>
      <c r="M339" s="2">
        <v>46090</v>
      </c>
      <c r="N339" s="2">
        <v>46087</v>
      </c>
      <c r="O339" t="s">
        <v>26</v>
      </c>
      <c r="P339" t="s">
        <v>53</v>
      </c>
      <c r="Q339" t="s">
        <v>28</v>
      </c>
      <c r="R339" t="s">
        <v>29</v>
      </c>
      <c r="S339">
        <v>2026</v>
      </c>
      <c r="T339" t="s">
        <v>2747</v>
      </c>
      <c r="U339" t="s">
        <v>2755</v>
      </c>
      <c r="V339" s="4">
        <v>0</v>
      </c>
      <c r="W339" s="4">
        <v>1</v>
      </c>
    </row>
    <row r="340" spans="1:23">
      <c r="A340" t="s">
        <v>466</v>
      </c>
      <c r="B340" s="2">
        <v>45989</v>
      </c>
      <c r="C340" t="s">
        <v>107</v>
      </c>
      <c r="D340" t="s">
        <v>108</v>
      </c>
      <c r="E340" t="s">
        <v>31</v>
      </c>
      <c r="F340" t="s">
        <v>91</v>
      </c>
      <c r="G340" t="s">
        <v>109</v>
      </c>
      <c r="H340" t="s">
        <v>110</v>
      </c>
      <c r="I340">
        <v>1</v>
      </c>
      <c r="J340" s="3">
        <v>14346.11</v>
      </c>
      <c r="K340" s="3">
        <v>14346.11</v>
      </c>
      <c r="L340" t="s">
        <v>52</v>
      </c>
      <c r="M340" s="2">
        <v>45999</v>
      </c>
      <c r="N340" s="2">
        <v>45996</v>
      </c>
      <c r="O340" t="s">
        <v>43</v>
      </c>
      <c r="P340" t="s">
        <v>94</v>
      </c>
      <c r="Q340" t="s">
        <v>28</v>
      </c>
      <c r="R340" t="s">
        <v>29</v>
      </c>
      <c r="S340">
        <v>2025</v>
      </c>
      <c r="T340" t="s">
        <v>2763</v>
      </c>
      <c r="U340" t="s">
        <v>2764</v>
      </c>
      <c r="V340" s="4">
        <v>0</v>
      </c>
      <c r="W340" s="4">
        <v>1</v>
      </c>
    </row>
    <row r="341" spans="1:23">
      <c r="A341" t="s">
        <v>467</v>
      </c>
      <c r="B341" s="2">
        <v>45949</v>
      </c>
      <c r="C341" t="s">
        <v>55</v>
      </c>
      <c r="D341" t="s">
        <v>56</v>
      </c>
      <c r="E341" t="s">
        <v>31</v>
      </c>
      <c r="F341" t="s">
        <v>57</v>
      </c>
      <c r="G341" t="s">
        <v>101</v>
      </c>
      <c r="H341" t="s">
        <v>102</v>
      </c>
      <c r="I341">
        <v>59</v>
      </c>
      <c r="J341" s="3">
        <v>1957.98</v>
      </c>
      <c r="K341" s="3">
        <v>115520.82</v>
      </c>
      <c r="L341" t="s">
        <v>52</v>
      </c>
      <c r="M341" s="2">
        <v>45959</v>
      </c>
      <c r="N341" s="2">
        <v>45974</v>
      </c>
      <c r="O341" t="s">
        <v>76</v>
      </c>
      <c r="P341" t="s">
        <v>94</v>
      </c>
      <c r="Q341" t="s">
        <v>28</v>
      </c>
      <c r="R341" t="s">
        <v>129</v>
      </c>
      <c r="S341">
        <v>2025</v>
      </c>
      <c r="T341" t="s">
        <v>2749</v>
      </c>
      <c r="U341" t="s">
        <v>2750</v>
      </c>
      <c r="V341" s="4">
        <v>15</v>
      </c>
      <c r="W341" s="4">
        <v>0</v>
      </c>
    </row>
    <row r="342" spans="1:23">
      <c r="A342" t="s">
        <v>468</v>
      </c>
      <c r="B342" s="2">
        <v>45754</v>
      </c>
      <c r="C342" t="s">
        <v>142</v>
      </c>
      <c r="D342" t="s">
        <v>143</v>
      </c>
      <c r="E342" t="s">
        <v>21</v>
      </c>
      <c r="F342" t="s">
        <v>22</v>
      </c>
      <c r="G342" t="s">
        <v>160</v>
      </c>
      <c r="H342" t="s">
        <v>161</v>
      </c>
      <c r="I342">
        <v>4</v>
      </c>
      <c r="J342" s="3">
        <v>3189.04</v>
      </c>
      <c r="K342" s="3">
        <v>12756.16</v>
      </c>
      <c r="L342" t="s">
        <v>34</v>
      </c>
      <c r="M342" s="2">
        <v>45763</v>
      </c>
      <c r="N342" s="2">
        <v>45763</v>
      </c>
      <c r="O342" t="s">
        <v>26</v>
      </c>
      <c r="P342" t="s">
        <v>27</v>
      </c>
      <c r="Q342" t="s">
        <v>28</v>
      </c>
      <c r="R342" t="s">
        <v>29</v>
      </c>
      <c r="S342">
        <v>2025</v>
      </c>
      <c r="T342" t="s">
        <v>2741</v>
      </c>
      <c r="U342" t="s">
        <v>2742</v>
      </c>
      <c r="V342" s="4">
        <v>0</v>
      </c>
      <c r="W342" s="4">
        <v>1</v>
      </c>
    </row>
    <row r="343" spans="1:23">
      <c r="A343" t="s">
        <v>469</v>
      </c>
      <c r="B343" s="2">
        <v>45990</v>
      </c>
      <c r="C343" t="s">
        <v>80</v>
      </c>
      <c r="D343" t="s">
        <v>81</v>
      </c>
      <c r="E343" t="s">
        <v>39</v>
      </c>
      <c r="F343" t="s">
        <v>82</v>
      </c>
      <c r="G343" t="s">
        <v>197</v>
      </c>
      <c r="H343" t="s">
        <v>198</v>
      </c>
      <c r="I343">
        <v>43</v>
      </c>
      <c r="J343" s="3">
        <v>2078.17</v>
      </c>
      <c r="K343" s="3">
        <v>89361.31</v>
      </c>
      <c r="L343" t="s">
        <v>25</v>
      </c>
      <c r="M343" s="2">
        <v>46005</v>
      </c>
      <c r="N343" s="2">
        <v>46002</v>
      </c>
      <c r="O343" t="s">
        <v>43</v>
      </c>
      <c r="P343" t="s">
        <v>44</v>
      </c>
      <c r="Q343" t="s">
        <v>28</v>
      </c>
      <c r="R343" t="s">
        <v>29</v>
      </c>
      <c r="S343">
        <v>2025</v>
      </c>
      <c r="T343" t="s">
        <v>2763</v>
      </c>
      <c r="U343" t="s">
        <v>2764</v>
      </c>
      <c r="V343" s="4">
        <v>0</v>
      </c>
      <c r="W343" s="4">
        <v>1</v>
      </c>
    </row>
    <row r="344" spans="1:23">
      <c r="A344" t="s">
        <v>470</v>
      </c>
      <c r="B344" s="2">
        <v>46102</v>
      </c>
      <c r="C344" t="s">
        <v>19</v>
      </c>
      <c r="D344" t="s">
        <v>20</v>
      </c>
      <c r="E344" t="s">
        <v>112</v>
      </c>
      <c r="F344" t="s">
        <v>22</v>
      </c>
      <c r="G344" t="s">
        <v>32</v>
      </c>
      <c r="H344" t="s">
        <v>33</v>
      </c>
      <c r="I344">
        <v>1</v>
      </c>
      <c r="J344" s="3">
        <v>7798.48</v>
      </c>
      <c r="K344" s="3">
        <v>7798.48</v>
      </c>
      <c r="L344" t="s">
        <v>25</v>
      </c>
      <c r="M344" s="2">
        <v>46117</v>
      </c>
      <c r="N344" s="2">
        <v>46114</v>
      </c>
      <c r="O344" t="s">
        <v>43</v>
      </c>
      <c r="P344" t="s">
        <v>115</v>
      </c>
      <c r="Q344" t="s">
        <v>28</v>
      </c>
      <c r="R344" t="s">
        <v>29</v>
      </c>
      <c r="S344">
        <v>2026</v>
      </c>
      <c r="T344" t="s">
        <v>2747</v>
      </c>
      <c r="U344" t="s">
        <v>2755</v>
      </c>
      <c r="V344" s="4">
        <v>0</v>
      </c>
      <c r="W344" s="4">
        <v>1</v>
      </c>
    </row>
    <row r="345" spans="1:23">
      <c r="A345" t="s">
        <v>471</v>
      </c>
      <c r="B345" s="2">
        <v>45811</v>
      </c>
      <c r="C345" t="s">
        <v>71</v>
      </c>
      <c r="D345" t="s">
        <v>72</v>
      </c>
      <c r="E345" t="s">
        <v>48</v>
      </c>
      <c r="F345" t="s">
        <v>57</v>
      </c>
      <c r="G345" t="s">
        <v>101</v>
      </c>
      <c r="H345" t="s">
        <v>102</v>
      </c>
      <c r="I345">
        <v>33</v>
      </c>
      <c r="J345" s="3">
        <v>1767.28</v>
      </c>
      <c r="K345" s="3">
        <v>58320.24</v>
      </c>
      <c r="L345" t="s">
        <v>25</v>
      </c>
      <c r="M345" s="2">
        <v>45828</v>
      </c>
      <c r="N345" s="2">
        <v>45828</v>
      </c>
      <c r="O345" t="s">
        <v>76</v>
      </c>
      <c r="P345" t="s">
        <v>53</v>
      </c>
      <c r="Q345" t="s">
        <v>28</v>
      </c>
      <c r="R345" t="s">
        <v>29</v>
      </c>
      <c r="S345">
        <v>2025</v>
      </c>
      <c r="T345" t="s">
        <v>2743</v>
      </c>
      <c r="U345" t="s">
        <v>2756</v>
      </c>
      <c r="V345" s="4">
        <v>0</v>
      </c>
      <c r="W345" s="4">
        <v>1</v>
      </c>
    </row>
    <row r="346" spans="1:23">
      <c r="A346" t="s">
        <v>472</v>
      </c>
      <c r="B346" s="2">
        <v>45809</v>
      </c>
      <c r="C346" t="s">
        <v>96</v>
      </c>
      <c r="D346" t="s">
        <v>97</v>
      </c>
      <c r="E346" t="s">
        <v>39</v>
      </c>
      <c r="F346" t="s">
        <v>82</v>
      </c>
      <c r="G346" t="s">
        <v>197</v>
      </c>
      <c r="H346" t="s">
        <v>198</v>
      </c>
      <c r="I346">
        <v>10</v>
      </c>
      <c r="J346" s="3">
        <v>2112.36</v>
      </c>
      <c r="K346" s="3">
        <v>21123.599999999999</v>
      </c>
      <c r="L346" t="s">
        <v>34</v>
      </c>
      <c r="M346" s="2">
        <v>45820</v>
      </c>
      <c r="N346" s="2">
        <v>45819</v>
      </c>
      <c r="O346" t="s">
        <v>60</v>
      </c>
      <c r="P346" t="s">
        <v>64</v>
      </c>
      <c r="Q346" t="s">
        <v>28</v>
      </c>
      <c r="R346" t="s">
        <v>29</v>
      </c>
      <c r="S346">
        <v>2025</v>
      </c>
      <c r="T346" t="s">
        <v>2743</v>
      </c>
      <c r="U346" t="s">
        <v>2756</v>
      </c>
      <c r="V346" s="4">
        <v>0</v>
      </c>
      <c r="W346" s="4">
        <v>1</v>
      </c>
    </row>
    <row r="347" spans="1:23">
      <c r="A347" t="s">
        <v>473</v>
      </c>
      <c r="B347" s="2">
        <v>46157</v>
      </c>
      <c r="C347" t="s">
        <v>37</v>
      </c>
      <c r="D347" t="s">
        <v>38</v>
      </c>
      <c r="E347" t="s">
        <v>31</v>
      </c>
      <c r="F347" t="s">
        <v>22</v>
      </c>
      <c r="G347" t="s">
        <v>32</v>
      </c>
      <c r="H347" t="s">
        <v>33</v>
      </c>
      <c r="I347">
        <v>4</v>
      </c>
      <c r="J347" s="3">
        <v>8405.94</v>
      </c>
      <c r="K347" s="3">
        <v>33623.760000000002</v>
      </c>
      <c r="L347" t="s">
        <v>25</v>
      </c>
      <c r="M347" s="2">
        <v>46163</v>
      </c>
      <c r="N347" s="2">
        <v>46160</v>
      </c>
      <c r="O347" t="s">
        <v>43</v>
      </c>
      <c r="P347" t="s">
        <v>94</v>
      </c>
      <c r="Q347" t="s">
        <v>28</v>
      </c>
      <c r="R347" t="s">
        <v>29</v>
      </c>
      <c r="S347">
        <v>2026</v>
      </c>
      <c r="T347" t="s">
        <v>2766</v>
      </c>
      <c r="U347" t="s">
        <v>2769</v>
      </c>
      <c r="V347" s="4">
        <v>0</v>
      </c>
      <c r="W347" s="4">
        <v>1</v>
      </c>
    </row>
    <row r="348" spans="1:23">
      <c r="A348" t="s">
        <v>474</v>
      </c>
      <c r="B348" s="2">
        <v>46081</v>
      </c>
      <c r="C348" t="s">
        <v>46</v>
      </c>
      <c r="D348" t="s">
        <v>47</v>
      </c>
      <c r="E348" t="s">
        <v>21</v>
      </c>
      <c r="F348" t="s">
        <v>49</v>
      </c>
      <c r="G348" t="s">
        <v>165</v>
      </c>
      <c r="H348" t="s">
        <v>166</v>
      </c>
      <c r="I348">
        <v>1</v>
      </c>
      <c r="J348" s="3">
        <v>45895.92</v>
      </c>
      <c r="K348" s="3">
        <v>45895.92</v>
      </c>
      <c r="L348" t="s">
        <v>34</v>
      </c>
      <c r="M348" s="2">
        <v>46088</v>
      </c>
      <c r="N348" s="2">
        <v>46085</v>
      </c>
      <c r="O348" t="s">
        <v>60</v>
      </c>
      <c r="P348" t="s">
        <v>27</v>
      </c>
      <c r="Q348" t="s">
        <v>28</v>
      </c>
      <c r="R348" t="s">
        <v>29</v>
      </c>
      <c r="S348">
        <v>2026</v>
      </c>
      <c r="T348" t="s">
        <v>2751</v>
      </c>
      <c r="U348" t="s">
        <v>2765</v>
      </c>
      <c r="V348" s="4">
        <v>0</v>
      </c>
      <c r="W348" s="4">
        <v>1</v>
      </c>
    </row>
    <row r="349" spans="1:23">
      <c r="A349" t="s">
        <v>475</v>
      </c>
      <c r="B349" s="2">
        <v>45897</v>
      </c>
      <c r="C349" t="s">
        <v>117</v>
      </c>
      <c r="D349" t="s">
        <v>118</v>
      </c>
      <c r="E349" t="s">
        <v>73</v>
      </c>
      <c r="F349" t="s">
        <v>57</v>
      </c>
      <c r="G349" t="s">
        <v>101</v>
      </c>
      <c r="H349" t="s">
        <v>102</v>
      </c>
      <c r="I349">
        <v>44</v>
      </c>
      <c r="J349" s="3">
        <v>1749.38</v>
      </c>
      <c r="K349" s="3">
        <v>76972.72</v>
      </c>
      <c r="L349" t="s">
        <v>25</v>
      </c>
      <c r="M349" s="2">
        <v>45904</v>
      </c>
      <c r="N349" s="2">
        <v>45902</v>
      </c>
      <c r="O349" t="s">
        <v>43</v>
      </c>
      <c r="P349" t="s">
        <v>77</v>
      </c>
      <c r="Q349" t="s">
        <v>28</v>
      </c>
      <c r="R349" t="s">
        <v>29</v>
      </c>
      <c r="S349">
        <v>2025</v>
      </c>
      <c r="T349" t="s">
        <v>2761</v>
      </c>
      <c r="U349" t="s">
        <v>2762</v>
      </c>
      <c r="V349" s="4">
        <v>0</v>
      </c>
      <c r="W349" s="4">
        <v>1</v>
      </c>
    </row>
    <row r="350" spans="1:23">
      <c r="A350" t="s">
        <v>476</v>
      </c>
      <c r="B350" s="2">
        <v>46118</v>
      </c>
      <c r="C350" t="s">
        <v>117</v>
      </c>
      <c r="D350" t="s">
        <v>118</v>
      </c>
      <c r="E350" t="s">
        <v>21</v>
      </c>
      <c r="F350" t="s">
        <v>57</v>
      </c>
      <c r="G350" t="s">
        <v>127</v>
      </c>
      <c r="H350" t="s">
        <v>128</v>
      </c>
      <c r="I350">
        <v>5</v>
      </c>
      <c r="J350" s="3">
        <v>16615.11</v>
      </c>
      <c r="K350" s="3">
        <v>83075.55</v>
      </c>
      <c r="L350" t="s">
        <v>34</v>
      </c>
      <c r="M350" s="2">
        <v>46131</v>
      </c>
      <c r="N350" s="2">
        <v>46130</v>
      </c>
      <c r="O350" t="s">
        <v>43</v>
      </c>
      <c r="P350" t="s">
        <v>27</v>
      </c>
      <c r="Q350" t="s">
        <v>28</v>
      </c>
      <c r="R350" t="s">
        <v>29</v>
      </c>
      <c r="S350">
        <v>2026</v>
      </c>
      <c r="T350" t="s">
        <v>2741</v>
      </c>
      <c r="U350" t="s">
        <v>2770</v>
      </c>
      <c r="V350" s="4">
        <v>0</v>
      </c>
      <c r="W350" s="4">
        <v>1</v>
      </c>
    </row>
    <row r="351" spans="1:23">
      <c r="A351" t="s">
        <v>477</v>
      </c>
      <c r="B351" s="2">
        <v>46197</v>
      </c>
      <c r="C351" t="s">
        <v>147</v>
      </c>
      <c r="D351" t="s">
        <v>148</v>
      </c>
      <c r="E351" t="s">
        <v>39</v>
      </c>
      <c r="F351" t="s">
        <v>40</v>
      </c>
      <c r="G351" t="s">
        <v>149</v>
      </c>
      <c r="H351" t="s">
        <v>150</v>
      </c>
      <c r="I351">
        <v>8</v>
      </c>
      <c r="J351" s="3">
        <v>1316.24</v>
      </c>
      <c r="K351" s="3">
        <v>10529.92</v>
      </c>
      <c r="L351" t="s">
        <v>34</v>
      </c>
      <c r="M351" s="2">
        <v>46209</v>
      </c>
      <c r="N351" s="2"/>
      <c r="O351" t="s">
        <v>76</v>
      </c>
      <c r="P351" t="s">
        <v>64</v>
      </c>
      <c r="Q351" t="s">
        <v>167</v>
      </c>
      <c r="R351" t="s">
        <v>167</v>
      </c>
      <c r="S351">
        <v>2026</v>
      </c>
      <c r="T351" t="s">
        <v>2743</v>
      </c>
      <c r="U351" t="s">
        <v>2744</v>
      </c>
      <c r="V351" s="4"/>
      <c r="W351" s="4"/>
    </row>
    <row r="352" spans="1:23">
      <c r="A352" t="s">
        <v>478</v>
      </c>
      <c r="B352" s="2">
        <v>45677</v>
      </c>
      <c r="C352" t="s">
        <v>147</v>
      </c>
      <c r="D352" t="s">
        <v>148</v>
      </c>
      <c r="E352" t="s">
        <v>112</v>
      </c>
      <c r="F352" t="s">
        <v>40</v>
      </c>
      <c r="G352" t="s">
        <v>149</v>
      </c>
      <c r="H352" t="s">
        <v>150</v>
      </c>
      <c r="I352">
        <v>50</v>
      </c>
      <c r="J352" s="3">
        <v>1303.48</v>
      </c>
      <c r="K352" s="3">
        <v>65174</v>
      </c>
      <c r="L352" t="s">
        <v>52</v>
      </c>
      <c r="M352" s="2">
        <v>45683</v>
      </c>
      <c r="N352" s="2">
        <v>45680</v>
      </c>
      <c r="O352" t="s">
        <v>43</v>
      </c>
      <c r="P352" t="s">
        <v>115</v>
      </c>
      <c r="Q352" t="s">
        <v>28</v>
      </c>
      <c r="R352" t="s">
        <v>29</v>
      </c>
      <c r="S352">
        <v>2025</v>
      </c>
      <c r="T352" t="s">
        <v>2757</v>
      </c>
      <c r="U352" t="s">
        <v>2768</v>
      </c>
      <c r="V352" s="4">
        <v>0</v>
      </c>
      <c r="W352" s="4">
        <v>1</v>
      </c>
    </row>
    <row r="353" spans="1:23">
      <c r="A353" t="s">
        <v>479</v>
      </c>
      <c r="B353" s="2">
        <v>45861</v>
      </c>
      <c r="C353" t="s">
        <v>117</v>
      </c>
      <c r="D353" t="s">
        <v>118</v>
      </c>
      <c r="E353" t="s">
        <v>73</v>
      </c>
      <c r="F353" t="s">
        <v>57</v>
      </c>
      <c r="G353" t="s">
        <v>101</v>
      </c>
      <c r="H353" t="s">
        <v>102</v>
      </c>
      <c r="I353">
        <v>24</v>
      </c>
      <c r="J353" s="3">
        <v>1890.97</v>
      </c>
      <c r="K353" s="3">
        <v>45383.28</v>
      </c>
      <c r="L353" t="s">
        <v>25</v>
      </c>
      <c r="M353" s="2">
        <v>45871</v>
      </c>
      <c r="N353" s="2">
        <v>45870</v>
      </c>
      <c r="O353" t="s">
        <v>76</v>
      </c>
      <c r="P353" t="s">
        <v>77</v>
      </c>
      <c r="Q353" t="s">
        <v>28</v>
      </c>
      <c r="R353" t="s">
        <v>29</v>
      </c>
      <c r="S353">
        <v>2025</v>
      </c>
      <c r="T353" t="s">
        <v>2759</v>
      </c>
      <c r="U353" t="s">
        <v>2760</v>
      </c>
      <c r="V353" s="4">
        <v>0</v>
      </c>
      <c r="W353" s="4">
        <v>1</v>
      </c>
    </row>
    <row r="354" spans="1:23">
      <c r="A354" t="s">
        <v>480</v>
      </c>
      <c r="B354" s="2">
        <v>45967</v>
      </c>
      <c r="C354" t="s">
        <v>66</v>
      </c>
      <c r="D354" t="s">
        <v>67</v>
      </c>
      <c r="E354" t="s">
        <v>112</v>
      </c>
      <c r="F354" t="s">
        <v>49</v>
      </c>
      <c r="G354" t="s">
        <v>165</v>
      </c>
      <c r="H354" t="s">
        <v>166</v>
      </c>
      <c r="I354">
        <v>2</v>
      </c>
      <c r="J354" s="3">
        <v>44362.43</v>
      </c>
      <c r="K354" s="3">
        <v>88724.86</v>
      </c>
      <c r="L354" t="s">
        <v>25</v>
      </c>
      <c r="M354" s="2">
        <v>45985</v>
      </c>
      <c r="N354" s="2">
        <v>45983</v>
      </c>
      <c r="O354" t="s">
        <v>76</v>
      </c>
      <c r="P354" t="s">
        <v>115</v>
      </c>
      <c r="Q354" t="s">
        <v>28</v>
      </c>
      <c r="R354" t="s">
        <v>29</v>
      </c>
      <c r="S354">
        <v>2025</v>
      </c>
      <c r="T354" t="s">
        <v>2763</v>
      </c>
      <c r="U354" t="s">
        <v>2764</v>
      </c>
      <c r="V354" s="4">
        <v>0</v>
      </c>
      <c r="W354" s="4">
        <v>1</v>
      </c>
    </row>
    <row r="355" spans="1:23">
      <c r="A355" t="s">
        <v>481</v>
      </c>
      <c r="B355" s="2">
        <v>45798</v>
      </c>
      <c r="C355" t="s">
        <v>131</v>
      </c>
      <c r="D355" t="s">
        <v>132</v>
      </c>
      <c r="E355" t="s">
        <v>73</v>
      </c>
      <c r="F355" t="s">
        <v>57</v>
      </c>
      <c r="G355" t="s">
        <v>127</v>
      </c>
      <c r="H355" t="s">
        <v>128</v>
      </c>
      <c r="I355">
        <v>7</v>
      </c>
      <c r="J355" s="3">
        <v>17509.34</v>
      </c>
      <c r="K355" s="3">
        <v>122565.38</v>
      </c>
      <c r="L355" t="s">
        <v>52</v>
      </c>
      <c r="M355" s="2">
        <v>45806</v>
      </c>
      <c r="N355" s="2">
        <v>45803</v>
      </c>
      <c r="O355" t="s">
        <v>76</v>
      </c>
      <c r="P355" t="s">
        <v>77</v>
      </c>
      <c r="Q355" t="s">
        <v>28</v>
      </c>
      <c r="R355" t="s">
        <v>29</v>
      </c>
      <c r="S355">
        <v>2025</v>
      </c>
      <c r="T355" t="s">
        <v>2766</v>
      </c>
      <c r="U355" t="s">
        <v>2767</v>
      </c>
      <c r="V355" s="4">
        <v>0</v>
      </c>
      <c r="W355" s="4">
        <v>1</v>
      </c>
    </row>
    <row r="356" spans="1:23">
      <c r="A356" t="s">
        <v>482</v>
      </c>
      <c r="B356" s="2">
        <v>45792</v>
      </c>
      <c r="C356" t="s">
        <v>80</v>
      </c>
      <c r="D356" t="s">
        <v>81</v>
      </c>
      <c r="E356" t="s">
        <v>39</v>
      </c>
      <c r="F356" t="s">
        <v>82</v>
      </c>
      <c r="G356" t="s">
        <v>197</v>
      </c>
      <c r="H356" t="s">
        <v>198</v>
      </c>
      <c r="I356">
        <v>24</v>
      </c>
      <c r="J356" s="3">
        <v>2070.08</v>
      </c>
      <c r="K356" s="3">
        <v>49681.919999999998</v>
      </c>
      <c r="L356" t="s">
        <v>25</v>
      </c>
      <c r="M356" s="2">
        <v>45808</v>
      </c>
      <c r="N356" s="2">
        <v>45807</v>
      </c>
      <c r="O356" t="s">
        <v>26</v>
      </c>
      <c r="P356" t="s">
        <v>64</v>
      </c>
      <c r="Q356" t="s">
        <v>28</v>
      </c>
      <c r="R356" t="s">
        <v>29</v>
      </c>
      <c r="S356">
        <v>2025</v>
      </c>
      <c r="T356" t="s">
        <v>2766</v>
      </c>
      <c r="U356" t="s">
        <v>2767</v>
      </c>
      <c r="V356" s="4">
        <v>0</v>
      </c>
      <c r="W356" s="4">
        <v>1</v>
      </c>
    </row>
    <row r="357" spans="1:23">
      <c r="A357" t="s">
        <v>483</v>
      </c>
      <c r="B357" s="2">
        <v>45983</v>
      </c>
      <c r="C357" t="s">
        <v>142</v>
      </c>
      <c r="D357" t="s">
        <v>143</v>
      </c>
      <c r="E357" t="s">
        <v>31</v>
      </c>
      <c r="F357" t="s">
        <v>22</v>
      </c>
      <c r="G357" t="s">
        <v>23</v>
      </c>
      <c r="H357" t="s">
        <v>24</v>
      </c>
      <c r="I357">
        <v>14</v>
      </c>
      <c r="J357" s="3">
        <v>253.71</v>
      </c>
      <c r="K357" s="3">
        <v>3551.94</v>
      </c>
      <c r="L357" t="s">
        <v>52</v>
      </c>
      <c r="M357" s="2">
        <v>45999</v>
      </c>
      <c r="N357" s="2">
        <v>46006</v>
      </c>
      <c r="O357" t="s">
        <v>60</v>
      </c>
      <c r="P357" t="s">
        <v>35</v>
      </c>
      <c r="Q357" t="s">
        <v>28</v>
      </c>
      <c r="R357" t="s">
        <v>129</v>
      </c>
      <c r="S357">
        <v>2025</v>
      </c>
      <c r="T357" t="s">
        <v>2763</v>
      </c>
      <c r="U357" t="s">
        <v>2764</v>
      </c>
      <c r="V357" s="4">
        <v>7</v>
      </c>
      <c r="W357" s="4">
        <v>0</v>
      </c>
    </row>
    <row r="358" spans="1:23">
      <c r="A358" t="s">
        <v>484</v>
      </c>
      <c r="B358" s="2">
        <v>45968</v>
      </c>
      <c r="C358" t="s">
        <v>104</v>
      </c>
      <c r="D358" t="s">
        <v>105</v>
      </c>
      <c r="E358" t="s">
        <v>112</v>
      </c>
      <c r="F358" t="s">
        <v>49</v>
      </c>
      <c r="G358" t="s">
        <v>165</v>
      </c>
      <c r="H358" t="s">
        <v>166</v>
      </c>
      <c r="I358">
        <v>1</v>
      </c>
      <c r="J358" s="3">
        <v>43961.13</v>
      </c>
      <c r="K358" s="3">
        <v>43961.13</v>
      </c>
      <c r="L358" t="s">
        <v>34</v>
      </c>
      <c r="M358" s="2">
        <v>45975</v>
      </c>
      <c r="N358" s="2">
        <v>45986</v>
      </c>
      <c r="O358" t="s">
        <v>26</v>
      </c>
      <c r="P358" t="s">
        <v>115</v>
      </c>
      <c r="Q358" t="s">
        <v>28</v>
      </c>
      <c r="R358" t="s">
        <v>129</v>
      </c>
      <c r="S358">
        <v>2025</v>
      </c>
      <c r="T358" t="s">
        <v>2763</v>
      </c>
      <c r="U358" t="s">
        <v>2764</v>
      </c>
      <c r="V358" s="4">
        <v>11</v>
      </c>
      <c r="W358" s="4">
        <v>0</v>
      </c>
    </row>
    <row r="359" spans="1:23">
      <c r="A359" t="s">
        <v>485</v>
      </c>
      <c r="B359" s="2">
        <v>46025</v>
      </c>
      <c r="C359" t="s">
        <v>71</v>
      </c>
      <c r="D359" t="s">
        <v>72</v>
      </c>
      <c r="E359" t="s">
        <v>48</v>
      </c>
      <c r="F359" t="s">
        <v>57</v>
      </c>
      <c r="G359" t="s">
        <v>127</v>
      </c>
      <c r="H359" t="s">
        <v>128</v>
      </c>
      <c r="I359">
        <v>6</v>
      </c>
      <c r="J359" s="3">
        <v>15321.46</v>
      </c>
      <c r="K359" s="3">
        <v>91928.76</v>
      </c>
      <c r="L359" t="s">
        <v>25</v>
      </c>
      <c r="M359" s="2">
        <v>46032</v>
      </c>
      <c r="N359" s="2">
        <v>46029</v>
      </c>
      <c r="O359" t="s">
        <v>26</v>
      </c>
      <c r="P359" t="s">
        <v>53</v>
      </c>
      <c r="Q359" t="s">
        <v>28</v>
      </c>
      <c r="R359" t="s">
        <v>29</v>
      </c>
      <c r="S359">
        <v>2026</v>
      </c>
      <c r="T359" t="s">
        <v>2757</v>
      </c>
      <c r="U359" t="s">
        <v>2758</v>
      </c>
      <c r="V359" s="4">
        <v>0</v>
      </c>
      <c r="W359" s="4">
        <v>1</v>
      </c>
    </row>
    <row r="360" spans="1:23">
      <c r="A360" t="s">
        <v>486</v>
      </c>
      <c r="B360" s="2">
        <v>45889</v>
      </c>
      <c r="C360" t="s">
        <v>131</v>
      </c>
      <c r="D360" t="s">
        <v>132</v>
      </c>
      <c r="E360" t="s">
        <v>48</v>
      </c>
      <c r="F360" t="s">
        <v>57</v>
      </c>
      <c r="G360" t="s">
        <v>58</v>
      </c>
      <c r="H360" t="s">
        <v>59</v>
      </c>
      <c r="I360">
        <v>4</v>
      </c>
      <c r="J360" s="3">
        <v>58478.38</v>
      </c>
      <c r="K360" s="3">
        <v>233913.52</v>
      </c>
      <c r="L360" t="s">
        <v>52</v>
      </c>
      <c r="M360" s="2">
        <v>45906</v>
      </c>
      <c r="N360" s="2">
        <v>45905</v>
      </c>
      <c r="O360" t="s">
        <v>60</v>
      </c>
      <c r="P360" t="s">
        <v>53</v>
      </c>
      <c r="Q360" t="s">
        <v>28</v>
      </c>
      <c r="R360" t="s">
        <v>29</v>
      </c>
      <c r="S360">
        <v>2025</v>
      </c>
      <c r="T360" t="s">
        <v>2761</v>
      </c>
      <c r="U360" t="s">
        <v>2762</v>
      </c>
      <c r="V360" s="4">
        <v>0</v>
      </c>
      <c r="W360" s="4">
        <v>1</v>
      </c>
    </row>
    <row r="361" spans="1:23">
      <c r="A361" t="s">
        <v>487</v>
      </c>
      <c r="B361" s="2">
        <v>45910</v>
      </c>
      <c r="C361" t="s">
        <v>104</v>
      </c>
      <c r="D361" t="s">
        <v>105</v>
      </c>
      <c r="E361" t="s">
        <v>48</v>
      </c>
      <c r="F361" t="s">
        <v>49</v>
      </c>
      <c r="G361" t="s">
        <v>165</v>
      </c>
      <c r="H361" t="s">
        <v>166</v>
      </c>
      <c r="I361">
        <v>3</v>
      </c>
      <c r="J361" s="3">
        <v>47003.51</v>
      </c>
      <c r="K361" s="3">
        <v>141010.53</v>
      </c>
      <c r="L361" t="s">
        <v>25</v>
      </c>
      <c r="M361" s="2">
        <v>45924</v>
      </c>
      <c r="N361" s="2">
        <v>45924</v>
      </c>
      <c r="O361" t="s">
        <v>60</v>
      </c>
      <c r="P361" t="s">
        <v>53</v>
      </c>
      <c r="Q361" t="s">
        <v>28</v>
      </c>
      <c r="R361" t="s">
        <v>29</v>
      </c>
      <c r="S361">
        <v>2025</v>
      </c>
      <c r="T361" t="s">
        <v>2753</v>
      </c>
      <c r="U361" t="s">
        <v>2754</v>
      </c>
      <c r="V361" s="4">
        <v>0</v>
      </c>
      <c r="W361" s="4">
        <v>1</v>
      </c>
    </row>
    <row r="362" spans="1:23">
      <c r="A362" t="s">
        <v>488</v>
      </c>
      <c r="B362" s="2">
        <v>45909</v>
      </c>
      <c r="C362" t="s">
        <v>71</v>
      </c>
      <c r="D362" t="s">
        <v>72</v>
      </c>
      <c r="E362" t="s">
        <v>73</v>
      </c>
      <c r="F362" t="s">
        <v>57</v>
      </c>
      <c r="G362" t="s">
        <v>101</v>
      </c>
      <c r="H362" t="s">
        <v>102</v>
      </c>
      <c r="I362">
        <v>45</v>
      </c>
      <c r="J362" s="3">
        <v>1694.36</v>
      </c>
      <c r="K362" s="3">
        <v>76246.2</v>
      </c>
      <c r="L362" t="s">
        <v>25</v>
      </c>
      <c r="M362" s="2">
        <v>45914</v>
      </c>
      <c r="N362" s="2">
        <v>45923</v>
      </c>
      <c r="O362" t="s">
        <v>76</v>
      </c>
      <c r="P362" t="s">
        <v>77</v>
      </c>
      <c r="Q362" t="s">
        <v>28</v>
      </c>
      <c r="R362" t="s">
        <v>129</v>
      </c>
      <c r="S362">
        <v>2025</v>
      </c>
      <c r="T362" t="s">
        <v>2753</v>
      </c>
      <c r="U362" t="s">
        <v>2754</v>
      </c>
      <c r="V362" s="4">
        <v>9</v>
      </c>
      <c r="W362" s="4">
        <v>0</v>
      </c>
    </row>
    <row r="363" spans="1:23">
      <c r="A363" t="s">
        <v>489</v>
      </c>
      <c r="B363" s="2">
        <v>46130</v>
      </c>
      <c r="C363" t="s">
        <v>19</v>
      </c>
      <c r="D363" t="s">
        <v>20</v>
      </c>
      <c r="E363" t="s">
        <v>21</v>
      </c>
      <c r="F363" t="s">
        <v>22</v>
      </c>
      <c r="G363" t="s">
        <v>32</v>
      </c>
      <c r="H363" t="s">
        <v>33</v>
      </c>
      <c r="I363">
        <v>14</v>
      </c>
      <c r="J363" s="3">
        <v>7056.7</v>
      </c>
      <c r="K363" s="3">
        <v>98793.8</v>
      </c>
      <c r="L363" t="s">
        <v>25</v>
      </c>
      <c r="M363" s="2">
        <v>46145</v>
      </c>
      <c r="N363" s="2">
        <v>46145</v>
      </c>
      <c r="O363" t="s">
        <v>26</v>
      </c>
      <c r="P363" t="s">
        <v>27</v>
      </c>
      <c r="Q363" t="s">
        <v>28</v>
      </c>
      <c r="R363" t="s">
        <v>29</v>
      </c>
      <c r="S363">
        <v>2026</v>
      </c>
      <c r="T363" t="s">
        <v>2741</v>
      </c>
      <c r="U363" t="s">
        <v>2770</v>
      </c>
      <c r="V363" s="4">
        <v>0</v>
      </c>
      <c r="W363" s="4">
        <v>1</v>
      </c>
    </row>
    <row r="364" spans="1:23">
      <c r="A364" t="s">
        <v>490</v>
      </c>
      <c r="B364" s="2">
        <v>46081</v>
      </c>
      <c r="C364" t="s">
        <v>147</v>
      </c>
      <c r="D364" t="s">
        <v>148</v>
      </c>
      <c r="E364" t="s">
        <v>39</v>
      </c>
      <c r="F364" t="s">
        <v>40</v>
      </c>
      <c r="G364" t="s">
        <v>149</v>
      </c>
      <c r="H364" t="s">
        <v>150</v>
      </c>
      <c r="I364">
        <v>25</v>
      </c>
      <c r="J364" s="3">
        <v>1254.68</v>
      </c>
      <c r="K364" s="3">
        <v>31367</v>
      </c>
      <c r="L364" t="s">
        <v>34</v>
      </c>
      <c r="M364" s="2">
        <v>46097</v>
      </c>
      <c r="N364" s="2">
        <v>46096</v>
      </c>
      <c r="O364" t="s">
        <v>43</v>
      </c>
      <c r="P364" t="s">
        <v>64</v>
      </c>
      <c r="Q364" t="s">
        <v>28</v>
      </c>
      <c r="R364" t="s">
        <v>29</v>
      </c>
      <c r="S364">
        <v>2026</v>
      </c>
      <c r="T364" t="s">
        <v>2751</v>
      </c>
      <c r="U364" t="s">
        <v>2765</v>
      </c>
      <c r="V364" s="4">
        <v>0</v>
      </c>
      <c r="W364" s="4">
        <v>1</v>
      </c>
    </row>
    <row r="365" spans="1:23">
      <c r="A365" t="s">
        <v>491</v>
      </c>
      <c r="B365" s="2">
        <v>46029</v>
      </c>
      <c r="C365" t="s">
        <v>71</v>
      </c>
      <c r="D365" t="s">
        <v>72</v>
      </c>
      <c r="E365" t="s">
        <v>48</v>
      </c>
      <c r="F365" t="s">
        <v>57</v>
      </c>
      <c r="G365" t="s">
        <v>74</v>
      </c>
      <c r="H365" t="s">
        <v>75</v>
      </c>
      <c r="I365">
        <v>3</v>
      </c>
      <c r="J365" s="3">
        <v>7807.04</v>
      </c>
      <c r="K365" s="3">
        <v>23421.119999999999</v>
      </c>
      <c r="L365" t="s">
        <v>25</v>
      </c>
      <c r="M365" s="2">
        <v>46039</v>
      </c>
      <c r="N365" s="2">
        <v>46038</v>
      </c>
      <c r="O365" t="s">
        <v>26</v>
      </c>
      <c r="P365" t="s">
        <v>53</v>
      </c>
      <c r="Q365" t="s">
        <v>28</v>
      </c>
      <c r="R365" t="s">
        <v>29</v>
      </c>
      <c r="S365">
        <v>2026</v>
      </c>
      <c r="T365" t="s">
        <v>2757</v>
      </c>
      <c r="U365" t="s">
        <v>2758</v>
      </c>
      <c r="V365" s="4">
        <v>0</v>
      </c>
      <c r="W365" s="4">
        <v>1</v>
      </c>
    </row>
    <row r="366" spans="1:23">
      <c r="A366" t="s">
        <v>492</v>
      </c>
      <c r="B366" s="2">
        <v>45710</v>
      </c>
      <c r="C366" t="s">
        <v>46</v>
      </c>
      <c r="D366" t="s">
        <v>47</v>
      </c>
      <c r="E366" t="s">
        <v>21</v>
      </c>
      <c r="F366" t="s">
        <v>49</v>
      </c>
      <c r="G366" t="s">
        <v>165</v>
      </c>
      <c r="H366" t="s">
        <v>166</v>
      </c>
      <c r="I366">
        <v>1</v>
      </c>
      <c r="J366" s="3">
        <v>46296.66</v>
      </c>
      <c r="K366" s="3">
        <v>46296.66</v>
      </c>
      <c r="L366" t="s">
        <v>25</v>
      </c>
      <c r="M366" s="2">
        <v>45718</v>
      </c>
      <c r="N366" s="2">
        <v>45732</v>
      </c>
      <c r="O366" t="s">
        <v>60</v>
      </c>
      <c r="P366" t="s">
        <v>27</v>
      </c>
      <c r="Q366" t="s">
        <v>28</v>
      </c>
      <c r="R366" t="s">
        <v>129</v>
      </c>
      <c r="S366">
        <v>2025</v>
      </c>
      <c r="T366" t="s">
        <v>2751</v>
      </c>
      <c r="U366" t="s">
        <v>2752</v>
      </c>
      <c r="V366" s="4">
        <v>14</v>
      </c>
      <c r="W366" s="4">
        <v>0</v>
      </c>
    </row>
    <row r="367" spans="1:23">
      <c r="A367" t="s">
        <v>493</v>
      </c>
      <c r="B367" s="2">
        <v>46168</v>
      </c>
      <c r="C367" t="s">
        <v>37</v>
      </c>
      <c r="D367" t="s">
        <v>38</v>
      </c>
      <c r="E367" t="s">
        <v>39</v>
      </c>
      <c r="F367" t="s">
        <v>40</v>
      </c>
      <c r="G367" t="s">
        <v>149</v>
      </c>
      <c r="H367" t="s">
        <v>150</v>
      </c>
      <c r="I367">
        <v>34</v>
      </c>
      <c r="J367" s="3">
        <v>1472.45</v>
      </c>
      <c r="K367" s="3">
        <v>50063.3</v>
      </c>
      <c r="L367" t="s">
        <v>25</v>
      </c>
      <c r="M367" s="2">
        <v>46179</v>
      </c>
      <c r="N367" s="2">
        <v>46179</v>
      </c>
      <c r="O367" t="s">
        <v>76</v>
      </c>
      <c r="P367" t="s">
        <v>64</v>
      </c>
      <c r="Q367" t="s">
        <v>28</v>
      </c>
      <c r="R367" t="s">
        <v>29</v>
      </c>
      <c r="S367">
        <v>2026</v>
      </c>
      <c r="T367" t="s">
        <v>2766</v>
      </c>
      <c r="U367" t="s">
        <v>2769</v>
      </c>
      <c r="V367" s="4">
        <v>0</v>
      </c>
      <c r="W367" s="4">
        <v>1</v>
      </c>
    </row>
    <row r="368" spans="1:23">
      <c r="A368" t="s">
        <v>494</v>
      </c>
      <c r="B368" s="2">
        <v>45708</v>
      </c>
      <c r="C368" t="s">
        <v>37</v>
      </c>
      <c r="D368" t="s">
        <v>38</v>
      </c>
      <c r="E368" t="s">
        <v>39</v>
      </c>
      <c r="F368" t="s">
        <v>40</v>
      </c>
      <c r="G368" t="s">
        <v>41</v>
      </c>
      <c r="H368" t="s">
        <v>42</v>
      </c>
      <c r="I368">
        <v>10</v>
      </c>
      <c r="J368" s="3">
        <v>5563.75</v>
      </c>
      <c r="K368" s="3">
        <v>55637.5</v>
      </c>
      <c r="L368" t="s">
        <v>52</v>
      </c>
      <c r="M368" s="2">
        <v>45726</v>
      </c>
      <c r="N368" s="2">
        <v>45724</v>
      </c>
      <c r="O368" t="s">
        <v>43</v>
      </c>
      <c r="P368" t="s">
        <v>64</v>
      </c>
      <c r="Q368" t="s">
        <v>28</v>
      </c>
      <c r="R368" t="s">
        <v>29</v>
      </c>
      <c r="S368">
        <v>2025</v>
      </c>
      <c r="T368" t="s">
        <v>2751</v>
      </c>
      <c r="U368" t="s">
        <v>2752</v>
      </c>
      <c r="V368" s="4">
        <v>0</v>
      </c>
      <c r="W368" s="4">
        <v>1</v>
      </c>
    </row>
    <row r="369" spans="1:23">
      <c r="A369" t="s">
        <v>495</v>
      </c>
      <c r="B369" s="2">
        <v>45988</v>
      </c>
      <c r="C369" t="s">
        <v>37</v>
      </c>
      <c r="D369" t="s">
        <v>38</v>
      </c>
      <c r="E369" t="s">
        <v>73</v>
      </c>
      <c r="F369" t="s">
        <v>22</v>
      </c>
      <c r="G369" t="s">
        <v>160</v>
      </c>
      <c r="H369" t="s">
        <v>161</v>
      </c>
      <c r="I369">
        <v>8</v>
      </c>
      <c r="J369" s="3">
        <v>3255.37</v>
      </c>
      <c r="K369" s="3">
        <v>26042.959999999999</v>
      </c>
      <c r="L369" t="s">
        <v>25</v>
      </c>
      <c r="M369" s="2">
        <v>45995</v>
      </c>
      <c r="N369" s="2">
        <v>45993</v>
      </c>
      <c r="O369" t="s">
        <v>60</v>
      </c>
      <c r="P369" t="s">
        <v>77</v>
      </c>
      <c r="Q369" t="s">
        <v>28</v>
      </c>
      <c r="R369" t="s">
        <v>29</v>
      </c>
      <c r="S369">
        <v>2025</v>
      </c>
      <c r="T369" t="s">
        <v>2763</v>
      </c>
      <c r="U369" t="s">
        <v>2764</v>
      </c>
      <c r="V369" s="4">
        <v>0</v>
      </c>
      <c r="W369" s="4">
        <v>1</v>
      </c>
    </row>
    <row r="370" spans="1:23">
      <c r="A370" t="s">
        <v>496</v>
      </c>
      <c r="B370" s="2">
        <v>45872</v>
      </c>
      <c r="C370" t="s">
        <v>80</v>
      </c>
      <c r="D370" t="s">
        <v>81</v>
      </c>
      <c r="E370" t="s">
        <v>39</v>
      </c>
      <c r="F370" t="s">
        <v>82</v>
      </c>
      <c r="G370" t="s">
        <v>197</v>
      </c>
      <c r="H370" t="s">
        <v>198</v>
      </c>
      <c r="I370">
        <v>51</v>
      </c>
      <c r="J370" s="3">
        <v>1930.94</v>
      </c>
      <c r="K370" s="3">
        <v>98477.94</v>
      </c>
      <c r="L370" t="s">
        <v>25</v>
      </c>
      <c r="M370" s="2">
        <v>45888</v>
      </c>
      <c r="N370" s="2">
        <v>45886</v>
      </c>
      <c r="O370" t="s">
        <v>76</v>
      </c>
      <c r="P370" t="s">
        <v>44</v>
      </c>
      <c r="Q370" t="s">
        <v>28</v>
      </c>
      <c r="R370" t="s">
        <v>29</v>
      </c>
      <c r="S370">
        <v>2025</v>
      </c>
      <c r="T370" t="s">
        <v>2761</v>
      </c>
      <c r="U370" t="s">
        <v>2762</v>
      </c>
      <c r="V370" s="4">
        <v>0</v>
      </c>
      <c r="W370" s="4">
        <v>1</v>
      </c>
    </row>
    <row r="371" spans="1:23">
      <c r="A371" t="s">
        <v>497</v>
      </c>
      <c r="B371" s="2">
        <v>46196</v>
      </c>
      <c r="C371" t="s">
        <v>107</v>
      </c>
      <c r="D371" t="s">
        <v>108</v>
      </c>
      <c r="E371" t="s">
        <v>31</v>
      </c>
      <c r="F371" t="s">
        <v>91</v>
      </c>
      <c r="G371" t="s">
        <v>109</v>
      </c>
      <c r="H371" t="s">
        <v>110</v>
      </c>
      <c r="I371">
        <v>2</v>
      </c>
      <c r="J371" s="3">
        <v>13981.92</v>
      </c>
      <c r="K371" s="3">
        <v>27963.84</v>
      </c>
      <c r="L371" t="s">
        <v>52</v>
      </c>
      <c r="M371" s="2">
        <v>46213</v>
      </c>
      <c r="N371" s="2">
        <v>46212</v>
      </c>
      <c r="O371" t="s">
        <v>43</v>
      </c>
      <c r="P371" t="s">
        <v>94</v>
      </c>
      <c r="Q371" t="s">
        <v>28</v>
      </c>
      <c r="R371" t="s">
        <v>29</v>
      </c>
      <c r="S371">
        <v>2026</v>
      </c>
      <c r="T371" t="s">
        <v>2743</v>
      </c>
      <c r="U371" t="s">
        <v>2744</v>
      </c>
      <c r="V371" s="4">
        <v>0</v>
      </c>
      <c r="W371" s="4">
        <v>1</v>
      </c>
    </row>
    <row r="372" spans="1:23">
      <c r="A372" t="s">
        <v>499</v>
      </c>
      <c r="B372" s="2">
        <v>45682</v>
      </c>
      <c r="C372" t="s">
        <v>131</v>
      </c>
      <c r="D372" t="s">
        <v>132</v>
      </c>
      <c r="E372" t="s">
        <v>48</v>
      </c>
      <c r="F372" t="s">
        <v>57</v>
      </c>
      <c r="G372" t="s">
        <v>127</v>
      </c>
      <c r="H372" t="s">
        <v>128</v>
      </c>
      <c r="I372">
        <v>6</v>
      </c>
      <c r="J372" s="3">
        <v>17089.11</v>
      </c>
      <c r="K372" s="3">
        <v>102534.66</v>
      </c>
      <c r="L372" t="s">
        <v>25</v>
      </c>
      <c r="M372" s="2">
        <v>45692</v>
      </c>
      <c r="N372" s="2">
        <v>45691</v>
      </c>
      <c r="O372" t="s">
        <v>26</v>
      </c>
      <c r="P372" t="s">
        <v>53</v>
      </c>
      <c r="Q372" t="s">
        <v>28</v>
      </c>
      <c r="R372" t="s">
        <v>29</v>
      </c>
      <c r="S372">
        <v>2025</v>
      </c>
      <c r="T372" t="s">
        <v>2757</v>
      </c>
      <c r="U372" t="s">
        <v>2768</v>
      </c>
      <c r="V372" s="4">
        <v>0</v>
      </c>
      <c r="W372" s="4">
        <v>1</v>
      </c>
    </row>
    <row r="373" spans="1:23">
      <c r="A373" t="s">
        <v>500</v>
      </c>
      <c r="B373" s="2">
        <v>45973</v>
      </c>
      <c r="C373" t="s">
        <v>107</v>
      </c>
      <c r="D373" t="s">
        <v>108</v>
      </c>
      <c r="E373" t="s">
        <v>31</v>
      </c>
      <c r="F373" t="s">
        <v>91</v>
      </c>
      <c r="G373" t="s">
        <v>92</v>
      </c>
      <c r="H373" t="s">
        <v>93</v>
      </c>
      <c r="I373">
        <v>3</v>
      </c>
      <c r="J373" s="3">
        <v>45771.38</v>
      </c>
      <c r="K373" s="3">
        <v>137314.14000000001</v>
      </c>
      <c r="L373" t="s">
        <v>25</v>
      </c>
      <c r="M373" s="2">
        <v>45987</v>
      </c>
      <c r="N373" s="2">
        <v>45986</v>
      </c>
      <c r="O373" t="s">
        <v>76</v>
      </c>
      <c r="P373" t="s">
        <v>35</v>
      </c>
      <c r="Q373" t="s">
        <v>28</v>
      </c>
      <c r="R373" t="s">
        <v>29</v>
      </c>
      <c r="S373">
        <v>2025</v>
      </c>
      <c r="T373" t="s">
        <v>2763</v>
      </c>
      <c r="U373" t="s">
        <v>2764</v>
      </c>
      <c r="V373" s="4">
        <v>0</v>
      </c>
      <c r="W373" s="4">
        <v>1</v>
      </c>
    </row>
    <row r="374" spans="1:23">
      <c r="A374" t="s">
        <v>501</v>
      </c>
      <c r="B374" s="2">
        <v>45797</v>
      </c>
      <c r="C374" t="s">
        <v>142</v>
      </c>
      <c r="D374" t="s">
        <v>143</v>
      </c>
      <c r="E374" t="s">
        <v>31</v>
      </c>
      <c r="F374" t="s">
        <v>22</v>
      </c>
      <c r="G374" t="s">
        <v>160</v>
      </c>
      <c r="H374" t="s">
        <v>161</v>
      </c>
      <c r="I374">
        <v>15</v>
      </c>
      <c r="J374" s="3">
        <v>3254.82</v>
      </c>
      <c r="K374" s="3">
        <v>48822.3</v>
      </c>
      <c r="L374" t="s">
        <v>25</v>
      </c>
      <c r="M374" s="2">
        <v>45813</v>
      </c>
      <c r="N374" s="2">
        <v>45823</v>
      </c>
      <c r="O374" t="s">
        <v>76</v>
      </c>
      <c r="P374" t="s">
        <v>94</v>
      </c>
      <c r="Q374" t="s">
        <v>28</v>
      </c>
      <c r="R374" t="s">
        <v>129</v>
      </c>
      <c r="S374">
        <v>2025</v>
      </c>
      <c r="T374" t="s">
        <v>2766</v>
      </c>
      <c r="U374" t="s">
        <v>2767</v>
      </c>
      <c r="V374" s="4">
        <v>10</v>
      </c>
      <c r="W374" s="4">
        <v>0</v>
      </c>
    </row>
    <row r="375" spans="1:23">
      <c r="A375" t="s">
        <v>502</v>
      </c>
      <c r="B375" s="2">
        <v>45871</v>
      </c>
      <c r="C375" t="s">
        <v>66</v>
      </c>
      <c r="D375" t="s">
        <v>67</v>
      </c>
      <c r="E375" t="s">
        <v>21</v>
      </c>
      <c r="F375" t="s">
        <v>49</v>
      </c>
      <c r="G375" t="s">
        <v>113</v>
      </c>
      <c r="H375" t="s">
        <v>114</v>
      </c>
      <c r="I375">
        <v>1</v>
      </c>
      <c r="J375" s="3">
        <v>36316</v>
      </c>
      <c r="K375" s="3">
        <v>36316</v>
      </c>
      <c r="L375" t="s">
        <v>34</v>
      </c>
      <c r="M375" s="2">
        <v>45881</v>
      </c>
      <c r="N375" s="2">
        <v>45880</v>
      </c>
      <c r="O375" t="s">
        <v>60</v>
      </c>
      <c r="P375" t="s">
        <v>27</v>
      </c>
      <c r="Q375" t="s">
        <v>28</v>
      </c>
      <c r="R375" t="s">
        <v>29</v>
      </c>
      <c r="S375">
        <v>2025</v>
      </c>
      <c r="T375" t="s">
        <v>2761</v>
      </c>
      <c r="U375" t="s">
        <v>2762</v>
      </c>
      <c r="V375" s="4">
        <v>0</v>
      </c>
      <c r="W375" s="4">
        <v>1</v>
      </c>
    </row>
    <row r="376" spans="1:23">
      <c r="A376" t="s">
        <v>503</v>
      </c>
      <c r="B376" s="2">
        <v>45973</v>
      </c>
      <c r="C376" t="s">
        <v>142</v>
      </c>
      <c r="D376" t="s">
        <v>143</v>
      </c>
      <c r="E376" t="s">
        <v>21</v>
      </c>
      <c r="F376" t="s">
        <v>22</v>
      </c>
      <c r="G376" t="s">
        <v>160</v>
      </c>
      <c r="H376" t="s">
        <v>161</v>
      </c>
      <c r="I376">
        <v>4</v>
      </c>
      <c r="J376" s="3">
        <v>3164.91</v>
      </c>
      <c r="K376" s="3">
        <v>12659.64</v>
      </c>
      <c r="L376" t="s">
        <v>25</v>
      </c>
      <c r="M376" s="2">
        <v>45983</v>
      </c>
      <c r="N376" s="2">
        <v>45981</v>
      </c>
      <c r="O376" t="s">
        <v>76</v>
      </c>
      <c r="P376" t="s">
        <v>27</v>
      </c>
      <c r="Q376" t="s">
        <v>28</v>
      </c>
      <c r="R376" t="s">
        <v>29</v>
      </c>
      <c r="S376">
        <v>2025</v>
      </c>
      <c r="T376" t="s">
        <v>2763</v>
      </c>
      <c r="U376" t="s">
        <v>2764</v>
      </c>
      <c r="V376" s="4">
        <v>0</v>
      </c>
      <c r="W376" s="4">
        <v>1</v>
      </c>
    </row>
    <row r="377" spans="1:23">
      <c r="A377" t="s">
        <v>504</v>
      </c>
      <c r="B377" s="2">
        <v>45772</v>
      </c>
      <c r="C377" t="s">
        <v>142</v>
      </c>
      <c r="D377" t="s">
        <v>143</v>
      </c>
      <c r="E377" t="s">
        <v>39</v>
      </c>
      <c r="F377" t="s">
        <v>22</v>
      </c>
      <c r="G377" t="s">
        <v>23</v>
      </c>
      <c r="H377" t="s">
        <v>24</v>
      </c>
      <c r="I377">
        <v>35</v>
      </c>
      <c r="J377" s="3">
        <v>235.75</v>
      </c>
      <c r="K377" s="3">
        <v>8251.25</v>
      </c>
      <c r="L377" t="s">
        <v>52</v>
      </c>
      <c r="M377" s="2">
        <v>45785</v>
      </c>
      <c r="N377" s="2">
        <v>45783</v>
      </c>
      <c r="O377" t="s">
        <v>76</v>
      </c>
      <c r="P377" t="s">
        <v>44</v>
      </c>
      <c r="Q377" t="s">
        <v>28</v>
      </c>
      <c r="R377" t="s">
        <v>29</v>
      </c>
      <c r="S377">
        <v>2025</v>
      </c>
      <c r="T377" t="s">
        <v>2741</v>
      </c>
      <c r="U377" t="s">
        <v>2742</v>
      </c>
      <c r="V377" s="4">
        <v>0</v>
      </c>
      <c r="W377" s="4">
        <v>1</v>
      </c>
    </row>
    <row r="378" spans="1:23">
      <c r="A378" t="s">
        <v>505</v>
      </c>
      <c r="B378" s="2">
        <v>45793</v>
      </c>
      <c r="C378" t="s">
        <v>37</v>
      </c>
      <c r="D378" t="s">
        <v>38</v>
      </c>
      <c r="E378" t="s">
        <v>39</v>
      </c>
      <c r="F378" t="s">
        <v>40</v>
      </c>
      <c r="G378" t="s">
        <v>41</v>
      </c>
      <c r="H378" t="s">
        <v>42</v>
      </c>
      <c r="I378">
        <v>11</v>
      </c>
      <c r="J378" s="3">
        <v>6031.71</v>
      </c>
      <c r="K378" s="3">
        <v>66348.81</v>
      </c>
      <c r="L378" t="s">
        <v>25</v>
      </c>
      <c r="M378" s="2">
        <v>45811</v>
      </c>
      <c r="N378" s="2">
        <v>45811</v>
      </c>
      <c r="O378" t="s">
        <v>43</v>
      </c>
      <c r="P378" t="s">
        <v>64</v>
      </c>
      <c r="Q378" t="s">
        <v>28</v>
      </c>
      <c r="R378" t="s">
        <v>29</v>
      </c>
      <c r="S378">
        <v>2025</v>
      </c>
      <c r="T378" t="s">
        <v>2766</v>
      </c>
      <c r="U378" t="s">
        <v>2767</v>
      </c>
      <c r="V378" s="4">
        <v>0</v>
      </c>
      <c r="W378" s="4">
        <v>1</v>
      </c>
    </row>
    <row r="379" spans="1:23">
      <c r="A379" t="s">
        <v>506</v>
      </c>
      <c r="B379" s="2">
        <v>45977</v>
      </c>
      <c r="C379" t="s">
        <v>117</v>
      </c>
      <c r="D379" t="s">
        <v>118</v>
      </c>
      <c r="E379" t="s">
        <v>48</v>
      </c>
      <c r="F379" t="s">
        <v>57</v>
      </c>
      <c r="G379" t="s">
        <v>58</v>
      </c>
      <c r="H379" t="s">
        <v>59</v>
      </c>
      <c r="I379">
        <v>6</v>
      </c>
      <c r="J379" s="3">
        <v>56515.4</v>
      </c>
      <c r="K379" s="3">
        <v>339092.4</v>
      </c>
      <c r="L379" t="s">
        <v>25</v>
      </c>
      <c r="M379" s="2">
        <v>45994</v>
      </c>
      <c r="N379" s="2">
        <v>45994</v>
      </c>
      <c r="O379" t="s">
        <v>26</v>
      </c>
      <c r="P379" t="s">
        <v>53</v>
      </c>
      <c r="Q379" t="s">
        <v>28</v>
      </c>
      <c r="R379" t="s">
        <v>29</v>
      </c>
      <c r="S379">
        <v>2025</v>
      </c>
      <c r="T379" t="s">
        <v>2763</v>
      </c>
      <c r="U379" t="s">
        <v>2764</v>
      </c>
      <c r="V379" s="4">
        <v>0</v>
      </c>
      <c r="W379" s="4">
        <v>1</v>
      </c>
    </row>
    <row r="380" spans="1:23">
      <c r="A380" t="s">
        <v>507</v>
      </c>
      <c r="B380" s="2">
        <v>45775</v>
      </c>
      <c r="C380" t="s">
        <v>142</v>
      </c>
      <c r="D380" t="s">
        <v>143</v>
      </c>
      <c r="E380" t="s">
        <v>31</v>
      </c>
      <c r="F380" t="s">
        <v>22</v>
      </c>
      <c r="G380" t="s">
        <v>23</v>
      </c>
      <c r="H380" t="s">
        <v>24</v>
      </c>
      <c r="I380">
        <v>25</v>
      </c>
      <c r="J380" s="3">
        <v>242.92</v>
      </c>
      <c r="K380" s="3">
        <v>6073</v>
      </c>
      <c r="L380" t="s">
        <v>34</v>
      </c>
      <c r="M380" s="2">
        <v>45784</v>
      </c>
      <c r="N380" s="2">
        <v>45782</v>
      </c>
      <c r="O380" t="s">
        <v>26</v>
      </c>
      <c r="P380" t="s">
        <v>94</v>
      </c>
      <c r="Q380" t="s">
        <v>28</v>
      </c>
      <c r="R380" t="s">
        <v>29</v>
      </c>
      <c r="S380">
        <v>2025</v>
      </c>
      <c r="T380" t="s">
        <v>2741</v>
      </c>
      <c r="U380" t="s">
        <v>2742</v>
      </c>
      <c r="V380" s="4">
        <v>0</v>
      </c>
      <c r="W380" s="4">
        <v>1</v>
      </c>
    </row>
    <row r="381" spans="1:23">
      <c r="A381" t="s">
        <v>508</v>
      </c>
      <c r="B381" s="2">
        <v>45976</v>
      </c>
      <c r="C381" t="s">
        <v>104</v>
      </c>
      <c r="D381" t="s">
        <v>105</v>
      </c>
      <c r="E381" t="s">
        <v>21</v>
      </c>
      <c r="F381" t="s">
        <v>49</v>
      </c>
      <c r="G381" t="s">
        <v>113</v>
      </c>
      <c r="H381" t="s">
        <v>114</v>
      </c>
      <c r="I381">
        <v>1</v>
      </c>
      <c r="J381" s="3">
        <v>38089.919999999998</v>
      </c>
      <c r="K381" s="3">
        <v>38089.919999999998</v>
      </c>
      <c r="L381" t="s">
        <v>25</v>
      </c>
      <c r="M381" s="2">
        <v>45982</v>
      </c>
      <c r="N381" s="2">
        <v>45982</v>
      </c>
      <c r="O381" t="s">
        <v>26</v>
      </c>
      <c r="P381" t="s">
        <v>27</v>
      </c>
      <c r="Q381" t="s">
        <v>28</v>
      </c>
      <c r="R381" t="s">
        <v>29</v>
      </c>
      <c r="S381">
        <v>2025</v>
      </c>
      <c r="T381" t="s">
        <v>2763</v>
      </c>
      <c r="U381" t="s">
        <v>2764</v>
      </c>
      <c r="V381" s="4">
        <v>0</v>
      </c>
      <c r="W381" s="4">
        <v>1</v>
      </c>
    </row>
    <row r="382" spans="1:23">
      <c r="A382" t="s">
        <v>509</v>
      </c>
      <c r="B382" s="2">
        <v>46022</v>
      </c>
      <c r="C382" t="s">
        <v>71</v>
      </c>
      <c r="D382" t="s">
        <v>72</v>
      </c>
      <c r="E382" t="s">
        <v>48</v>
      </c>
      <c r="F382" t="s">
        <v>57</v>
      </c>
      <c r="G382" t="s">
        <v>74</v>
      </c>
      <c r="H382" t="s">
        <v>75</v>
      </c>
      <c r="I382">
        <v>13</v>
      </c>
      <c r="J382" s="3">
        <v>7842.77</v>
      </c>
      <c r="K382" s="3">
        <v>101956.01</v>
      </c>
      <c r="L382" t="s">
        <v>25</v>
      </c>
      <c r="M382" s="2">
        <v>46038</v>
      </c>
      <c r="N382" s="2">
        <v>46035</v>
      </c>
      <c r="O382" t="s">
        <v>60</v>
      </c>
      <c r="P382" t="s">
        <v>53</v>
      </c>
      <c r="Q382" t="s">
        <v>28</v>
      </c>
      <c r="R382" t="s">
        <v>29</v>
      </c>
      <c r="S382">
        <v>2025</v>
      </c>
      <c r="T382" t="s">
        <v>2745</v>
      </c>
      <c r="U382" t="s">
        <v>2746</v>
      </c>
      <c r="V382" s="4">
        <v>0</v>
      </c>
      <c r="W382" s="4">
        <v>1</v>
      </c>
    </row>
    <row r="383" spans="1:23">
      <c r="A383" t="s">
        <v>510</v>
      </c>
      <c r="B383" s="2">
        <v>46059</v>
      </c>
      <c r="C383" t="s">
        <v>134</v>
      </c>
      <c r="D383" t="s">
        <v>135</v>
      </c>
      <c r="E383" t="s">
        <v>112</v>
      </c>
      <c r="F383" t="s">
        <v>40</v>
      </c>
      <c r="G383" t="s">
        <v>136</v>
      </c>
      <c r="H383" t="s">
        <v>137</v>
      </c>
      <c r="I383">
        <v>35</v>
      </c>
      <c r="J383" s="3">
        <v>1588.49</v>
      </c>
      <c r="K383" s="3">
        <v>55597.15</v>
      </c>
      <c r="L383" t="s">
        <v>34</v>
      </c>
      <c r="M383" s="2">
        <v>46065</v>
      </c>
      <c r="N383" s="2">
        <v>46062</v>
      </c>
      <c r="O383" t="s">
        <v>76</v>
      </c>
      <c r="P383" t="s">
        <v>115</v>
      </c>
      <c r="Q383" t="s">
        <v>28</v>
      </c>
      <c r="R383" t="s">
        <v>29</v>
      </c>
      <c r="S383">
        <v>2026</v>
      </c>
      <c r="T383" t="s">
        <v>2751</v>
      </c>
      <c r="U383" t="s">
        <v>2765</v>
      </c>
      <c r="V383" s="4">
        <v>0</v>
      </c>
      <c r="W383" s="4">
        <v>1</v>
      </c>
    </row>
    <row r="384" spans="1:23">
      <c r="A384" t="s">
        <v>511</v>
      </c>
      <c r="B384" s="2">
        <v>45788</v>
      </c>
      <c r="C384" t="s">
        <v>55</v>
      </c>
      <c r="D384" t="s">
        <v>56</v>
      </c>
      <c r="E384" t="s">
        <v>73</v>
      </c>
      <c r="F384" t="s">
        <v>57</v>
      </c>
      <c r="G384" t="s">
        <v>101</v>
      </c>
      <c r="H384" t="s">
        <v>102</v>
      </c>
      <c r="I384">
        <v>55</v>
      </c>
      <c r="J384" s="3">
        <v>2034.86</v>
      </c>
      <c r="K384" s="3">
        <v>111917.3</v>
      </c>
      <c r="L384" t="s">
        <v>34</v>
      </c>
      <c r="M384" s="2">
        <v>45797</v>
      </c>
      <c r="N384" s="2">
        <v>45794</v>
      </c>
      <c r="O384" t="s">
        <v>26</v>
      </c>
      <c r="P384" t="s">
        <v>77</v>
      </c>
      <c r="Q384" t="s">
        <v>28</v>
      </c>
      <c r="R384" t="s">
        <v>29</v>
      </c>
      <c r="S384">
        <v>2025</v>
      </c>
      <c r="T384" t="s">
        <v>2766</v>
      </c>
      <c r="U384" t="s">
        <v>2767</v>
      </c>
      <c r="V384" s="4">
        <v>0</v>
      </c>
      <c r="W384" s="4">
        <v>1</v>
      </c>
    </row>
    <row r="385" spans="1:23">
      <c r="A385" t="s">
        <v>512</v>
      </c>
      <c r="B385" s="2">
        <v>46051</v>
      </c>
      <c r="C385" t="s">
        <v>96</v>
      </c>
      <c r="D385" t="s">
        <v>97</v>
      </c>
      <c r="E385" t="s">
        <v>39</v>
      </c>
      <c r="F385" t="s">
        <v>82</v>
      </c>
      <c r="G385" t="s">
        <v>197</v>
      </c>
      <c r="H385" t="s">
        <v>198</v>
      </c>
      <c r="I385">
        <v>41</v>
      </c>
      <c r="J385" s="3">
        <v>2223.27</v>
      </c>
      <c r="K385" s="3">
        <v>91154.07</v>
      </c>
      <c r="L385" t="s">
        <v>25</v>
      </c>
      <c r="M385" s="2">
        <v>46068</v>
      </c>
      <c r="N385" s="2">
        <v>46067</v>
      </c>
      <c r="O385" t="s">
        <v>43</v>
      </c>
      <c r="P385" t="s">
        <v>44</v>
      </c>
      <c r="Q385" t="s">
        <v>28</v>
      </c>
      <c r="R385" t="s">
        <v>29</v>
      </c>
      <c r="S385">
        <v>2026</v>
      </c>
      <c r="T385" t="s">
        <v>2757</v>
      </c>
      <c r="U385" t="s">
        <v>2758</v>
      </c>
      <c r="V385" s="4">
        <v>0</v>
      </c>
      <c r="W385" s="4">
        <v>1</v>
      </c>
    </row>
    <row r="386" spans="1:23">
      <c r="A386" t="s">
        <v>513</v>
      </c>
      <c r="B386" s="2">
        <v>45775</v>
      </c>
      <c r="C386" t="s">
        <v>71</v>
      </c>
      <c r="D386" t="s">
        <v>72</v>
      </c>
      <c r="E386" t="s">
        <v>73</v>
      </c>
      <c r="F386" t="s">
        <v>57</v>
      </c>
      <c r="G386" t="s">
        <v>101</v>
      </c>
      <c r="H386" t="s">
        <v>102</v>
      </c>
      <c r="I386">
        <v>30</v>
      </c>
      <c r="J386" s="3">
        <v>1642.85</v>
      </c>
      <c r="K386" s="3">
        <v>49285.5</v>
      </c>
      <c r="L386" t="s">
        <v>25</v>
      </c>
      <c r="M386" s="2">
        <v>45781</v>
      </c>
      <c r="N386" s="2">
        <v>45778</v>
      </c>
      <c r="O386" t="s">
        <v>43</v>
      </c>
      <c r="P386" t="s">
        <v>77</v>
      </c>
      <c r="Q386" t="s">
        <v>28</v>
      </c>
      <c r="R386" t="s">
        <v>29</v>
      </c>
      <c r="S386">
        <v>2025</v>
      </c>
      <c r="T386" t="s">
        <v>2741</v>
      </c>
      <c r="U386" t="s">
        <v>2742</v>
      </c>
      <c r="V386" s="4">
        <v>0</v>
      </c>
      <c r="W386" s="4">
        <v>1</v>
      </c>
    </row>
    <row r="387" spans="1:23">
      <c r="A387" t="s">
        <v>514</v>
      </c>
      <c r="B387" s="2">
        <v>45810</v>
      </c>
      <c r="C387" t="s">
        <v>71</v>
      </c>
      <c r="D387" t="s">
        <v>72</v>
      </c>
      <c r="E387" t="s">
        <v>21</v>
      </c>
      <c r="F387" t="s">
        <v>57</v>
      </c>
      <c r="G387" t="s">
        <v>127</v>
      </c>
      <c r="H387" t="s">
        <v>128</v>
      </c>
      <c r="I387">
        <v>6</v>
      </c>
      <c r="J387" s="3">
        <v>14959.45</v>
      </c>
      <c r="K387" s="3">
        <v>89756.7</v>
      </c>
      <c r="L387" t="s">
        <v>52</v>
      </c>
      <c r="M387" s="2">
        <v>45819</v>
      </c>
      <c r="N387" s="2">
        <v>45817</v>
      </c>
      <c r="O387" t="s">
        <v>60</v>
      </c>
      <c r="P387" t="s">
        <v>27</v>
      </c>
      <c r="Q387" t="s">
        <v>28</v>
      </c>
      <c r="R387" t="s">
        <v>29</v>
      </c>
      <c r="S387">
        <v>2025</v>
      </c>
      <c r="T387" t="s">
        <v>2743</v>
      </c>
      <c r="U387" t="s">
        <v>2756</v>
      </c>
      <c r="V387" s="4">
        <v>0</v>
      </c>
      <c r="W387" s="4">
        <v>1</v>
      </c>
    </row>
    <row r="388" spans="1:23">
      <c r="A388" t="s">
        <v>515</v>
      </c>
      <c r="B388" s="2">
        <v>45749</v>
      </c>
      <c r="C388" t="s">
        <v>37</v>
      </c>
      <c r="D388" t="s">
        <v>38</v>
      </c>
      <c r="E388" t="s">
        <v>31</v>
      </c>
      <c r="F388" t="s">
        <v>22</v>
      </c>
      <c r="G388" t="s">
        <v>160</v>
      </c>
      <c r="H388" t="s">
        <v>161</v>
      </c>
      <c r="I388">
        <v>1</v>
      </c>
      <c r="J388" s="3">
        <v>3494.28</v>
      </c>
      <c r="K388" s="3">
        <v>3494.28</v>
      </c>
      <c r="L388" t="s">
        <v>25</v>
      </c>
      <c r="M388" s="2">
        <v>45759</v>
      </c>
      <c r="N388" s="2">
        <v>45759</v>
      </c>
      <c r="O388" t="s">
        <v>76</v>
      </c>
      <c r="P388" t="s">
        <v>94</v>
      </c>
      <c r="Q388" t="s">
        <v>28</v>
      </c>
      <c r="R388" t="s">
        <v>29</v>
      </c>
      <c r="S388">
        <v>2025</v>
      </c>
      <c r="T388" t="s">
        <v>2741</v>
      </c>
      <c r="U388" t="s">
        <v>2742</v>
      </c>
      <c r="V388" s="4">
        <v>0</v>
      </c>
      <c r="W388" s="4">
        <v>1</v>
      </c>
    </row>
    <row r="389" spans="1:23">
      <c r="A389" t="s">
        <v>516</v>
      </c>
      <c r="B389" s="2">
        <v>45898</v>
      </c>
      <c r="C389" t="s">
        <v>19</v>
      </c>
      <c r="D389" t="s">
        <v>20</v>
      </c>
      <c r="E389" t="s">
        <v>31</v>
      </c>
      <c r="F389" t="s">
        <v>22</v>
      </c>
      <c r="G389" t="s">
        <v>160</v>
      </c>
      <c r="H389" t="s">
        <v>161</v>
      </c>
      <c r="I389">
        <v>7</v>
      </c>
      <c r="J389" s="3">
        <v>2919.37</v>
      </c>
      <c r="K389" s="3">
        <v>20435.59</v>
      </c>
      <c r="L389" t="s">
        <v>25</v>
      </c>
      <c r="M389" s="2">
        <v>45911</v>
      </c>
      <c r="N389" s="2">
        <v>45915</v>
      </c>
      <c r="O389" t="s">
        <v>26</v>
      </c>
      <c r="P389" t="s">
        <v>35</v>
      </c>
      <c r="Q389" t="s">
        <v>28</v>
      </c>
      <c r="R389" t="s">
        <v>129</v>
      </c>
      <c r="S389">
        <v>2025</v>
      </c>
      <c r="T389" t="s">
        <v>2761</v>
      </c>
      <c r="U389" t="s">
        <v>2762</v>
      </c>
      <c r="V389" s="4">
        <v>4</v>
      </c>
      <c r="W389" s="4">
        <v>0</v>
      </c>
    </row>
    <row r="390" spans="1:23">
      <c r="A390" t="s">
        <v>517</v>
      </c>
      <c r="B390" s="2">
        <v>45815</v>
      </c>
      <c r="C390" t="s">
        <v>142</v>
      </c>
      <c r="D390" t="s">
        <v>143</v>
      </c>
      <c r="E390" t="s">
        <v>112</v>
      </c>
      <c r="F390" t="s">
        <v>22</v>
      </c>
      <c r="G390" t="s">
        <v>23</v>
      </c>
      <c r="H390" t="s">
        <v>24</v>
      </c>
      <c r="I390">
        <v>14</v>
      </c>
      <c r="J390" s="3">
        <v>264.47000000000003</v>
      </c>
      <c r="K390" s="3">
        <v>3702.58</v>
      </c>
      <c r="L390" t="s">
        <v>52</v>
      </c>
      <c r="M390" s="2">
        <v>45831</v>
      </c>
      <c r="N390" s="2">
        <v>45828</v>
      </c>
      <c r="O390" t="s">
        <v>26</v>
      </c>
      <c r="P390" t="s">
        <v>115</v>
      </c>
      <c r="Q390" t="s">
        <v>28</v>
      </c>
      <c r="R390" t="s">
        <v>29</v>
      </c>
      <c r="S390">
        <v>2025</v>
      </c>
      <c r="T390" t="s">
        <v>2743</v>
      </c>
      <c r="U390" t="s">
        <v>2756</v>
      </c>
      <c r="V390" s="4">
        <v>0</v>
      </c>
      <c r="W390" s="4">
        <v>1</v>
      </c>
    </row>
    <row r="391" spans="1:23">
      <c r="A391" t="s">
        <v>518</v>
      </c>
      <c r="B391" s="2">
        <v>46093</v>
      </c>
      <c r="C391" t="s">
        <v>104</v>
      </c>
      <c r="D391" t="s">
        <v>105</v>
      </c>
      <c r="E391" t="s">
        <v>73</v>
      </c>
      <c r="F391" t="s">
        <v>49</v>
      </c>
      <c r="G391" t="s">
        <v>68</v>
      </c>
      <c r="H391" t="s">
        <v>69</v>
      </c>
      <c r="I391">
        <v>2</v>
      </c>
      <c r="J391" s="3">
        <v>47055.199999999997</v>
      </c>
      <c r="K391" s="3">
        <v>94110.399999999994</v>
      </c>
      <c r="L391" t="s">
        <v>34</v>
      </c>
      <c r="M391" s="2">
        <v>46107</v>
      </c>
      <c r="N391" s="2">
        <v>46116</v>
      </c>
      <c r="O391" t="s">
        <v>26</v>
      </c>
      <c r="P391" t="s">
        <v>77</v>
      </c>
      <c r="Q391" t="s">
        <v>28</v>
      </c>
      <c r="R391" t="s">
        <v>129</v>
      </c>
      <c r="S391">
        <v>2026</v>
      </c>
      <c r="T391" t="s">
        <v>2747</v>
      </c>
      <c r="U391" t="s">
        <v>2755</v>
      </c>
      <c r="V391" s="4">
        <v>9</v>
      </c>
      <c r="W391" s="4">
        <v>0</v>
      </c>
    </row>
    <row r="392" spans="1:23">
      <c r="A392" t="s">
        <v>519</v>
      </c>
      <c r="B392" s="2">
        <v>46033</v>
      </c>
      <c r="C392" t="s">
        <v>37</v>
      </c>
      <c r="D392" t="s">
        <v>38</v>
      </c>
      <c r="E392" t="s">
        <v>39</v>
      </c>
      <c r="F392" t="s">
        <v>40</v>
      </c>
      <c r="G392" t="s">
        <v>136</v>
      </c>
      <c r="H392" t="s">
        <v>137</v>
      </c>
      <c r="I392">
        <v>49</v>
      </c>
      <c r="J392" s="3">
        <v>1771.39</v>
      </c>
      <c r="K392" s="3">
        <v>86798.11</v>
      </c>
      <c r="L392" t="s">
        <v>25</v>
      </c>
      <c r="M392" s="2">
        <v>46039</v>
      </c>
      <c r="N392" s="2">
        <v>46037</v>
      </c>
      <c r="O392" t="s">
        <v>43</v>
      </c>
      <c r="P392" t="s">
        <v>64</v>
      </c>
      <c r="Q392" t="s">
        <v>28</v>
      </c>
      <c r="R392" t="s">
        <v>29</v>
      </c>
      <c r="S392">
        <v>2026</v>
      </c>
      <c r="T392" t="s">
        <v>2757</v>
      </c>
      <c r="U392" t="s">
        <v>2758</v>
      </c>
      <c r="V392" s="4">
        <v>0</v>
      </c>
      <c r="W392" s="4">
        <v>1</v>
      </c>
    </row>
    <row r="393" spans="1:23">
      <c r="A393" t="s">
        <v>520</v>
      </c>
      <c r="B393" s="2">
        <v>45909</v>
      </c>
      <c r="C393" t="s">
        <v>71</v>
      </c>
      <c r="D393" t="s">
        <v>72</v>
      </c>
      <c r="E393" t="s">
        <v>48</v>
      </c>
      <c r="F393" t="s">
        <v>57</v>
      </c>
      <c r="G393" t="s">
        <v>120</v>
      </c>
      <c r="H393" t="s">
        <v>121</v>
      </c>
      <c r="I393">
        <v>5</v>
      </c>
      <c r="J393" s="3">
        <v>21126.7</v>
      </c>
      <c r="K393" s="3">
        <v>105633.5</v>
      </c>
      <c r="L393" t="s">
        <v>25</v>
      </c>
      <c r="M393" s="2">
        <v>45923</v>
      </c>
      <c r="N393" s="2">
        <v>45930</v>
      </c>
      <c r="O393" t="s">
        <v>43</v>
      </c>
      <c r="P393" t="s">
        <v>53</v>
      </c>
      <c r="Q393" t="s">
        <v>28</v>
      </c>
      <c r="R393" t="s">
        <v>129</v>
      </c>
      <c r="S393">
        <v>2025</v>
      </c>
      <c r="T393" t="s">
        <v>2753</v>
      </c>
      <c r="U393" t="s">
        <v>2754</v>
      </c>
      <c r="V393" s="4">
        <v>7</v>
      </c>
      <c r="W393" s="4">
        <v>0</v>
      </c>
    </row>
    <row r="394" spans="1:23">
      <c r="A394" t="s">
        <v>521</v>
      </c>
      <c r="B394" s="2">
        <v>46122</v>
      </c>
      <c r="C394" t="s">
        <v>71</v>
      </c>
      <c r="D394" t="s">
        <v>72</v>
      </c>
      <c r="E394" t="s">
        <v>73</v>
      </c>
      <c r="F394" t="s">
        <v>57</v>
      </c>
      <c r="G394" t="s">
        <v>58</v>
      </c>
      <c r="H394" t="s">
        <v>59</v>
      </c>
      <c r="I394">
        <v>5</v>
      </c>
      <c r="J394" s="3">
        <v>55707.89</v>
      </c>
      <c r="K394" s="3">
        <v>278539.45</v>
      </c>
      <c r="L394" t="s">
        <v>52</v>
      </c>
      <c r="M394" s="2">
        <v>46131</v>
      </c>
      <c r="N394" s="2">
        <v>46144</v>
      </c>
      <c r="O394" t="s">
        <v>76</v>
      </c>
      <c r="P394" t="s">
        <v>77</v>
      </c>
      <c r="Q394" t="s">
        <v>28</v>
      </c>
      <c r="R394" t="s">
        <v>129</v>
      </c>
      <c r="S394">
        <v>2026</v>
      </c>
      <c r="T394" t="s">
        <v>2741</v>
      </c>
      <c r="U394" t="s">
        <v>2770</v>
      </c>
      <c r="V394" s="4">
        <v>13</v>
      </c>
      <c r="W394" s="4">
        <v>0</v>
      </c>
    </row>
    <row r="395" spans="1:23">
      <c r="A395" t="s">
        <v>522</v>
      </c>
      <c r="B395" s="2">
        <v>45720</v>
      </c>
      <c r="C395" t="s">
        <v>19</v>
      </c>
      <c r="D395" t="s">
        <v>20</v>
      </c>
      <c r="E395" t="s">
        <v>31</v>
      </c>
      <c r="F395" t="s">
        <v>22</v>
      </c>
      <c r="G395" t="s">
        <v>23</v>
      </c>
      <c r="H395" t="s">
        <v>24</v>
      </c>
      <c r="I395">
        <v>52</v>
      </c>
      <c r="J395" s="3">
        <v>224.72</v>
      </c>
      <c r="K395" s="3">
        <v>11685.44</v>
      </c>
      <c r="L395" t="s">
        <v>25</v>
      </c>
      <c r="M395" s="2">
        <v>45734</v>
      </c>
      <c r="N395" s="2">
        <v>45743</v>
      </c>
      <c r="O395" t="s">
        <v>43</v>
      </c>
      <c r="P395" t="s">
        <v>35</v>
      </c>
      <c r="Q395" t="s">
        <v>28</v>
      </c>
      <c r="R395" t="s">
        <v>129</v>
      </c>
      <c r="S395">
        <v>2025</v>
      </c>
      <c r="T395" t="s">
        <v>2747</v>
      </c>
      <c r="U395" t="s">
        <v>2748</v>
      </c>
      <c r="V395" s="4">
        <v>9</v>
      </c>
      <c r="W395" s="4">
        <v>0</v>
      </c>
    </row>
    <row r="396" spans="1:23">
      <c r="A396" t="s">
        <v>523</v>
      </c>
      <c r="B396" s="2">
        <v>45916</v>
      </c>
      <c r="C396" t="s">
        <v>46</v>
      </c>
      <c r="D396" t="s">
        <v>47</v>
      </c>
      <c r="E396" t="s">
        <v>21</v>
      </c>
      <c r="F396" t="s">
        <v>49</v>
      </c>
      <c r="G396" t="s">
        <v>113</v>
      </c>
      <c r="H396" t="s">
        <v>114</v>
      </c>
      <c r="I396">
        <v>3</v>
      </c>
      <c r="J396" s="3">
        <v>40857.769999999997</v>
      </c>
      <c r="K396" s="3">
        <v>122573.31</v>
      </c>
      <c r="L396" t="s">
        <v>25</v>
      </c>
      <c r="M396" s="2">
        <v>45932</v>
      </c>
      <c r="N396" s="2">
        <v>45929</v>
      </c>
      <c r="O396" t="s">
        <v>26</v>
      </c>
      <c r="P396" t="s">
        <v>27</v>
      </c>
      <c r="Q396" t="s">
        <v>28</v>
      </c>
      <c r="R396" t="s">
        <v>29</v>
      </c>
      <c r="S396">
        <v>2025</v>
      </c>
      <c r="T396" t="s">
        <v>2753</v>
      </c>
      <c r="U396" t="s">
        <v>2754</v>
      </c>
      <c r="V396" s="4">
        <v>0</v>
      </c>
      <c r="W396" s="4">
        <v>1</v>
      </c>
    </row>
    <row r="397" spans="1:23">
      <c r="A397" t="s">
        <v>524</v>
      </c>
      <c r="B397" s="2">
        <v>45899</v>
      </c>
      <c r="C397" t="s">
        <v>131</v>
      </c>
      <c r="D397" t="s">
        <v>132</v>
      </c>
      <c r="E397" t="s">
        <v>48</v>
      </c>
      <c r="F397" t="s">
        <v>57</v>
      </c>
      <c r="G397" t="s">
        <v>58</v>
      </c>
      <c r="H397" t="s">
        <v>59</v>
      </c>
      <c r="I397">
        <v>3</v>
      </c>
      <c r="J397" s="3">
        <v>62478.14</v>
      </c>
      <c r="K397" s="3">
        <v>187434.42</v>
      </c>
      <c r="L397" t="s">
        <v>34</v>
      </c>
      <c r="M397" s="2">
        <v>45917</v>
      </c>
      <c r="N397" s="2">
        <v>45914</v>
      </c>
      <c r="O397" t="s">
        <v>26</v>
      </c>
      <c r="P397" t="s">
        <v>53</v>
      </c>
      <c r="Q397" t="s">
        <v>28</v>
      </c>
      <c r="R397" t="s">
        <v>29</v>
      </c>
      <c r="S397">
        <v>2025</v>
      </c>
      <c r="T397" t="s">
        <v>2761</v>
      </c>
      <c r="U397" t="s">
        <v>2762</v>
      </c>
      <c r="V397" s="4">
        <v>0</v>
      </c>
      <c r="W397" s="4">
        <v>1</v>
      </c>
    </row>
    <row r="398" spans="1:23">
      <c r="A398" t="s">
        <v>525</v>
      </c>
      <c r="B398" s="2">
        <v>45829</v>
      </c>
      <c r="C398" t="s">
        <v>46</v>
      </c>
      <c r="D398" t="s">
        <v>47</v>
      </c>
      <c r="E398" t="s">
        <v>48</v>
      </c>
      <c r="F398" t="s">
        <v>49</v>
      </c>
      <c r="G398" t="s">
        <v>113</v>
      </c>
      <c r="H398" t="s">
        <v>114</v>
      </c>
      <c r="I398">
        <v>1</v>
      </c>
      <c r="J398" s="3">
        <v>41407.58</v>
      </c>
      <c r="K398" s="3">
        <v>41407.58</v>
      </c>
      <c r="L398" t="s">
        <v>25</v>
      </c>
      <c r="M398" s="2">
        <v>45834</v>
      </c>
      <c r="N398" s="2">
        <v>45831</v>
      </c>
      <c r="O398" t="s">
        <v>60</v>
      </c>
      <c r="P398" t="s">
        <v>53</v>
      </c>
      <c r="Q398" t="s">
        <v>28</v>
      </c>
      <c r="R398" t="s">
        <v>29</v>
      </c>
      <c r="S398">
        <v>2025</v>
      </c>
      <c r="T398" t="s">
        <v>2743</v>
      </c>
      <c r="U398" t="s">
        <v>2756</v>
      </c>
      <c r="V398" s="4">
        <v>0</v>
      </c>
      <c r="W398" s="4">
        <v>1</v>
      </c>
    </row>
    <row r="399" spans="1:23">
      <c r="A399" t="s">
        <v>526</v>
      </c>
      <c r="B399" s="2">
        <v>46057</v>
      </c>
      <c r="C399" t="s">
        <v>37</v>
      </c>
      <c r="D399" t="s">
        <v>38</v>
      </c>
      <c r="E399" t="s">
        <v>39</v>
      </c>
      <c r="F399" t="s">
        <v>40</v>
      </c>
      <c r="G399" t="s">
        <v>41</v>
      </c>
      <c r="H399" t="s">
        <v>42</v>
      </c>
      <c r="I399">
        <v>7</v>
      </c>
      <c r="J399" s="3">
        <v>5961.5</v>
      </c>
      <c r="K399" s="3">
        <v>41730.5</v>
      </c>
      <c r="L399" t="s">
        <v>25</v>
      </c>
      <c r="M399" s="2">
        <v>46072</v>
      </c>
      <c r="N399" s="2">
        <v>46072</v>
      </c>
      <c r="O399" t="s">
        <v>76</v>
      </c>
      <c r="P399" t="s">
        <v>44</v>
      </c>
      <c r="Q399" t="s">
        <v>28</v>
      </c>
      <c r="R399" t="s">
        <v>29</v>
      </c>
      <c r="S399">
        <v>2026</v>
      </c>
      <c r="T399" t="s">
        <v>2751</v>
      </c>
      <c r="U399" t="s">
        <v>2765</v>
      </c>
      <c r="V399" s="4">
        <v>0</v>
      </c>
      <c r="W399" s="4">
        <v>1</v>
      </c>
    </row>
    <row r="400" spans="1:23">
      <c r="A400" t="s">
        <v>527</v>
      </c>
      <c r="B400" s="2">
        <v>45937</v>
      </c>
      <c r="C400" t="s">
        <v>19</v>
      </c>
      <c r="D400" t="s">
        <v>20</v>
      </c>
      <c r="E400" t="s">
        <v>21</v>
      </c>
      <c r="F400" t="s">
        <v>22</v>
      </c>
      <c r="G400" t="s">
        <v>160</v>
      </c>
      <c r="H400" t="s">
        <v>161</v>
      </c>
      <c r="I400">
        <v>13</v>
      </c>
      <c r="J400" s="3">
        <v>2915.45</v>
      </c>
      <c r="K400" s="3">
        <v>37900.85</v>
      </c>
      <c r="L400" t="s">
        <v>25</v>
      </c>
      <c r="M400" s="2">
        <v>45952</v>
      </c>
      <c r="N400" s="2">
        <v>45951</v>
      </c>
      <c r="O400" t="s">
        <v>26</v>
      </c>
      <c r="P400" t="s">
        <v>27</v>
      </c>
      <c r="Q400" t="s">
        <v>28</v>
      </c>
      <c r="R400" t="s">
        <v>29</v>
      </c>
      <c r="S400">
        <v>2025</v>
      </c>
      <c r="T400" t="s">
        <v>2749</v>
      </c>
      <c r="U400" t="s">
        <v>2750</v>
      </c>
      <c r="V400" s="4">
        <v>0</v>
      </c>
      <c r="W400" s="4">
        <v>1</v>
      </c>
    </row>
    <row r="401" spans="1:23">
      <c r="A401" t="s">
        <v>528</v>
      </c>
      <c r="B401" s="2">
        <v>45727</v>
      </c>
      <c r="C401" t="s">
        <v>142</v>
      </c>
      <c r="D401" t="s">
        <v>143</v>
      </c>
      <c r="E401" t="s">
        <v>39</v>
      </c>
      <c r="F401" t="s">
        <v>22</v>
      </c>
      <c r="G401" t="s">
        <v>32</v>
      </c>
      <c r="H401" t="s">
        <v>33</v>
      </c>
      <c r="I401">
        <v>5</v>
      </c>
      <c r="J401" s="3">
        <v>7642.03</v>
      </c>
      <c r="K401" s="3">
        <v>38210.15</v>
      </c>
      <c r="L401" t="s">
        <v>34</v>
      </c>
      <c r="M401" s="2">
        <v>45736</v>
      </c>
      <c r="N401" s="2">
        <v>45736</v>
      </c>
      <c r="O401" t="s">
        <v>43</v>
      </c>
      <c r="P401" t="s">
        <v>64</v>
      </c>
      <c r="Q401" t="s">
        <v>28</v>
      </c>
      <c r="R401" t="s">
        <v>29</v>
      </c>
      <c r="S401">
        <v>2025</v>
      </c>
      <c r="T401" t="s">
        <v>2747</v>
      </c>
      <c r="U401" t="s">
        <v>2748</v>
      </c>
      <c r="V401" s="4">
        <v>0</v>
      </c>
      <c r="W401" s="4">
        <v>1</v>
      </c>
    </row>
    <row r="402" spans="1:23">
      <c r="A402" t="s">
        <v>529</v>
      </c>
      <c r="B402" s="2">
        <v>45780</v>
      </c>
      <c r="C402" t="s">
        <v>71</v>
      </c>
      <c r="D402" t="s">
        <v>72</v>
      </c>
      <c r="E402" t="s">
        <v>31</v>
      </c>
      <c r="F402" t="s">
        <v>57</v>
      </c>
      <c r="G402" t="s">
        <v>120</v>
      </c>
      <c r="H402" t="s">
        <v>121</v>
      </c>
      <c r="I402">
        <v>3</v>
      </c>
      <c r="J402" s="3">
        <v>20849.93</v>
      </c>
      <c r="K402" s="3">
        <v>62549.79</v>
      </c>
      <c r="L402" t="s">
        <v>25</v>
      </c>
      <c r="M402" s="2">
        <v>45786</v>
      </c>
      <c r="N402" s="2">
        <v>45784</v>
      </c>
      <c r="O402" t="s">
        <v>43</v>
      </c>
      <c r="P402" t="s">
        <v>35</v>
      </c>
      <c r="Q402" t="s">
        <v>28</v>
      </c>
      <c r="R402" t="s">
        <v>29</v>
      </c>
      <c r="S402">
        <v>2025</v>
      </c>
      <c r="T402" t="s">
        <v>2766</v>
      </c>
      <c r="U402" t="s">
        <v>2767</v>
      </c>
      <c r="V402" s="4">
        <v>0</v>
      </c>
      <c r="W402" s="4">
        <v>1</v>
      </c>
    </row>
    <row r="403" spans="1:23">
      <c r="A403" t="s">
        <v>530</v>
      </c>
      <c r="B403" s="2">
        <v>45941</v>
      </c>
      <c r="C403" t="s">
        <v>104</v>
      </c>
      <c r="D403" t="s">
        <v>105</v>
      </c>
      <c r="E403" t="s">
        <v>48</v>
      </c>
      <c r="F403" t="s">
        <v>49</v>
      </c>
      <c r="G403" t="s">
        <v>165</v>
      </c>
      <c r="H403" t="s">
        <v>166</v>
      </c>
      <c r="I403">
        <v>1</v>
      </c>
      <c r="J403" s="3">
        <v>43499.69</v>
      </c>
      <c r="K403" s="3">
        <v>43499.69</v>
      </c>
      <c r="L403" t="s">
        <v>25</v>
      </c>
      <c r="M403" s="2">
        <v>45952</v>
      </c>
      <c r="N403" s="2">
        <v>45952</v>
      </c>
      <c r="O403" t="s">
        <v>76</v>
      </c>
      <c r="P403" t="s">
        <v>53</v>
      </c>
      <c r="Q403" t="s">
        <v>28</v>
      </c>
      <c r="R403" t="s">
        <v>29</v>
      </c>
      <c r="S403">
        <v>2025</v>
      </c>
      <c r="T403" t="s">
        <v>2749</v>
      </c>
      <c r="U403" t="s">
        <v>2750</v>
      </c>
      <c r="V403" s="4">
        <v>0</v>
      </c>
      <c r="W403" s="4">
        <v>1</v>
      </c>
    </row>
    <row r="404" spans="1:23">
      <c r="A404" t="s">
        <v>532</v>
      </c>
      <c r="B404" s="2">
        <v>46109</v>
      </c>
      <c r="C404" t="s">
        <v>142</v>
      </c>
      <c r="D404" t="s">
        <v>143</v>
      </c>
      <c r="E404" t="s">
        <v>112</v>
      </c>
      <c r="F404" t="s">
        <v>22</v>
      </c>
      <c r="G404" t="s">
        <v>32</v>
      </c>
      <c r="H404" t="s">
        <v>33</v>
      </c>
      <c r="I404">
        <v>2</v>
      </c>
      <c r="J404" s="3">
        <v>8417.6</v>
      </c>
      <c r="K404" s="3">
        <v>16835.2</v>
      </c>
      <c r="L404" t="s">
        <v>25</v>
      </c>
      <c r="M404" s="2">
        <v>46116</v>
      </c>
      <c r="N404" s="2">
        <v>46113</v>
      </c>
      <c r="O404" t="s">
        <v>43</v>
      </c>
      <c r="P404" t="s">
        <v>115</v>
      </c>
      <c r="Q404" t="s">
        <v>28</v>
      </c>
      <c r="R404" t="s">
        <v>29</v>
      </c>
      <c r="S404">
        <v>2026</v>
      </c>
      <c r="T404" t="s">
        <v>2747</v>
      </c>
      <c r="U404" t="s">
        <v>2755</v>
      </c>
      <c r="V404" s="4">
        <v>0</v>
      </c>
      <c r="W404" s="4">
        <v>1</v>
      </c>
    </row>
    <row r="405" spans="1:23">
      <c r="A405" t="s">
        <v>533</v>
      </c>
      <c r="B405" s="2">
        <v>45923</v>
      </c>
      <c r="C405" t="s">
        <v>96</v>
      </c>
      <c r="D405" t="s">
        <v>97</v>
      </c>
      <c r="E405" t="s">
        <v>39</v>
      </c>
      <c r="F405" t="s">
        <v>82</v>
      </c>
      <c r="G405" t="s">
        <v>197</v>
      </c>
      <c r="H405" t="s">
        <v>198</v>
      </c>
      <c r="I405">
        <v>36</v>
      </c>
      <c r="J405" s="3">
        <v>2121.27</v>
      </c>
      <c r="K405" s="3">
        <v>76365.72</v>
      </c>
      <c r="L405" t="s">
        <v>52</v>
      </c>
      <c r="M405" s="2">
        <v>45930</v>
      </c>
      <c r="N405" s="2">
        <v>45930</v>
      </c>
      <c r="O405" t="s">
        <v>60</v>
      </c>
      <c r="P405" t="s">
        <v>44</v>
      </c>
      <c r="Q405" t="s">
        <v>28</v>
      </c>
      <c r="R405" t="s">
        <v>29</v>
      </c>
      <c r="S405">
        <v>2025</v>
      </c>
      <c r="T405" t="s">
        <v>2753</v>
      </c>
      <c r="U405" t="s">
        <v>2754</v>
      </c>
      <c r="V405" s="4">
        <v>0</v>
      </c>
      <c r="W405" s="4">
        <v>1</v>
      </c>
    </row>
    <row r="406" spans="1:23">
      <c r="A406" t="s">
        <v>534</v>
      </c>
      <c r="B406" s="2">
        <v>46058</v>
      </c>
      <c r="C406" t="s">
        <v>71</v>
      </c>
      <c r="D406" t="s">
        <v>72</v>
      </c>
      <c r="E406" t="s">
        <v>31</v>
      </c>
      <c r="F406" t="s">
        <v>57</v>
      </c>
      <c r="G406" t="s">
        <v>74</v>
      </c>
      <c r="H406" t="s">
        <v>75</v>
      </c>
      <c r="I406">
        <v>13</v>
      </c>
      <c r="J406" s="3">
        <v>8390.2800000000007</v>
      </c>
      <c r="K406" s="3">
        <v>109073.64</v>
      </c>
      <c r="L406" t="s">
        <v>25</v>
      </c>
      <c r="M406" s="2">
        <v>46075</v>
      </c>
      <c r="N406" s="2">
        <v>46074</v>
      </c>
      <c r="O406" t="s">
        <v>60</v>
      </c>
      <c r="P406" t="s">
        <v>94</v>
      </c>
      <c r="Q406" t="s">
        <v>28</v>
      </c>
      <c r="R406" t="s">
        <v>29</v>
      </c>
      <c r="S406">
        <v>2026</v>
      </c>
      <c r="T406" t="s">
        <v>2751</v>
      </c>
      <c r="U406" t="s">
        <v>2765</v>
      </c>
      <c r="V406" s="4">
        <v>0</v>
      </c>
      <c r="W406" s="4">
        <v>1</v>
      </c>
    </row>
    <row r="407" spans="1:23">
      <c r="A407" t="s">
        <v>535</v>
      </c>
      <c r="B407" s="2">
        <v>46025</v>
      </c>
      <c r="C407" t="s">
        <v>37</v>
      </c>
      <c r="D407" t="s">
        <v>38</v>
      </c>
      <c r="E407" t="s">
        <v>21</v>
      </c>
      <c r="F407" t="s">
        <v>22</v>
      </c>
      <c r="G407" t="s">
        <v>32</v>
      </c>
      <c r="H407" t="s">
        <v>33</v>
      </c>
      <c r="I407">
        <v>6</v>
      </c>
      <c r="J407" s="3">
        <v>8498.2000000000007</v>
      </c>
      <c r="K407" s="3">
        <v>50989.2</v>
      </c>
      <c r="L407" t="s">
        <v>25</v>
      </c>
      <c r="M407" s="2">
        <v>46038</v>
      </c>
      <c r="N407" s="2">
        <v>46036</v>
      </c>
      <c r="O407" t="s">
        <v>60</v>
      </c>
      <c r="P407" t="s">
        <v>27</v>
      </c>
      <c r="Q407" t="s">
        <v>28</v>
      </c>
      <c r="R407" t="s">
        <v>29</v>
      </c>
      <c r="S407">
        <v>2026</v>
      </c>
      <c r="T407" t="s">
        <v>2757</v>
      </c>
      <c r="U407" t="s">
        <v>2758</v>
      </c>
      <c r="V407" s="4">
        <v>0</v>
      </c>
      <c r="W407" s="4">
        <v>1</v>
      </c>
    </row>
    <row r="408" spans="1:23">
      <c r="A408" t="s">
        <v>536</v>
      </c>
      <c r="B408" s="2">
        <v>45865</v>
      </c>
      <c r="C408" t="s">
        <v>37</v>
      </c>
      <c r="D408" t="s">
        <v>38</v>
      </c>
      <c r="E408" t="s">
        <v>39</v>
      </c>
      <c r="F408" t="s">
        <v>40</v>
      </c>
      <c r="G408" t="s">
        <v>149</v>
      </c>
      <c r="H408" t="s">
        <v>150</v>
      </c>
      <c r="I408">
        <v>11</v>
      </c>
      <c r="J408" s="3">
        <v>1437.44</v>
      </c>
      <c r="K408" s="3">
        <v>15811.84</v>
      </c>
      <c r="L408" t="s">
        <v>25</v>
      </c>
      <c r="M408" s="2">
        <v>45880</v>
      </c>
      <c r="N408" s="2">
        <v>45877</v>
      </c>
      <c r="O408" t="s">
        <v>60</v>
      </c>
      <c r="P408" t="s">
        <v>64</v>
      </c>
      <c r="Q408" t="s">
        <v>28</v>
      </c>
      <c r="R408" t="s">
        <v>29</v>
      </c>
      <c r="S408">
        <v>2025</v>
      </c>
      <c r="T408" t="s">
        <v>2759</v>
      </c>
      <c r="U408" t="s">
        <v>2760</v>
      </c>
      <c r="V408" s="4">
        <v>0</v>
      </c>
      <c r="W408" s="4">
        <v>1</v>
      </c>
    </row>
    <row r="409" spans="1:23">
      <c r="A409" t="s">
        <v>537</v>
      </c>
      <c r="B409" s="2">
        <v>45801</v>
      </c>
      <c r="C409" t="s">
        <v>96</v>
      </c>
      <c r="D409" t="s">
        <v>97</v>
      </c>
      <c r="E409" t="s">
        <v>39</v>
      </c>
      <c r="F409" t="s">
        <v>82</v>
      </c>
      <c r="G409" t="s">
        <v>83</v>
      </c>
      <c r="H409" t="s">
        <v>84</v>
      </c>
      <c r="I409">
        <v>39</v>
      </c>
      <c r="J409" s="3">
        <v>702.23</v>
      </c>
      <c r="K409" s="3">
        <v>27386.97</v>
      </c>
      <c r="L409" t="s">
        <v>52</v>
      </c>
      <c r="M409" s="2">
        <v>45816</v>
      </c>
      <c r="N409" s="2">
        <v>45813</v>
      </c>
      <c r="O409" t="s">
        <v>43</v>
      </c>
      <c r="P409" t="s">
        <v>64</v>
      </c>
      <c r="Q409" t="s">
        <v>28</v>
      </c>
      <c r="R409" t="s">
        <v>29</v>
      </c>
      <c r="S409">
        <v>2025</v>
      </c>
      <c r="T409" t="s">
        <v>2766</v>
      </c>
      <c r="U409" t="s">
        <v>2767</v>
      </c>
      <c r="V409" s="4">
        <v>0</v>
      </c>
      <c r="W409" s="4">
        <v>1</v>
      </c>
    </row>
    <row r="410" spans="1:23">
      <c r="A410" t="s">
        <v>538</v>
      </c>
      <c r="B410" s="2">
        <v>46005</v>
      </c>
      <c r="C410" t="s">
        <v>117</v>
      </c>
      <c r="D410" t="s">
        <v>118</v>
      </c>
      <c r="E410" t="s">
        <v>48</v>
      </c>
      <c r="F410" t="s">
        <v>57</v>
      </c>
      <c r="G410" t="s">
        <v>74</v>
      </c>
      <c r="H410" t="s">
        <v>75</v>
      </c>
      <c r="I410">
        <v>11</v>
      </c>
      <c r="J410" s="3">
        <v>9006.68</v>
      </c>
      <c r="K410" s="3">
        <v>99073.48</v>
      </c>
      <c r="L410" t="s">
        <v>34</v>
      </c>
      <c r="M410" s="2">
        <v>46018</v>
      </c>
      <c r="N410" s="2">
        <v>46017</v>
      </c>
      <c r="O410" t="s">
        <v>26</v>
      </c>
      <c r="P410" t="s">
        <v>53</v>
      </c>
      <c r="Q410" t="s">
        <v>28</v>
      </c>
      <c r="R410" t="s">
        <v>29</v>
      </c>
      <c r="S410">
        <v>2025</v>
      </c>
      <c r="T410" t="s">
        <v>2745</v>
      </c>
      <c r="U410" t="s">
        <v>2746</v>
      </c>
      <c r="V410" s="4">
        <v>0</v>
      </c>
      <c r="W410" s="4">
        <v>1</v>
      </c>
    </row>
    <row r="411" spans="1:23">
      <c r="A411" t="s">
        <v>539</v>
      </c>
      <c r="B411" s="2">
        <v>45704</v>
      </c>
      <c r="C411" t="s">
        <v>107</v>
      </c>
      <c r="D411" t="s">
        <v>108</v>
      </c>
      <c r="E411" t="s">
        <v>31</v>
      </c>
      <c r="F411" t="s">
        <v>91</v>
      </c>
      <c r="G411" t="s">
        <v>92</v>
      </c>
      <c r="H411" t="s">
        <v>93</v>
      </c>
      <c r="I411">
        <v>1</v>
      </c>
      <c r="J411" s="3">
        <v>48113.59</v>
      </c>
      <c r="K411" s="3">
        <v>48113.59</v>
      </c>
      <c r="L411" t="s">
        <v>34</v>
      </c>
      <c r="M411" s="2">
        <v>45716</v>
      </c>
      <c r="N411" s="2">
        <v>45716</v>
      </c>
      <c r="O411" t="s">
        <v>43</v>
      </c>
      <c r="P411" t="s">
        <v>94</v>
      </c>
      <c r="Q411" t="s">
        <v>28</v>
      </c>
      <c r="R411" t="s">
        <v>29</v>
      </c>
      <c r="S411">
        <v>2025</v>
      </c>
      <c r="T411" t="s">
        <v>2751</v>
      </c>
      <c r="U411" t="s">
        <v>2752</v>
      </c>
      <c r="V411" s="4">
        <v>0</v>
      </c>
      <c r="W411" s="4">
        <v>1</v>
      </c>
    </row>
    <row r="412" spans="1:23">
      <c r="A412" t="s">
        <v>540</v>
      </c>
      <c r="B412" s="2">
        <v>46167</v>
      </c>
      <c r="C412" t="s">
        <v>89</v>
      </c>
      <c r="D412" t="s">
        <v>90</v>
      </c>
      <c r="E412" t="s">
        <v>31</v>
      </c>
      <c r="F412" t="s">
        <v>91</v>
      </c>
      <c r="G412" t="s">
        <v>92</v>
      </c>
      <c r="H412" t="s">
        <v>93</v>
      </c>
      <c r="I412">
        <v>2</v>
      </c>
      <c r="J412" s="3">
        <v>43387.55</v>
      </c>
      <c r="K412" s="3">
        <v>86775.1</v>
      </c>
      <c r="L412" t="s">
        <v>25</v>
      </c>
      <c r="M412" s="2">
        <v>46177</v>
      </c>
      <c r="N412" s="2">
        <v>46176</v>
      </c>
      <c r="O412" t="s">
        <v>26</v>
      </c>
      <c r="P412" t="s">
        <v>94</v>
      </c>
      <c r="Q412" t="s">
        <v>28</v>
      </c>
      <c r="R412" t="s">
        <v>29</v>
      </c>
      <c r="S412">
        <v>2026</v>
      </c>
      <c r="T412" t="s">
        <v>2766</v>
      </c>
      <c r="U412" t="s">
        <v>2769</v>
      </c>
      <c r="V412" s="4">
        <v>0</v>
      </c>
      <c r="W412" s="4">
        <v>1</v>
      </c>
    </row>
    <row r="413" spans="1:23">
      <c r="A413" t="s">
        <v>541</v>
      </c>
      <c r="B413" s="2">
        <v>45835</v>
      </c>
      <c r="C413" t="s">
        <v>142</v>
      </c>
      <c r="D413" t="s">
        <v>143</v>
      </c>
      <c r="E413" t="s">
        <v>39</v>
      </c>
      <c r="F413" t="s">
        <v>22</v>
      </c>
      <c r="G413" t="s">
        <v>160</v>
      </c>
      <c r="H413" t="s">
        <v>161</v>
      </c>
      <c r="I413">
        <v>3</v>
      </c>
      <c r="J413" s="3">
        <v>3128.87</v>
      </c>
      <c r="K413" s="3">
        <v>9386.61</v>
      </c>
      <c r="L413" t="s">
        <v>25</v>
      </c>
      <c r="M413" s="2">
        <v>45847</v>
      </c>
      <c r="N413" s="2">
        <v>45847</v>
      </c>
      <c r="O413" t="s">
        <v>60</v>
      </c>
      <c r="P413" t="s">
        <v>64</v>
      </c>
      <c r="Q413" t="s">
        <v>28</v>
      </c>
      <c r="R413" t="s">
        <v>29</v>
      </c>
      <c r="S413">
        <v>2025</v>
      </c>
      <c r="T413" t="s">
        <v>2743</v>
      </c>
      <c r="U413" t="s">
        <v>2756</v>
      </c>
      <c r="V413" s="4">
        <v>0</v>
      </c>
      <c r="W413" s="4">
        <v>1</v>
      </c>
    </row>
    <row r="414" spans="1:23">
      <c r="A414" t="s">
        <v>542</v>
      </c>
      <c r="B414" s="2">
        <v>45740</v>
      </c>
      <c r="C414" t="s">
        <v>19</v>
      </c>
      <c r="D414" t="s">
        <v>20</v>
      </c>
      <c r="E414" t="s">
        <v>39</v>
      </c>
      <c r="F414" t="s">
        <v>22</v>
      </c>
      <c r="G414" t="s">
        <v>32</v>
      </c>
      <c r="H414" t="s">
        <v>33</v>
      </c>
      <c r="I414">
        <v>7</v>
      </c>
      <c r="J414" s="3">
        <v>7542.87</v>
      </c>
      <c r="K414" s="3">
        <v>52800.09</v>
      </c>
      <c r="L414" t="s">
        <v>34</v>
      </c>
      <c r="M414" s="2">
        <v>45756</v>
      </c>
      <c r="N414" s="2">
        <v>45753</v>
      </c>
      <c r="O414" t="s">
        <v>26</v>
      </c>
      <c r="P414" t="s">
        <v>64</v>
      </c>
      <c r="Q414" t="s">
        <v>28</v>
      </c>
      <c r="R414" t="s">
        <v>29</v>
      </c>
      <c r="S414">
        <v>2025</v>
      </c>
      <c r="T414" t="s">
        <v>2747</v>
      </c>
      <c r="U414" t="s">
        <v>2748</v>
      </c>
      <c r="V414" s="4">
        <v>0</v>
      </c>
      <c r="W414" s="4">
        <v>1</v>
      </c>
    </row>
    <row r="415" spans="1:23">
      <c r="A415" t="s">
        <v>543</v>
      </c>
      <c r="B415" s="2">
        <v>45935</v>
      </c>
      <c r="C415" t="s">
        <v>19</v>
      </c>
      <c r="D415" t="s">
        <v>20</v>
      </c>
      <c r="E415" t="s">
        <v>73</v>
      </c>
      <c r="F415" t="s">
        <v>22</v>
      </c>
      <c r="G415" t="s">
        <v>32</v>
      </c>
      <c r="H415" t="s">
        <v>33</v>
      </c>
      <c r="I415">
        <v>12</v>
      </c>
      <c r="J415" s="3">
        <v>7353.12</v>
      </c>
      <c r="K415" s="3">
        <v>88237.440000000002</v>
      </c>
      <c r="L415" t="s">
        <v>34</v>
      </c>
      <c r="M415" s="2">
        <v>45947</v>
      </c>
      <c r="N415" s="2">
        <v>45947</v>
      </c>
      <c r="O415" t="s">
        <v>76</v>
      </c>
      <c r="P415" t="s">
        <v>77</v>
      </c>
      <c r="Q415" t="s">
        <v>28</v>
      </c>
      <c r="R415" t="s">
        <v>29</v>
      </c>
      <c r="S415">
        <v>2025</v>
      </c>
      <c r="T415" t="s">
        <v>2749</v>
      </c>
      <c r="U415" t="s">
        <v>2750</v>
      </c>
      <c r="V415" s="4">
        <v>0</v>
      </c>
      <c r="W415" s="4">
        <v>1</v>
      </c>
    </row>
    <row r="416" spans="1:23">
      <c r="A416" t="s">
        <v>544</v>
      </c>
      <c r="B416" s="2">
        <v>46086</v>
      </c>
      <c r="C416" t="s">
        <v>37</v>
      </c>
      <c r="D416" t="s">
        <v>38</v>
      </c>
      <c r="E416" t="s">
        <v>39</v>
      </c>
      <c r="F416" t="s">
        <v>22</v>
      </c>
      <c r="G416" t="s">
        <v>32</v>
      </c>
      <c r="H416" t="s">
        <v>33</v>
      </c>
      <c r="I416">
        <v>14</v>
      </c>
      <c r="J416" s="3">
        <v>8477.06</v>
      </c>
      <c r="K416" s="3">
        <v>118678.84</v>
      </c>
      <c r="L416" t="s">
        <v>25</v>
      </c>
      <c r="M416" s="2">
        <v>46103</v>
      </c>
      <c r="N416" s="2">
        <v>46102</v>
      </c>
      <c r="O416" t="s">
        <v>26</v>
      </c>
      <c r="P416" t="s">
        <v>44</v>
      </c>
      <c r="Q416" t="s">
        <v>28</v>
      </c>
      <c r="R416" t="s">
        <v>29</v>
      </c>
      <c r="S416">
        <v>2026</v>
      </c>
      <c r="T416" t="s">
        <v>2747</v>
      </c>
      <c r="U416" t="s">
        <v>2755</v>
      </c>
      <c r="V416" s="4">
        <v>0</v>
      </c>
      <c r="W416" s="4">
        <v>1</v>
      </c>
    </row>
    <row r="417" spans="1:23">
      <c r="A417" t="s">
        <v>545</v>
      </c>
      <c r="B417" s="2">
        <v>45712</v>
      </c>
      <c r="C417" t="s">
        <v>104</v>
      </c>
      <c r="D417" t="s">
        <v>105</v>
      </c>
      <c r="E417" t="s">
        <v>48</v>
      </c>
      <c r="F417" t="s">
        <v>49</v>
      </c>
      <c r="G417" t="s">
        <v>68</v>
      </c>
      <c r="H417" t="s">
        <v>69</v>
      </c>
      <c r="I417">
        <v>1</v>
      </c>
      <c r="J417" s="3">
        <v>48975.02</v>
      </c>
      <c r="K417" s="3">
        <v>48975.02</v>
      </c>
      <c r="L417" t="s">
        <v>25</v>
      </c>
      <c r="M417" s="2">
        <v>45717</v>
      </c>
      <c r="N417" s="2">
        <v>45715</v>
      </c>
      <c r="O417" t="s">
        <v>76</v>
      </c>
      <c r="P417" t="s">
        <v>53</v>
      </c>
      <c r="Q417" t="s">
        <v>28</v>
      </c>
      <c r="R417" t="s">
        <v>29</v>
      </c>
      <c r="S417">
        <v>2025</v>
      </c>
      <c r="T417" t="s">
        <v>2751</v>
      </c>
      <c r="U417" t="s">
        <v>2752</v>
      </c>
      <c r="V417" s="4">
        <v>0</v>
      </c>
      <c r="W417" s="4">
        <v>1</v>
      </c>
    </row>
    <row r="418" spans="1:23">
      <c r="A418" t="s">
        <v>546</v>
      </c>
      <c r="B418" s="2">
        <v>46122</v>
      </c>
      <c r="C418" t="s">
        <v>71</v>
      </c>
      <c r="D418" t="s">
        <v>72</v>
      </c>
      <c r="E418" t="s">
        <v>48</v>
      </c>
      <c r="F418" t="s">
        <v>57</v>
      </c>
      <c r="G418" t="s">
        <v>86</v>
      </c>
      <c r="H418" t="s">
        <v>87</v>
      </c>
      <c r="I418">
        <v>2</v>
      </c>
      <c r="J418" s="3">
        <v>10229.26</v>
      </c>
      <c r="K418" s="3">
        <v>20458.52</v>
      </c>
      <c r="L418" t="s">
        <v>34</v>
      </c>
      <c r="M418" s="2">
        <v>46128</v>
      </c>
      <c r="N418" s="2">
        <v>46125</v>
      </c>
      <c r="O418" t="s">
        <v>76</v>
      </c>
      <c r="P418" t="s">
        <v>53</v>
      </c>
      <c r="Q418" t="s">
        <v>28</v>
      </c>
      <c r="R418" t="s">
        <v>29</v>
      </c>
      <c r="S418">
        <v>2026</v>
      </c>
      <c r="T418" t="s">
        <v>2741</v>
      </c>
      <c r="U418" t="s">
        <v>2770</v>
      </c>
      <c r="V418" s="4">
        <v>0</v>
      </c>
      <c r="W418" s="4">
        <v>1</v>
      </c>
    </row>
    <row r="419" spans="1:23">
      <c r="A419" t="s">
        <v>547</v>
      </c>
      <c r="B419" s="2">
        <v>45991</v>
      </c>
      <c r="C419" t="s">
        <v>142</v>
      </c>
      <c r="D419" t="s">
        <v>143</v>
      </c>
      <c r="E419" t="s">
        <v>39</v>
      </c>
      <c r="F419" t="s">
        <v>22</v>
      </c>
      <c r="G419" t="s">
        <v>23</v>
      </c>
      <c r="H419" t="s">
        <v>24</v>
      </c>
      <c r="I419">
        <v>17</v>
      </c>
      <c r="J419" s="3">
        <v>244.3</v>
      </c>
      <c r="K419" s="3">
        <v>4153.1000000000004</v>
      </c>
      <c r="L419" t="s">
        <v>25</v>
      </c>
      <c r="M419" s="2">
        <v>46002</v>
      </c>
      <c r="N419" s="2">
        <v>46002</v>
      </c>
      <c r="O419" t="s">
        <v>60</v>
      </c>
      <c r="P419" t="s">
        <v>64</v>
      </c>
      <c r="Q419" t="s">
        <v>28</v>
      </c>
      <c r="R419" t="s">
        <v>29</v>
      </c>
      <c r="S419">
        <v>2025</v>
      </c>
      <c r="T419" t="s">
        <v>2763</v>
      </c>
      <c r="U419" t="s">
        <v>2764</v>
      </c>
      <c r="V419" s="4">
        <v>0</v>
      </c>
      <c r="W419" s="4">
        <v>1</v>
      </c>
    </row>
    <row r="420" spans="1:23">
      <c r="A420" t="s">
        <v>548</v>
      </c>
      <c r="B420" s="2">
        <v>46104</v>
      </c>
      <c r="C420" t="s">
        <v>134</v>
      </c>
      <c r="D420" t="s">
        <v>135</v>
      </c>
      <c r="E420" t="s">
        <v>112</v>
      </c>
      <c r="F420" t="s">
        <v>40</v>
      </c>
      <c r="G420" t="s">
        <v>149</v>
      </c>
      <c r="H420" t="s">
        <v>150</v>
      </c>
      <c r="I420">
        <v>51</v>
      </c>
      <c r="J420" s="3">
        <v>1312.57</v>
      </c>
      <c r="K420" s="3">
        <v>66941.070000000007</v>
      </c>
      <c r="L420" t="s">
        <v>25</v>
      </c>
      <c r="M420" s="2">
        <v>46112</v>
      </c>
      <c r="N420" s="2">
        <v>46110</v>
      </c>
      <c r="O420" t="s">
        <v>26</v>
      </c>
      <c r="P420" t="s">
        <v>115</v>
      </c>
      <c r="Q420" t="s">
        <v>28</v>
      </c>
      <c r="R420" t="s">
        <v>29</v>
      </c>
      <c r="S420">
        <v>2026</v>
      </c>
      <c r="T420" t="s">
        <v>2747</v>
      </c>
      <c r="U420" t="s">
        <v>2755</v>
      </c>
      <c r="V420" s="4">
        <v>0</v>
      </c>
      <c r="W420" s="4">
        <v>1</v>
      </c>
    </row>
    <row r="421" spans="1:23">
      <c r="A421" t="s">
        <v>549</v>
      </c>
      <c r="B421" s="2">
        <v>45719</v>
      </c>
      <c r="C421" t="s">
        <v>134</v>
      </c>
      <c r="D421" t="s">
        <v>135</v>
      </c>
      <c r="E421" t="s">
        <v>39</v>
      </c>
      <c r="F421" t="s">
        <v>40</v>
      </c>
      <c r="G421" t="s">
        <v>62</v>
      </c>
      <c r="H421" t="s">
        <v>63</v>
      </c>
      <c r="I421">
        <v>4</v>
      </c>
      <c r="J421" s="3">
        <v>19025.97</v>
      </c>
      <c r="K421" s="3">
        <v>76103.88</v>
      </c>
      <c r="L421" t="s">
        <v>34</v>
      </c>
      <c r="M421" s="2">
        <v>45728</v>
      </c>
      <c r="N421" s="2">
        <v>45727</v>
      </c>
      <c r="O421" t="s">
        <v>26</v>
      </c>
      <c r="P421" t="s">
        <v>64</v>
      </c>
      <c r="Q421" t="s">
        <v>28</v>
      </c>
      <c r="R421" t="s">
        <v>29</v>
      </c>
      <c r="S421">
        <v>2025</v>
      </c>
      <c r="T421" t="s">
        <v>2747</v>
      </c>
      <c r="U421" t="s">
        <v>2748</v>
      </c>
      <c r="V421" s="4">
        <v>0</v>
      </c>
      <c r="W421" s="4">
        <v>1</v>
      </c>
    </row>
    <row r="422" spans="1:23">
      <c r="A422" t="s">
        <v>550</v>
      </c>
      <c r="B422" s="2">
        <v>45879</v>
      </c>
      <c r="C422" t="s">
        <v>46</v>
      </c>
      <c r="D422" t="s">
        <v>47</v>
      </c>
      <c r="E422" t="s">
        <v>48</v>
      </c>
      <c r="F422" t="s">
        <v>49</v>
      </c>
      <c r="G422" t="s">
        <v>113</v>
      </c>
      <c r="H422" t="s">
        <v>114</v>
      </c>
      <c r="I422">
        <v>1</v>
      </c>
      <c r="J422" s="3">
        <v>41337.599999999999</v>
      </c>
      <c r="K422" s="3">
        <v>41337.599999999999</v>
      </c>
      <c r="L422" t="s">
        <v>52</v>
      </c>
      <c r="M422" s="2">
        <v>45887</v>
      </c>
      <c r="N422" s="2">
        <v>45886</v>
      </c>
      <c r="O422" t="s">
        <v>26</v>
      </c>
      <c r="P422" t="s">
        <v>53</v>
      </c>
      <c r="Q422" t="s">
        <v>28</v>
      </c>
      <c r="R422" t="s">
        <v>29</v>
      </c>
      <c r="S422">
        <v>2025</v>
      </c>
      <c r="T422" t="s">
        <v>2761</v>
      </c>
      <c r="U422" t="s">
        <v>2762</v>
      </c>
      <c r="V422" s="4">
        <v>0</v>
      </c>
      <c r="W422" s="4">
        <v>1</v>
      </c>
    </row>
    <row r="423" spans="1:23">
      <c r="A423" t="s">
        <v>551</v>
      </c>
      <c r="B423" s="2">
        <v>46174</v>
      </c>
      <c r="C423" t="s">
        <v>71</v>
      </c>
      <c r="D423" t="s">
        <v>72</v>
      </c>
      <c r="E423" t="s">
        <v>31</v>
      </c>
      <c r="F423" t="s">
        <v>57</v>
      </c>
      <c r="G423" t="s">
        <v>120</v>
      </c>
      <c r="H423" t="s">
        <v>121</v>
      </c>
      <c r="I423">
        <v>4</v>
      </c>
      <c r="J423" s="3">
        <v>20489.740000000002</v>
      </c>
      <c r="K423" s="3">
        <v>81958.960000000006</v>
      </c>
      <c r="L423" t="s">
        <v>34</v>
      </c>
      <c r="M423" s="2">
        <v>46180</v>
      </c>
      <c r="N423" s="2">
        <v>46180</v>
      </c>
      <c r="O423" t="s">
        <v>60</v>
      </c>
      <c r="P423" t="s">
        <v>94</v>
      </c>
      <c r="Q423" t="s">
        <v>28</v>
      </c>
      <c r="R423" t="s">
        <v>29</v>
      </c>
      <c r="S423">
        <v>2026</v>
      </c>
      <c r="T423" t="s">
        <v>2743</v>
      </c>
      <c r="U423" t="s">
        <v>2744</v>
      </c>
      <c r="V423" s="4">
        <v>0</v>
      </c>
      <c r="W423" s="4">
        <v>1</v>
      </c>
    </row>
    <row r="424" spans="1:23">
      <c r="A424" t="s">
        <v>552</v>
      </c>
      <c r="B424" s="2">
        <v>45793</v>
      </c>
      <c r="C424" t="s">
        <v>142</v>
      </c>
      <c r="D424" t="s">
        <v>143</v>
      </c>
      <c r="E424" t="s">
        <v>39</v>
      </c>
      <c r="F424" t="s">
        <v>22</v>
      </c>
      <c r="G424" t="s">
        <v>23</v>
      </c>
      <c r="H424" t="s">
        <v>24</v>
      </c>
      <c r="I424">
        <v>50</v>
      </c>
      <c r="J424" s="3">
        <v>241.92</v>
      </c>
      <c r="K424" s="3">
        <v>12096</v>
      </c>
      <c r="L424" t="s">
        <v>52</v>
      </c>
      <c r="M424" s="2">
        <v>45805</v>
      </c>
      <c r="N424" s="2">
        <v>45805</v>
      </c>
      <c r="O424" t="s">
        <v>60</v>
      </c>
      <c r="P424" t="s">
        <v>64</v>
      </c>
      <c r="Q424" t="s">
        <v>28</v>
      </c>
      <c r="R424" t="s">
        <v>29</v>
      </c>
      <c r="S424">
        <v>2025</v>
      </c>
      <c r="T424" t="s">
        <v>2766</v>
      </c>
      <c r="U424" t="s">
        <v>2767</v>
      </c>
      <c r="V424" s="4">
        <v>0</v>
      </c>
      <c r="W424" s="4">
        <v>1</v>
      </c>
    </row>
    <row r="425" spans="1:23">
      <c r="A425" t="s">
        <v>553</v>
      </c>
      <c r="B425" s="2">
        <v>46073</v>
      </c>
      <c r="C425" t="s">
        <v>46</v>
      </c>
      <c r="D425" t="s">
        <v>47</v>
      </c>
      <c r="E425" t="s">
        <v>112</v>
      </c>
      <c r="F425" t="s">
        <v>49</v>
      </c>
      <c r="G425" t="s">
        <v>68</v>
      </c>
      <c r="H425" t="s">
        <v>69</v>
      </c>
      <c r="I425">
        <v>1</v>
      </c>
      <c r="J425" s="3">
        <v>48851.040000000001</v>
      </c>
      <c r="K425" s="3">
        <v>48851.040000000001</v>
      </c>
      <c r="L425" t="s">
        <v>25</v>
      </c>
      <c r="M425" s="2">
        <v>46084</v>
      </c>
      <c r="N425" s="2">
        <v>46082</v>
      </c>
      <c r="O425" t="s">
        <v>76</v>
      </c>
      <c r="P425" t="s">
        <v>115</v>
      </c>
      <c r="Q425" t="s">
        <v>28</v>
      </c>
      <c r="R425" t="s">
        <v>29</v>
      </c>
      <c r="S425">
        <v>2026</v>
      </c>
      <c r="T425" t="s">
        <v>2751</v>
      </c>
      <c r="U425" t="s">
        <v>2765</v>
      </c>
      <c r="V425" s="4">
        <v>0</v>
      </c>
      <c r="W425" s="4">
        <v>1</v>
      </c>
    </row>
    <row r="426" spans="1:23">
      <c r="A426" t="s">
        <v>554</v>
      </c>
      <c r="B426" s="2">
        <v>45934</v>
      </c>
      <c r="C426" t="s">
        <v>37</v>
      </c>
      <c r="D426" t="s">
        <v>38</v>
      </c>
      <c r="E426" t="s">
        <v>31</v>
      </c>
      <c r="F426" t="s">
        <v>22</v>
      </c>
      <c r="G426" t="s">
        <v>23</v>
      </c>
      <c r="H426" t="s">
        <v>24</v>
      </c>
      <c r="I426">
        <v>26</v>
      </c>
      <c r="J426" s="3">
        <v>253.57</v>
      </c>
      <c r="K426" s="3">
        <v>6592.82</v>
      </c>
      <c r="L426" t="s">
        <v>52</v>
      </c>
      <c r="M426" s="2">
        <v>45950</v>
      </c>
      <c r="N426" s="2">
        <v>45948</v>
      </c>
      <c r="O426" t="s">
        <v>43</v>
      </c>
      <c r="P426" t="s">
        <v>35</v>
      </c>
      <c r="Q426" t="s">
        <v>28</v>
      </c>
      <c r="R426" t="s">
        <v>29</v>
      </c>
      <c r="S426">
        <v>2025</v>
      </c>
      <c r="T426" t="s">
        <v>2749</v>
      </c>
      <c r="U426" t="s">
        <v>2750</v>
      </c>
      <c r="V426" s="4">
        <v>0</v>
      </c>
      <c r="W426" s="4">
        <v>1</v>
      </c>
    </row>
    <row r="427" spans="1:23">
      <c r="A427" t="s">
        <v>555</v>
      </c>
      <c r="B427" s="2">
        <v>46032</v>
      </c>
      <c r="C427" t="s">
        <v>134</v>
      </c>
      <c r="D427" t="s">
        <v>135</v>
      </c>
      <c r="E427" t="s">
        <v>39</v>
      </c>
      <c r="F427" t="s">
        <v>40</v>
      </c>
      <c r="G427" t="s">
        <v>149</v>
      </c>
      <c r="H427" t="s">
        <v>150</v>
      </c>
      <c r="I427">
        <v>40</v>
      </c>
      <c r="J427" s="3">
        <v>1381.64</v>
      </c>
      <c r="K427" s="3">
        <v>55265.599999999999</v>
      </c>
      <c r="L427" t="s">
        <v>52</v>
      </c>
      <c r="M427" s="2">
        <v>46048</v>
      </c>
      <c r="N427" s="2">
        <v>46047</v>
      </c>
      <c r="O427" t="s">
        <v>26</v>
      </c>
      <c r="P427" t="s">
        <v>64</v>
      </c>
      <c r="Q427" t="s">
        <v>28</v>
      </c>
      <c r="R427" t="s">
        <v>29</v>
      </c>
      <c r="S427">
        <v>2026</v>
      </c>
      <c r="T427" t="s">
        <v>2757</v>
      </c>
      <c r="U427" t="s">
        <v>2758</v>
      </c>
      <c r="V427" s="4">
        <v>0</v>
      </c>
      <c r="W427" s="4">
        <v>1</v>
      </c>
    </row>
    <row r="428" spans="1:23">
      <c r="A428" t="s">
        <v>556</v>
      </c>
      <c r="B428" s="2">
        <v>45888</v>
      </c>
      <c r="C428" t="s">
        <v>104</v>
      </c>
      <c r="D428" t="s">
        <v>105</v>
      </c>
      <c r="E428" t="s">
        <v>112</v>
      </c>
      <c r="F428" t="s">
        <v>49</v>
      </c>
      <c r="G428" t="s">
        <v>68</v>
      </c>
      <c r="H428" t="s">
        <v>69</v>
      </c>
      <c r="I428">
        <v>1</v>
      </c>
      <c r="J428" s="3">
        <v>46353.75</v>
      </c>
      <c r="K428" s="3">
        <v>46353.75</v>
      </c>
      <c r="L428" t="s">
        <v>25</v>
      </c>
      <c r="M428" s="2">
        <v>45900</v>
      </c>
      <c r="N428" s="2">
        <v>45900</v>
      </c>
      <c r="O428" t="s">
        <v>76</v>
      </c>
      <c r="P428" t="s">
        <v>115</v>
      </c>
      <c r="Q428" t="s">
        <v>28</v>
      </c>
      <c r="R428" t="s">
        <v>29</v>
      </c>
      <c r="S428">
        <v>2025</v>
      </c>
      <c r="T428" t="s">
        <v>2761</v>
      </c>
      <c r="U428" t="s">
        <v>2762</v>
      </c>
      <c r="V428" s="4">
        <v>0</v>
      </c>
      <c r="W428" s="4">
        <v>1</v>
      </c>
    </row>
    <row r="429" spans="1:23">
      <c r="A429" t="s">
        <v>557</v>
      </c>
      <c r="B429" s="2">
        <v>45725</v>
      </c>
      <c r="C429" t="s">
        <v>142</v>
      </c>
      <c r="D429" t="s">
        <v>143</v>
      </c>
      <c r="E429" t="s">
        <v>112</v>
      </c>
      <c r="F429" t="s">
        <v>22</v>
      </c>
      <c r="G429" t="s">
        <v>23</v>
      </c>
      <c r="H429" t="s">
        <v>24</v>
      </c>
      <c r="I429">
        <v>9</v>
      </c>
      <c r="J429" s="3">
        <v>253.49</v>
      </c>
      <c r="K429" s="3">
        <v>2281.41</v>
      </c>
      <c r="L429" t="s">
        <v>34</v>
      </c>
      <c r="M429" s="2">
        <v>45731</v>
      </c>
      <c r="N429" s="2">
        <v>45731</v>
      </c>
      <c r="O429" t="s">
        <v>60</v>
      </c>
      <c r="P429" t="s">
        <v>115</v>
      </c>
      <c r="Q429" t="s">
        <v>28</v>
      </c>
      <c r="R429" t="s">
        <v>29</v>
      </c>
      <c r="S429">
        <v>2025</v>
      </c>
      <c r="T429" t="s">
        <v>2747</v>
      </c>
      <c r="U429" t="s">
        <v>2748</v>
      </c>
      <c r="V429" s="4">
        <v>0</v>
      </c>
      <c r="W429" s="4">
        <v>1</v>
      </c>
    </row>
    <row r="430" spans="1:23">
      <c r="A430" t="s">
        <v>558</v>
      </c>
      <c r="B430" s="2">
        <v>45867</v>
      </c>
      <c r="C430" t="s">
        <v>131</v>
      </c>
      <c r="D430" t="s">
        <v>132</v>
      </c>
      <c r="E430" t="s">
        <v>31</v>
      </c>
      <c r="F430" t="s">
        <v>57</v>
      </c>
      <c r="G430" t="s">
        <v>74</v>
      </c>
      <c r="H430" t="s">
        <v>75</v>
      </c>
      <c r="I430">
        <v>3</v>
      </c>
      <c r="J430" s="3">
        <v>9157.24</v>
      </c>
      <c r="K430" s="3">
        <v>27471.72</v>
      </c>
      <c r="L430" t="s">
        <v>34</v>
      </c>
      <c r="M430" s="2">
        <v>45879</v>
      </c>
      <c r="N430" s="2">
        <v>45876</v>
      </c>
      <c r="O430" t="s">
        <v>43</v>
      </c>
      <c r="P430" t="s">
        <v>35</v>
      </c>
      <c r="Q430" t="s">
        <v>28</v>
      </c>
      <c r="R430" t="s">
        <v>29</v>
      </c>
      <c r="S430">
        <v>2025</v>
      </c>
      <c r="T430" t="s">
        <v>2759</v>
      </c>
      <c r="U430" t="s">
        <v>2760</v>
      </c>
      <c r="V430" s="4">
        <v>0</v>
      </c>
      <c r="W430" s="4">
        <v>1</v>
      </c>
    </row>
    <row r="431" spans="1:23">
      <c r="A431" t="s">
        <v>559</v>
      </c>
      <c r="B431" s="2">
        <v>45851</v>
      </c>
      <c r="C431" t="s">
        <v>19</v>
      </c>
      <c r="D431" t="s">
        <v>20</v>
      </c>
      <c r="E431" t="s">
        <v>112</v>
      </c>
      <c r="F431" t="s">
        <v>22</v>
      </c>
      <c r="G431" t="s">
        <v>32</v>
      </c>
      <c r="H431" t="s">
        <v>33</v>
      </c>
      <c r="I431">
        <v>6</v>
      </c>
      <c r="J431" s="3">
        <v>7666.57</v>
      </c>
      <c r="K431" s="3">
        <v>45999.42</v>
      </c>
      <c r="L431" t="s">
        <v>25</v>
      </c>
      <c r="M431" s="2">
        <v>45866</v>
      </c>
      <c r="N431" s="2">
        <v>45864</v>
      </c>
      <c r="O431" t="s">
        <v>60</v>
      </c>
      <c r="P431" t="s">
        <v>115</v>
      </c>
      <c r="Q431" t="s">
        <v>28</v>
      </c>
      <c r="R431" t="s">
        <v>29</v>
      </c>
      <c r="S431">
        <v>2025</v>
      </c>
      <c r="T431" t="s">
        <v>2759</v>
      </c>
      <c r="U431" t="s">
        <v>2760</v>
      </c>
      <c r="V431" s="4">
        <v>0</v>
      </c>
      <c r="W431" s="4">
        <v>1</v>
      </c>
    </row>
    <row r="432" spans="1:23">
      <c r="A432" t="s">
        <v>560</v>
      </c>
      <c r="B432" s="2">
        <v>45969</v>
      </c>
      <c r="C432" t="s">
        <v>147</v>
      </c>
      <c r="D432" t="s">
        <v>148</v>
      </c>
      <c r="E432" t="s">
        <v>112</v>
      </c>
      <c r="F432" t="s">
        <v>40</v>
      </c>
      <c r="G432" t="s">
        <v>149</v>
      </c>
      <c r="H432" t="s">
        <v>150</v>
      </c>
      <c r="I432">
        <v>28</v>
      </c>
      <c r="J432" s="3">
        <v>1270.6099999999999</v>
      </c>
      <c r="K432" s="3">
        <v>35577.08</v>
      </c>
      <c r="L432" t="s">
        <v>25</v>
      </c>
      <c r="M432" s="2">
        <v>45978</v>
      </c>
      <c r="N432" s="2">
        <v>45978</v>
      </c>
      <c r="O432" t="s">
        <v>76</v>
      </c>
      <c r="P432" t="s">
        <v>115</v>
      </c>
      <c r="Q432" t="s">
        <v>28</v>
      </c>
      <c r="R432" t="s">
        <v>29</v>
      </c>
      <c r="S432">
        <v>2025</v>
      </c>
      <c r="T432" t="s">
        <v>2763</v>
      </c>
      <c r="U432" t="s">
        <v>2764</v>
      </c>
      <c r="V432" s="4">
        <v>0</v>
      </c>
      <c r="W432" s="4">
        <v>1</v>
      </c>
    </row>
    <row r="433" spans="1:23">
      <c r="A433" t="s">
        <v>561</v>
      </c>
      <c r="B433" s="2">
        <v>45828</v>
      </c>
      <c r="C433" t="s">
        <v>96</v>
      </c>
      <c r="D433" t="s">
        <v>97</v>
      </c>
      <c r="E433" t="s">
        <v>39</v>
      </c>
      <c r="F433" t="s">
        <v>82</v>
      </c>
      <c r="G433" t="s">
        <v>98</v>
      </c>
      <c r="H433" t="s">
        <v>99</v>
      </c>
      <c r="I433">
        <v>50</v>
      </c>
      <c r="J433" s="3">
        <v>1133.3699999999999</v>
      </c>
      <c r="K433" s="3">
        <v>56668.5</v>
      </c>
      <c r="L433" t="s">
        <v>25</v>
      </c>
      <c r="M433" s="2">
        <v>45844</v>
      </c>
      <c r="N433" s="2">
        <v>45843</v>
      </c>
      <c r="O433" t="s">
        <v>43</v>
      </c>
      <c r="P433" t="s">
        <v>64</v>
      </c>
      <c r="Q433" t="s">
        <v>28</v>
      </c>
      <c r="R433" t="s">
        <v>29</v>
      </c>
      <c r="S433">
        <v>2025</v>
      </c>
      <c r="T433" t="s">
        <v>2743</v>
      </c>
      <c r="U433" t="s">
        <v>2756</v>
      </c>
      <c r="V433" s="4">
        <v>0</v>
      </c>
      <c r="W433" s="4">
        <v>1</v>
      </c>
    </row>
    <row r="434" spans="1:23">
      <c r="A434" t="s">
        <v>562</v>
      </c>
      <c r="B434" s="2">
        <v>45982</v>
      </c>
      <c r="C434" t="s">
        <v>104</v>
      </c>
      <c r="D434" t="s">
        <v>105</v>
      </c>
      <c r="E434" t="s">
        <v>73</v>
      </c>
      <c r="F434" t="s">
        <v>49</v>
      </c>
      <c r="G434" t="s">
        <v>50</v>
      </c>
      <c r="H434" t="s">
        <v>51</v>
      </c>
      <c r="I434">
        <v>1</v>
      </c>
      <c r="J434" s="3">
        <v>53229.39</v>
      </c>
      <c r="K434" s="3">
        <v>53229.39</v>
      </c>
      <c r="L434" t="s">
        <v>25</v>
      </c>
      <c r="M434" s="2">
        <v>45992</v>
      </c>
      <c r="N434" s="2">
        <v>45989</v>
      </c>
      <c r="O434" t="s">
        <v>26</v>
      </c>
      <c r="P434" t="s">
        <v>77</v>
      </c>
      <c r="Q434" t="s">
        <v>28</v>
      </c>
      <c r="R434" t="s">
        <v>29</v>
      </c>
      <c r="S434">
        <v>2025</v>
      </c>
      <c r="T434" t="s">
        <v>2763</v>
      </c>
      <c r="U434" t="s">
        <v>2764</v>
      </c>
      <c r="V434" s="4">
        <v>0</v>
      </c>
      <c r="W434" s="4">
        <v>1</v>
      </c>
    </row>
    <row r="435" spans="1:23">
      <c r="A435" t="s">
        <v>563</v>
      </c>
      <c r="B435" s="2">
        <v>45985</v>
      </c>
      <c r="C435" t="s">
        <v>46</v>
      </c>
      <c r="D435" t="s">
        <v>47</v>
      </c>
      <c r="E435" t="s">
        <v>112</v>
      </c>
      <c r="F435" t="s">
        <v>49</v>
      </c>
      <c r="G435" t="s">
        <v>165</v>
      </c>
      <c r="H435" t="s">
        <v>166</v>
      </c>
      <c r="I435">
        <v>1</v>
      </c>
      <c r="J435" s="3">
        <v>47060.83</v>
      </c>
      <c r="K435" s="3">
        <v>47060.83</v>
      </c>
      <c r="L435" t="s">
        <v>34</v>
      </c>
      <c r="M435" s="2">
        <v>46002</v>
      </c>
      <c r="N435" s="2">
        <v>46001</v>
      </c>
      <c r="O435" t="s">
        <v>60</v>
      </c>
      <c r="P435" t="s">
        <v>115</v>
      </c>
      <c r="Q435" t="s">
        <v>28</v>
      </c>
      <c r="R435" t="s">
        <v>29</v>
      </c>
      <c r="S435">
        <v>2025</v>
      </c>
      <c r="T435" t="s">
        <v>2763</v>
      </c>
      <c r="U435" t="s">
        <v>2764</v>
      </c>
      <c r="V435" s="4">
        <v>0</v>
      </c>
      <c r="W435" s="4">
        <v>1</v>
      </c>
    </row>
    <row r="436" spans="1:23">
      <c r="A436" t="s">
        <v>564</v>
      </c>
      <c r="B436" s="2">
        <v>45699</v>
      </c>
      <c r="C436" t="s">
        <v>71</v>
      </c>
      <c r="D436" t="s">
        <v>72</v>
      </c>
      <c r="E436" t="s">
        <v>31</v>
      </c>
      <c r="F436" t="s">
        <v>57</v>
      </c>
      <c r="G436" t="s">
        <v>101</v>
      </c>
      <c r="H436" t="s">
        <v>102</v>
      </c>
      <c r="I436">
        <v>33</v>
      </c>
      <c r="J436" s="3">
        <v>1743.57</v>
      </c>
      <c r="K436" s="3">
        <v>57537.81</v>
      </c>
      <c r="L436" t="s">
        <v>34</v>
      </c>
      <c r="M436" s="2">
        <v>45709</v>
      </c>
      <c r="N436" s="2">
        <v>45711</v>
      </c>
      <c r="O436" t="s">
        <v>26</v>
      </c>
      <c r="P436" t="s">
        <v>94</v>
      </c>
      <c r="Q436" t="s">
        <v>28</v>
      </c>
      <c r="R436" t="s">
        <v>129</v>
      </c>
      <c r="S436">
        <v>2025</v>
      </c>
      <c r="T436" t="s">
        <v>2751</v>
      </c>
      <c r="U436" t="s">
        <v>2752</v>
      </c>
      <c r="V436" s="4">
        <v>2</v>
      </c>
      <c r="W436" s="4">
        <v>0</v>
      </c>
    </row>
    <row r="437" spans="1:23">
      <c r="A437" t="s">
        <v>565</v>
      </c>
      <c r="B437" s="2">
        <v>45942</v>
      </c>
      <c r="C437" t="s">
        <v>147</v>
      </c>
      <c r="D437" t="s">
        <v>148</v>
      </c>
      <c r="E437" t="s">
        <v>39</v>
      </c>
      <c r="F437" t="s">
        <v>40</v>
      </c>
      <c r="G437" t="s">
        <v>41</v>
      </c>
      <c r="H437" t="s">
        <v>42</v>
      </c>
      <c r="I437">
        <v>8</v>
      </c>
      <c r="J437" s="3">
        <v>5160.66</v>
      </c>
      <c r="K437" s="3">
        <v>41285.279999999999</v>
      </c>
      <c r="L437" t="s">
        <v>52</v>
      </c>
      <c r="M437" s="2">
        <v>45952</v>
      </c>
      <c r="N437" s="2">
        <v>45952</v>
      </c>
      <c r="O437" t="s">
        <v>76</v>
      </c>
      <c r="P437" t="s">
        <v>44</v>
      </c>
      <c r="Q437" t="s">
        <v>28</v>
      </c>
      <c r="R437" t="s">
        <v>29</v>
      </c>
      <c r="S437">
        <v>2025</v>
      </c>
      <c r="T437" t="s">
        <v>2749</v>
      </c>
      <c r="U437" t="s">
        <v>2750</v>
      </c>
      <c r="V437" s="4">
        <v>0</v>
      </c>
      <c r="W437" s="4">
        <v>1</v>
      </c>
    </row>
    <row r="438" spans="1:23">
      <c r="A438" t="s">
        <v>566</v>
      </c>
      <c r="B438" s="2">
        <v>46095</v>
      </c>
      <c r="C438" t="s">
        <v>104</v>
      </c>
      <c r="D438" t="s">
        <v>105</v>
      </c>
      <c r="E438" t="s">
        <v>73</v>
      </c>
      <c r="F438" t="s">
        <v>49</v>
      </c>
      <c r="G438" t="s">
        <v>165</v>
      </c>
      <c r="H438" t="s">
        <v>166</v>
      </c>
      <c r="I438">
        <v>3</v>
      </c>
      <c r="J438" s="3">
        <v>47158.97</v>
      </c>
      <c r="K438" s="3">
        <v>141476.91</v>
      </c>
      <c r="L438" t="s">
        <v>34</v>
      </c>
      <c r="M438" s="2">
        <v>46101</v>
      </c>
      <c r="N438" s="2">
        <v>46098</v>
      </c>
      <c r="O438" t="s">
        <v>60</v>
      </c>
      <c r="P438" t="s">
        <v>77</v>
      </c>
      <c r="Q438" t="s">
        <v>28</v>
      </c>
      <c r="R438" t="s">
        <v>29</v>
      </c>
      <c r="S438">
        <v>2026</v>
      </c>
      <c r="T438" t="s">
        <v>2747</v>
      </c>
      <c r="U438" t="s">
        <v>2755</v>
      </c>
      <c r="V438" s="4">
        <v>0</v>
      </c>
      <c r="W438" s="4">
        <v>1</v>
      </c>
    </row>
    <row r="439" spans="1:23">
      <c r="A439" t="s">
        <v>567</v>
      </c>
      <c r="B439" s="2">
        <v>45953</v>
      </c>
      <c r="C439" t="s">
        <v>104</v>
      </c>
      <c r="D439" t="s">
        <v>105</v>
      </c>
      <c r="E439" t="s">
        <v>48</v>
      </c>
      <c r="F439" t="s">
        <v>49</v>
      </c>
      <c r="G439" t="s">
        <v>68</v>
      </c>
      <c r="H439" t="s">
        <v>69</v>
      </c>
      <c r="I439">
        <v>1</v>
      </c>
      <c r="J439" s="3">
        <v>48616.62</v>
      </c>
      <c r="K439" s="3">
        <v>48616.62</v>
      </c>
      <c r="L439" t="s">
        <v>52</v>
      </c>
      <c r="M439" s="2">
        <v>45960</v>
      </c>
      <c r="N439" s="2">
        <v>45957</v>
      </c>
      <c r="O439" t="s">
        <v>76</v>
      </c>
      <c r="P439" t="s">
        <v>53</v>
      </c>
      <c r="Q439" t="s">
        <v>28</v>
      </c>
      <c r="R439" t="s">
        <v>29</v>
      </c>
      <c r="S439">
        <v>2025</v>
      </c>
      <c r="T439" t="s">
        <v>2749</v>
      </c>
      <c r="U439" t="s">
        <v>2750</v>
      </c>
      <c r="V439" s="4">
        <v>0</v>
      </c>
      <c r="W439" s="4">
        <v>1</v>
      </c>
    </row>
    <row r="440" spans="1:23">
      <c r="A440" t="s">
        <v>568</v>
      </c>
      <c r="B440" s="2">
        <v>46042</v>
      </c>
      <c r="C440" t="s">
        <v>104</v>
      </c>
      <c r="D440" t="s">
        <v>105</v>
      </c>
      <c r="E440" t="s">
        <v>73</v>
      </c>
      <c r="F440" t="s">
        <v>49</v>
      </c>
      <c r="G440" t="s">
        <v>68</v>
      </c>
      <c r="H440" t="s">
        <v>69</v>
      </c>
      <c r="I440">
        <v>3</v>
      </c>
      <c r="J440" s="3">
        <v>48076.36</v>
      </c>
      <c r="K440" s="3">
        <v>144229.07999999999</v>
      </c>
      <c r="L440" t="s">
        <v>25</v>
      </c>
      <c r="M440" s="2">
        <v>46059</v>
      </c>
      <c r="N440" s="2">
        <v>46058</v>
      </c>
      <c r="O440" t="s">
        <v>60</v>
      </c>
      <c r="P440" t="s">
        <v>77</v>
      </c>
      <c r="Q440" t="s">
        <v>28</v>
      </c>
      <c r="R440" t="s">
        <v>29</v>
      </c>
      <c r="S440">
        <v>2026</v>
      </c>
      <c r="T440" t="s">
        <v>2757</v>
      </c>
      <c r="U440" t="s">
        <v>2758</v>
      </c>
      <c r="V440" s="4">
        <v>0</v>
      </c>
      <c r="W440" s="4">
        <v>1</v>
      </c>
    </row>
    <row r="441" spans="1:23">
      <c r="A441" t="s">
        <v>569</v>
      </c>
      <c r="B441" s="2">
        <v>46160</v>
      </c>
      <c r="C441" t="s">
        <v>46</v>
      </c>
      <c r="D441" t="s">
        <v>47</v>
      </c>
      <c r="E441" t="s">
        <v>48</v>
      </c>
      <c r="F441" t="s">
        <v>49</v>
      </c>
      <c r="G441" t="s">
        <v>68</v>
      </c>
      <c r="H441" t="s">
        <v>69</v>
      </c>
      <c r="I441">
        <v>1</v>
      </c>
      <c r="J441" s="3">
        <v>50967.040000000001</v>
      </c>
      <c r="K441" s="3">
        <v>50967.040000000001</v>
      </c>
      <c r="L441" t="s">
        <v>25</v>
      </c>
      <c r="M441" s="2">
        <v>46177</v>
      </c>
      <c r="N441" s="2">
        <v>46183</v>
      </c>
      <c r="O441" t="s">
        <v>60</v>
      </c>
      <c r="P441" t="s">
        <v>53</v>
      </c>
      <c r="Q441" t="s">
        <v>28</v>
      </c>
      <c r="R441" t="s">
        <v>129</v>
      </c>
      <c r="S441">
        <v>2026</v>
      </c>
      <c r="T441" t="s">
        <v>2766</v>
      </c>
      <c r="U441" t="s">
        <v>2769</v>
      </c>
      <c r="V441" s="4">
        <v>6</v>
      </c>
      <c r="W441" s="4">
        <v>0</v>
      </c>
    </row>
    <row r="442" spans="1:23">
      <c r="A442" t="s">
        <v>570</v>
      </c>
      <c r="B442" s="2">
        <v>45952</v>
      </c>
      <c r="C442" t="s">
        <v>142</v>
      </c>
      <c r="D442" t="s">
        <v>143</v>
      </c>
      <c r="E442" t="s">
        <v>31</v>
      </c>
      <c r="F442" t="s">
        <v>22</v>
      </c>
      <c r="G442" t="s">
        <v>32</v>
      </c>
      <c r="H442" t="s">
        <v>33</v>
      </c>
      <c r="I442">
        <v>5</v>
      </c>
      <c r="J442" s="3">
        <v>7571.79</v>
      </c>
      <c r="K442" s="3">
        <v>37858.949999999997</v>
      </c>
      <c r="L442" t="s">
        <v>34</v>
      </c>
      <c r="M442" s="2">
        <v>45964</v>
      </c>
      <c r="N442" s="2">
        <v>45964</v>
      </c>
      <c r="O442" t="s">
        <v>76</v>
      </c>
      <c r="P442" t="s">
        <v>35</v>
      </c>
      <c r="Q442" t="s">
        <v>28</v>
      </c>
      <c r="R442" t="s">
        <v>29</v>
      </c>
      <c r="S442">
        <v>2025</v>
      </c>
      <c r="T442" t="s">
        <v>2749</v>
      </c>
      <c r="U442" t="s">
        <v>2750</v>
      </c>
      <c r="V442" s="4">
        <v>0</v>
      </c>
      <c r="W442" s="4">
        <v>1</v>
      </c>
    </row>
    <row r="443" spans="1:23">
      <c r="A443" t="s">
        <v>571</v>
      </c>
      <c r="B443" s="2">
        <v>45780</v>
      </c>
      <c r="C443" t="s">
        <v>117</v>
      </c>
      <c r="D443" t="s">
        <v>118</v>
      </c>
      <c r="E443" t="s">
        <v>48</v>
      </c>
      <c r="F443" t="s">
        <v>57</v>
      </c>
      <c r="G443" t="s">
        <v>58</v>
      </c>
      <c r="H443" t="s">
        <v>59</v>
      </c>
      <c r="I443">
        <v>6</v>
      </c>
      <c r="J443" s="3">
        <v>55338.7</v>
      </c>
      <c r="K443" s="3">
        <v>332032.2</v>
      </c>
      <c r="L443" t="s">
        <v>25</v>
      </c>
      <c r="M443" s="2">
        <v>45792</v>
      </c>
      <c r="N443" s="2">
        <v>45791</v>
      </c>
      <c r="O443" t="s">
        <v>43</v>
      </c>
      <c r="P443" t="s">
        <v>53</v>
      </c>
      <c r="Q443" t="s">
        <v>28</v>
      </c>
      <c r="R443" t="s">
        <v>29</v>
      </c>
      <c r="S443">
        <v>2025</v>
      </c>
      <c r="T443" t="s">
        <v>2766</v>
      </c>
      <c r="U443" t="s">
        <v>2767</v>
      </c>
      <c r="V443" s="4">
        <v>0</v>
      </c>
      <c r="W443" s="4">
        <v>1</v>
      </c>
    </row>
    <row r="444" spans="1:23">
      <c r="A444" t="s">
        <v>572</v>
      </c>
      <c r="B444" s="2">
        <v>46027</v>
      </c>
      <c r="C444" t="s">
        <v>37</v>
      </c>
      <c r="D444" t="s">
        <v>38</v>
      </c>
      <c r="E444" t="s">
        <v>112</v>
      </c>
      <c r="F444" t="s">
        <v>40</v>
      </c>
      <c r="G444" t="s">
        <v>41</v>
      </c>
      <c r="H444" t="s">
        <v>42</v>
      </c>
      <c r="I444">
        <v>15</v>
      </c>
      <c r="J444" s="3">
        <v>5822.29</v>
      </c>
      <c r="K444" s="3">
        <v>87334.35</v>
      </c>
      <c r="L444" t="s">
        <v>34</v>
      </c>
      <c r="M444" s="2">
        <v>46033</v>
      </c>
      <c r="N444" s="2">
        <v>46032</v>
      </c>
      <c r="O444" t="s">
        <v>26</v>
      </c>
      <c r="P444" t="s">
        <v>115</v>
      </c>
      <c r="Q444" t="s">
        <v>28</v>
      </c>
      <c r="R444" t="s">
        <v>29</v>
      </c>
      <c r="S444">
        <v>2026</v>
      </c>
      <c r="T444" t="s">
        <v>2757</v>
      </c>
      <c r="U444" t="s">
        <v>2758</v>
      </c>
      <c r="V444" s="4">
        <v>0</v>
      </c>
      <c r="W444" s="4">
        <v>1</v>
      </c>
    </row>
    <row r="445" spans="1:23">
      <c r="A445" t="s">
        <v>573</v>
      </c>
      <c r="B445" s="2">
        <v>45966</v>
      </c>
      <c r="C445" t="s">
        <v>46</v>
      </c>
      <c r="D445" t="s">
        <v>47</v>
      </c>
      <c r="E445" t="s">
        <v>48</v>
      </c>
      <c r="F445" t="s">
        <v>49</v>
      </c>
      <c r="G445" t="s">
        <v>113</v>
      </c>
      <c r="H445" t="s">
        <v>114</v>
      </c>
      <c r="I445">
        <v>1</v>
      </c>
      <c r="J445" s="3">
        <v>39943.53</v>
      </c>
      <c r="K445" s="3">
        <v>39943.53</v>
      </c>
      <c r="L445" t="s">
        <v>25</v>
      </c>
      <c r="M445" s="2">
        <v>45971</v>
      </c>
      <c r="N445" s="2">
        <v>45969</v>
      </c>
      <c r="O445" t="s">
        <v>60</v>
      </c>
      <c r="P445" t="s">
        <v>53</v>
      </c>
      <c r="Q445" t="s">
        <v>28</v>
      </c>
      <c r="R445" t="s">
        <v>29</v>
      </c>
      <c r="S445">
        <v>2025</v>
      </c>
      <c r="T445" t="s">
        <v>2763</v>
      </c>
      <c r="U445" t="s">
        <v>2764</v>
      </c>
      <c r="V445" s="4">
        <v>0</v>
      </c>
      <c r="W445" s="4">
        <v>1</v>
      </c>
    </row>
    <row r="446" spans="1:23">
      <c r="A446" t="s">
        <v>574</v>
      </c>
      <c r="B446" s="2">
        <v>45824</v>
      </c>
      <c r="C446" t="s">
        <v>37</v>
      </c>
      <c r="D446" t="s">
        <v>38</v>
      </c>
      <c r="E446" t="s">
        <v>39</v>
      </c>
      <c r="F446" t="s">
        <v>22</v>
      </c>
      <c r="G446" t="s">
        <v>23</v>
      </c>
      <c r="H446" t="s">
        <v>24</v>
      </c>
      <c r="I446">
        <v>49</v>
      </c>
      <c r="J446" s="3">
        <v>264.83999999999997</v>
      </c>
      <c r="K446" s="3">
        <v>12977.16</v>
      </c>
      <c r="L446" t="s">
        <v>25</v>
      </c>
      <c r="M446" s="2">
        <v>45842</v>
      </c>
      <c r="N446" s="2">
        <v>45842</v>
      </c>
      <c r="O446" t="s">
        <v>43</v>
      </c>
      <c r="P446" t="s">
        <v>64</v>
      </c>
      <c r="Q446" t="s">
        <v>28</v>
      </c>
      <c r="R446" t="s">
        <v>29</v>
      </c>
      <c r="S446">
        <v>2025</v>
      </c>
      <c r="T446" t="s">
        <v>2743</v>
      </c>
      <c r="U446" t="s">
        <v>2756</v>
      </c>
      <c r="V446" s="4">
        <v>0</v>
      </c>
      <c r="W446" s="4">
        <v>1</v>
      </c>
    </row>
    <row r="447" spans="1:23">
      <c r="A447" t="s">
        <v>575</v>
      </c>
      <c r="B447" s="2">
        <v>46149</v>
      </c>
      <c r="C447" t="s">
        <v>131</v>
      </c>
      <c r="D447" t="s">
        <v>132</v>
      </c>
      <c r="E447" t="s">
        <v>48</v>
      </c>
      <c r="F447" t="s">
        <v>57</v>
      </c>
      <c r="G447" t="s">
        <v>74</v>
      </c>
      <c r="H447" t="s">
        <v>75</v>
      </c>
      <c r="I447">
        <v>13</v>
      </c>
      <c r="J447" s="3">
        <v>9203.17</v>
      </c>
      <c r="K447" s="3">
        <v>119641.21</v>
      </c>
      <c r="L447" t="s">
        <v>25</v>
      </c>
      <c r="M447" s="2">
        <v>46159</v>
      </c>
      <c r="N447" s="2">
        <v>46157</v>
      </c>
      <c r="O447" t="s">
        <v>43</v>
      </c>
      <c r="P447" t="s">
        <v>53</v>
      </c>
      <c r="Q447" t="s">
        <v>28</v>
      </c>
      <c r="R447" t="s">
        <v>29</v>
      </c>
      <c r="S447">
        <v>2026</v>
      </c>
      <c r="T447" t="s">
        <v>2766</v>
      </c>
      <c r="U447" t="s">
        <v>2769</v>
      </c>
      <c r="V447" s="4">
        <v>0</v>
      </c>
      <c r="W447" s="4">
        <v>1</v>
      </c>
    </row>
    <row r="448" spans="1:23">
      <c r="A448" t="s">
        <v>576</v>
      </c>
      <c r="B448" s="2">
        <v>45972</v>
      </c>
      <c r="C448" t="s">
        <v>19</v>
      </c>
      <c r="D448" t="s">
        <v>20</v>
      </c>
      <c r="E448" t="s">
        <v>39</v>
      </c>
      <c r="F448" t="s">
        <v>22</v>
      </c>
      <c r="G448" t="s">
        <v>160</v>
      </c>
      <c r="H448" t="s">
        <v>161</v>
      </c>
      <c r="I448">
        <v>2</v>
      </c>
      <c r="J448" s="3">
        <v>3019.03</v>
      </c>
      <c r="K448" s="3">
        <v>6038.06</v>
      </c>
      <c r="L448" t="s">
        <v>25</v>
      </c>
      <c r="M448" s="2">
        <v>45977</v>
      </c>
      <c r="N448" s="2">
        <v>45974</v>
      </c>
      <c r="O448" t="s">
        <v>43</v>
      </c>
      <c r="P448" t="s">
        <v>64</v>
      </c>
      <c r="Q448" t="s">
        <v>28</v>
      </c>
      <c r="R448" t="s">
        <v>29</v>
      </c>
      <c r="S448">
        <v>2025</v>
      </c>
      <c r="T448" t="s">
        <v>2763</v>
      </c>
      <c r="U448" t="s">
        <v>2764</v>
      </c>
      <c r="V448" s="4">
        <v>0</v>
      </c>
      <c r="W448" s="4">
        <v>1</v>
      </c>
    </row>
    <row r="449" spans="1:23">
      <c r="A449" t="s">
        <v>577</v>
      </c>
      <c r="B449" s="2">
        <v>46183</v>
      </c>
      <c r="C449" t="s">
        <v>104</v>
      </c>
      <c r="D449" t="s">
        <v>105</v>
      </c>
      <c r="E449" t="s">
        <v>73</v>
      </c>
      <c r="F449" t="s">
        <v>49</v>
      </c>
      <c r="G449" t="s">
        <v>113</v>
      </c>
      <c r="H449" t="s">
        <v>114</v>
      </c>
      <c r="I449">
        <v>1</v>
      </c>
      <c r="J449" s="3">
        <v>38763.15</v>
      </c>
      <c r="K449" s="3">
        <v>38763.15</v>
      </c>
      <c r="L449" t="s">
        <v>34</v>
      </c>
      <c r="M449" s="2">
        <v>46200</v>
      </c>
      <c r="N449" s="2">
        <v>46199</v>
      </c>
      <c r="O449" t="s">
        <v>26</v>
      </c>
      <c r="P449" t="s">
        <v>77</v>
      </c>
      <c r="Q449" t="s">
        <v>28</v>
      </c>
      <c r="R449" t="s">
        <v>29</v>
      </c>
      <c r="S449">
        <v>2026</v>
      </c>
      <c r="T449" t="s">
        <v>2743</v>
      </c>
      <c r="U449" t="s">
        <v>2744</v>
      </c>
      <c r="V449" s="4">
        <v>0</v>
      </c>
      <c r="W449" s="4">
        <v>1</v>
      </c>
    </row>
    <row r="450" spans="1:23">
      <c r="A450" t="s">
        <v>578</v>
      </c>
      <c r="B450" s="2">
        <v>46017</v>
      </c>
      <c r="C450" t="s">
        <v>80</v>
      </c>
      <c r="D450" t="s">
        <v>81</v>
      </c>
      <c r="E450" t="s">
        <v>39</v>
      </c>
      <c r="F450" t="s">
        <v>82</v>
      </c>
      <c r="G450" t="s">
        <v>98</v>
      </c>
      <c r="H450" t="s">
        <v>99</v>
      </c>
      <c r="I450">
        <v>15</v>
      </c>
      <c r="J450" s="3">
        <v>1083</v>
      </c>
      <c r="K450" s="3">
        <v>16245</v>
      </c>
      <c r="L450" t="s">
        <v>25</v>
      </c>
      <c r="M450" s="2">
        <v>46035</v>
      </c>
      <c r="N450" s="2">
        <v>46034</v>
      </c>
      <c r="O450" t="s">
        <v>43</v>
      </c>
      <c r="P450" t="s">
        <v>64</v>
      </c>
      <c r="Q450" t="s">
        <v>28</v>
      </c>
      <c r="R450" t="s">
        <v>29</v>
      </c>
      <c r="S450">
        <v>2025</v>
      </c>
      <c r="T450" t="s">
        <v>2745</v>
      </c>
      <c r="U450" t="s">
        <v>2746</v>
      </c>
      <c r="V450" s="4">
        <v>0</v>
      </c>
      <c r="W450" s="4">
        <v>1</v>
      </c>
    </row>
    <row r="451" spans="1:23">
      <c r="A451" t="s">
        <v>579</v>
      </c>
      <c r="B451" s="2">
        <v>45672</v>
      </c>
      <c r="C451" t="s">
        <v>66</v>
      </c>
      <c r="D451" t="s">
        <v>67</v>
      </c>
      <c r="E451" t="s">
        <v>48</v>
      </c>
      <c r="F451" t="s">
        <v>49</v>
      </c>
      <c r="G451" t="s">
        <v>50</v>
      </c>
      <c r="H451" t="s">
        <v>51</v>
      </c>
      <c r="I451">
        <v>1</v>
      </c>
      <c r="J451" s="3">
        <v>50860.74</v>
      </c>
      <c r="K451" s="3">
        <v>50860.74</v>
      </c>
      <c r="L451" t="s">
        <v>25</v>
      </c>
      <c r="M451" s="2">
        <v>45680</v>
      </c>
      <c r="N451" s="2">
        <v>45677</v>
      </c>
      <c r="O451" t="s">
        <v>26</v>
      </c>
      <c r="P451" t="s">
        <v>53</v>
      </c>
      <c r="Q451" t="s">
        <v>28</v>
      </c>
      <c r="R451" t="s">
        <v>29</v>
      </c>
      <c r="S451">
        <v>2025</v>
      </c>
      <c r="T451" t="s">
        <v>2757</v>
      </c>
      <c r="U451" t="s">
        <v>2768</v>
      </c>
      <c r="V451" s="4">
        <v>0</v>
      </c>
      <c r="W451" s="4">
        <v>1</v>
      </c>
    </row>
    <row r="452" spans="1:23">
      <c r="A452" t="s">
        <v>580</v>
      </c>
      <c r="B452" s="2">
        <v>45767</v>
      </c>
      <c r="C452" t="s">
        <v>104</v>
      </c>
      <c r="D452" t="s">
        <v>105</v>
      </c>
      <c r="E452" t="s">
        <v>21</v>
      </c>
      <c r="F452" t="s">
        <v>49</v>
      </c>
      <c r="G452" t="s">
        <v>68</v>
      </c>
      <c r="H452" t="s">
        <v>69</v>
      </c>
      <c r="I452">
        <v>1</v>
      </c>
      <c r="J452" s="3">
        <v>47063.03</v>
      </c>
      <c r="K452" s="3">
        <v>47063.03</v>
      </c>
      <c r="L452" t="s">
        <v>25</v>
      </c>
      <c r="M452" s="2">
        <v>45784</v>
      </c>
      <c r="N452" s="2">
        <v>45784</v>
      </c>
      <c r="O452" t="s">
        <v>26</v>
      </c>
      <c r="P452" t="s">
        <v>27</v>
      </c>
      <c r="Q452" t="s">
        <v>28</v>
      </c>
      <c r="R452" t="s">
        <v>29</v>
      </c>
      <c r="S452">
        <v>2025</v>
      </c>
      <c r="T452" t="s">
        <v>2741</v>
      </c>
      <c r="U452" t="s">
        <v>2742</v>
      </c>
      <c r="V452" s="4">
        <v>0</v>
      </c>
      <c r="W452" s="4">
        <v>1</v>
      </c>
    </row>
    <row r="453" spans="1:23">
      <c r="A453" t="s">
        <v>581</v>
      </c>
      <c r="B453" s="2">
        <v>45699</v>
      </c>
      <c r="C453" t="s">
        <v>71</v>
      </c>
      <c r="D453" t="s">
        <v>72</v>
      </c>
      <c r="E453" t="s">
        <v>31</v>
      </c>
      <c r="F453" t="s">
        <v>57</v>
      </c>
      <c r="G453" t="s">
        <v>58</v>
      </c>
      <c r="H453" t="s">
        <v>59</v>
      </c>
      <c r="I453">
        <v>8</v>
      </c>
      <c r="J453" s="3">
        <v>54632.72</v>
      </c>
      <c r="K453" s="3">
        <v>437061.76</v>
      </c>
      <c r="L453" t="s">
        <v>52</v>
      </c>
      <c r="M453" s="2">
        <v>45707</v>
      </c>
      <c r="N453" s="2">
        <v>45705</v>
      </c>
      <c r="O453" t="s">
        <v>60</v>
      </c>
      <c r="P453" t="s">
        <v>94</v>
      </c>
      <c r="Q453" t="s">
        <v>28</v>
      </c>
      <c r="R453" t="s">
        <v>29</v>
      </c>
      <c r="S453">
        <v>2025</v>
      </c>
      <c r="T453" t="s">
        <v>2751</v>
      </c>
      <c r="U453" t="s">
        <v>2752</v>
      </c>
      <c r="V453" s="4">
        <v>0</v>
      </c>
      <c r="W453" s="4">
        <v>1</v>
      </c>
    </row>
    <row r="454" spans="1:23">
      <c r="A454" t="s">
        <v>582</v>
      </c>
      <c r="B454" s="2">
        <v>46034</v>
      </c>
      <c r="C454" t="s">
        <v>134</v>
      </c>
      <c r="D454" t="s">
        <v>135</v>
      </c>
      <c r="E454" t="s">
        <v>112</v>
      </c>
      <c r="F454" t="s">
        <v>40</v>
      </c>
      <c r="G454" t="s">
        <v>41</v>
      </c>
      <c r="H454" t="s">
        <v>42</v>
      </c>
      <c r="I454">
        <v>11</v>
      </c>
      <c r="J454" s="3">
        <v>5438.01</v>
      </c>
      <c r="K454" s="3">
        <v>59818.11</v>
      </c>
      <c r="L454" t="s">
        <v>25</v>
      </c>
      <c r="M454" s="2">
        <v>46040</v>
      </c>
      <c r="N454" s="2">
        <v>46037</v>
      </c>
      <c r="O454" t="s">
        <v>43</v>
      </c>
      <c r="P454" t="s">
        <v>115</v>
      </c>
      <c r="Q454" t="s">
        <v>28</v>
      </c>
      <c r="R454" t="s">
        <v>29</v>
      </c>
      <c r="S454">
        <v>2026</v>
      </c>
      <c r="T454" t="s">
        <v>2757</v>
      </c>
      <c r="U454" t="s">
        <v>2758</v>
      </c>
      <c r="V454" s="4">
        <v>0</v>
      </c>
      <c r="W454" s="4">
        <v>1</v>
      </c>
    </row>
    <row r="455" spans="1:23">
      <c r="A455" t="s">
        <v>583</v>
      </c>
      <c r="B455" s="2">
        <v>45724</v>
      </c>
      <c r="C455" t="s">
        <v>37</v>
      </c>
      <c r="D455" t="s">
        <v>38</v>
      </c>
      <c r="E455" t="s">
        <v>39</v>
      </c>
      <c r="F455" t="s">
        <v>22</v>
      </c>
      <c r="G455" t="s">
        <v>32</v>
      </c>
      <c r="H455" t="s">
        <v>33</v>
      </c>
      <c r="I455">
        <v>4</v>
      </c>
      <c r="J455" s="3">
        <v>8315.84</v>
      </c>
      <c r="K455" s="3">
        <v>33263.360000000001</v>
      </c>
      <c r="L455" t="s">
        <v>25</v>
      </c>
      <c r="M455" s="2">
        <v>45742</v>
      </c>
      <c r="N455" s="2">
        <v>45739</v>
      </c>
      <c r="O455" t="s">
        <v>76</v>
      </c>
      <c r="P455" t="s">
        <v>44</v>
      </c>
      <c r="Q455" t="s">
        <v>28</v>
      </c>
      <c r="R455" t="s">
        <v>29</v>
      </c>
      <c r="S455">
        <v>2025</v>
      </c>
      <c r="T455" t="s">
        <v>2747</v>
      </c>
      <c r="U455" t="s">
        <v>2748</v>
      </c>
      <c r="V455" s="4">
        <v>0</v>
      </c>
      <c r="W455" s="4">
        <v>1</v>
      </c>
    </row>
    <row r="456" spans="1:23">
      <c r="A456" t="s">
        <v>584</v>
      </c>
      <c r="B456" s="2">
        <v>46022</v>
      </c>
      <c r="C456" t="s">
        <v>71</v>
      </c>
      <c r="D456" t="s">
        <v>72</v>
      </c>
      <c r="E456" t="s">
        <v>31</v>
      </c>
      <c r="F456" t="s">
        <v>57</v>
      </c>
      <c r="G456" t="s">
        <v>74</v>
      </c>
      <c r="H456" t="s">
        <v>75</v>
      </c>
      <c r="I456">
        <v>8</v>
      </c>
      <c r="J456" s="3">
        <v>7882.46</v>
      </c>
      <c r="K456" s="3">
        <v>63059.68</v>
      </c>
      <c r="L456" t="s">
        <v>25</v>
      </c>
      <c r="M456" s="2">
        <v>46028</v>
      </c>
      <c r="N456" s="2">
        <v>46037</v>
      </c>
      <c r="O456" t="s">
        <v>26</v>
      </c>
      <c r="P456" t="s">
        <v>94</v>
      </c>
      <c r="Q456" t="s">
        <v>28</v>
      </c>
      <c r="R456" t="s">
        <v>129</v>
      </c>
      <c r="S456">
        <v>2025</v>
      </c>
      <c r="T456" t="s">
        <v>2745</v>
      </c>
      <c r="U456" t="s">
        <v>2746</v>
      </c>
      <c r="V456" s="4">
        <v>9</v>
      </c>
      <c r="W456" s="4">
        <v>0</v>
      </c>
    </row>
    <row r="457" spans="1:23">
      <c r="A457" t="s">
        <v>585</v>
      </c>
      <c r="B457" s="2">
        <v>45727</v>
      </c>
      <c r="C457" t="s">
        <v>19</v>
      </c>
      <c r="D457" t="s">
        <v>20</v>
      </c>
      <c r="E457" t="s">
        <v>39</v>
      </c>
      <c r="F457" t="s">
        <v>22</v>
      </c>
      <c r="G457" t="s">
        <v>160</v>
      </c>
      <c r="H457" t="s">
        <v>161</v>
      </c>
      <c r="I457">
        <v>5</v>
      </c>
      <c r="J457" s="3">
        <v>2898.52</v>
      </c>
      <c r="K457" s="3">
        <v>14492.6</v>
      </c>
      <c r="L457" t="s">
        <v>34</v>
      </c>
      <c r="M457" s="2">
        <v>45741</v>
      </c>
      <c r="N457" s="2">
        <v>45741</v>
      </c>
      <c r="O457" t="s">
        <v>60</v>
      </c>
      <c r="P457" t="s">
        <v>44</v>
      </c>
      <c r="Q457" t="s">
        <v>28</v>
      </c>
      <c r="R457" t="s">
        <v>29</v>
      </c>
      <c r="S457">
        <v>2025</v>
      </c>
      <c r="T457" t="s">
        <v>2747</v>
      </c>
      <c r="U457" t="s">
        <v>2748</v>
      </c>
      <c r="V457" s="4">
        <v>0</v>
      </c>
      <c r="W457" s="4">
        <v>1</v>
      </c>
    </row>
    <row r="458" spans="1:23">
      <c r="A458" t="s">
        <v>586</v>
      </c>
      <c r="B458" s="2">
        <v>45864</v>
      </c>
      <c r="C458" t="s">
        <v>19</v>
      </c>
      <c r="D458" t="s">
        <v>20</v>
      </c>
      <c r="E458" t="s">
        <v>31</v>
      </c>
      <c r="F458" t="s">
        <v>22</v>
      </c>
      <c r="G458" t="s">
        <v>160</v>
      </c>
      <c r="H458" t="s">
        <v>161</v>
      </c>
      <c r="I458">
        <v>9</v>
      </c>
      <c r="J458" s="3">
        <v>3025.74</v>
      </c>
      <c r="K458" s="3">
        <v>27231.66</v>
      </c>
      <c r="L458" t="s">
        <v>25</v>
      </c>
      <c r="M458" s="2">
        <v>45877</v>
      </c>
      <c r="N458" s="2">
        <v>45891</v>
      </c>
      <c r="O458" t="s">
        <v>60</v>
      </c>
      <c r="P458" t="s">
        <v>94</v>
      </c>
      <c r="Q458" t="s">
        <v>28</v>
      </c>
      <c r="R458" t="s">
        <v>129</v>
      </c>
      <c r="S458">
        <v>2025</v>
      </c>
      <c r="T458" t="s">
        <v>2759</v>
      </c>
      <c r="U458" t="s">
        <v>2760</v>
      </c>
      <c r="V458" s="4">
        <v>14</v>
      </c>
      <c r="W458" s="4">
        <v>0</v>
      </c>
    </row>
    <row r="459" spans="1:23">
      <c r="A459" t="s">
        <v>587</v>
      </c>
      <c r="B459" s="2">
        <v>46050</v>
      </c>
      <c r="C459" t="s">
        <v>37</v>
      </c>
      <c r="D459" t="s">
        <v>38</v>
      </c>
      <c r="E459" t="s">
        <v>112</v>
      </c>
      <c r="F459" t="s">
        <v>40</v>
      </c>
      <c r="G459" t="s">
        <v>62</v>
      </c>
      <c r="H459" t="s">
        <v>63</v>
      </c>
      <c r="I459">
        <v>5</v>
      </c>
      <c r="J459" s="3">
        <v>19318.3</v>
      </c>
      <c r="K459" s="3">
        <v>96591.5</v>
      </c>
      <c r="L459" t="s">
        <v>25</v>
      </c>
      <c r="M459" s="2">
        <v>46066</v>
      </c>
      <c r="N459" s="2">
        <v>46063</v>
      </c>
      <c r="O459" t="s">
        <v>60</v>
      </c>
      <c r="P459" t="s">
        <v>115</v>
      </c>
      <c r="Q459" t="s">
        <v>28</v>
      </c>
      <c r="R459" t="s">
        <v>29</v>
      </c>
      <c r="S459">
        <v>2026</v>
      </c>
      <c r="T459" t="s">
        <v>2757</v>
      </c>
      <c r="U459" t="s">
        <v>2758</v>
      </c>
      <c r="V459" s="4">
        <v>0</v>
      </c>
      <c r="W459" s="4">
        <v>1</v>
      </c>
    </row>
    <row r="460" spans="1:23">
      <c r="A460" t="s">
        <v>588</v>
      </c>
      <c r="B460" s="2">
        <v>45770</v>
      </c>
      <c r="C460" t="s">
        <v>19</v>
      </c>
      <c r="D460" t="s">
        <v>20</v>
      </c>
      <c r="E460" t="s">
        <v>31</v>
      </c>
      <c r="F460" t="s">
        <v>22</v>
      </c>
      <c r="G460" t="s">
        <v>32</v>
      </c>
      <c r="H460" t="s">
        <v>33</v>
      </c>
      <c r="I460">
        <v>9</v>
      </c>
      <c r="J460" s="3">
        <v>7270.57</v>
      </c>
      <c r="K460" s="3">
        <v>65435.13</v>
      </c>
      <c r="L460" t="s">
        <v>25</v>
      </c>
      <c r="M460" s="2">
        <v>45788</v>
      </c>
      <c r="N460" s="2">
        <v>45790</v>
      </c>
      <c r="O460" t="s">
        <v>60</v>
      </c>
      <c r="P460" t="s">
        <v>35</v>
      </c>
      <c r="Q460" t="s">
        <v>28</v>
      </c>
      <c r="R460" t="s">
        <v>129</v>
      </c>
      <c r="S460">
        <v>2025</v>
      </c>
      <c r="T460" t="s">
        <v>2741</v>
      </c>
      <c r="U460" t="s">
        <v>2742</v>
      </c>
      <c r="V460" s="4">
        <v>2</v>
      </c>
      <c r="W460" s="4">
        <v>0</v>
      </c>
    </row>
    <row r="461" spans="1:23">
      <c r="A461" t="s">
        <v>589</v>
      </c>
      <c r="B461" s="2">
        <v>45949</v>
      </c>
      <c r="C461" t="s">
        <v>37</v>
      </c>
      <c r="D461" t="s">
        <v>38</v>
      </c>
      <c r="E461" t="s">
        <v>39</v>
      </c>
      <c r="F461" t="s">
        <v>22</v>
      </c>
      <c r="G461" t="s">
        <v>23</v>
      </c>
      <c r="H461" t="s">
        <v>24</v>
      </c>
      <c r="I461">
        <v>52</v>
      </c>
      <c r="J461" s="3">
        <v>259.89999999999998</v>
      </c>
      <c r="K461" s="3">
        <v>13514.8</v>
      </c>
      <c r="L461" t="s">
        <v>25</v>
      </c>
      <c r="M461" s="2">
        <v>45963</v>
      </c>
      <c r="N461" s="2">
        <v>45975</v>
      </c>
      <c r="O461" t="s">
        <v>43</v>
      </c>
      <c r="P461" t="s">
        <v>44</v>
      </c>
      <c r="Q461" t="s">
        <v>28</v>
      </c>
      <c r="R461" t="s">
        <v>129</v>
      </c>
      <c r="S461">
        <v>2025</v>
      </c>
      <c r="T461" t="s">
        <v>2749</v>
      </c>
      <c r="U461" t="s">
        <v>2750</v>
      </c>
      <c r="V461" s="4">
        <v>12</v>
      </c>
      <c r="W461" s="4">
        <v>0</v>
      </c>
    </row>
    <row r="462" spans="1:23">
      <c r="A462" t="s">
        <v>590</v>
      </c>
      <c r="B462" s="2">
        <v>46079</v>
      </c>
      <c r="C462" t="s">
        <v>71</v>
      </c>
      <c r="D462" t="s">
        <v>72</v>
      </c>
      <c r="E462" t="s">
        <v>48</v>
      </c>
      <c r="F462" t="s">
        <v>57</v>
      </c>
      <c r="G462" t="s">
        <v>86</v>
      </c>
      <c r="H462" t="s">
        <v>87</v>
      </c>
      <c r="I462">
        <v>2</v>
      </c>
      <c r="J462" s="3">
        <v>10327.84</v>
      </c>
      <c r="K462" s="3">
        <v>20655.68</v>
      </c>
      <c r="L462" t="s">
        <v>25</v>
      </c>
      <c r="M462" s="2">
        <v>46097</v>
      </c>
      <c r="N462" s="2">
        <v>46095</v>
      </c>
      <c r="O462" t="s">
        <v>76</v>
      </c>
      <c r="P462" t="s">
        <v>53</v>
      </c>
      <c r="Q462" t="s">
        <v>28</v>
      </c>
      <c r="R462" t="s">
        <v>29</v>
      </c>
      <c r="S462">
        <v>2026</v>
      </c>
      <c r="T462" t="s">
        <v>2751</v>
      </c>
      <c r="U462" t="s">
        <v>2765</v>
      </c>
      <c r="V462" s="4">
        <v>0</v>
      </c>
      <c r="W462" s="4">
        <v>1</v>
      </c>
    </row>
    <row r="463" spans="1:23">
      <c r="A463" t="s">
        <v>591</v>
      </c>
      <c r="B463" s="2">
        <v>46090</v>
      </c>
      <c r="C463" t="s">
        <v>147</v>
      </c>
      <c r="D463" t="s">
        <v>148</v>
      </c>
      <c r="E463" t="s">
        <v>112</v>
      </c>
      <c r="F463" t="s">
        <v>40</v>
      </c>
      <c r="G463" t="s">
        <v>41</v>
      </c>
      <c r="H463" t="s">
        <v>42</v>
      </c>
      <c r="I463">
        <v>6</v>
      </c>
      <c r="J463" s="3">
        <v>5250.97</v>
      </c>
      <c r="K463" s="3">
        <v>31505.82</v>
      </c>
      <c r="L463" t="s">
        <v>34</v>
      </c>
      <c r="M463" s="2">
        <v>46101</v>
      </c>
      <c r="N463" s="2">
        <v>46099</v>
      </c>
      <c r="O463" t="s">
        <v>60</v>
      </c>
      <c r="P463" t="s">
        <v>115</v>
      </c>
      <c r="Q463" t="s">
        <v>28</v>
      </c>
      <c r="R463" t="s">
        <v>29</v>
      </c>
      <c r="S463">
        <v>2026</v>
      </c>
      <c r="T463" t="s">
        <v>2747</v>
      </c>
      <c r="U463" t="s">
        <v>2755</v>
      </c>
      <c r="V463" s="4">
        <v>0</v>
      </c>
      <c r="W463" s="4">
        <v>1</v>
      </c>
    </row>
    <row r="464" spans="1:23">
      <c r="A464" t="s">
        <v>592</v>
      </c>
      <c r="B464" s="2">
        <v>45868</v>
      </c>
      <c r="C464" t="s">
        <v>142</v>
      </c>
      <c r="D464" t="s">
        <v>143</v>
      </c>
      <c r="E464" t="s">
        <v>31</v>
      </c>
      <c r="F464" t="s">
        <v>22</v>
      </c>
      <c r="G464" t="s">
        <v>160</v>
      </c>
      <c r="H464" t="s">
        <v>161</v>
      </c>
      <c r="I464">
        <v>7</v>
      </c>
      <c r="J464" s="3">
        <v>3108.91</v>
      </c>
      <c r="K464" s="3">
        <v>21762.37</v>
      </c>
      <c r="L464" t="s">
        <v>34</v>
      </c>
      <c r="M464" s="2">
        <v>45876</v>
      </c>
      <c r="N464" s="2">
        <v>45876</v>
      </c>
      <c r="O464" t="s">
        <v>26</v>
      </c>
      <c r="P464" t="s">
        <v>35</v>
      </c>
      <c r="Q464" t="s">
        <v>28</v>
      </c>
      <c r="R464" t="s">
        <v>29</v>
      </c>
      <c r="S464">
        <v>2025</v>
      </c>
      <c r="T464" t="s">
        <v>2759</v>
      </c>
      <c r="U464" t="s">
        <v>2760</v>
      </c>
      <c r="V464" s="4">
        <v>0</v>
      </c>
      <c r="W464" s="4">
        <v>1</v>
      </c>
    </row>
    <row r="465" spans="1:23">
      <c r="A465" t="s">
        <v>593</v>
      </c>
      <c r="B465" s="2">
        <v>45929</v>
      </c>
      <c r="C465" t="s">
        <v>134</v>
      </c>
      <c r="D465" t="s">
        <v>135</v>
      </c>
      <c r="E465" t="s">
        <v>112</v>
      </c>
      <c r="F465" t="s">
        <v>40</v>
      </c>
      <c r="G465" t="s">
        <v>149</v>
      </c>
      <c r="H465" t="s">
        <v>150</v>
      </c>
      <c r="I465">
        <v>50</v>
      </c>
      <c r="J465" s="3">
        <v>1412.39</v>
      </c>
      <c r="K465" s="3">
        <v>70619.5</v>
      </c>
      <c r="L465" t="s">
        <v>25</v>
      </c>
      <c r="M465" s="2">
        <v>45947</v>
      </c>
      <c r="N465" s="2">
        <v>45945</v>
      </c>
      <c r="O465" t="s">
        <v>60</v>
      </c>
      <c r="P465" t="s">
        <v>115</v>
      </c>
      <c r="Q465" t="s">
        <v>28</v>
      </c>
      <c r="R465" t="s">
        <v>29</v>
      </c>
      <c r="S465">
        <v>2025</v>
      </c>
      <c r="T465" t="s">
        <v>2753</v>
      </c>
      <c r="U465" t="s">
        <v>2754</v>
      </c>
      <c r="V465" s="4">
        <v>0</v>
      </c>
      <c r="W465" s="4">
        <v>1</v>
      </c>
    </row>
    <row r="466" spans="1:23">
      <c r="A466" t="s">
        <v>594</v>
      </c>
      <c r="B466" s="2">
        <v>45872</v>
      </c>
      <c r="C466" t="s">
        <v>134</v>
      </c>
      <c r="D466" t="s">
        <v>135</v>
      </c>
      <c r="E466" t="s">
        <v>39</v>
      </c>
      <c r="F466" t="s">
        <v>40</v>
      </c>
      <c r="G466" t="s">
        <v>136</v>
      </c>
      <c r="H466" t="s">
        <v>137</v>
      </c>
      <c r="I466">
        <v>17</v>
      </c>
      <c r="J466" s="3">
        <v>1664.18</v>
      </c>
      <c r="K466" s="3">
        <v>28291.06</v>
      </c>
      <c r="L466" t="s">
        <v>34</v>
      </c>
      <c r="M466" s="2">
        <v>45883</v>
      </c>
      <c r="N466" s="2">
        <v>45880</v>
      </c>
      <c r="O466" t="s">
        <v>26</v>
      </c>
      <c r="P466" t="s">
        <v>64</v>
      </c>
      <c r="Q466" t="s">
        <v>28</v>
      </c>
      <c r="R466" t="s">
        <v>29</v>
      </c>
      <c r="S466">
        <v>2025</v>
      </c>
      <c r="T466" t="s">
        <v>2761</v>
      </c>
      <c r="U466" t="s">
        <v>2762</v>
      </c>
      <c r="V466" s="4">
        <v>0</v>
      </c>
      <c r="W466" s="4">
        <v>1</v>
      </c>
    </row>
    <row r="467" spans="1:23">
      <c r="A467" t="s">
        <v>595</v>
      </c>
      <c r="B467" s="2">
        <v>46169</v>
      </c>
      <c r="C467" t="s">
        <v>104</v>
      </c>
      <c r="D467" t="s">
        <v>105</v>
      </c>
      <c r="E467" t="s">
        <v>112</v>
      </c>
      <c r="F467" t="s">
        <v>49</v>
      </c>
      <c r="G467" t="s">
        <v>68</v>
      </c>
      <c r="H467" t="s">
        <v>69</v>
      </c>
      <c r="I467">
        <v>3</v>
      </c>
      <c r="J467" s="3">
        <v>48835.839999999997</v>
      </c>
      <c r="K467" s="3">
        <v>146507.51999999999</v>
      </c>
      <c r="L467" t="s">
        <v>52</v>
      </c>
      <c r="M467" s="2">
        <v>46187</v>
      </c>
      <c r="N467" s="2">
        <v>46184</v>
      </c>
      <c r="O467" t="s">
        <v>43</v>
      </c>
      <c r="P467" t="s">
        <v>115</v>
      </c>
      <c r="Q467" t="s">
        <v>28</v>
      </c>
      <c r="R467" t="s">
        <v>29</v>
      </c>
      <c r="S467">
        <v>2026</v>
      </c>
      <c r="T467" t="s">
        <v>2766</v>
      </c>
      <c r="U467" t="s">
        <v>2769</v>
      </c>
      <c r="V467" s="4">
        <v>0</v>
      </c>
      <c r="W467" s="4">
        <v>1</v>
      </c>
    </row>
    <row r="468" spans="1:23">
      <c r="A468" t="s">
        <v>596</v>
      </c>
      <c r="B468" s="2">
        <v>46031</v>
      </c>
      <c r="C468" t="s">
        <v>71</v>
      </c>
      <c r="D468" t="s">
        <v>72</v>
      </c>
      <c r="E468" t="s">
        <v>21</v>
      </c>
      <c r="F468" t="s">
        <v>57</v>
      </c>
      <c r="G468" t="s">
        <v>120</v>
      </c>
      <c r="H468" t="s">
        <v>121</v>
      </c>
      <c r="I468">
        <v>7</v>
      </c>
      <c r="J468" s="3">
        <v>21211.51</v>
      </c>
      <c r="K468" s="3">
        <v>148480.57</v>
      </c>
      <c r="L468" t="s">
        <v>34</v>
      </c>
      <c r="M468" s="2">
        <v>46041</v>
      </c>
      <c r="N468" s="2">
        <v>46041</v>
      </c>
      <c r="O468" t="s">
        <v>60</v>
      </c>
      <c r="P468" t="s">
        <v>27</v>
      </c>
      <c r="Q468" t="s">
        <v>28</v>
      </c>
      <c r="R468" t="s">
        <v>29</v>
      </c>
      <c r="S468">
        <v>2026</v>
      </c>
      <c r="T468" t="s">
        <v>2757</v>
      </c>
      <c r="U468" t="s">
        <v>2758</v>
      </c>
      <c r="V468" s="4">
        <v>0</v>
      </c>
      <c r="W468" s="4">
        <v>1</v>
      </c>
    </row>
    <row r="469" spans="1:23">
      <c r="A469" t="s">
        <v>597</v>
      </c>
      <c r="B469" s="2">
        <v>45951</v>
      </c>
      <c r="C469" t="s">
        <v>71</v>
      </c>
      <c r="D469" t="s">
        <v>72</v>
      </c>
      <c r="E469" t="s">
        <v>21</v>
      </c>
      <c r="F469" t="s">
        <v>57</v>
      </c>
      <c r="G469" t="s">
        <v>86</v>
      </c>
      <c r="H469" t="s">
        <v>87</v>
      </c>
      <c r="I469">
        <v>4</v>
      </c>
      <c r="J469" s="3">
        <v>9888.49</v>
      </c>
      <c r="K469" s="3">
        <v>39553.96</v>
      </c>
      <c r="L469" t="s">
        <v>25</v>
      </c>
      <c r="M469" s="2">
        <v>45956</v>
      </c>
      <c r="N469" s="2">
        <v>45954</v>
      </c>
      <c r="O469" t="s">
        <v>60</v>
      </c>
      <c r="P469" t="s">
        <v>27</v>
      </c>
      <c r="Q469" t="s">
        <v>28</v>
      </c>
      <c r="R469" t="s">
        <v>29</v>
      </c>
      <c r="S469">
        <v>2025</v>
      </c>
      <c r="T469" t="s">
        <v>2749</v>
      </c>
      <c r="U469" t="s">
        <v>2750</v>
      </c>
      <c r="V469" s="4">
        <v>0</v>
      </c>
      <c r="W469" s="4">
        <v>1</v>
      </c>
    </row>
    <row r="470" spans="1:23">
      <c r="A470" t="s">
        <v>598</v>
      </c>
      <c r="B470" s="2">
        <v>45695</v>
      </c>
      <c r="C470" t="s">
        <v>37</v>
      </c>
      <c r="D470" t="s">
        <v>38</v>
      </c>
      <c r="E470" t="s">
        <v>21</v>
      </c>
      <c r="F470" t="s">
        <v>22</v>
      </c>
      <c r="G470" t="s">
        <v>160</v>
      </c>
      <c r="H470" t="s">
        <v>161</v>
      </c>
      <c r="I470">
        <v>9</v>
      </c>
      <c r="J470" s="3">
        <v>3319.94</v>
      </c>
      <c r="K470" s="3">
        <v>29879.46</v>
      </c>
      <c r="L470" t="s">
        <v>52</v>
      </c>
      <c r="M470" s="2">
        <v>45702</v>
      </c>
      <c r="N470" s="2">
        <v>45702</v>
      </c>
      <c r="O470" t="s">
        <v>60</v>
      </c>
      <c r="P470" t="s">
        <v>27</v>
      </c>
      <c r="Q470" t="s">
        <v>28</v>
      </c>
      <c r="R470" t="s">
        <v>29</v>
      </c>
      <c r="S470">
        <v>2025</v>
      </c>
      <c r="T470" t="s">
        <v>2751</v>
      </c>
      <c r="U470" t="s">
        <v>2752</v>
      </c>
      <c r="V470" s="4">
        <v>0</v>
      </c>
      <c r="W470" s="4">
        <v>1</v>
      </c>
    </row>
    <row r="471" spans="1:23">
      <c r="A471" t="s">
        <v>599</v>
      </c>
      <c r="B471" s="2">
        <v>45743</v>
      </c>
      <c r="C471" t="s">
        <v>37</v>
      </c>
      <c r="D471" t="s">
        <v>38</v>
      </c>
      <c r="E471" t="s">
        <v>21</v>
      </c>
      <c r="F471" t="s">
        <v>22</v>
      </c>
      <c r="G471" t="s">
        <v>160</v>
      </c>
      <c r="H471" t="s">
        <v>161</v>
      </c>
      <c r="I471">
        <v>15</v>
      </c>
      <c r="J471" s="3">
        <v>3439.43</v>
      </c>
      <c r="K471" s="3">
        <v>51591.45</v>
      </c>
      <c r="L471" t="s">
        <v>25</v>
      </c>
      <c r="M471" s="2">
        <v>45749</v>
      </c>
      <c r="N471" s="2">
        <v>45748</v>
      </c>
      <c r="O471" t="s">
        <v>43</v>
      </c>
      <c r="P471" t="s">
        <v>27</v>
      </c>
      <c r="Q471" t="s">
        <v>28</v>
      </c>
      <c r="R471" t="s">
        <v>29</v>
      </c>
      <c r="S471">
        <v>2025</v>
      </c>
      <c r="T471" t="s">
        <v>2747</v>
      </c>
      <c r="U471" t="s">
        <v>2748</v>
      </c>
      <c r="V471" s="4">
        <v>0</v>
      </c>
      <c r="W471" s="4">
        <v>1</v>
      </c>
    </row>
    <row r="472" spans="1:23">
      <c r="A472" t="s">
        <v>600</v>
      </c>
      <c r="B472" s="2">
        <v>45901</v>
      </c>
      <c r="C472" t="s">
        <v>66</v>
      </c>
      <c r="D472" t="s">
        <v>67</v>
      </c>
      <c r="E472" t="s">
        <v>48</v>
      </c>
      <c r="F472" t="s">
        <v>49</v>
      </c>
      <c r="G472" t="s">
        <v>165</v>
      </c>
      <c r="H472" t="s">
        <v>166</v>
      </c>
      <c r="I472">
        <v>1</v>
      </c>
      <c r="J472" s="3">
        <v>44800.23</v>
      </c>
      <c r="K472" s="3">
        <v>44800.23</v>
      </c>
      <c r="L472" t="s">
        <v>25</v>
      </c>
      <c r="M472" s="2">
        <v>45912</v>
      </c>
      <c r="N472" s="2">
        <v>45912</v>
      </c>
      <c r="O472" t="s">
        <v>76</v>
      </c>
      <c r="P472" t="s">
        <v>53</v>
      </c>
      <c r="Q472" t="s">
        <v>28</v>
      </c>
      <c r="R472" t="s">
        <v>29</v>
      </c>
      <c r="S472">
        <v>2025</v>
      </c>
      <c r="T472" t="s">
        <v>2753</v>
      </c>
      <c r="U472" t="s">
        <v>2754</v>
      </c>
      <c r="V472" s="4">
        <v>0</v>
      </c>
      <c r="W472" s="4">
        <v>1</v>
      </c>
    </row>
    <row r="473" spans="1:23">
      <c r="A473" t="s">
        <v>601</v>
      </c>
      <c r="B473" s="2">
        <v>46076</v>
      </c>
      <c r="C473" t="s">
        <v>71</v>
      </c>
      <c r="D473" t="s">
        <v>72</v>
      </c>
      <c r="E473" t="s">
        <v>31</v>
      </c>
      <c r="F473" t="s">
        <v>57</v>
      </c>
      <c r="G473" t="s">
        <v>127</v>
      </c>
      <c r="H473" t="s">
        <v>128</v>
      </c>
      <c r="I473">
        <v>6</v>
      </c>
      <c r="J473" s="3">
        <v>15981.83</v>
      </c>
      <c r="K473" s="3">
        <v>95890.98</v>
      </c>
      <c r="L473" t="s">
        <v>52</v>
      </c>
      <c r="M473" s="2">
        <v>46089</v>
      </c>
      <c r="N473" s="2">
        <v>46088</v>
      </c>
      <c r="O473" t="s">
        <v>26</v>
      </c>
      <c r="P473" t="s">
        <v>35</v>
      </c>
      <c r="Q473" t="s">
        <v>28</v>
      </c>
      <c r="R473" t="s">
        <v>29</v>
      </c>
      <c r="S473">
        <v>2026</v>
      </c>
      <c r="T473" t="s">
        <v>2751</v>
      </c>
      <c r="U473" t="s">
        <v>2765</v>
      </c>
      <c r="V473" s="4">
        <v>0</v>
      </c>
      <c r="W473" s="4">
        <v>1</v>
      </c>
    </row>
    <row r="474" spans="1:23">
      <c r="A474" t="s">
        <v>602</v>
      </c>
      <c r="B474" s="2">
        <v>45973</v>
      </c>
      <c r="C474" t="s">
        <v>66</v>
      </c>
      <c r="D474" t="s">
        <v>67</v>
      </c>
      <c r="E474" t="s">
        <v>112</v>
      </c>
      <c r="F474" t="s">
        <v>49</v>
      </c>
      <c r="G474" t="s">
        <v>113</v>
      </c>
      <c r="H474" t="s">
        <v>114</v>
      </c>
      <c r="I474">
        <v>1</v>
      </c>
      <c r="J474" s="3">
        <v>37582.46</v>
      </c>
      <c r="K474" s="3">
        <v>37582.46</v>
      </c>
      <c r="L474" t="s">
        <v>25</v>
      </c>
      <c r="M474" s="2">
        <v>45989</v>
      </c>
      <c r="N474" s="2">
        <v>45988</v>
      </c>
      <c r="O474" t="s">
        <v>60</v>
      </c>
      <c r="P474" t="s">
        <v>115</v>
      </c>
      <c r="Q474" t="s">
        <v>28</v>
      </c>
      <c r="R474" t="s">
        <v>29</v>
      </c>
      <c r="S474">
        <v>2025</v>
      </c>
      <c r="T474" t="s">
        <v>2763</v>
      </c>
      <c r="U474" t="s">
        <v>2764</v>
      </c>
      <c r="V474" s="4">
        <v>0</v>
      </c>
      <c r="W474" s="4">
        <v>1</v>
      </c>
    </row>
    <row r="475" spans="1:23">
      <c r="A475" t="s">
        <v>603</v>
      </c>
      <c r="B475" s="2">
        <v>45782</v>
      </c>
      <c r="C475" t="s">
        <v>37</v>
      </c>
      <c r="D475" t="s">
        <v>38</v>
      </c>
      <c r="E475" t="s">
        <v>39</v>
      </c>
      <c r="F475" t="s">
        <v>40</v>
      </c>
      <c r="G475" t="s">
        <v>62</v>
      </c>
      <c r="H475" t="s">
        <v>63</v>
      </c>
      <c r="I475">
        <v>5</v>
      </c>
      <c r="J475" s="3">
        <v>20714.82</v>
      </c>
      <c r="K475" s="3">
        <v>103574.1</v>
      </c>
      <c r="L475" t="s">
        <v>25</v>
      </c>
      <c r="M475" s="2">
        <v>45791</v>
      </c>
      <c r="N475" s="2">
        <v>45790</v>
      </c>
      <c r="O475" t="s">
        <v>26</v>
      </c>
      <c r="P475" t="s">
        <v>44</v>
      </c>
      <c r="Q475" t="s">
        <v>28</v>
      </c>
      <c r="R475" t="s">
        <v>29</v>
      </c>
      <c r="S475">
        <v>2025</v>
      </c>
      <c r="T475" t="s">
        <v>2766</v>
      </c>
      <c r="U475" t="s">
        <v>2767</v>
      </c>
      <c r="V475" s="4">
        <v>0</v>
      </c>
      <c r="W475" s="4">
        <v>1</v>
      </c>
    </row>
    <row r="476" spans="1:23">
      <c r="A476" t="s">
        <v>604</v>
      </c>
      <c r="B476" s="2">
        <v>46161</v>
      </c>
      <c r="C476" t="s">
        <v>66</v>
      </c>
      <c r="D476" t="s">
        <v>67</v>
      </c>
      <c r="E476" t="s">
        <v>73</v>
      </c>
      <c r="F476" t="s">
        <v>49</v>
      </c>
      <c r="G476" t="s">
        <v>68</v>
      </c>
      <c r="H476" t="s">
        <v>69</v>
      </c>
      <c r="I476">
        <v>1</v>
      </c>
      <c r="J476" s="3">
        <v>48134.74</v>
      </c>
      <c r="K476" s="3">
        <v>48134.74</v>
      </c>
      <c r="L476" t="s">
        <v>25</v>
      </c>
      <c r="M476" s="2">
        <v>46177</v>
      </c>
      <c r="N476" s="2">
        <v>46177</v>
      </c>
      <c r="O476" t="s">
        <v>76</v>
      </c>
      <c r="P476" t="s">
        <v>77</v>
      </c>
      <c r="Q476" t="s">
        <v>28</v>
      </c>
      <c r="R476" t="s">
        <v>29</v>
      </c>
      <c r="S476">
        <v>2026</v>
      </c>
      <c r="T476" t="s">
        <v>2766</v>
      </c>
      <c r="U476" t="s">
        <v>2769</v>
      </c>
      <c r="V476" s="4">
        <v>0</v>
      </c>
      <c r="W476" s="4">
        <v>1</v>
      </c>
    </row>
    <row r="477" spans="1:23">
      <c r="A477" t="s">
        <v>605</v>
      </c>
      <c r="B477" s="2">
        <v>45846</v>
      </c>
      <c r="C477" t="s">
        <v>71</v>
      </c>
      <c r="D477" t="s">
        <v>72</v>
      </c>
      <c r="E477" t="s">
        <v>48</v>
      </c>
      <c r="F477" t="s">
        <v>57</v>
      </c>
      <c r="G477" t="s">
        <v>101</v>
      </c>
      <c r="H477" t="s">
        <v>102</v>
      </c>
      <c r="I477">
        <v>25</v>
      </c>
      <c r="J477" s="3">
        <v>1711.36</v>
      </c>
      <c r="K477" s="3">
        <v>42784</v>
      </c>
      <c r="L477" t="s">
        <v>25</v>
      </c>
      <c r="M477" s="2">
        <v>45860</v>
      </c>
      <c r="N477" s="2">
        <v>45864</v>
      </c>
      <c r="O477" t="s">
        <v>26</v>
      </c>
      <c r="P477" t="s">
        <v>53</v>
      </c>
      <c r="Q477" t="s">
        <v>28</v>
      </c>
      <c r="R477" t="s">
        <v>129</v>
      </c>
      <c r="S477">
        <v>2025</v>
      </c>
      <c r="T477" t="s">
        <v>2759</v>
      </c>
      <c r="U477" t="s">
        <v>2760</v>
      </c>
      <c r="V477" s="4">
        <v>4</v>
      </c>
      <c r="W477" s="4">
        <v>0</v>
      </c>
    </row>
    <row r="478" spans="1:23">
      <c r="A478" t="s">
        <v>606</v>
      </c>
      <c r="B478" s="2">
        <v>45985</v>
      </c>
      <c r="C478" t="s">
        <v>142</v>
      </c>
      <c r="D478" t="s">
        <v>143</v>
      </c>
      <c r="E478" t="s">
        <v>112</v>
      </c>
      <c r="F478" t="s">
        <v>22</v>
      </c>
      <c r="G478" t="s">
        <v>160</v>
      </c>
      <c r="H478" t="s">
        <v>161</v>
      </c>
      <c r="I478">
        <v>6</v>
      </c>
      <c r="J478" s="3">
        <v>3383.65</v>
      </c>
      <c r="K478" s="3">
        <v>20301.900000000001</v>
      </c>
      <c r="L478" t="s">
        <v>25</v>
      </c>
      <c r="M478" s="2">
        <v>46002</v>
      </c>
      <c r="N478" s="2">
        <v>46002</v>
      </c>
      <c r="O478" t="s">
        <v>26</v>
      </c>
      <c r="P478" t="s">
        <v>115</v>
      </c>
      <c r="Q478" t="s">
        <v>28</v>
      </c>
      <c r="R478" t="s">
        <v>29</v>
      </c>
      <c r="S478">
        <v>2025</v>
      </c>
      <c r="T478" t="s">
        <v>2763</v>
      </c>
      <c r="U478" t="s">
        <v>2764</v>
      </c>
      <c r="V478" s="4">
        <v>0</v>
      </c>
      <c r="W478" s="4">
        <v>1</v>
      </c>
    </row>
    <row r="479" spans="1:23">
      <c r="A479" t="s">
        <v>607</v>
      </c>
      <c r="B479" s="2">
        <v>45887</v>
      </c>
      <c r="C479" t="s">
        <v>80</v>
      </c>
      <c r="D479" t="s">
        <v>81</v>
      </c>
      <c r="E479" t="s">
        <v>39</v>
      </c>
      <c r="F479" t="s">
        <v>82</v>
      </c>
      <c r="G479" t="s">
        <v>197</v>
      </c>
      <c r="H479" t="s">
        <v>198</v>
      </c>
      <c r="I479">
        <v>10</v>
      </c>
      <c r="J479" s="3">
        <v>1956.26</v>
      </c>
      <c r="K479" s="3">
        <v>19562.599999999999</v>
      </c>
      <c r="L479" t="s">
        <v>25</v>
      </c>
      <c r="M479" s="2">
        <v>45899</v>
      </c>
      <c r="N479" s="2">
        <v>45898</v>
      </c>
      <c r="O479" t="s">
        <v>60</v>
      </c>
      <c r="P479" t="s">
        <v>44</v>
      </c>
      <c r="Q479" t="s">
        <v>28</v>
      </c>
      <c r="R479" t="s">
        <v>29</v>
      </c>
      <c r="S479">
        <v>2025</v>
      </c>
      <c r="T479" t="s">
        <v>2761</v>
      </c>
      <c r="U479" t="s">
        <v>2762</v>
      </c>
      <c r="V479" s="4">
        <v>0</v>
      </c>
      <c r="W479" s="4">
        <v>1</v>
      </c>
    </row>
    <row r="480" spans="1:23">
      <c r="A480" t="s">
        <v>608</v>
      </c>
      <c r="B480" s="2">
        <v>45810</v>
      </c>
      <c r="C480" t="s">
        <v>117</v>
      </c>
      <c r="D480" t="s">
        <v>118</v>
      </c>
      <c r="E480" t="s">
        <v>73</v>
      </c>
      <c r="F480" t="s">
        <v>57</v>
      </c>
      <c r="G480" t="s">
        <v>101</v>
      </c>
      <c r="H480" t="s">
        <v>102</v>
      </c>
      <c r="I480">
        <v>54</v>
      </c>
      <c r="J480" s="3">
        <v>1826.28</v>
      </c>
      <c r="K480" s="3">
        <v>98619.12</v>
      </c>
      <c r="L480" t="s">
        <v>25</v>
      </c>
      <c r="M480" s="2">
        <v>45822</v>
      </c>
      <c r="N480" s="2">
        <v>45819</v>
      </c>
      <c r="O480" t="s">
        <v>26</v>
      </c>
      <c r="P480" t="s">
        <v>77</v>
      </c>
      <c r="Q480" t="s">
        <v>28</v>
      </c>
      <c r="R480" t="s">
        <v>29</v>
      </c>
      <c r="S480">
        <v>2025</v>
      </c>
      <c r="T480" t="s">
        <v>2743</v>
      </c>
      <c r="U480" t="s">
        <v>2756</v>
      </c>
      <c r="V480" s="4">
        <v>0</v>
      </c>
      <c r="W480" s="4">
        <v>1</v>
      </c>
    </row>
    <row r="481" spans="1:23">
      <c r="A481" t="s">
        <v>609</v>
      </c>
      <c r="B481" s="2">
        <v>45930</v>
      </c>
      <c r="C481" t="s">
        <v>107</v>
      </c>
      <c r="D481" t="s">
        <v>108</v>
      </c>
      <c r="E481" t="s">
        <v>31</v>
      </c>
      <c r="F481" t="s">
        <v>91</v>
      </c>
      <c r="G481" t="s">
        <v>109</v>
      </c>
      <c r="H481" t="s">
        <v>110</v>
      </c>
      <c r="I481">
        <v>1</v>
      </c>
      <c r="J481" s="3">
        <v>13942.6</v>
      </c>
      <c r="K481" s="3">
        <v>13942.6</v>
      </c>
      <c r="L481" t="s">
        <v>25</v>
      </c>
      <c r="M481" s="2">
        <v>45946</v>
      </c>
      <c r="N481" s="2">
        <v>45943</v>
      </c>
      <c r="O481" t="s">
        <v>26</v>
      </c>
      <c r="P481" t="s">
        <v>94</v>
      </c>
      <c r="Q481" t="s">
        <v>28</v>
      </c>
      <c r="R481" t="s">
        <v>29</v>
      </c>
      <c r="S481">
        <v>2025</v>
      </c>
      <c r="T481" t="s">
        <v>2753</v>
      </c>
      <c r="U481" t="s">
        <v>2754</v>
      </c>
      <c r="V481" s="4">
        <v>0</v>
      </c>
      <c r="W481" s="4">
        <v>1</v>
      </c>
    </row>
    <row r="482" spans="1:23">
      <c r="A482" t="s">
        <v>610</v>
      </c>
      <c r="B482" s="2">
        <v>45899</v>
      </c>
      <c r="C482" t="s">
        <v>37</v>
      </c>
      <c r="D482" t="s">
        <v>38</v>
      </c>
      <c r="E482" t="s">
        <v>112</v>
      </c>
      <c r="F482" t="s">
        <v>40</v>
      </c>
      <c r="G482" t="s">
        <v>62</v>
      </c>
      <c r="H482" t="s">
        <v>63</v>
      </c>
      <c r="I482">
        <v>6</v>
      </c>
      <c r="J482" s="3">
        <v>19838.54</v>
      </c>
      <c r="K482" s="3">
        <v>119031.24</v>
      </c>
      <c r="L482" t="s">
        <v>34</v>
      </c>
      <c r="M482" s="2">
        <v>45915</v>
      </c>
      <c r="N482" s="2">
        <v>45914</v>
      </c>
      <c r="O482" t="s">
        <v>60</v>
      </c>
      <c r="P482" t="s">
        <v>115</v>
      </c>
      <c r="Q482" t="s">
        <v>28</v>
      </c>
      <c r="R482" t="s">
        <v>29</v>
      </c>
      <c r="S482">
        <v>2025</v>
      </c>
      <c r="T482" t="s">
        <v>2761</v>
      </c>
      <c r="U482" t="s">
        <v>2762</v>
      </c>
      <c r="V482" s="4">
        <v>0</v>
      </c>
      <c r="W482" s="4">
        <v>1</v>
      </c>
    </row>
    <row r="483" spans="1:23">
      <c r="A483" t="s">
        <v>611</v>
      </c>
      <c r="B483" s="2">
        <v>45732</v>
      </c>
      <c r="C483" t="s">
        <v>134</v>
      </c>
      <c r="D483" t="s">
        <v>135</v>
      </c>
      <c r="E483" t="s">
        <v>39</v>
      </c>
      <c r="F483" t="s">
        <v>40</v>
      </c>
      <c r="G483" t="s">
        <v>149</v>
      </c>
      <c r="H483" t="s">
        <v>150</v>
      </c>
      <c r="I483">
        <v>43</v>
      </c>
      <c r="J483" s="3">
        <v>1339.05</v>
      </c>
      <c r="K483" s="3">
        <v>57579.15</v>
      </c>
      <c r="L483" t="s">
        <v>25</v>
      </c>
      <c r="M483" s="2">
        <v>45747</v>
      </c>
      <c r="N483" s="2">
        <v>45747</v>
      </c>
      <c r="O483" t="s">
        <v>60</v>
      </c>
      <c r="P483" t="s">
        <v>44</v>
      </c>
      <c r="Q483" t="s">
        <v>28</v>
      </c>
      <c r="R483" t="s">
        <v>29</v>
      </c>
      <c r="S483">
        <v>2025</v>
      </c>
      <c r="T483" t="s">
        <v>2747</v>
      </c>
      <c r="U483" t="s">
        <v>2748</v>
      </c>
      <c r="V483" s="4">
        <v>0</v>
      </c>
      <c r="W483" s="4">
        <v>1</v>
      </c>
    </row>
    <row r="484" spans="1:23">
      <c r="A484" t="s">
        <v>612</v>
      </c>
      <c r="B484" s="2">
        <v>45700</v>
      </c>
      <c r="C484" t="s">
        <v>131</v>
      </c>
      <c r="D484" t="s">
        <v>132</v>
      </c>
      <c r="E484" t="s">
        <v>21</v>
      </c>
      <c r="F484" t="s">
        <v>57</v>
      </c>
      <c r="G484" t="s">
        <v>74</v>
      </c>
      <c r="H484" t="s">
        <v>75</v>
      </c>
      <c r="I484">
        <v>3</v>
      </c>
      <c r="J484" s="3">
        <v>9432.14</v>
      </c>
      <c r="K484" s="3">
        <v>28296.42</v>
      </c>
      <c r="L484" t="s">
        <v>25</v>
      </c>
      <c r="M484" s="2">
        <v>45706</v>
      </c>
      <c r="N484" s="2">
        <v>45703</v>
      </c>
      <c r="O484" t="s">
        <v>43</v>
      </c>
      <c r="P484" t="s">
        <v>27</v>
      </c>
      <c r="Q484" t="s">
        <v>28</v>
      </c>
      <c r="R484" t="s">
        <v>29</v>
      </c>
      <c r="S484">
        <v>2025</v>
      </c>
      <c r="T484" t="s">
        <v>2751</v>
      </c>
      <c r="U484" t="s">
        <v>2752</v>
      </c>
      <c r="V484" s="4">
        <v>0</v>
      </c>
      <c r="W484" s="4">
        <v>1</v>
      </c>
    </row>
    <row r="485" spans="1:23">
      <c r="A485" t="s">
        <v>613</v>
      </c>
      <c r="B485" s="2">
        <v>45945</v>
      </c>
      <c r="C485" t="s">
        <v>134</v>
      </c>
      <c r="D485" t="s">
        <v>135</v>
      </c>
      <c r="E485" t="s">
        <v>112</v>
      </c>
      <c r="F485" t="s">
        <v>40</v>
      </c>
      <c r="G485" t="s">
        <v>136</v>
      </c>
      <c r="H485" t="s">
        <v>137</v>
      </c>
      <c r="I485">
        <v>21</v>
      </c>
      <c r="J485" s="3">
        <v>1697.09</v>
      </c>
      <c r="K485" s="3">
        <v>35638.89</v>
      </c>
      <c r="L485" t="s">
        <v>25</v>
      </c>
      <c r="M485" s="2">
        <v>45958</v>
      </c>
      <c r="N485" s="2">
        <v>45957</v>
      </c>
      <c r="O485" t="s">
        <v>60</v>
      </c>
      <c r="P485" t="s">
        <v>115</v>
      </c>
      <c r="Q485" t="s">
        <v>28</v>
      </c>
      <c r="R485" t="s">
        <v>29</v>
      </c>
      <c r="S485">
        <v>2025</v>
      </c>
      <c r="T485" t="s">
        <v>2749</v>
      </c>
      <c r="U485" t="s">
        <v>2750</v>
      </c>
      <c r="V485" s="4">
        <v>0</v>
      </c>
      <c r="W485" s="4">
        <v>1</v>
      </c>
    </row>
    <row r="486" spans="1:23">
      <c r="A486" t="s">
        <v>614</v>
      </c>
      <c r="B486" s="2">
        <v>46108</v>
      </c>
      <c r="C486" t="s">
        <v>142</v>
      </c>
      <c r="D486" t="s">
        <v>143</v>
      </c>
      <c r="E486" t="s">
        <v>39</v>
      </c>
      <c r="F486" t="s">
        <v>22</v>
      </c>
      <c r="G486" t="s">
        <v>23</v>
      </c>
      <c r="H486" t="s">
        <v>24</v>
      </c>
      <c r="I486">
        <v>50</v>
      </c>
      <c r="J486" s="3">
        <v>240.94</v>
      </c>
      <c r="K486" s="3">
        <v>12047</v>
      </c>
      <c r="L486" t="s">
        <v>25</v>
      </c>
      <c r="M486" s="2">
        <v>46120</v>
      </c>
      <c r="N486" s="2">
        <v>46117</v>
      </c>
      <c r="O486" t="s">
        <v>76</v>
      </c>
      <c r="P486" t="s">
        <v>44</v>
      </c>
      <c r="Q486" t="s">
        <v>28</v>
      </c>
      <c r="R486" t="s">
        <v>29</v>
      </c>
      <c r="S486">
        <v>2026</v>
      </c>
      <c r="T486" t="s">
        <v>2747</v>
      </c>
      <c r="U486" t="s">
        <v>2755</v>
      </c>
      <c r="V486" s="4">
        <v>0</v>
      </c>
      <c r="W486" s="4">
        <v>1</v>
      </c>
    </row>
    <row r="487" spans="1:23">
      <c r="A487" t="s">
        <v>615</v>
      </c>
      <c r="B487" s="2">
        <v>46126</v>
      </c>
      <c r="C487" t="s">
        <v>55</v>
      </c>
      <c r="D487" t="s">
        <v>56</v>
      </c>
      <c r="E487" t="s">
        <v>48</v>
      </c>
      <c r="F487" t="s">
        <v>57</v>
      </c>
      <c r="G487" t="s">
        <v>101</v>
      </c>
      <c r="H487" t="s">
        <v>102</v>
      </c>
      <c r="I487">
        <v>23</v>
      </c>
      <c r="J487" s="3">
        <v>1954.72</v>
      </c>
      <c r="K487" s="3">
        <v>44958.559999999998</v>
      </c>
      <c r="L487" t="s">
        <v>34</v>
      </c>
      <c r="M487" s="2">
        <v>46133</v>
      </c>
      <c r="N487" s="2">
        <v>46131</v>
      </c>
      <c r="O487" t="s">
        <v>26</v>
      </c>
      <c r="P487" t="s">
        <v>53</v>
      </c>
      <c r="Q487" t="s">
        <v>28</v>
      </c>
      <c r="R487" t="s">
        <v>29</v>
      </c>
      <c r="S487">
        <v>2026</v>
      </c>
      <c r="T487" t="s">
        <v>2741</v>
      </c>
      <c r="U487" t="s">
        <v>2770</v>
      </c>
      <c r="V487" s="4">
        <v>0</v>
      </c>
      <c r="W487" s="4">
        <v>1</v>
      </c>
    </row>
    <row r="488" spans="1:23">
      <c r="A488" t="s">
        <v>616</v>
      </c>
      <c r="B488" s="2">
        <v>45842</v>
      </c>
      <c r="C488" t="s">
        <v>147</v>
      </c>
      <c r="D488" t="s">
        <v>148</v>
      </c>
      <c r="E488" t="s">
        <v>39</v>
      </c>
      <c r="F488" t="s">
        <v>40</v>
      </c>
      <c r="G488" t="s">
        <v>41</v>
      </c>
      <c r="H488" t="s">
        <v>42</v>
      </c>
      <c r="I488">
        <v>11</v>
      </c>
      <c r="J488" s="3">
        <v>4988.75</v>
      </c>
      <c r="K488" s="3">
        <v>54876.25</v>
      </c>
      <c r="L488" t="s">
        <v>34</v>
      </c>
      <c r="M488" s="2">
        <v>45857</v>
      </c>
      <c r="N488" s="2">
        <v>45864</v>
      </c>
      <c r="O488" t="s">
        <v>43</v>
      </c>
      <c r="P488" t="s">
        <v>44</v>
      </c>
      <c r="Q488" t="s">
        <v>28</v>
      </c>
      <c r="R488" t="s">
        <v>129</v>
      </c>
      <c r="S488">
        <v>2025</v>
      </c>
      <c r="T488" t="s">
        <v>2759</v>
      </c>
      <c r="U488" t="s">
        <v>2760</v>
      </c>
      <c r="V488" s="4">
        <v>7</v>
      </c>
      <c r="W488" s="4">
        <v>0</v>
      </c>
    </row>
    <row r="489" spans="1:23">
      <c r="A489" t="s">
        <v>617</v>
      </c>
      <c r="B489" s="2">
        <v>45815</v>
      </c>
      <c r="C489" t="s">
        <v>71</v>
      </c>
      <c r="D489" t="s">
        <v>72</v>
      </c>
      <c r="E489" t="s">
        <v>73</v>
      </c>
      <c r="F489" t="s">
        <v>57</v>
      </c>
      <c r="G489" t="s">
        <v>120</v>
      </c>
      <c r="H489" t="s">
        <v>121</v>
      </c>
      <c r="I489">
        <v>5</v>
      </c>
      <c r="J489" s="3">
        <v>20813.900000000001</v>
      </c>
      <c r="K489" s="3">
        <v>104069.5</v>
      </c>
      <c r="L489" t="s">
        <v>52</v>
      </c>
      <c r="M489" s="2">
        <v>45829</v>
      </c>
      <c r="N489" s="2">
        <v>45827</v>
      </c>
      <c r="O489" t="s">
        <v>60</v>
      </c>
      <c r="P489" t="s">
        <v>77</v>
      </c>
      <c r="Q489" t="s">
        <v>28</v>
      </c>
      <c r="R489" t="s">
        <v>29</v>
      </c>
      <c r="S489">
        <v>2025</v>
      </c>
      <c r="T489" t="s">
        <v>2743</v>
      </c>
      <c r="U489" t="s">
        <v>2756</v>
      </c>
      <c r="V489" s="4">
        <v>0</v>
      </c>
      <c r="W489" s="4">
        <v>1</v>
      </c>
    </row>
    <row r="490" spans="1:23">
      <c r="A490" t="s">
        <v>618</v>
      </c>
      <c r="B490" s="2">
        <v>45790</v>
      </c>
      <c r="C490" t="s">
        <v>96</v>
      </c>
      <c r="D490" t="s">
        <v>97</v>
      </c>
      <c r="E490" t="s">
        <v>39</v>
      </c>
      <c r="F490" t="s">
        <v>82</v>
      </c>
      <c r="G490" t="s">
        <v>98</v>
      </c>
      <c r="H490" t="s">
        <v>99</v>
      </c>
      <c r="I490">
        <v>9</v>
      </c>
      <c r="J490" s="3">
        <v>1120.8499999999999</v>
      </c>
      <c r="K490" s="3">
        <v>10087.65</v>
      </c>
      <c r="L490" t="s">
        <v>25</v>
      </c>
      <c r="M490" s="2">
        <v>45803</v>
      </c>
      <c r="N490" s="2">
        <v>45800</v>
      </c>
      <c r="O490" t="s">
        <v>76</v>
      </c>
      <c r="P490" t="s">
        <v>64</v>
      </c>
      <c r="Q490" t="s">
        <v>28</v>
      </c>
      <c r="R490" t="s">
        <v>29</v>
      </c>
      <c r="S490">
        <v>2025</v>
      </c>
      <c r="T490" t="s">
        <v>2766</v>
      </c>
      <c r="U490" t="s">
        <v>2767</v>
      </c>
      <c r="V490" s="4">
        <v>0</v>
      </c>
      <c r="W490" s="4">
        <v>1</v>
      </c>
    </row>
    <row r="491" spans="1:23">
      <c r="A491" t="s">
        <v>619</v>
      </c>
      <c r="B491" s="2">
        <v>46066</v>
      </c>
      <c r="C491" t="s">
        <v>19</v>
      </c>
      <c r="D491" t="s">
        <v>20</v>
      </c>
      <c r="E491" t="s">
        <v>112</v>
      </c>
      <c r="F491" t="s">
        <v>22</v>
      </c>
      <c r="G491" t="s">
        <v>160</v>
      </c>
      <c r="H491" t="s">
        <v>161</v>
      </c>
      <c r="I491">
        <v>13</v>
      </c>
      <c r="J491" s="3">
        <v>3060.69</v>
      </c>
      <c r="K491" s="3">
        <v>39788.97</v>
      </c>
      <c r="L491" t="s">
        <v>25</v>
      </c>
      <c r="M491" s="2">
        <v>46081</v>
      </c>
      <c r="N491" s="2">
        <v>46087</v>
      </c>
      <c r="O491" t="s">
        <v>60</v>
      </c>
      <c r="P491" t="s">
        <v>115</v>
      </c>
      <c r="Q491" t="s">
        <v>28</v>
      </c>
      <c r="R491" t="s">
        <v>129</v>
      </c>
      <c r="S491">
        <v>2026</v>
      </c>
      <c r="T491" t="s">
        <v>2751</v>
      </c>
      <c r="U491" t="s">
        <v>2765</v>
      </c>
      <c r="V491" s="4">
        <v>6</v>
      </c>
      <c r="W491" s="4">
        <v>0</v>
      </c>
    </row>
    <row r="492" spans="1:23">
      <c r="A492" t="s">
        <v>620</v>
      </c>
      <c r="B492" s="2">
        <v>45792</v>
      </c>
      <c r="C492" t="s">
        <v>134</v>
      </c>
      <c r="D492" t="s">
        <v>135</v>
      </c>
      <c r="E492" t="s">
        <v>39</v>
      </c>
      <c r="F492" t="s">
        <v>40</v>
      </c>
      <c r="G492" t="s">
        <v>149</v>
      </c>
      <c r="H492" t="s">
        <v>150</v>
      </c>
      <c r="I492">
        <v>35</v>
      </c>
      <c r="J492" s="3">
        <v>1403.58</v>
      </c>
      <c r="K492" s="3">
        <v>49125.3</v>
      </c>
      <c r="L492" t="s">
        <v>25</v>
      </c>
      <c r="M492" s="2">
        <v>45801</v>
      </c>
      <c r="N492" s="2">
        <v>45798</v>
      </c>
      <c r="O492" t="s">
        <v>60</v>
      </c>
      <c r="P492" t="s">
        <v>44</v>
      </c>
      <c r="Q492" t="s">
        <v>28</v>
      </c>
      <c r="R492" t="s">
        <v>29</v>
      </c>
      <c r="S492">
        <v>2025</v>
      </c>
      <c r="T492" t="s">
        <v>2766</v>
      </c>
      <c r="U492" t="s">
        <v>2767</v>
      </c>
      <c r="V492" s="4">
        <v>0</v>
      </c>
      <c r="W492" s="4">
        <v>1</v>
      </c>
    </row>
    <row r="493" spans="1:23">
      <c r="A493" t="s">
        <v>621</v>
      </c>
      <c r="B493" s="2">
        <v>45848</v>
      </c>
      <c r="C493" t="s">
        <v>142</v>
      </c>
      <c r="D493" t="s">
        <v>143</v>
      </c>
      <c r="E493" t="s">
        <v>73</v>
      </c>
      <c r="F493" t="s">
        <v>22</v>
      </c>
      <c r="G493" t="s">
        <v>32</v>
      </c>
      <c r="H493" t="s">
        <v>33</v>
      </c>
      <c r="I493">
        <v>4</v>
      </c>
      <c r="J493" s="3">
        <v>7813.39</v>
      </c>
      <c r="K493" s="3">
        <v>31253.56</v>
      </c>
      <c r="L493" t="s">
        <v>52</v>
      </c>
      <c r="M493" s="2">
        <v>45863</v>
      </c>
      <c r="N493" s="2">
        <v>45862</v>
      </c>
      <c r="O493" t="s">
        <v>43</v>
      </c>
      <c r="P493" t="s">
        <v>77</v>
      </c>
      <c r="Q493" t="s">
        <v>28</v>
      </c>
      <c r="R493" t="s">
        <v>29</v>
      </c>
      <c r="S493">
        <v>2025</v>
      </c>
      <c r="T493" t="s">
        <v>2759</v>
      </c>
      <c r="U493" t="s">
        <v>2760</v>
      </c>
      <c r="V493" s="4">
        <v>0</v>
      </c>
      <c r="W493" s="4">
        <v>1</v>
      </c>
    </row>
    <row r="494" spans="1:23">
      <c r="A494" t="s">
        <v>622</v>
      </c>
      <c r="B494" s="2">
        <v>46137</v>
      </c>
      <c r="C494" t="s">
        <v>37</v>
      </c>
      <c r="D494" t="s">
        <v>38</v>
      </c>
      <c r="E494" t="s">
        <v>112</v>
      </c>
      <c r="F494" t="s">
        <v>40</v>
      </c>
      <c r="G494" t="s">
        <v>136</v>
      </c>
      <c r="H494" t="s">
        <v>137</v>
      </c>
      <c r="I494">
        <v>24</v>
      </c>
      <c r="J494" s="3">
        <v>1715.19</v>
      </c>
      <c r="K494" s="3">
        <v>41164.559999999998</v>
      </c>
      <c r="L494" t="s">
        <v>25</v>
      </c>
      <c r="M494" s="2">
        <v>46155</v>
      </c>
      <c r="N494" s="2">
        <v>46152</v>
      </c>
      <c r="O494" t="s">
        <v>43</v>
      </c>
      <c r="P494" t="s">
        <v>115</v>
      </c>
      <c r="Q494" t="s">
        <v>28</v>
      </c>
      <c r="R494" t="s">
        <v>29</v>
      </c>
      <c r="S494">
        <v>2026</v>
      </c>
      <c r="T494" t="s">
        <v>2741</v>
      </c>
      <c r="U494" t="s">
        <v>2770</v>
      </c>
      <c r="V494" s="4">
        <v>0</v>
      </c>
      <c r="W494" s="4">
        <v>1</v>
      </c>
    </row>
    <row r="495" spans="1:23">
      <c r="A495" t="s">
        <v>623</v>
      </c>
      <c r="B495" s="2">
        <v>45704</v>
      </c>
      <c r="C495" t="s">
        <v>71</v>
      </c>
      <c r="D495" t="s">
        <v>72</v>
      </c>
      <c r="E495" t="s">
        <v>31</v>
      </c>
      <c r="F495" t="s">
        <v>57</v>
      </c>
      <c r="G495" t="s">
        <v>101</v>
      </c>
      <c r="H495" t="s">
        <v>102</v>
      </c>
      <c r="I495">
        <v>57</v>
      </c>
      <c r="J495" s="3">
        <v>1725.3</v>
      </c>
      <c r="K495" s="3">
        <v>98342.1</v>
      </c>
      <c r="L495" t="s">
        <v>34</v>
      </c>
      <c r="M495" s="2">
        <v>45713</v>
      </c>
      <c r="N495" s="2">
        <v>45713</v>
      </c>
      <c r="O495" t="s">
        <v>43</v>
      </c>
      <c r="P495" t="s">
        <v>94</v>
      </c>
      <c r="Q495" t="s">
        <v>28</v>
      </c>
      <c r="R495" t="s">
        <v>29</v>
      </c>
      <c r="S495">
        <v>2025</v>
      </c>
      <c r="T495" t="s">
        <v>2751</v>
      </c>
      <c r="U495" t="s">
        <v>2752</v>
      </c>
      <c r="V495" s="4">
        <v>0</v>
      </c>
      <c r="W495" s="4">
        <v>1</v>
      </c>
    </row>
    <row r="496" spans="1:23">
      <c r="A496" t="s">
        <v>624</v>
      </c>
      <c r="B496" s="2">
        <v>46131</v>
      </c>
      <c r="C496" t="s">
        <v>37</v>
      </c>
      <c r="D496" t="s">
        <v>38</v>
      </c>
      <c r="E496" t="s">
        <v>39</v>
      </c>
      <c r="F496" t="s">
        <v>40</v>
      </c>
      <c r="G496" t="s">
        <v>41</v>
      </c>
      <c r="H496" t="s">
        <v>42</v>
      </c>
      <c r="I496">
        <v>5</v>
      </c>
      <c r="J496" s="3">
        <v>6002.81</v>
      </c>
      <c r="K496" s="3">
        <v>30014.05</v>
      </c>
      <c r="L496" t="s">
        <v>34</v>
      </c>
      <c r="M496" s="2">
        <v>46141</v>
      </c>
      <c r="N496" s="2">
        <v>46138</v>
      </c>
      <c r="O496" t="s">
        <v>60</v>
      </c>
      <c r="P496" t="s">
        <v>44</v>
      </c>
      <c r="Q496" t="s">
        <v>28</v>
      </c>
      <c r="R496" t="s">
        <v>29</v>
      </c>
      <c r="S496">
        <v>2026</v>
      </c>
      <c r="T496" t="s">
        <v>2741</v>
      </c>
      <c r="U496" t="s">
        <v>2770</v>
      </c>
      <c r="V496" s="4">
        <v>0</v>
      </c>
      <c r="W496" s="4">
        <v>1</v>
      </c>
    </row>
    <row r="497" spans="1:23">
      <c r="A497" t="s">
        <v>625</v>
      </c>
      <c r="B497" s="2">
        <v>45849</v>
      </c>
      <c r="C497" t="s">
        <v>80</v>
      </c>
      <c r="D497" t="s">
        <v>81</v>
      </c>
      <c r="E497" t="s">
        <v>39</v>
      </c>
      <c r="F497" t="s">
        <v>82</v>
      </c>
      <c r="G497" t="s">
        <v>98</v>
      </c>
      <c r="H497" t="s">
        <v>99</v>
      </c>
      <c r="I497">
        <v>39</v>
      </c>
      <c r="J497" s="3">
        <v>1059.25</v>
      </c>
      <c r="K497" s="3">
        <v>41310.75</v>
      </c>
      <c r="L497" t="s">
        <v>25</v>
      </c>
      <c r="M497" s="2">
        <v>45854</v>
      </c>
      <c r="N497" s="2">
        <v>45857</v>
      </c>
      <c r="O497" t="s">
        <v>60</v>
      </c>
      <c r="P497" t="s">
        <v>44</v>
      </c>
      <c r="Q497" t="s">
        <v>28</v>
      </c>
      <c r="R497" t="s">
        <v>129</v>
      </c>
      <c r="S497">
        <v>2025</v>
      </c>
      <c r="T497" t="s">
        <v>2759</v>
      </c>
      <c r="U497" t="s">
        <v>2760</v>
      </c>
      <c r="V497" s="4">
        <v>3</v>
      </c>
      <c r="W497" s="4">
        <v>0</v>
      </c>
    </row>
    <row r="498" spans="1:23">
      <c r="A498" t="s">
        <v>626</v>
      </c>
      <c r="B498" s="2">
        <v>46156</v>
      </c>
      <c r="C498" t="s">
        <v>66</v>
      </c>
      <c r="D498" t="s">
        <v>67</v>
      </c>
      <c r="E498" t="s">
        <v>48</v>
      </c>
      <c r="F498" t="s">
        <v>49</v>
      </c>
      <c r="G498" t="s">
        <v>68</v>
      </c>
      <c r="H498" t="s">
        <v>69</v>
      </c>
      <c r="I498">
        <v>1</v>
      </c>
      <c r="J498" s="3">
        <v>45064.83</v>
      </c>
      <c r="K498" s="3">
        <v>45064.83</v>
      </c>
      <c r="L498" t="s">
        <v>34</v>
      </c>
      <c r="M498" s="2">
        <v>46161</v>
      </c>
      <c r="N498" s="2">
        <v>46161</v>
      </c>
      <c r="O498" t="s">
        <v>26</v>
      </c>
      <c r="P498" t="s">
        <v>53</v>
      </c>
      <c r="Q498" t="s">
        <v>28</v>
      </c>
      <c r="R498" t="s">
        <v>29</v>
      </c>
      <c r="S498">
        <v>2026</v>
      </c>
      <c r="T498" t="s">
        <v>2766</v>
      </c>
      <c r="U498" t="s">
        <v>2769</v>
      </c>
      <c r="V498" s="4">
        <v>0</v>
      </c>
      <c r="W498" s="4">
        <v>1</v>
      </c>
    </row>
    <row r="499" spans="1:23">
      <c r="A499" t="s">
        <v>627</v>
      </c>
      <c r="B499" s="2">
        <v>45872</v>
      </c>
      <c r="C499" t="s">
        <v>37</v>
      </c>
      <c r="D499" t="s">
        <v>38</v>
      </c>
      <c r="E499" t="s">
        <v>39</v>
      </c>
      <c r="F499" t="s">
        <v>22</v>
      </c>
      <c r="G499" t="s">
        <v>160</v>
      </c>
      <c r="H499" t="s">
        <v>161</v>
      </c>
      <c r="I499">
        <v>9</v>
      </c>
      <c r="J499" s="3">
        <v>3496.01</v>
      </c>
      <c r="K499" s="3">
        <v>31464.09</v>
      </c>
      <c r="L499" t="s">
        <v>25</v>
      </c>
      <c r="M499" s="2">
        <v>45880</v>
      </c>
      <c r="N499" s="2">
        <v>45877</v>
      </c>
      <c r="O499" t="s">
        <v>60</v>
      </c>
      <c r="P499" t="s">
        <v>64</v>
      </c>
      <c r="Q499" t="s">
        <v>28</v>
      </c>
      <c r="R499" t="s">
        <v>29</v>
      </c>
      <c r="S499">
        <v>2025</v>
      </c>
      <c r="T499" t="s">
        <v>2761</v>
      </c>
      <c r="U499" t="s">
        <v>2762</v>
      </c>
      <c r="V499" s="4">
        <v>0</v>
      </c>
      <c r="W499" s="4">
        <v>1</v>
      </c>
    </row>
    <row r="500" spans="1:23">
      <c r="A500" t="s">
        <v>628</v>
      </c>
      <c r="B500" s="2">
        <v>45777</v>
      </c>
      <c r="C500" t="s">
        <v>80</v>
      </c>
      <c r="D500" t="s">
        <v>81</v>
      </c>
      <c r="E500" t="s">
        <v>39</v>
      </c>
      <c r="F500" t="s">
        <v>82</v>
      </c>
      <c r="G500" t="s">
        <v>98</v>
      </c>
      <c r="H500" t="s">
        <v>99</v>
      </c>
      <c r="I500">
        <v>60</v>
      </c>
      <c r="J500" s="3">
        <v>1095.1600000000001</v>
      </c>
      <c r="K500" s="3">
        <v>65709.600000000006</v>
      </c>
      <c r="L500" t="s">
        <v>25</v>
      </c>
      <c r="M500" s="2">
        <v>45789</v>
      </c>
      <c r="N500" s="2">
        <v>45788</v>
      </c>
      <c r="O500" t="s">
        <v>60</v>
      </c>
      <c r="P500" t="s">
        <v>64</v>
      </c>
      <c r="Q500" t="s">
        <v>28</v>
      </c>
      <c r="R500" t="s">
        <v>29</v>
      </c>
      <c r="S500">
        <v>2025</v>
      </c>
      <c r="T500" t="s">
        <v>2741</v>
      </c>
      <c r="U500" t="s">
        <v>2742</v>
      </c>
      <c r="V500" s="4">
        <v>0</v>
      </c>
      <c r="W500" s="4">
        <v>1</v>
      </c>
    </row>
    <row r="501" spans="1:23">
      <c r="A501" t="s">
        <v>629</v>
      </c>
      <c r="B501" s="2">
        <v>45999</v>
      </c>
      <c r="C501" t="s">
        <v>37</v>
      </c>
      <c r="D501" t="s">
        <v>38</v>
      </c>
      <c r="E501" t="s">
        <v>31</v>
      </c>
      <c r="F501" t="s">
        <v>22</v>
      </c>
      <c r="G501" t="s">
        <v>160</v>
      </c>
      <c r="H501" t="s">
        <v>161</v>
      </c>
      <c r="I501">
        <v>12</v>
      </c>
      <c r="J501" s="3">
        <v>3493.1</v>
      </c>
      <c r="K501" s="3">
        <v>41917.199999999997</v>
      </c>
      <c r="L501" t="s">
        <v>25</v>
      </c>
      <c r="M501" s="2">
        <v>46013</v>
      </c>
      <c r="N501" s="2">
        <v>46011</v>
      </c>
      <c r="O501" t="s">
        <v>60</v>
      </c>
      <c r="P501" t="s">
        <v>35</v>
      </c>
      <c r="Q501" t="s">
        <v>28</v>
      </c>
      <c r="R501" t="s">
        <v>29</v>
      </c>
      <c r="S501">
        <v>2025</v>
      </c>
      <c r="T501" t="s">
        <v>2745</v>
      </c>
      <c r="U501" t="s">
        <v>2746</v>
      </c>
      <c r="V501" s="4">
        <v>0</v>
      </c>
      <c r="W501" s="4">
        <v>1</v>
      </c>
    </row>
    <row r="502" spans="1:23">
      <c r="A502" t="s">
        <v>630</v>
      </c>
      <c r="B502" s="2">
        <v>46183</v>
      </c>
      <c r="C502" t="s">
        <v>142</v>
      </c>
      <c r="D502" t="s">
        <v>143</v>
      </c>
      <c r="E502" t="s">
        <v>31</v>
      </c>
      <c r="F502" t="s">
        <v>22</v>
      </c>
      <c r="G502" t="s">
        <v>160</v>
      </c>
      <c r="H502" t="s">
        <v>161</v>
      </c>
      <c r="I502">
        <v>1</v>
      </c>
      <c r="J502" s="3">
        <v>3041.21</v>
      </c>
      <c r="K502" s="3">
        <v>3041.21</v>
      </c>
      <c r="L502" t="s">
        <v>25</v>
      </c>
      <c r="M502" s="2">
        <v>46194</v>
      </c>
      <c r="N502" s="2">
        <v>46194</v>
      </c>
      <c r="O502" t="s">
        <v>60</v>
      </c>
      <c r="P502" t="s">
        <v>35</v>
      </c>
      <c r="Q502" t="s">
        <v>28</v>
      </c>
      <c r="R502" t="s">
        <v>29</v>
      </c>
      <c r="S502">
        <v>2026</v>
      </c>
      <c r="T502" t="s">
        <v>2743</v>
      </c>
      <c r="U502" t="s">
        <v>2744</v>
      </c>
      <c r="V502" s="4">
        <v>0</v>
      </c>
      <c r="W502" s="4">
        <v>1</v>
      </c>
    </row>
    <row r="503" spans="1:23">
      <c r="A503" t="s">
        <v>631</v>
      </c>
      <c r="B503" s="2">
        <v>45777</v>
      </c>
      <c r="C503" t="s">
        <v>147</v>
      </c>
      <c r="D503" t="s">
        <v>148</v>
      </c>
      <c r="E503" t="s">
        <v>112</v>
      </c>
      <c r="F503" t="s">
        <v>40</v>
      </c>
      <c r="G503" t="s">
        <v>62</v>
      </c>
      <c r="H503" t="s">
        <v>63</v>
      </c>
      <c r="I503">
        <v>5</v>
      </c>
      <c r="J503" s="3">
        <v>17082.86</v>
      </c>
      <c r="K503" s="3">
        <v>85414.3</v>
      </c>
      <c r="L503" t="s">
        <v>25</v>
      </c>
      <c r="M503" s="2">
        <v>45793</v>
      </c>
      <c r="N503" s="2">
        <v>45791</v>
      </c>
      <c r="O503" t="s">
        <v>26</v>
      </c>
      <c r="P503" t="s">
        <v>115</v>
      </c>
      <c r="Q503" t="s">
        <v>28</v>
      </c>
      <c r="R503" t="s">
        <v>29</v>
      </c>
      <c r="S503">
        <v>2025</v>
      </c>
      <c r="T503" t="s">
        <v>2741</v>
      </c>
      <c r="U503" t="s">
        <v>2742</v>
      </c>
      <c r="V503" s="4">
        <v>0</v>
      </c>
      <c r="W503" s="4">
        <v>1</v>
      </c>
    </row>
    <row r="504" spans="1:23">
      <c r="A504" t="s">
        <v>632</v>
      </c>
      <c r="B504" s="2">
        <v>46137</v>
      </c>
      <c r="C504" t="s">
        <v>131</v>
      </c>
      <c r="D504" t="s">
        <v>132</v>
      </c>
      <c r="E504" t="s">
        <v>21</v>
      </c>
      <c r="F504" t="s">
        <v>57</v>
      </c>
      <c r="G504" t="s">
        <v>74</v>
      </c>
      <c r="H504" t="s">
        <v>75</v>
      </c>
      <c r="I504">
        <v>11</v>
      </c>
      <c r="J504" s="3">
        <v>9395.52</v>
      </c>
      <c r="K504" s="3">
        <v>103350.72</v>
      </c>
      <c r="L504" t="s">
        <v>34</v>
      </c>
      <c r="M504" s="2">
        <v>46152</v>
      </c>
      <c r="N504" s="2">
        <v>46149</v>
      </c>
      <c r="O504" t="s">
        <v>26</v>
      </c>
      <c r="P504" t="s">
        <v>27</v>
      </c>
      <c r="Q504" t="s">
        <v>28</v>
      </c>
      <c r="R504" t="s">
        <v>29</v>
      </c>
      <c r="S504">
        <v>2026</v>
      </c>
      <c r="T504" t="s">
        <v>2741</v>
      </c>
      <c r="U504" t="s">
        <v>2770</v>
      </c>
      <c r="V504" s="4">
        <v>0</v>
      </c>
      <c r="W504" s="4">
        <v>1</v>
      </c>
    </row>
    <row r="505" spans="1:23">
      <c r="A505" t="s">
        <v>633</v>
      </c>
      <c r="B505" s="2">
        <v>45947</v>
      </c>
      <c r="C505" t="s">
        <v>37</v>
      </c>
      <c r="D505" t="s">
        <v>38</v>
      </c>
      <c r="E505" t="s">
        <v>39</v>
      </c>
      <c r="F505" t="s">
        <v>40</v>
      </c>
      <c r="G505" t="s">
        <v>149</v>
      </c>
      <c r="H505" t="s">
        <v>150</v>
      </c>
      <c r="I505">
        <v>36</v>
      </c>
      <c r="J505" s="3">
        <v>1407.04</v>
      </c>
      <c r="K505" s="3">
        <v>50653.440000000002</v>
      </c>
      <c r="L505" t="s">
        <v>25</v>
      </c>
      <c r="M505" s="2">
        <v>45953</v>
      </c>
      <c r="N505" s="2">
        <v>45950</v>
      </c>
      <c r="O505" t="s">
        <v>26</v>
      </c>
      <c r="P505" t="s">
        <v>64</v>
      </c>
      <c r="Q505" t="s">
        <v>28</v>
      </c>
      <c r="R505" t="s">
        <v>29</v>
      </c>
      <c r="S505">
        <v>2025</v>
      </c>
      <c r="T505" t="s">
        <v>2749</v>
      </c>
      <c r="U505" t="s">
        <v>2750</v>
      </c>
      <c r="V505" s="4">
        <v>0</v>
      </c>
      <c r="W505" s="4">
        <v>1</v>
      </c>
    </row>
    <row r="506" spans="1:23">
      <c r="A506" t="s">
        <v>634</v>
      </c>
      <c r="B506" s="2">
        <v>45676</v>
      </c>
      <c r="C506" t="s">
        <v>117</v>
      </c>
      <c r="D506" t="s">
        <v>118</v>
      </c>
      <c r="E506" t="s">
        <v>21</v>
      </c>
      <c r="F506" t="s">
        <v>57</v>
      </c>
      <c r="G506" t="s">
        <v>86</v>
      </c>
      <c r="H506" t="s">
        <v>87</v>
      </c>
      <c r="I506">
        <v>1</v>
      </c>
      <c r="J506" s="3">
        <v>11385.97</v>
      </c>
      <c r="K506" s="3">
        <v>11385.97</v>
      </c>
      <c r="L506" t="s">
        <v>25</v>
      </c>
      <c r="M506" s="2">
        <v>45693</v>
      </c>
      <c r="N506" s="2">
        <v>45701</v>
      </c>
      <c r="O506" t="s">
        <v>26</v>
      </c>
      <c r="P506" t="s">
        <v>27</v>
      </c>
      <c r="Q506" t="s">
        <v>28</v>
      </c>
      <c r="R506" t="s">
        <v>129</v>
      </c>
      <c r="S506">
        <v>2025</v>
      </c>
      <c r="T506" t="s">
        <v>2757</v>
      </c>
      <c r="U506" t="s">
        <v>2768</v>
      </c>
      <c r="V506" s="4">
        <v>8</v>
      </c>
      <c r="W506" s="4">
        <v>0</v>
      </c>
    </row>
    <row r="507" spans="1:23">
      <c r="A507" t="s">
        <v>635</v>
      </c>
      <c r="B507" s="2">
        <v>45887</v>
      </c>
      <c r="C507" t="s">
        <v>147</v>
      </c>
      <c r="D507" t="s">
        <v>148</v>
      </c>
      <c r="E507" t="s">
        <v>112</v>
      </c>
      <c r="F507" t="s">
        <v>40</v>
      </c>
      <c r="G507" t="s">
        <v>41</v>
      </c>
      <c r="H507" t="s">
        <v>42</v>
      </c>
      <c r="I507">
        <v>15</v>
      </c>
      <c r="J507" s="3">
        <v>5236.5200000000004</v>
      </c>
      <c r="K507" s="3">
        <v>78547.8</v>
      </c>
      <c r="L507" t="s">
        <v>34</v>
      </c>
      <c r="M507" s="2">
        <v>45894</v>
      </c>
      <c r="N507" s="2">
        <v>45894</v>
      </c>
      <c r="O507" t="s">
        <v>60</v>
      </c>
      <c r="P507" t="s">
        <v>115</v>
      </c>
      <c r="Q507" t="s">
        <v>28</v>
      </c>
      <c r="R507" t="s">
        <v>29</v>
      </c>
      <c r="S507">
        <v>2025</v>
      </c>
      <c r="T507" t="s">
        <v>2761</v>
      </c>
      <c r="U507" t="s">
        <v>2762</v>
      </c>
      <c r="V507" s="4">
        <v>0</v>
      </c>
      <c r="W507" s="4">
        <v>1</v>
      </c>
    </row>
    <row r="508" spans="1:23">
      <c r="A508" t="s">
        <v>636</v>
      </c>
      <c r="B508" s="2">
        <v>45700</v>
      </c>
      <c r="C508" t="s">
        <v>37</v>
      </c>
      <c r="D508" t="s">
        <v>38</v>
      </c>
      <c r="E508" t="s">
        <v>39</v>
      </c>
      <c r="F508" t="s">
        <v>22</v>
      </c>
      <c r="G508" t="s">
        <v>23</v>
      </c>
      <c r="H508" t="s">
        <v>24</v>
      </c>
      <c r="I508">
        <v>23</v>
      </c>
      <c r="J508" s="3">
        <v>255.37</v>
      </c>
      <c r="K508" s="3">
        <v>5873.51</v>
      </c>
      <c r="L508" t="s">
        <v>34</v>
      </c>
      <c r="M508" s="2">
        <v>45716</v>
      </c>
      <c r="N508" s="2">
        <v>45713</v>
      </c>
      <c r="O508" t="s">
        <v>43</v>
      </c>
      <c r="P508" t="s">
        <v>64</v>
      </c>
      <c r="Q508" t="s">
        <v>28</v>
      </c>
      <c r="R508" t="s">
        <v>29</v>
      </c>
      <c r="S508">
        <v>2025</v>
      </c>
      <c r="T508" t="s">
        <v>2751</v>
      </c>
      <c r="U508" t="s">
        <v>2752</v>
      </c>
      <c r="V508" s="4">
        <v>0</v>
      </c>
      <c r="W508" s="4">
        <v>1</v>
      </c>
    </row>
    <row r="509" spans="1:23">
      <c r="A509" t="s">
        <v>637</v>
      </c>
      <c r="B509" s="2">
        <v>46030</v>
      </c>
      <c r="C509" t="s">
        <v>37</v>
      </c>
      <c r="D509" t="s">
        <v>38</v>
      </c>
      <c r="E509" t="s">
        <v>39</v>
      </c>
      <c r="F509" t="s">
        <v>22</v>
      </c>
      <c r="G509" t="s">
        <v>160</v>
      </c>
      <c r="H509" t="s">
        <v>161</v>
      </c>
      <c r="I509">
        <v>1</v>
      </c>
      <c r="J509" s="3">
        <v>3469.02</v>
      </c>
      <c r="K509" s="3">
        <v>3469.02</v>
      </c>
      <c r="L509" t="s">
        <v>25</v>
      </c>
      <c r="M509" s="2">
        <v>46038</v>
      </c>
      <c r="N509" s="2">
        <v>46035</v>
      </c>
      <c r="O509" t="s">
        <v>26</v>
      </c>
      <c r="P509" t="s">
        <v>64</v>
      </c>
      <c r="Q509" t="s">
        <v>28</v>
      </c>
      <c r="R509" t="s">
        <v>29</v>
      </c>
      <c r="S509">
        <v>2026</v>
      </c>
      <c r="T509" t="s">
        <v>2757</v>
      </c>
      <c r="U509" t="s">
        <v>2758</v>
      </c>
      <c r="V509" s="4">
        <v>0</v>
      </c>
      <c r="W509" s="4">
        <v>1</v>
      </c>
    </row>
    <row r="510" spans="1:23">
      <c r="A510" t="s">
        <v>638</v>
      </c>
      <c r="B510" s="2">
        <v>45930</v>
      </c>
      <c r="C510" t="s">
        <v>104</v>
      </c>
      <c r="D510" t="s">
        <v>105</v>
      </c>
      <c r="E510" t="s">
        <v>48</v>
      </c>
      <c r="F510" t="s">
        <v>49</v>
      </c>
      <c r="G510" t="s">
        <v>50</v>
      </c>
      <c r="H510" t="s">
        <v>51</v>
      </c>
      <c r="I510">
        <v>2</v>
      </c>
      <c r="J510" s="3">
        <v>53446.41</v>
      </c>
      <c r="K510" s="3">
        <v>106892.82</v>
      </c>
      <c r="L510" t="s">
        <v>25</v>
      </c>
      <c r="M510" s="2">
        <v>45947</v>
      </c>
      <c r="N510" s="2">
        <v>45944</v>
      </c>
      <c r="O510" t="s">
        <v>60</v>
      </c>
      <c r="P510" t="s">
        <v>53</v>
      </c>
      <c r="Q510" t="s">
        <v>28</v>
      </c>
      <c r="R510" t="s">
        <v>29</v>
      </c>
      <c r="S510">
        <v>2025</v>
      </c>
      <c r="T510" t="s">
        <v>2753</v>
      </c>
      <c r="U510" t="s">
        <v>2754</v>
      </c>
      <c r="V510" s="4">
        <v>0</v>
      </c>
      <c r="W510" s="4">
        <v>1</v>
      </c>
    </row>
    <row r="511" spans="1:23">
      <c r="A511" t="s">
        <v>639</v>
      </c>
      <c r="B511" s="2">
        <v>46111</v>
      </c>
      <c r="C511" t="s">
        <v>96</v>
      </c>
      <c r="D511" t="s">
        <v>97</v>
      </c>
      <c r="E511" t="s">
        <v>39</v>
      </c>
      <c r="F511" t="s">
        <v>82</v>
      </c>
      <c r="G511" t="s">
        <v>83</v>
      </c>
      <c r="H511" t="s">
        <v>84</v>
      </c>
      <c r="I511">
        <v>54</v>
      </c>
      <c r="J511" s="3">
        <v>718.72</v>
      </c>
      <c r="K511" s="3">
        <v>38810.879999999997</v>
      </c>
      <c r="L511" t="s">
        <v>34</v>
      </c>
      <c r="M511" s="2">
        <v>46118</v>
      </c>
      <c r="N511" s="2">
        <v>46115</v>
      </c>
      <c r="O511" t="s">
        <v>26</v>
      </c>
      <c r="P511" t="s">
        <v>64</v>
      </c>
      <c r="Q511" t="s">
        <v>28</v>
      </c>
      <c r="R511" t="s">
        <v>29</v>
      </c>
      <c r="S511">
        <v>2026</v>
      </c>
      <c r="T511" t="s">
        <v>2747</v>
      </c>
      <c r="U511" t="s">
        <v>2755</v>
      </c>
      <c r="V511" s="4">
        <v>0</v>
      </c>
      <c r="W511" s="4">
        <v>1</v>
      </c>
    </row>
    <row r="512" spans="1:23">
      <c r="A512" t="s">
        <v>640</v>
      </c>
      <c r="B512" s="2">
        <v>46087</v>
      </c>
      <c r="C512" t="s">
        <v>66</v>
      </c>
      <c r="D512" t="s">
        <v>67</v>
      </c>
      <c r="E512" t="s">
        <v>48</v>
      </c>
      <c r="F512" t="s">
        <v>49</v>
      </c>
      <c r="G512" t="s">
        <v>165</v>
      </c>
      <c r="H512" t="s">
        <v>166</v>
      </c>
      <c r="I512">
        <v>1</v>
      </c>
      <c r="J512" s="3">
        <v>41935.040000000001</v>
      </c>
      <c r="K512" s="3">
        <v>41935.040000000001</v>
      </c>
      <c r="L512" t="s">
        <v>34</v>
      </c>
      <c r="M512" s="2">
        <v>46100</v>
      </c>
      <c r="N512" s="2">
        <v>46099</v>
      </c>
      <c r="O512" t="s">
        <v>60</v>
      </c>
      <c r="P512" t="s">
        <v>53</v>
      </c>
      <c r="Q512" t="s">
        <v>28</v>
      </c>
      <c r="R512" t="s">
        <v>29</v>
      </c>
      <c r="S512">
        <v>2026</v>
      </c>
      <c r="T512" t="s">
        <v>2747</v>
      </c>
      <c r="U512" t="s">
        <v>2755</v>
      </c>
      <c r="V512" s="4">
        <v>0</v>
      </c>
      <c r="W512" s="4">
        <v>1</v>
      </c>
    </row>
    <row r="513" spans="1:23">
      <c r="A513" t="s">
        <v>641</v>
      </c>
      <c r="B513" s="2">
        <v>46110</v>
      </c>
      <c r="C513" t="s">
        <v>66</v>
      </c>
      <c r="D513" t="s">
        <v>67</v>
      </c>
      <c r="E513" t="s">
        <v>112</v>
      </c>
      <c r="F513" t="s">
        <v>49</v>
      </c>
      <c r="G513" t="s">
        <v>68</v>
      </c>
      <c r="H513" t="s">
        <v>69</v>
      </c>
      <c r="I513">
        <v>1</v>
      </c>
      <c r="J513" s="3">
        <v>48389.24</v>
      </c>
      <c r="K513" s="3">
        <v>48389.24</v>
      </c>
      <c r="L513" t="s">
        <v>34</v>
      </c>
      <c r="M513" s="2">
        <v>46115</v>
      </c>
      <c r="N513" s="2">
        <v>46112</v>
      </c>
      <c r="O513" t="s">
        <v>26</v>
      </c>
      <c r="P513" t="s">
        <v>115</v>
      </c>
      <c r="Q513" t="s">
        <v>28</v>
      </c>
      <c r="R513" t="s">
        <v>29</v>
      </c>
      <c r="S513">
        <v>2026</v>
      </c>
      <c r="T513" t="s">
        <v>2747</v>
      </c>
      <c r="U513" t="s">
        <v>2755</v>
      </c>
      <c r="V513" s="4">
        <v>0</v>
      </c>
      <c r="W513" s="4">
        <v>1</v>
      </c>
    </row>
    <row r="514" spans="1:23">
      <c r="A514" t="s">
        <v>642</v>
      </c>
      <c r="B514" s="2">
        <v>45876</v>
      </c>
      <c r="C514" t="s">
        <v>19</v>
      </c>
      <c r="D514" t="s">
        <v>20</v>
      </c>
      <c r="E514" t="s">
        <v>31</v>
      </c>
      <c r="F514" t="s">
        <v>22</v>
      </c>
      <c r="G514" t="s">
        <v>160</v>
      </c>
      <c r="H514" t="s">
        <v>161</v>
      </c>
      <c r="I514">
        <v>1</v>
      </c>
      <c r="J514" s="3">
        <v>2854.51</v>
      </c>
      <c r="K514" s="3">
        <v>2854.51</v>
      </c>
      <c r="L514" t="s">
        <v>25</v>
      </c>
      <c r="M514" s="2">
        <v>45893</v>
      </c>
      <c r="N514" s="2">
        <v>45891</v>
      </c>
      <c r="O514" t="s">
        <v>76</v>
      </c>
      <c r="P514" t="s">
        <v>35</v>
      </c>
      <c r="Q514" t="s">
        <v>28</v>
      </c>
      <c r="R514" t="s">
        <v>29</v>
      </c>
      <c r="S514">
        <v>2025</v>
      </c>
      <c r="T514" t="s">
        <v>2761</v>
      </c>
      <c r="U514" t="s">
        <v>2762</v>
      </c>
      <c r="V514" s="4">
        <v>0</v>
      </c>
      <c r="W514" s="4">
        <v>1</v>
      </c>
    </row>
    <row r="515" spans="1:23">
      <c r="A515" t="s">
        <v>643</v>
      </c>
      <c r="B515" s="2">
        <v>46175</v>
      </c>
      <c r="C515" t="s">
        <v>134</v>
      </c>
      <c r="D515" t="s">
        <v>135</v>
      </c>
      <c r="E515" t="s">
        <v>39</v>
      </c>
      <c r="F515" t="s">
        <v>40</v>
      </c>
      <c r="G515" t="s">
        <v>136</v>
      </c>
      <c r="H515" t="s">
        <v>137</v>
      </c>
      <c r="I515">
        <v>8</v>
      </c>
      <c r="J515" s="3">
        <v>1636.64</v>
      </c>
      <c r="K515" s="3">
        <v>13093.12</v>
      </c>
      <c r="L515" t="s">
        <v>25</v>
      </c>
      <c r="M515" s="2">
        <v>46192</v>
      </c>
      <c r="N515" s="2">
        <v>46192</v>
      </c>
      <c r="O515" t="s">
        <v>43</v>
      </c>
      <c r="P515" t="s">
        <v>44</v>
      </c>
      <c r="Q515" t="s">
        <v>28</v>
      </c>
      <c r="R515" t="s">
        <v>29</v>
      </c>
      <c r="S515">
        <v>2026</v>
      </c>
      <c r="T515" t="s">
        <v>2743</v>
      </c>
      <c r="U515" t="s">
        <v>2744</v>
      </c>
      <c r="V515" s="4">
        <v>0</v>
      </c>
      <c r="W515" s="4">
        <v>1</v>
      </c>
    </row>
    <row r="516" spans="1:23">
      <c r="A516" t="s">
        <v>644</v>
      </c>
      <c r="B516" s="2">
        <v>45897</v>
      </c>
      <c r="C516" t="s">
        <v>71</v>
      </c>
      <c r="D516" t="s">
        <v>72</v>
      </c>
      <c r="E516" t="s">
        <v>21</v>
      </c>
      <c r="F516" t="s">
        <v>57</v>
      </c>
      <c r="G516" t="s">
        <v>127</v>
      </c>
      <c r="H516" t="s">
        <v>128</v>
      </c>
      <c r="I516">
        <v>4</v>
      </c>
      <c r="J516" s="3">
        <v>15659.37</v>
      </c>
      <c r="K516" s="3">
        <v>62637.48</v>
      </c>
      <c r="L516" t="s">
        <v>34</v>
      </c>
      <c r="M516" s="2">
        <v>45903</v>
      </c>
      <c r="N516" s="2">
        <v>45902</v>
      </c>
      <c r="O516" t="s">
        <v>76</v>
      </c>
      <c r="P516" t="s">
        <v>27</v>
      </c>
      <c r="Q516" t="s">
        <v>28</v>
      </c>
      <c r="R516" t="s">
        <v>29</v>
      </c>
      <c r="S516">
        <v>2025</v>
      </c>
      <c r="T516" t="s">
        <v>2761</v>
      </c>
      <c r="U516" t="s">
        <v>2762</v>
      </c>
      <c r="V516" s="4">
        <v>0</v>
      </c>
      <c r="W516" s="4">
        <v>1</v>
      </c>
    </row>
    <row r="517" spans="1:23">
      <c r="A517" t="s">
        <v>645</v>
      </c>
      <c r="B517" s="2">
        <v>45758</v>
      </c>
      <c r="C517" t="s">
        <v>104</v>
      </c>
      <c r="D517" t="s">
        <v>105</v>
      </c>
      <c r="E517" t="s">
        <v>73</v>
      </c>
      <c r="F517" t="s">
        <v>49</v>
      </c>
      <c r="G517" t="s">
        <v>113</v>
      </c>
      <c r="H517" t="s">
        <v>114</v>
      </c>
      <c r="I517">
        <v>1</v>
      </c>
      <c r="J517" s="3">
        <v>37933.11</v>
      </c>
      <c r="K517" s="3">
        <v>37933.11</v>
      </c>
      <c r="L517" t="s">
        <v>25</v>
      </c>
      <c r="M517" s="2">
        <v>45770</v>
      </c>
      <c r="N517" s="2">
        <v>45770</v>
      </c>
      <c r="O517" t="s">
        <v>60</v>
      </c>
      <c r="P517" t="s">
        <v>77</v>
      </c>
      <c r="Q517" t="s">
        <v>28</v>
      </c>
      <c r="R517" t="s">
        <v>29</v>
      </c>
      <c r="S517">
        <v>2025</v>
      </c>
      <c r="T517" t="s">
        <v>2741</v>
      </c>
      <c r="U517" t="s">
        <v>2742</v>
      </c>
      <c r="V517" s="4">
        <v>0</v>
      </c>
      <c r="W517" s="4">
        <v>1</v>
      </c>
    </row>
    <row r="518" spans="1:23">
      <c r="A518" t="s">
        <v>646</v>
      </c>
      <c r="B518" s="2">
        <v>45928</v>
      </c>
      <c r="C518" t="s">
        <v>131</v>
      </c>
      <c r="D518" t="s">
        <v>132</v>
      </c>
      <c r="E518" t="s">
        <v>31</v>
      </c>
      <c r="F518" t="s">
        <v>57</v>
      </c>
      <c r="G518" t="s">
        <v>120</v>
      </c>
      <c r="H518" t="s">
        <v>121</v>
      </c>
      <c r="I518">
        <v>7</v>
      </c>
      <c r="J518" s="3">
        <v>23043.15</v>
      </c>
      <c r="K518" s="3">
        <v>161302.04999999999</v>
      </c>
      <c r="L518" t="s">
        <v>25</v>
      </c>
      <c r="M518" s="2">
        <v>45946</v>
      </c>
      <c r="N518" s="2">
        <v>45945</v>
      </c>
      <c r="O518" t="s">
        <v>60</v>
      </c>
      <c r="P518" t="s">
        <v>94</v>
      </c>
      <c r="Q518" t="s">
        <v>28</v>
      </c>
      <c r="R518" t="s">
        <v>29</v>
      </c>
      <c r="S518">
        <v>2025</v>
      </c>
      <c r="T518" t="s">
        <v>2753</v>
      </c>
      <c r="U518" t="s">
        <v>2754</v>
      </c>
      <c r="V518" s="4">
        <v>0</v>
      </c>
      <c r="W518" s="4">
        <v>1</v>
      </c>
    </row>
    <row r="519" spans="1:23">
      <c r="A519" t="s">
        <v>647</v>
      </c>
      <c r="B519" s="2">
        <v>46124</v>
      </c>
      <c r="C519" t="s">
        <v>46</v>
      </c>
      <c r="D519" t="s">
        <v>47</v>
      </c>
      <c r="E519" t="s">
        <v>48</v>
      </c>
      <c r="F519" t="s">
        <v>49</v>
      </c>
      <c r="G519" t="s">
        <v>113</v>
      </c>
      <c r="H519" t="s">
        <v>114</v>
      </c>
      <c r="I519">
        <v>1</v>
      </c>
      <c r="J519" s="3">
        <v>40150.129999999997</v>
      </c>
      <c r="K519" s="3">
        <v>40150.129999999997</v>
      </c>
      <c r="L519" t="s">
        <v>25</v>
      </c>
      <c r="M519" s="2">
        <v>46134</v>
      </c>
      <c r="N519" s="2">
        <v>46134</v>
      </c>
      <c r="O519" t="s">
        <v>43</v>
      </c>
      <c r="P519" t="s">
        <v>53</v>
      </c>
      <c r="Q519" t="s">
        <v>28</v>
      </c>
      <c r="R519" t="s">
        <v>29</v>
      </c>
      <c r="S519">
        <v>2026</v>
      </c>
      <c r="T519" t="s">
        <v>2741</v>
      </c>
      <c r="U519" t="s">
        <v>2770</v>
      </c>
      <c r="V519" s="4">
        <v>0</v>
      </c>
      <c r="W519" s="4">
        <v>1</v>
      </c>
    </row>
    <row r="520" spans="1:23">
      <c r="A520" t="s">
        <v>648</v>
      </c>
      <c r="B520" s="2">
        <v>45968</v>
      </c>
      <c r="C520" t="s">
        <v>37</v>
      </c>
      <c r="D520" t="s">
        <v>38</v>
      </c>
      <c r="E520" t="s">
        <v>39</v>
      </c>
      <c r="F520" t="s">
        <v>22</v>
      </c>
      <c r="G520" t="s">
        <v>23</v>
      </c>
      <c r="H520" t="s">
        <v>24</v>
      </c>
      <c r="I520">
        <v>24</v>
      </c>
      <c r="J520" s="3">
        <v>261.61</v>
      </c>
      <c r="K520" s="3">
        <v>6278.64</v>
      </c>
      <c r="L520" t="s">
        <v>25</v>
      </c>
      <c r="M520" s="2">
        <v>45977</v>
      </c>
      <c r="N520" s="2">
        <v>45974</v>
      </c>
      <c r="O520" t="s">
        <v>76</v>
      </c>
      <c r="P520" t="s">
        <v>64</v>
      </c>
      <c r="Q520" t="s">
        <v>28</v>
      </c>
      <c r="R520" t="s">
        <v>29</v>
      </c>
      <c r="S520">
        <v>2025</v>
      </c>
      <c r="T520" t="s">
        <v>2763</v>
      </c>
      <c r="U520" t="s">
        <v>2764</v>
      </c>
      <c r="V520" s="4">
        <v>0</v>
      </c>
      <c r="W520" s="4">
        <v>1</v>
      </c>
    </row>
    <row r="521" spans="1:23">
      <c r="A521" t="s">
        <v>649</v>
      </c>
      <c r="B521" s="2">
        <v>45703</v>
      </c>
      <c r="C521" t="s">
        <v>37</v>
      </c>
      <c r="D521" t="s">
        <v>38</v>
      </c>
      <c r="E521" t="s">
        <v>31</v>
      </c>
      <c r="F521" t="s">
        <v>22</v>
      </c>
      <c r="G521" t="s">
        <v>160</v>
      </c>
      <c r="H521" t="s">
        <v>161</v>
      </c>
      <c r="I521">
        <v>8</v>
      </c>
      <c r="J521" s="3">
        <v>3472.7</v>
      </c>
      <c r="K521" s="3">
        <v>27781.599999999999</v>
      </c>
      <c r="L521" t="s">
        <v>34</v>
      </c>
      <c r="M521" s="2">
        <v>45721</v>
      </c>
      <c r="N521" s="2">
        <v>45720</v>
      </c>
      <c r="O521" t="s">
        <v>60</v>
      </c>
      <c r="P521" t="s">
        <v>35</v>
      </c>
      <c r="Q521" t="s">
        <v>28</v>
      </c>
      <c r="R521" t="s">
        <v>29</v>
      </c>
      <c r="S521">
        <v>2025</v>
      </c>
      <c r="T521" t="s">
        <v>2751</v>
      </c>
      <c r="U521" t="s">
        <v>2752</v>
      </c>
      <c r="V521" s="4">
        <v>0</v>
      </c>
      <c r="W521" s="4">
        <v>1</v>
      </c>
    </row>
    <row r="522" spans="1:23">
      <c r="A522" t="s">
        <v>650</v>
      </c>
      <c r="B522" s="2">
        <v>46117</v>
      </c>
      <c r="C522" t="s">
        <v>71</v>
      </c>
      <c r="D522" t="s">
        <v>72</v>
      </c>
      <c r="E522" t="s">
        <v>48</v>
      </c>
      <c r="F522" t="s">
        <v>57</v>
      </c>
      <c r="G522" t="s">
        <v>127</v>
      </c>
      <c r="H522" t="s">
        <v>128</v>
      </c>
      <c r="I522">
        <v>4</v>
      </c>
      <c r="J522" s="3">
        <v>15240.1</v>
      </c>
      <c r="K522" s="3">
        <v>60960.4</v>
      </c>
      <c r="L522" t="s">
        <v>52</v>
      </c>
      <c r="M522" s="2">
        <v>46128</v>
      </c>
      <c r="N522" s="2">
        <v>46128</v>
      </c>
      <c r="O522" t="s">
        <v>60</v>
      </c>
      <c r="P522" t="s">
        <v>53</v>
      </c>
      <c r="Q522" t="s">
        <v>28</v>
      </c>
      <c r="R522" t="s">
        <v>29</v>
      </c>
      <c r="S522">
        <v>2026</v>
      </c>
      <c r="T522" t="s">
        <v>2741</v>
      </c>
      <c r="U522" t="s">
        <v>2770</v>
      </c>
      <c r="V522" s="4">
        <v>0</v>
      </c>
      <c r="W522" s="4">
        <v>1</v>
      </c>
    </row>
    <row r="523" spans="1:23">
      <c r="A523" t="s">
        <v>651</v>
      </c>
      <c r="B523" s="2">
        <v>45683</v>
      </c>
      <c r="C523" t="s">
        <v>46</v>
      </c>
      <c r="D523" t="s">
        <v>47</v>
      </c>
      <c r="E523" t="s">
        <v>48</v>
      </c>
      <c r="F523" t="s">
        <v>49</v>
      </c>
      <c r="G523" t="s">
        <v>113</v>
      </c>
      <c r="H523" t="s">
        <v>114</v>
      </c>
      <c r="I523">
        <v>3</v>
      </c>
      <c r="J523" s="3">
        <v>38977.49</v>
      </c>
      <c r="K523" s="3">
        <v>116932.47</v>
      </c>
      <c r="L523" t="s">
        <v>52</v>
      </c>
      <c r="M523" s="2">
        <v>45696</v>
      </c>
      <c r="N523" s="2">
        <v>45696</v>
      </c>
      <c r="O523" t="s">
        <v>26</v>
      </c>
      <c r="P523" t="s">
        <v>53</v>
      </c>
      <c r="Q523" t="s">
        <v>28</v>
      </c>
      <c r="R523" t="s">
        <v>29</v>
      </c>
      <c r="S523">
        <v>2025</v>
      </c>
      <c r="T523" t="s">
        <v>2757</v>
      </c>
      <c r="U523" t="s">
        <v>2768</v>
      </c>
      <c r="V523" s="4">
        <v>0</v>
      </c>
      <c r="W523" s="4">
        <v>1</v>
      </c>
    </row>
    <row r="524" spans="1:23">
      <c r="A524" t="s">
        <v>652</v>
      </c>
      <c r="B524" s="2">
        <v>46202</v>
      </c>
      <c r="C524" t="s">
        <v>37</v>
      </c>
      <c r="D524" t="s">
        <v>38</v>
      </c>
      <c r="E524" t="s">
        <v>39</v>
      </c>
      <c r="F524" t="s">
        <v>22</v>
      </c>
      <c r="G524" t="s">
        <v>23</v>
      </c>
      <c r="H524" t="s">
        <v>24</v>
      </c>
      <c r="I524">
        <v>42</v>
      </c>
      <c r="J524" s="3">
        <v>271.45999999999998</v>
      </c>
      <c r="K524" s="3">
        <v>11401.32</v>
      </c>
      <c r="L524" t="s">
        <v>25</v>
      </c>
      <c r="M524" s="2">
        <v>46214</v>
      </c>
      <c r="N524" s="2">
        <v>46212</v>
      </c>
      <c r="O524" t="s">
        <v>43</v>
      </c>
      <c r="P524" t="s">
        <v>44</v>
      </c>
      <c r="Q524" t="s">
        <v>28</v>
      </c>
      <c r="R524" t="s">
        <v>29</v>
      </c>
      <c r="S524">
        <v>2026</v>
      </c>
      <c r="T524" t="s">
        <v>2743</v>
      </c>
      <c r="U524" t="s">
        <v>2744</v>
      </c>
      <c r="V524" s="4">
        <v>0</v>
      </c>
      <c r="W524" s="4">
        <v>1</v>
      </c>
    </row>
    <row r="525" spans="1:23">
      <c r="A525" t="s">
        <v>653</v>
      </c>
      <c r="B525" s="2">
        <v>46105</v>
      </c>
      <c r="C525" t="s">
        <v>96</v>
      </c>
      <c r="D525" t="s">
        <v>97</v>
      </c>
      <c r="E525" t="s">
        <v>39</v>
      </c>
      <c r="F525" t="s">
        <v>82</v>
      </c>
      <c r="G525" t="s">
        <v>98</v>
      </c>
      <c r="H525" t="s">
        <v>99</v>
      </c>
      <c r="I525">
        <v>11</v>
      </c>
      <c r="J525" s="3">
        <v>1124.56</v>
      </c>
      <c r="K525" s="3">
        <v>12370.16</v>
      </c>
      <c r="L525" t="s">
        <v>25</v>
      </c>
      <c r="M525" s="2">
        <v>46118</v>
      </c>
      <c r="N525" s="2">
        <v>46117</v>
      </c>
      <c r="O525" t="s">
        <v>43</v>
      </c>
      <c r="P525" t="s">
        <v>64</v>
      </c>
      <c r="Q525" t="s">
        <v>28</v>
      </c>
      <c r="R525" t="s">
        <v>29</v>
      </c>
      <c r="S525">
        <v>2026</v>
      </c>
      <c r="T525" t="s">
        <v>2747</v>
      </c>
      <c r="U525" t="s">
        <v>2755</v>
      </c>
      <c r="V525" s="4">
        <v>0</v>
      </c>
      <c r="W525" s="4">
        <v>1</v>
      </c>
    </row>
    <row r="526" spans="1:23">
      <c r="A526" t="s">
        <v>654</v>
      </c>
      <c r="B526" s="2">
        <v>45831</v>
      </c>
      <c r="C526" t="s">
        <v>19</v>
      </c>
      <c r="D526" t="s">
        <v>20</v>
      </c>
      <c r="E526" t="s">
        <v>112</v>
      </c>
      <c r="F526" t="s">
        <v>22</v>
      </c>
      <c r="G526" t="s">
        <v>23</v>
      </c>
      <c r="H526" t="s">
        <v>24</v>
      </c>
      <c r="I526">
        <v>11</v>
      </c>
      <c r="J526" s="3">
        <v>238.34</v>
      </c>
      <c r="K526" s="3">
        <v>2621.74</v>
      </c>
      <c r="L526" t="s">
        <v>25</v>
      </c>
      <c r="M526" s="2">
        <v>45841</v>
      </c>
      <c r="N526" s="2">
        <v>45848</v>
      </c>
      <c r="O526" t="s">
        <v>43</v>
      </c>
      <c r="P526" t="s">
        <v>115</v>
      </c>
      <c r="Q526" t="s">
        <v>28</v>
      </c>
      <c r="R526" t="s">
        <v>129</v>
      </c>
      <c r="S526">
        <v>2025</v>
      </c>
      <c r="T526" t="s">
        <v>2743</v>
      </c>
      <c r="U526" t="s">
        <v>2756</v>
      </c>
      <c r="V526" s="4">
        <v>7</v>
      </c>
      <c r="W526" s="4">
        <v>0</v>
      </c>
    </row>
    <row r="527" spans="1:23">
      <c r="A527" t="s">
        <v>655</v>
      </c>
      <c r="B527" s="2">
        <v>45865</v>
      </c>
      <c r="C527" t="s">
        <v>107</v>
      </c>
      <c r="D527" t="s">
        <v>108</v>
      </c>
      <c r="E527" t="s">
        <v>31</v>
      </c>
      <c r="F527" t="s">
        <v>91</v>
      </c>
      <c r="G527" t="s">
        <v>109</v>
      </c>
      <c r="H527" t="s">
        <v>110</v>
      </c>
      <c r="I527">
        <v>1</v>
      </c>
      <c r="J527" s="3">
        <v>13824.22</v>
      </c>
      <c r="K527" s="3">
        <v>13824.22</v>
      </c>
      <c r="L527" t="s">
        <v>34</v>
      </c>
      <c r="M527" s="2">
        <v>45874</v>
      </c>
      <c r="N527" s="2">
        <v>45871</v>
      </c>
      <c r="O527" t="s">
        <v>43</v>
      </c>
      <c r="P527" t="s">
        <v>35</v>
      </c>
      <c r="Q527" t="s">
        <v>28</v>
      </c>
      <c r="R527" t="s">
        <v>29</v>
      </c>
      <c r="S527">
        <v>2025</v>
      </c>
      <c r="T527" t="s">
        <v>2759</v>
      </c>
      <c r="U527" t="s">
        <v>2760</v>
      </c>
      <c r="V527" s="4">
        <v>0</v>
      </c>
      <c r="W527" s="4">
        <v>1</v>
      </c>
    </row>
    <row r="528" spans="1:23">
      <c r="A528" t="s">
        <v>656</v>
      </c>
      <c r="B528" s="2">
        <v>45687</v>
      </c>
      <c r="C528" t="s">
        <v>19</v>
      </c>
      <c r="D528" t="s">
        <v>20</v>
      </c>
      <c r="E528" t="s">
        <v>39</v>
      </c>
      <c r="F528" t="s">
        <v>22</v>
      </c>
      <c r="G528" t="s">
        <v>160</v>
      </c>
      <c r="H528" t="s">
        <v>161</v>
      </c>
      <c r="I528">
        <v>2</v>
      </c>
      <c r="J528" s="3">
        <v>2966.87</v>
      </c>
      <c r="K528" s="3">
        <v>5933.74</v>
      </c>
      <c r="L528" t="s">
        <v>25</v>
      </c>
      <c r="M528" s="2">
        <v>45695</v>
      </c>
      <c r="N528" s="2">
        <v>45694</v>
      </c>
      <c r="O528" t="s">
        <v>60</v>
      </c>
      <c r="P528" t="s">
        <v>44</v>
      </c>
      <c r="Q528" t="s">
        <v>28</v>
      </c>
      <c r="R528" t="s">
        <v>29</v>
      </c>
      <c r="S528">
        <v>2025</v>
      </c>
      <c r="T528" t="s">
        <v>2757</v>
      </c>
      <c r="U528" t="s">
        <v>2768</v>
      </c>
      <c r="V528" s="4">
        <v>0</v>
      </c>
      <c r="W528" s="4">
        <v>1</v>
      </c>
    </row>
    <row r="529" spans="1:23">
      <c r="A529" t="s">
        <v>657</v>
      </c>
      <c r="B529" s="2">
        <v>46170</v>
      </c>
      <c r="C529" t="s">
        <v>147</v>
      </c>
      <c r="D529" t="s">
        <v>148</v>
      </c>
      <c r="E529" t="s">
        <v>112</v>
      </c>
      <c r="F529" t="s">
        <v>40</v>
      </c>
      <c r="G529" t="s">
        <v>149</v>
      </c>
      <c r="H529" t="s">
        <v>150</v>
      </c>
      <c r="I529">
        <v>32</v>
      </c>
      <c r="J529" s="3">
        <v>1306.8599999999999</v>
      </c>
      <c r="K529" s="3">
        <v>41819.519999999997</v>
      </c>
      <c r="L529" t="s">
        <v>34</v>
      </c>
      <c r="M529" s="2">
        <v>46183</v>
      </c>
      <c r="N529" s="2">
        <v>46183</v>
      </c>
      <c r="O529" t="s">
        <v>76</v>
      </c>
      <c r="P529" t="s">
        <v>115</v>
      </c>
      <c r="Q529" t="s">
        <v>28</v>
      </c>
      <c r="R529" t="s">
        <v>29</v>
      </c>
      <c r="S529">
        <v>2026</v>
      </c>
      <c r="T529" t="s">
        <v>2766</v>
      </c>
      <c r="U529" t="s">
        <v>2769</v>
      </c>
      <c r="V529" s="4">
        <v>0</v>
      </c>
      <c r="W529" s="4">
        <v>1</v>
      </c>
    </row>
    <row r="530" spans="1:23">
      <c r="A530" t="s">
        <v>658</v>
      </c>
      <c r="B530" s="2">
        <v>45658</v>
      </c>
      <c r="C530" t="s">
        <v>147</v>
      </c>
      <c r="D530" t="s">
        <v>148</v>
      </c>
      <c r="E530" t="s">
        <v>112</v>
      </c>
      <c r="F530" t="s">
        <v>40</v>
      </c>
      <c r="G530" t="s">
        <v>136</v>
      </c>
      <c r="H530" t="s">
        <v>137</v>
      </c>
      <c r="I530">
        <v>27</v>
      </c>
      <c r="J530" s="3">
        <v>1574.83</v>
      </c>
      <c r="K530" s="3">
        <v>42520.41</v>
      </c>
      <c r="L530" t="s">
        <v>25</v>
      </c>
      <c r="M530" s="2">
        <v>45676</v>
      </c>
      <c r="N530" s="2">
        <v>45674</v>
      </c>
      <c r="O530" t="s">
        <v>43</v>
      </c>
      <c r="P530" t="s">
        <v>115</v>
      </c>
      <c r="Q530" t="s">
        <v>28</v>
      </c>
      <c r="R530" t="s">
        <v>29</v>
      </c>
      <c r="S530">
        <v>2025</v>
      </c>
      <c r="T530" t="s">
        <v>2757</v>
      </c>
      <c r="U530" t="s">
        <v>2768</v>
      </c>
      <c r="V530" s="4">
        <v>0</v>
      </c>
      <c r="W530" s="4">
        <v>1</v>
      </c>
    </row>
    <row r="531" spans="1:23">
      <c r="A531" t="s">
        <v>659</v>
      </c>
      <c r="B531" s="2">
        <v>45749</v>
      </c>
      <c r="C531" t="s">
        <v>19</v>
      </c>
      <c r="D531" t="s">
        <v>20</v>
      </c>
      <c r="E531" t="s">
        <v>39</v>
      </c>
      <c r="F531" t="s">
        <v>22</v>
      </c>
      <c r="G531" t="s">
        <v>32</v>
      </c>
      <c r="H531" t="s">
        <v>33</v>
      </c>
      <c r="I531">
        <v>7</v>
      </c>
      <c r="J531" s="3">
        <v>7146.29</v>
      </c>
      <c r="K531" s="3">
        <v>50024.03</v>
      </c>
      <c r="L531" t="s">
        <v>52</v>
      </c>
      <c r="M531" s="2">
        <v>45757</v>
      </c>
      <c r="N531" s="2">
        <v>45755</v>
      </c>
      <c r="O531" t="s">
        <v>76</v>
      </c>
      <c r="P531" t="s">
        <v>44</v>
      </c>
      <c r="Q531" t="s">
        <v>28</v>
      </c>
      <c r="R531" t="s">
        <v>29</v>
      </c>
      <c r="S531">
        <v>2025</v>
      </c>
      <c r="T531" t="s">
        <v>2741</v>
      </c>
      <c r="U531" t="s">
        <v>2742</v>
      </c>
      <c r="V531" s="4">
        <v>0</v>
      </c>
      <c r="W531" s="4">
        <v>1</v>
      </c>
    </row>
    <row r="532" spans="1:23">
      <c r="A532" t="s">
        <v>660</v>
      </c>
      <c r="B532" s="2">
        <v>46121</v>
      </c>
      <c r="C532" t="s">
        <v>104</v>
      </c>
      <c r="D532" t="s">
        <v>105</v>
      </c>
      <c r="E532" t="s">
        <v>48</v>
      </c>
      <c r="F532" t="s">
        <v>49</v>
      </c>
      <c r="G532" t="s">
        <v>165</v>
      </c>
      <c r="H532" t="s">
        <v>166</v>
      </c>
      <c r="I532">
        <v>1</v>
      </c>
      <c r="J532" s="3">
        <v>47083.92</v>
      </c>
      <c r="K532" s="3">
        <v>47083.92</v>
      </c>
      <c r="L532" t="s">
        <v>34</v>
      </c>
      <c r="M532" s="2">
        <v>46126</v>
      </c>
      <c r="N532" s="2">
        <v>46125</v>
      </c>
      <c r="O532" t="s">
        <v>43</v>
      </c>
      <c r="P532" t="s">
        <v>53</v>
      </c>
      <c r="Q532" t="s">
        <v>28</v>
      </c>
      <c r="R532" t="s">
        <v>29</v>
      </c>
      <c r="S532">
        <v>2026</v>
      </c>
      <c r="T532" t="s">
        <v>2741</v>
      </c>
      <c r="U532" t="s">
        <v>2770</v>
      </c>
      <c r="V532" s="4">
        <v>0</v>
      </c>
      <c r="W532" s="4">
        <v>1</v>
      </c>
    </row>
    <row r="533" spans="1:23">
      <c r="A533" t="s">
        <v>661</v>
      </c>
      <c r="B533" s="2">
        <v>45835</v>
      </c>
      <c r="C533" t="s">
        <v>66</v>
      </c>
      <c r="D533" t="s">
        <v>67</v>
      </c>
      <c r="E533" t="s">
        <v>112</v>
      </c>
      <c r="F533" t="s">
        <v>49</v>
      </c>
      <c r="G533" t="s">
        <v>68</v>
      </c>
      <c r="H533" t="s">
        <v>69</v>
      </c>
      <c r="I533">
        <v>1</v>
      </c>
      <c r="J533" s="3">
        <v>46952.59</v>
      </c>
      <c r="K533" s="3">
        <v>46952.59</v>
      </c>
      <c r="L533" t="s">
        <v>34</v>
      </c>
      <c r="M533" s="2">
        <v>45848</v>
      </c>
      <c r="N533" s="2">
        <v>45863</v>
      </c>
      <c r="O533" t="s">
        <v>60</v>
      </c>
      <c r="P533" t="s">
        <v>115</v>
      </c>
      <c r="Q533" t="s">
        <v>28</v>
      </c>
      <c r="R533" t="s">
        <v>129</v>
      </c>
      <c r="S533">
        <v>2025</v>
      </c>
      <c r="T533" t="s">
        <v>2743</v>
      </c>
      <c r="U533" t="s">
        <v>2756</v>
      </c>
      <c r="V533" s="4">
        <v>15</v>
      </c>
      <c r="W533" s="4">
        <v>0</v>
      </c>
    </row>
    <row r="534" spans="1:23">
      <c r="A534" t="s">
        <v>662</v>
      </c>
      <c r="B534" s="2">
        <v>46024</v>
      </c>
      <c r="C534" t="s">
        <v>71</v>
      </c>
      <c r="D534" t="s">
        <v>72</v>
      </c>
      <c r="E534" t="s">
        <v>48</v>
      </c>
      <c r="F534" t="s">
        <v>57</v>
      </c>
      <c r="G534" t="s">
        <v>101</v>
      </c>
      <c r="H534" t="s">
        <v>102</v>
      </c>
      <c r="I534">
        <v>33</v>
      </c>
      <c r="J534" s="3">
        <v>1758.02</v>
      </c>
      <c r="K534" s="3">
        <v>58014.66</v>
      </c>
      <c r="L534" t="s">
        <v>34</v>
      </c>
      <c r="M534" s="2">
        <v>46029</v>
      </c>
      <c r="N534" s="2">
        <v>46031</v>
      </c>
      <c r="O534" t="s">
        <v>76</v>
      </c>
      <c r="P534" t="s">
        <v>53</v>
      </c>
      <c r="Q534" t="s">
        <v>28</v>
      </c>
      <c r="R534" t="s">
        <v>129</v>
      </c>
      <c r="S534">
        <v>2026</v>
      </c>
      <c r="T534" t="s">
        <v>2757</v>
      </c>
      <c r="U534" t="s">
        <v>2758</v>
      </c>
      <c r="V534" s="4">
        <v>2</v>
      </c>
      <c r="W534" s="4">
        <v>0</v>
      </c>
    </row>
    <row r="535" spans="1:23">
      <c r="A535" t="s">
        <v>663</v>
      </c>
      <c r="B535" s="2">
        <v>45968</v>
      </c>
      <c r="C535" t="s">
        <v>37</v>
      </c>
      <c r="D535" t="s">
        <v>38</v>
      </c>
      <c r="E535" t="s">
        <v>39</v>
      </c>
      <c r="F535" t="s">
        <v>40</v>
      </c>
      <c r="G535" t="s">
        <v>136</v>
      </c>
      <c r="H535" t="s">
        <v>137</v>
      </c>
      <c r="I535">
        <v>50</v>
      </c>
      <c r="J535" s="3">
        <v>1773.19</v>
      </c>
      <c r="K535" s="3">
        <v>88659.5</v>
      </c>
      <c r="L535" t="s">
        <v>25</v>
      </c>
      <c r="M535" s="2">
        <v>45984</v>
      </c>
      <c r="N535" s="2">
        <v>45984</v>
      </c>
      <c r="O535" t="s">
        <v>60</v>
      </c>
      <c r="P535" t="s">
        <v>64</v>
      </c>
      <c r="Q535" t="s">
        <v>28</v>
      </c>
      <c r="R535" t="s">
        <v>29</v>
      </c>
      <c r="S535">
        <v>2025</v>
      </c>
      <c r="T535" t="s">
        <v>2763</v>
      </c>
      <c r="U535" t="s">
        <v>2764</v>
      </c>
      <c r="V535" s="4">
        <v>0</v>
      </c>
      <c r="W535" s="4">
        <v>1</v>
      </c>
    </row>
    <row r="536" spans="1:23">
      <c r="A536" t="s">
        <v>664</v>
      </c>
      <c r="B536" s="2">
        <v>45942</v>
      </c>
      <c r="C536" t="s">
        <v>19</v>
      </c>
      <c r="D536" t="s">
        <v>20</v>
      </c>
      <c r="E536" t="s">
        <v>31</v>
      </c>
      <c r="F536" t="s">
        <v>22</v>
      </c>
      <c r="G536" t="s">
        <v>23</v>
      </c>
      <c r="H536" t="s">
        <v>24</v>
      </c>
      <c r="I536">
        <v>48</v>
      </c>
      <c r="J536" s="3">
        <v>230.34</v>
      </c>
      <c r="K536" s="3">
        <v>11056.32</v>
      </c>
      <c r="L536" t="s">
        <v>34</v>
      </c>
      <c r="M536" s="2">
        <v>45956</v>
      </c>
      <c r="N536" s="2">
        <v>45956</v>
      </c>
      <c r="O536" t="s">
        <v>43</v>
      </c>
      <c r="P536" t="s">
        <v>94</v>
      </c>
      <c r="Q536" t="s">
        <v>28</v>
      </c>
      <c r="R536" t="s">
        <v>29</v>
      </c>
      <c r="S536">
        <v>2025</v>
      </c>
      <c r="T536" t="s">
        <v>2749</v>
      </c>
      <c r="U536" t="s">
        <v>2750</v>
      </c>
      <c r="V536" s="4">
        <v>0</v>
      </c>
      <c r="W536" s="4">
        <v>1</v>
      </c>
    </row>
    <row r="537" spans="1:23">
      <c r="A537" t="s">
        <v>665</v>
      </c>
      <c r="B537" s="2">
        <v>45938</v>
      </c>
      <c r="C537" t="s">
        <v>104</v>
      </c>
      <c r="D537" t="s">
        <v>105</v>
      </c>
      <c r="E537" t="s">
        <v>48</v>
      </c>
      <c r="F537" t="s">
        <v>49</v>
      </c>
      <c r="G537" t="s">
        <v>68</v>
      </c>
      <c r="H537" t="s">
        <v>69</v>
      </c>
      <c r="I537">
        <v>1</v>
      </c>
      <c r="J537" s="3">
        <v>47925.13</v>
      </c>
      <c r="K537" s="3">
        <v>47925.13</v>
      </c>
      <c r="L537" t="s">
        <v>34</v>
      </c>
      <c r="M537" s="2">
        <v>45956</v>
      </c>
      <c r="N537" s="2">
        <v>45953</v>
      </c>
      <c r="O537" t="s">
        <v>60</v>
      </c>
      <c r="P537" t="s">
        <v>53</v>
      </c>
      <c r="Q537" t="s">
        <v>28</v>
      </c>
      <c r="R537" t="s">
        <v>29</v>
      </c>
      <c r="S537">
        <v>2025</v>
      </c>
      <c r="T537" t="s">
        <v>2749</v>
      </c>
      <c r="U537" t="s">
        <v>2750</v>
      </c>
      <c r="V537" s="4">
        <v>0</v>
      </c>
      <c r="W537" s="4">
        <v>1</v>
      </c>
    </row>
    <row r="538" spans="1:23">
      <c r="A538" t="s">
        <v>666</v>
      </c>
      <c r="B538" s="2">
        <v>46135</v>
      </c>
      <c r="C538" t="s">
        <v>89</v>
      </c>
      <c r="D538" t="s">
        <v>90</v>
      </c>
      <c r="E538" t="s">
        <v>31</v>
      </c>
      <c r="F538" t="s">
        <v>91</v>
      </c>
      <c r="G538" t="s">
        <v>92</v>
      </c>
      <c r="H538" t="s">
        <v>93</v>
      </c>
      <c r="I538">
        <v>3</v>
      </c>
      <c r="J538" s="3">
        <v>43791.519999999997</v>
      </c>
      <c r="K538" s="3">
        <v>131374.56</v>
      </c>
      <c r="L538" t="s">
        <v>25</v>
      </c>
      <c r="M538" s="2">
        <v>46147</v>
      </c>
      <c r="N538" s="2">
        <v>46144</v>
      </c>
      <c r="O538" t="s">
        <v>43</v>
      </c>
      <c r="P538" t="s">
        <v>94</v>
      </c>
      <c r="Q538" t="s">
        <v>28</v>
      </c>
      <c r="R538" t="s">
        <v>29</v>
      </c>
      <c r="S538">
        <v>2026</v>
      </c>
      <c r="T538" t="s">
        <v>2741</v>
      </c>
      <c r="U538" t="s">
        <v>2770</v>
      </c>
      <c r="V538" s="4">
        <v>0</v>
      </c>
      <c r="W538" s="4">
        <v>1</v>
      </c>
    </row>
    <row r="539" spans="1:23">
      <c r="A539" t="s">
        <v>667</v>
      </c>
      <c r="B539" s="2">
        <v>45913</v>
      </c>
      <c r="C539" t="s">
        <v>19</v>
      </c>
      <c r="D539" t="s">
        <v>20</v>
      </c>
      <c r="E539" t="s">
        <v>21</v>
      </c>
      <c r="F539" t="s">
        <v>22</v>
      </c>
      <c r="G539" t="s">
        <v>32</v>
      </c>
      <c r="H539" t="s">
        <v>33</v>
      </c>
      <c r="I539">
        <v>7</v>
      </c>
      <c r="J539" s="3">
        <v>6982.04</v>
      </c>
      <c r="K539" s="3">
        <v>48874.28</v>
      </c>
      <c r="L539" t="s">
        <v>34</v>
      </c>
      <c r="M539" s="2">
        <v>45930</v>
      </c>
      <c r="N539" s="2">
        <v>45944</v>
      </c>
      <c r="O539" t="s">
        <v>76</v>
      </c>
      <c r="P539" t="s">
        <v>27</v>
      </c>
      <c r="Q539" t="s">
        <v>28</v>
      </c>
      <c r="R539" t="s">
        <v>129</v>
      </c>
      <c r="S539">
        <v>2025</v>
      </c>
      <c r="T539" t="s">
        <v>2753</v>
      </c>
      <c r="U539" t="s">
        <v>2754</v>
      </c>
      <c r="V539" s="4">
        <v>14</v>
      </c>
      <c r="W539" s="4">
        <v>0</v>
      </c>
    </row>
    <row r="540" spans="1:23">
      <c r="A540" t="s">
        <v>668</v>
      </c>
      <c r="B540" s="2">
        <v>45911</v>
      </c>
      <c r="C540" t="s">
        <v>147</v>
      </c>
      <c r="D540" t="s">
        <v>148</v>
      </c>
      <c r="E540" t="s">
        <v>39</v>
      </c>
      <c r="F540" t="s">
        <v>40</v>
      </c>
      <c r="G540" t="s">
        <v>41</v>
      </c>
      <c r="H540" t="s">
        <v>42</v>
      </c>
      <c r="I540">
        <v>4</v>
      </c>
      <c r="J540" s="3">
        <v>5219.1000000000004</v>
      </c>
      <c r="K540" s="3">
        <v>20876.400000000001</v>
      </c>
      <c r="L540" t="s">
        <v>34</v>
      </c>
      <c r="M540" s="2">
        <v>45917</v>
      </c>
      <c r="N540" s="2">
        <v>45914</v>
      </c>
      <c r="O540" t="s">
        <v>60</v>
      </c>
      <c r="P540" t="s">
        <v>64</v>
      </c>
      <c r="Q540" t="s">
        <v>28</v>
      </c>
      <c r="R540" t="s">
        <v>29</v>
      </c>
      <c r="S540">
        <v>2025</v>
      </c>
      <c r="T540" t="s">
        <v>2753</v>
      </c>
      <c r="U540" t="s">
        <v>2754</v>
      </c>
      <c r="V540" s="4">
        <v>0</v>
      </c>
      <c r="W540" s="4">
        <v>1</v>
      </c>
    </row>
    <row r="541" spans="1:23">
      <c r="A541" t="s">
        <v>669</v>
      </c>
      <c r="B541" s="2">
        <v>45692</v>
      </c>
      <c r="C541" t="s">
        <v>66</v>
      </c>
      <c r="D541" t="s">
        <v>67</v>
      </c>
      <c r="E541" t="s">
        <v>112</v>
      </c>
      <c r="F541" t="s">
        <v>49</v>
      </c>
      <c r="G541" t="s">
        <v>113</v>
      </c>
      <c r="H541" t="s">
        <v>114</v>
      </c>
      <c r="I541">
        <v>2</v>
      </c>
      <c r="J541" s="3">
        <v>35591.29</v>
      </c>
      <c r="K541" s="3">
        <v>71182.58</v>
      </c>
      <c r="L541" t="s">
        <v>25</v>
      </c>
      <c r="M541" s="2">
        <v>45697</v>
      </c>
      <c r="N541" s="2">
        <v>45694</v>
      </c>
      <c r="O541" t="s">
        <v>43</v>
      </c>
      <c r="P541" t="s">
        <v>115</v>
      </c>
      <c r="Q541" t="s">
        <v>28</v>
      </c>
      <c r="R541" t="s">
        <v>29</v>
      </c>
      <c r="S541">
        <v>2025</v>
      </c>
      <c r="T541" t="s">
        <v>2751</v>
      </c>
      <c r="U541" t="s">
        <v>2752</v>
      </c>
      <c r="V541" s="4">
        <v>0</v>
      </c>
      <c r="W541" s="4">
        <v>1</v>
      </c>
    </row>
    <row r="542" spans="1:23">
      <c r="A542" t="s">
        <v>670</v>
      </c>
      <c r="B542" s="2">
        <v>46069</v>
      </c>
      <c r="C542" t="s">
        <v>71</v>
      </c>
      <c r="D542" t="s">
        <v>72</v>
      </c>
      <c r="E542" t="s">
        <v>48</v>
      </c>
      <c r="F542" t="s">
        <v>57</v>
      </c>
      <c r="G542" t="s">
        <v>127</v>
      </c>
      <c r="H542" t="s">
        <v>128</v>
      </c>
      <c r="I542">
        <v>8</v>
      </c>
      <c r="J542" s="3">
        <v>15535.07</v>
      </c>
      <c r="K542" s="3">
        <v>124280.56</v>
      </c>
      <c r="L542" t="s">
        <v>52</v>
      </c>
      <c r="M542" s="2">
        <v>46080</v>
      </c>
      <c r="N542" s="2">
        <v>46077</v>
      </c>
      <c r="O542" t="s">
        <v>43</v>
      </c>
      <c r="P542" t="s">
        <v>53</v>
      </c>
      <c r="Q542" t="s">
        <v>28</v>
      </c>
      <c r="R542" t="s">
        <v>29</v>
      </c>
      <c r="S542">
        <v>2026</v>
      </c>
      <c r="T542" t="s">
        <v>2751</v>
      </c>
      <c r="U542" t="s">
        <v>2765</v>
      </c>
      <c r="V542" s="4">
        <v>0</v>
      </c>
      <c r="W542" s="4">
        <v>1</v>
      </c>
    </row>
    <row r="543" spans="1:23">
      <c r="A543" t="s">
        <v>671</v>
      </c>
      <c r="B543" s="2">
        <v>45684</v>
      </c>
      <c r="C543" t="s">
        <v>142</v>
      </c>
      <c r="D543" t="s">
        <v>143</v>
      </c>
      <c r="E543" t="s">
        <v>21</v>
      </c>
      <c r="F543" t="s">
        <v>22</v>
      </c>
      <c r="G543" t="s">
        <v>23</v>
      </c>
      <c r="H543" t="s">
        <v>24</v>
      </c>
      <c r="I543">
        <v>9</v>
      </c>
      <c r="J543" s="3">
        <v>248.32</v>
      </c>
      <c r="K543" s="3">
        <v>2234.88</v>
      </c>
      <c r="L543" t="s">
        <v>52</v>
      </c>
      <c r="M543" s="2">
        <v>45698</v>
      </c>
      <c r="N543" s="2">
        <v>45697</v>
      </c>
      <c r="O543" t="s">
        <v>26</v>
      </c>
      <c r="P543" t="s">
        <v>27</v>
      </c>
      <c r="Q543" t="s">
        <v>28</v>
      </c>
      <c r="R543" t="s">
        <v>29</v>
      </c>
      <c r="S543">
        <v>2025</v>
      </c>
      <c r="T543" t="s">
        <v>2757</v>
      </c>
      <c r="U543" t="s">
        <v>2768</v>
      </c>
      <c r="V543" s="4">
        <v>0</v>
      </c>
      <c r="W543" s="4">
        <v>1</v>
      </c>
    </row>
    <row r="544" spans="1:23">
      <c r="A544" t="s">
        <v>672</v>
      </c>
      <c r="B544" s="2">
        <v>46021</v>
      </c>
      <c r="C544" t="s">
        <v>104</v>
      </c>
      <c r="D544" t="s">
        <v>105</v>
      </c>
      <c r="E544" t="s">
        <v>48</v>
      </c>
      <c r="F544" t="s">
        <v>49</v>
      </c>
      <c r="G544" t="s">
        <v>50</v>
      </c>
      <c r="H544" t="s">
        <v>51</v>
      </c>
      <c r="I544">
        <v>1</v>
      </c>
      <c r="J544" s="3">
        <v>53650.080000000002</v>
      </c>
      <c r="K544" s="3">
        <v>53650.080000000002</v>
      </c>
      <c r="L544" t="s">
        <v>25</v>
      </c>
      <c r="M544" s="2">
        <v>46028</v>
      </c>
      <c r="N544" s="2">
        <v>46025</v>
      </c>
      <c r="O544" t="s">
        <v>76</v>
      </c>
      <c r="P544" t="s">
        <v>53</v>
      </c>
      <c r="Q544" t="s">
        <v>28</v>
      </c>
      <c r="R544" t="s">
        <v>29</v>
      </c>
      <c r="S544">
        <v>2025</v>
      </c>
      <c r="T544" t="s">
        <v>2745</v>
      </c>
      <c r="U544" t="s">
        <v>2746</v>
      </c>
      <c r="V544" s="4">
        <v>0</v>
      </c>
      <c r="W544" s="4">
        <v>1</v>
      </c>
    </row>
    <row r="545" spans="1:23">
      <c r="A545" t="s">
        <v>673</v>
      </c>
      <c r="B545" s="2">
        <v>45807</v>
      </c>
      <c r="C545" t="s">
        <v>104</v>
      </c>
      <c r="D545" t="s">
        <v>105</v>
      </c>
      <c r="E545" t="s">
        <v>21</v>
      </c>
      <c r="F545" t="s">
        <v>49</v>
      </c>
      <c r="G545" t="s">
        <v>165</v>
      </c>
      <c r="H545" t="s">
        <v>166</v>
      </c>
      <c r="I545">
        <v>3</v>
      </c>
      <c r="J545" s="3">
        <v>43232.73</v>
      </c>
      <c r="K545" s="3">
        <v>129698.19</v>
      </c>
      <c r="L545" t="s">
        <v>25</v>
      </c>
      <c r="M545" s="2">
        <v>45822</v>
      </c>
      <c r="N545" s="2">
        <v>45822</v>
      </c>
      <c r="O545" t="s">
        <v>43</v>
      </c>
      <c r="P545" t="s">
        <v>27</v>
      </c>
      <c r="Q545" t="s">
        <v>28</v>
      </c>
      <c r="R545" t="s">
        <v>29</v>
      </c>
      <c r="S545">
        <v>2025</v>
      </c>
      <c r="T545" t="s">
        <v>2766</v>
      </c>
      <c r="U545" t="s">
        <v>2767</v>
      </c>
      <c r="V545" s="4">
        <v>0</v>
      </c>
      <c r="W545" s="4">
        <v>1</v>
      </c>
    </row>
    <row r="546" spans="1:23">
      <c r="A546" t="s">
        <v>674</v>
      </c>
      <c r="B546" s="2">
        <v>46010</v>
      </c>
      <c r="C546" t="s">
        <v>142</v>
      </c>
      <c r="D546" t="s">
        <v>143</v>
      </c>
      <c r="E546" t="s">
        <v>39</v>
      </c>
      <c r="F546" t="s">
        <v>22</v>
      </c>
      <c r="G546" t="s">
        <v>23</v>
      </c>
      <c r="H546" t="s">
        <v>24</v>
      </c>
      <c r="I546">
        <v>49</v>
      </c>
      <c r="J546" s="3">
        <v>249.93</v>
      </c>
      <c r="K546" s="3">
        <v>12246.57</v>
      </c>
      <c r="L546" t="s">
        <v>52</v>
      </c>
      <c r="M546" s="2">
        <v>46026</v>
      </c>
      <c r="N546" s="2">
        <v>46024</v>
      </c>
      <c r="O546" t="s">
        <v>76</v>
      </c>
      <c r="P546" t="s">
        <v>44</v>
      </c>
      <c r="Q546" t="s">
        <v>28</v>
      </c>
      <c r="R546" t="s">
        <v>29</v>
      </c>
      <c r="S546">
        <v>2025</v>
      </c>
      <c r="T546" t="s">
        <v>2745</v>
      </c>
      <c r="U546" t="s">
        <v>2746</v>
      </c>
      <c r="V546" s="4">
        <v>0</v>
      </c>
      <c r="W546" s="4">
        <v>1</v>
      </c>
    </row>
    <row r="547" spans="1:23">
      <c r="A547" t="s">
        <v>675</v>
      </c>
      <c r="B547" s="2">
        <v>46086</v>
      </c>
      <c r="C547" t="s">
        <v>142</v>
      </c>
      <c r="D547" t="s">
        <v>143</v>
      </c>
      <c r="E547" t="s">
        <v>39</v>
      </c>
      <c r="F547" t="s">
        <v>22</v>
      </c>
      <c r="G547" t="s">
        <v>160</v>
      </c>
      <c r="H547" t="s">
        <v>161</v>
      </c>
      <c r="I547">
        <v>4</v>
      </c>
      <c r="J547" s="3">
        <v>3025.05</v>
      </c>
      <c r="K547" s="3">
        <v>12100.2</v>
      </c>
      <c r="L547" t="s">
        <v>25</v>
      </c>
      <c r="M547" s="2">
        <v>46102</v>
      </c>
      <c r="N547" s="2">
        <v>46101</v>
      </c>
      <c r="O547" t="s">
        <v>76</v>
      </c>
      <c r="P547" t="s">
        <v>44</v>
      </c>
      <c r="Q547" t="s">
        <v>28</v>
      </c>
      <c r="R547" t="s">
        <v>29</v>
      </c>
      <c r="S547">
        <v>2026</v>
      </c>
      <c r="T547" t="s">
        <v>2747</v>
      </c>
      <c r="U547" t="s">
        <v>2755</v>
      </c>
      <c r="V547" s="4">
        <v>0</v>
      </c>
      <c r="W547" s="4">
        <v>1</v>
      </c>
    </row>
    <row r="548" spans="1:23">
      <c r="A548" t="s">
        <v>676</v>
      </c>
      <c r="B548" s="2">
        <v>45868</v>
      </c>
      <c r="C548" t="s">
        <v>117</v>
      </c>
      <c r="D548" t="s">
        <v>118</v>
      </c>
      <c r="E548" t="s">
        <v>48</v>
      </c>
      <c r="F548" t="s">
        <v>57</v>
      </c>
      <c r="G548" t="s">
        <v>58</v>
      </c>
      <c r="H548" t="s">
        <v>59</v>
      </c>
      <c r="I548">
        <v>2</v>
      </c>
      <c r="J548" s="3">
        <v>56883.39</v>
      </c>
      <c r="K548" s="3">
        <v>113766.78</v>
      </c>
      <c r="L548" t="s">
        <v>34</v>
      </c>
      <c r="M548" s="2">
        <v>45875</v>
      </c>
      <c r="N548" s="2">
        <v>45874</v>
      </c>
      <c r="O548" t="s">
        <v>76</v>
      </c>
      <c r="P548" t="s">
        <v>53</v>
      </c>
      <c r="Q548" t="s">
        <v>28</v>
      </c>
      <c r="R548" t="s">
        <v>29</v>
      </c>
      <c r="S548">
        <v>2025</v>
      </c>
      <c r="T548" t="s">
        <v>2759</v>
      </c>
      <c r="U548" t="s">
        <v>2760</v>
      </c>
      <c r="V548" s="4">
        <v>0</v>
      </c>
      <c r="W548" s="4">
        <v>1</v>
      </c>
    </row>
    <row r="549" spans="1:23">
      <c r="A549" t="s">
        <v>677</v>
      </c>
      <c r="B549" s="2">
        <v>45688</v>
      </c>
      <c r="C549" t="s">
        <v>19</v>
      </c>
      <c r="D549" t="s">
        <v>20</v>
      </c>
      <c r="E549" t="s">
        <v>21</v>
      </c>
      <c r="F549" t="s">
        <v>22</v>
      </c>
      <c r="G549" t="s">
        <v>160</v>
      </c>
      <c r="H549" t="s">
        <v>161</v>
      </c>
      <c r="I549">
        <v>9</v>
      </c>
      <c r="J549" s="3">
        <v>2901.91</v>
      </c>
      <c r="K549" s="3">
        <v>26117.19</v>
      </c>
      <c r="L549" t="s">
        <v>25</v>
      </c>
      <c r="M549" s="2">
        <v>45696</v>
      </c>
      <c r="N549" s="2">
        <v>45698</v>
      </c>
      <c r="O549" t="s">
        <v>76</v>
      </c>
      <c r="P549" t="s">
        <v>27</v>
      </c>
      <c r="Q549" t="s">
        <v>28</v>
      </c>
      <c r="R549" t="s">
        <v>129</v>
      </c>
      <c r="S549">
        <v>2025</v>
      </c>
      <c r="T549" t="s">
        <v>2757</v>
      </c>
      <c r="U549" t="s">
        <v>2768</v>
      </c>
      <c r="V549" s="4">
        <v>2</v>
      </c>
      <c r="W549" s="4">
        <v>0</v>
      </c>
    </row>
    <row r="550" spans="1:23">
      <c r="A550" t="s">
        <v>678</v>
      </c>
      <c r="B550" s="2">
        <v>45798</v>
      </c>
      <c r="C550" t="s">
        <v>131</v>
      </c>
      <c r="D550" t="s">
        <v>132</v>
      </c>
      <c r="E550" t="s">
        <v>48</v>
      </c>
      <c r="F550" t="s">
        <v>57</v>
      </c>
      <c r="G550" t="s">
        <v>58</v>
      </c>
      <c r="H550" t="s">
        <v>59</v>
      </c>
      <c r="I550">
        <v>4</v>
      </c>
      <c r="J550" s="3">
        <v>58921.53</v>
      </c>
      <c r="K550" s="3">
        <v>235686.12</v>
      </c>
      <c r="L550" t="s">
        <v>52</v>
      </c>
      <c r="M550" s="2">
        <v>45808</v>
      </c>
      <c r="N550" s="2">
        <v>45807</v>
      </c>
      <c r="O550" t="s">
        <v>60</v>
      </c>
      <c r="P550" t="s">
        <v>53</v>
      </c>
      <c r="Q550" t="s">
        <v>28</v>
      </c>
      <c r="R550" t="s">
        <v>29</v>
      </c>
      <c r="S550">
        <v>2025</v>
      </c>
      <c r="T550" t="s">
        <v>2766</v>
      </c>
      <c r="U550" t="s">
        <v>2767</v>
      </c>
      <c r="V550" s="4">
        <v>0</v>
      </c>
      <c r="W550" s="4">
        <v>1</v>
      </c>
    </row>
    <row r="551" spans="1:23">
      <c r="A551" t="s">
        <v>679</v>
      </c>
      <c r="B551" s="2">
        <v>45779</v>
      </c>
      <c r="C551" t="s">
        <v>19</v>
      </c>
      <c r="D551" t="s">
        <v>20</v>
      </c>
      <c r="E551" t="s">
        <v>112</v>
      </c>
      <c r="F551" t="s">
        <v>22</v>
      </c>
      <c r="G551" t="s">
        <v>23</v>
      </c>
      <c r="H551" t="s">
        <v>24</v>
      </c>
      <c r="I551">
        <v>25</v>
      </c>
      <c r="J551" s="3">
        <v>246.95</v>
      </c>
      <c r="K551" s="3">
        <v>6173.75</v>
      </c>
      <c r="L551" t="s">
        <v>52</v>
      </c>
      <c r="M551" s="2">
        <v>45793</v>
      </c>
      <c r="N551" s="2">
        <v>45792</v>
      </c>
      <c r="O551" t="s">
        <v>26</v>
      </c>
      <c r="P551" t="s">
        <v>115</v>
      </c>
      <c r="Q551" t="s">
        <v>28</v>
      </c>
      <c r="R551" t="s">
        <v>29</v>
      </c>
      <c r="S551">
        <v>2025</v>
      </c>
      <c r="T551" t="s">
        <v>2766</v>
      </c>
      <c r="U551" t="s">
        <v>2767</v>
      </c>
      <c r="V551" s="4">
        <v>0</v>
      </c>
      <c r="W551" s="4">
        <v>1</v>
      </c>
    </row>
    <row r="552" spans="1:23">
      <c r="A552" t="s">
        <v>680</v>
      </c>
      <c r="B552" s="2">
        <v>45810</v>
      </c>
      <c r="C552" t="s">
        <v>147</v>
      </c>
      <c r="D552" t="s">
        <v>148</v>
      </c>
      <c r="E552" t="s">
        <v>39</v>
      </c>
      <c r="F552" t="s">
        <v>40</v>
      </c>
      <c r="G552" t="s">
        <v>149</v>
      </c>
      <c r="H552" t="s">
        <v>150</v>
      </c>
      <c r="I552">
        <v>36</v>
      </c>
      <c r="J552" s="3">
        <v>1357.11</v>
      </c>
      <c r="K552" s="3">
        <v>48855.96</v>
      </c>
      <c r="L552" t="s">
        <v>34</v>
      </c>
      <c r="M552" s="2">
        <v>45818</v>
      </c>
      <c r="N552" s="2">
        <v>45815</v>
      </c>
      <c r="O552" t="s">
        <v>43</v>
      </c>
      <c r="P552" t="s">
        <v>64</v>
      </c>
      <c r="Q552" t="s">
        <v>28</v>
      </c>
      <c r="R552" t="s">
        <v>29</v>
      </c>
      <c r="S552">
        <v>2025</v>
      </c>
      <c r="T552" t="s">
        <v>2743</v>
      </c>
      <c r="U552" t="s">
        <v>2756</v>
      </c>
      <c r="V552" s="4">
        <v>0</v>
      </c>
      <c r="W552" s="4">
        <v>1</v>
      </c>
    </row>
    <row r="553" spans="1:23">
      <c r="A553" t="s">
        <v>681</v>
      </c>
      <c r="B553" s="2">
        <v>46178</v>
      </c>
      <c r="C553" t="s">
        <v>104</v>
      </c>
      <c r="D553" t="s">
        <v>105</v>
      </c>
      <c r="E553" t="s">
        <v>112</v>
      </c>
      <c r="F553" t="s">
        <v>49</v>
      </c>
      <c r="G553" t="s">
        <v>165</v>
      </c>
      <c r="H553" t="s">
        <v>166</v>
      </c>
      <c r="I553">
        <v>1</v>
      </c>
      <c r="J553" s="3">
        <v>45080.28</v>
      </c>
      <c r="K553" s="3">
        <v>45080.28</v>
      </c>
      <c r="L553" t="s">
        <v>34</v>
      </c>
      <c r="M553" s="2">
        <v>46194</v>
      </c>
      <c r="N553" s="2">
        <v>46191</v>
      </c>
      <c r="O553" t="s">
        <v>60</v>
      </c>
      <c r="P553" t="s">
        <v>115</v>
      </c>
      <c r="Q553" t="s">
        <v>28</v>
      </c>
      <c r="R553" t="s">
        <v>29</v>
      </c>
      <c r="S553">
        <v>2026</v>
      </c>
      <c r="T553" t="s">
        <v>2743</v>
      </c>
      <c r="U553" t="s">
        <v>2744</v>
      </c>
      <c r="V553" s="4">
        <v>0</v>
      </c>
      <c r="W553" s="4">
        <v>1</v>
      </c>
    </row>
    <row r="554" spans="1:23">
      <c r="A554" t="s">
        <v>682</v>
      </c>
      <c r="B554" s="2">
        <v>45932</v>
      </c>
      <c r="C554" t="s">
        <v>142</v>
      </c>
      <c r="D554" t="s">
        <v>143</v>
      </c>
      <c r="E554" t="s">
        <v>31</v>
      </c>
      <c r="F554" t="s">
        <v>22</v>
      </c>
      <c r="G554" t="s">
        <v>32</v>
      </c>
      <c r="H554" t="s">
        <v>33</v>
      </c>
      <c r="I554">
        <v>4</v>
      </c>
      <c r="J554" s="3">
        <v>7642.11</v>
      </c>
      <c r="K554" s="3">
        <v>30568.44</v>
      </c>
      <c r="L554" t="s">
        <v>25</v>
      </c>
      <c r="M554" s="2">
        <v>45944</v>
      </c>
      <c r="N554" s="2">
        <v>45941</v>
      </c>
      <c r="O554" t="s">
        <v>60</v>
      </c>
      <c r="P554" t="s">
        <v>35</v>
      </c>
      <c r="Q554" t="s">
        <v>28</v>
      </c>
      <c r="R554" t="s">
        <v>29</v>
      </c>
      <c r="S554">
        <v>2025</v>
      </c>
      <c r="T554" t="s">
        <v>2749</v>
      </c>
      <c r="U554" t="s">
        <v>2750</v>
      </c>
      <c r="V554" s="4">
        <v>0</v>
      </c>
      <c r="W554" s="4">
        <v>1</v>
      </c>
    </row>
    <row r="555" spans="1:23">
      <c r="A555" t="s">
        <v>683</v>
      </c>
      <c r="B555" s="2">
        <v>46041</v>
      </c>
      <c r="C555" t="s">
        <v>142</v>
      </c>
      <c r="D555" t="s">
        <v>143</v>
      </c>
      <c r="E555" t="s">
        <v>39</v>
      </c>
      <c r="F555" t="s">
        <v>22</v>
      </c>
      <c r="G555" t="s">
        <v>160</v>
      </c>
      <c r="H555" t="s">
        <v>161</v>
      </c>
      <c r="I555">
        <v>10</v>
      </c>
      <c r="J555" s="3">
        <v>3123.67</v>
      </c>
      <c r="K555" s="3">
        <v>31236.7</v>
      </c>
      <c r="L555" t="s">
        <v>25</v>
      </c>
      <c r="M555" s="2">
        <v>46046</v>
      </c>
      <c r="N555" s="2">
        <v>46044</v>
      </c>
      <c r="O555" t="s">
        <v>60</v>
      </c>
      <c r="P555" t="s">
        <v>44</v>
      </c>
      <c r="Q555" t="s">
        <v>28</v>
      </c>
      <c r="R555" t="s">
        <v>29</v>
      </c>
      <c r="S555">
        <v>2026</v>
      </c>
      <c r="T555" t="s">
        <v>2757</v>
      </c>
      <c r="U555" t="s">
        <v>2758</v>
      </c>
      <c r="V555" s="4">
        <v>0</v>
      </c>
      <c r="W555" s="4">
        <v>1</v>
      </c>
    </row>
    <row r="556" spans="1:23">
      <c r="A556" t="s">
        <v>684</v>
      </c>
      <c r="B556" s="2">
        <v>46076</v>
      </c>
      <c r="C556" t="s">
        <v>117</v>
      </c>
      <c r="D556" t="s">
        <v>118</v>
      </c>
      <c r="E556" t="s">
        <v>31</v>
      </c>
      <c r="F556" t="s">
        <v>57</v>
      </c>
      <c r="G556" t="s">
        <v>74</v>
      </c>
      <c r="H556" t="s">
        <v>75</v>
      </c>
      <c r="I556">
        <v>5</v>
      </c>
      <c r="J556" s="3">
        <v>8719.84</v>
      </c>
      <c r="K556" s="3">
        <v>43599.199999999997</v>
      </c>
      <c r="L556" t="s">
        <v>25</v>
      </c>
      <c r="M556" s="2">
        <v>46091</v>
      </c>
      <c r="N556" s="2">
        <v>46091</v>
      </c>
      <c r="O556" t="s">
        <v>43</v>
      </c>
      <c r="P556" t="s">
        <v>35</v>
      </c>
      <c r="Q556" t="s">
        <v>28</v>
      </c>
      <c r="R556" t="s">
        <v>29</v>
      </c>
      <c r="S556">
        <v>2026</v>
      </c>
      <c r="T556" t="s">
        <v>2751</v>
      </c>
      <c r="U556" t="s">
        <v>2765</v>
      </c>
      <c r="V556" s="4">
        <v>0</v>
      </c>
      <c r="W556" s="4">
        <v>1</v>
      </c>
    </row>
    <row r="557" spans="1:23">
      <c r="A557" t="s">
        <v>685</v>
      </c>
      <c r="B557" s="2">
        <v>45891</v>
      </c>
      <c r="C557" t="s">
        <v>142</v>
      </c>
      <c r="D557" t="s">
        <v>143</v>
      </c>
      <c r="E557" t="s">
        <v>39</v>
      </c>
      <c r="F557" t="s">
        <v>22</v>
      </c>
      <c r="G557" t="s">
        <v>32</v>
      </c>
      <c r="H557" t="s">
        <v>33</v>
      </c>
      <c r="I557">
        <v>6</v>
      </c>
      <c r="J557" s="3">
        <v>7626.05</v>
      </c>
      <c r="K557" s="3">
        <v>45756.3</v>
      </c>
      <c r="L557" t="s">
        <v>25</v>
      </c>
      <c r="M557" s="2">
        <v>45900</v>
      </c>
      <c r="N557" s="2">
        <v>45898</v>
      </c>
      <c r="O557" t="s">
        <v>26</v>
      </c>
      <c r="P557" t="s">
        <v>44</v>
      </c>
      <c r="Q557" t="s">
        <v>28</v>
      </c>
      <c r="R557" t="s">
        <v>29</v>
      </c>
      <c r="S557">
        <v>2025</v>
      </c>
      <c r="T557" t="s">
        <v>2761</v>
      </c>
      <c r="U557" t="s">
        <v>2762</v>
      </c>
      <c r="V557" s="4">
        <v>0</v>
      </c>
      <c r="W557" s="4">
        <v>1</v>
      </c>
    </row>
    <row r="558" spans="1:23">
      <c r="A558" t="s">
        <v>686</v>
      </c>
      <c r="B558" s="2">
        <v>45670</v>
      </c>
      <c r="C558" t="s">
        <v>89</v>
      </c>
      <c r="D558" t="s">
        <v>90</v>
      </c>
      <c r="E558" t="s">
        <v>31</v>
      </c>
      <c r="F558" t="s">
        <v>91</v>
      </c>
      <c r="G558" t="s">
        <v>109</v>
      </c>
      <c r="H558" t="s">
        <v>110</v>
      </c>
      <c r="I558">
        <v>1</v>
      </c>
      <c r="J558" s="3">
        <v>12813.75</v>
      </c>
      <c r="K558" s="3">
        <v>12813.75</v>
      </c>
      <c r="L558" t="s">
        <v>34</v>
      </c>
      <c r="M558" s="2">
        <v>45682</v>
      </c>
      <c r="N558" s="2">
        <v>45679</v>
      </c>
      <c r="O558" t="s">
        <v>60</v>
      </c>
      <c r="P558" t="s">
        <v>35</v>
      </c>
      <c r="Q558" t="s">
        <v>28</v>
      </c>
      <c r="R558" t="s">
        <v>29</v>
      </c>
      <c r="S558">
        <v>2025</v>
      </c>
      <c r="T558" t="s">
        <v>2757</v>
      </c>
      <c r="U558" t="s">
        <v>2768</v>
      </c>
      <c r="V558" s="4">
        <v>0</v>
      </c>
      <c r="W558" s="4">
        <v>1</v>
      </c>
    </row>
    <row r="559" spans="1:23">
      <c r="A559" t="s">
        <v>687</v>
      </c>
      <c r="B559" s="2">
        <v>45745</v>
      </c>
      <c r="C559" t="s">
        <v>96</v>
      </c>
      <c r="D559" t="s">
        <v>97</v>
      </c>
      <c r="E559" t="s">
        <v>39</v>
      </c>
      <c r="F559" t="s">
        <v>82</v>
      </c>
      <c r="G559" t="s">
        <v>98</v>
      </c>
      <c r="H559" t="s">
        <v>99</v>
      </c>
      <c r="I559">
        <v>40</v>
      </c>
      <c r="J559" s="3">
        <v>1162.08</v>
      </c>
      <c r="K559" s="3">
        <v>46483.199999999997</v>
      </c>
      <c r="L559" t="s">
        <v>25</v>
      </c>
      <c r="M559" s="2">
        <v>45750</v>
      </c>
      <c r="N559" s="2">
        <v>45749</v>
      </c>
      <c r="O559" t="s">
        <v>43</v>
      </c>
      <c r="P559" t="s">
        <v>44</v>
      </c>
      <c r="Q559" t="s">
        <v>28</v>
      </c>
      <c r="R559" t="s">
        <v>29</v>
      </c>
      <c r="S559">
        <v>2025</v>
      </c>
      <c r="T559" t="s">
        <v>2747</v>
      </c>
      <c r="U559" t="s">
        <v>2748</v>
      </c>
      <c r="V559" s="4">
        <v>0</v>
      </c>
      <c r="W559" s="4">
        <v>1</v>
      </c>
    </row>
    <row r="560" spans="1:23">
      <c r="A560" t="s">
        <v>688</v>
      </c>
      <c r="B560" s="2">
        <v>46021</v>
      </c>
      <c r="C560" t="s">
        <v>71</v>
      </c>
      <c r="D560" t="s">
        <v>72</v>
      </c>
      <c r="E560" t="s">
        <v>73</v>
      </c>
      <c r="F560" t="s">
        <v>57</v>
      </c>
      <c r="G560" t="s">
        <v>74</v>
      </c>
      <c r="H560" t="s">
        <v>75</v>
      </c>
      <c r="I560">
        <v>5</v>
      </c>
      <c r="J560" s="3">
        <v>8278.3700000000008</v>
      </c>
      <c r="K560" s="3">
        <v>41391.85</v>
      </c>
      <c r="L560" t="s">
        <v>52</v>
      </c>
      <c r="M560" s="2">
        <v>46031</v>
      </c>
      <c r="N560" s="2">
        <v>46031</v>
      </c>
      <c r="O560" t="s">
        <v>26</v>
      </c>
      <c r="P560" t="s">
        <v>77</v>
      </c>
      <c r="Q560" t="s">
        <v>28</v>
      </c>
      <c r="R560" t="s">
        <v>29</v>
      </c>
      <c r="S560">
        <v>2025</v>
      </c>
      <c r="T560" t="s">
        <v>2745</v>
      </c>
      <c r="U560" t="s">
        <v>2746</v>
      </c>
      <c r="V560" s="4">
        <v>0</v>
      </c>
      <c r="W560" s="4">
        <v>1</v>
      </c>
    </row>
    <row r="561" spans="1:23">
      <c r="A561" t="s">
        <v>689</v>
      </c>
      <c r="B561" s="2">
        <v>45723</v>
      </c>
      <c r="C561" t="s">
        <v>19</v>
      </c>
      <c r="D561" t="s">
        <v>20</v>
      </c>
      <c r="E561" t="s">
        <v>39</v>
      </c>
      <c r="F561" t="s">
        <v>22</v>
      </c>
      <c r="G561" t="s">
        <v>160</v>
      </c>
      <c r="H561" t="s">
        <v>161</v>
      </c>
      <c r="I561">
        <v>15</v>
      </c>
      <c r="J561" s="3">
        <v>2931.37</v>
      </c>
      <c r="K561" s="3">
        <v>43970.55</v>
      </c>
      <c r="L561" t="s">
        <v>34</v>
      </c>
      <c r="M561" s="2">
        <v>45732</v>
      </c>
      <c r="N561" s="2">
        <v>45735</v>
      </c>
      <c r="O561" t="s">
        <v>26</v>
      </c>
      <c r="P561" t="s">
        <v>64</v>
      </c>
      <c r="Q561" t="s">
        <v>28</v>
      </c>
      <c r="R561" t="s">
        <v>129</v>
      </c>
      <c r="S561">
        <v>2025</v>
      </c>
      <c r="T561" t="s">
        <v>2747</v>
      </c>
      <c r="U561" t="s">
        <v>2748</v>
      </c>
      <c r="V561" s="4">
        <v>3</v>
      </c>
      <c r="W561" s="4">
        <v>0</v>
      </c>
    </row>
    <row r="562" spans="1:23">
      <c r="A562" t="s">
        <v>690</v>
      </c>
      <c r="B562" s="2">
        <v>46158</v>
      </c>
      <c r="C562" t="s">
        <v>37</v>
      </c>
      <c r="D562" t="s">
        <v>38</v>
      </c>
      <c r="E562" t="s">
        <v>39</v>
      </c>
      <c r="F562" t="s">
        <v>40</v>
      </c>
      <c r="G562" t="s">
        <v>136</v>
      </c>
      <c r="H562" t="s">
        <v>137</v>
      </c>
      <c r="I562">
        <v>38</v>
      </c>
      <c r="J562" s="3">
        <v>1741.14</v>
      </c>
      <c r="K562" s="3">
        <v>66163.320000000007</v>
      </c>
      <c r="L562" t="s">
        <v>25</v>
      </c>
      <c r="M562" s="2">
        <v>46164</v>
      </c>
      <c r="N562" s="2">
        <v>46162</v>
      </c>
      <c r="O562" t="s">
        <v>26</v>
      </c>
      <c r="P562" t="s">
        <v>44</v>
      </c>
      <c r="Q562" t="s">
        <v>28</v>
      </c>
      <c r="R562" t="s">
        <v>29</v>
      </c>
      <c r="S562">
        <v>2026</v>
      </c>
      <c r="T562" t="s">
        <v>2766</v>
      </c>
      <c r="U562" t="s">
        <v>2769</v>
      </c>
      <c r="V562" s="4">
        <v>0</v>
      </c>
      <c r="W562" s="4">
        <v>1</v>
      </c>
    </row>
    <row r="563" spans="1:23">
      <c r="A563" t="s">
        <v>691</v>
      </c>
      <c r="B563" s="2">
        <v>46078</v>
      </c>
      <c r="C563" t="s">
        <v>142</v>
      </c>
      <c r="D563" t="s">
        <v>143</v>
      </c>
      <c r="E563" t="s">
        <v>112</v>
      </c>
      <c r="F563" t="s">
        <v>22</v>
      </c>
      <c r="G563" t="s">
        <v>32</v>
      </c>
      <c r="H563" t="s">
        <v>33</v>
      </c>
      <c r="I563">
        <v>7</v>
      </c>
      <c r="J563" s="3">
        <v>8490.27</v>
      </c>
      <c r="K563" s="3">
        <v>59431.89</v>
      </c>
      <c r="L563" t="s">
        <v>25</v>
      </c>
      <c r="M563" s="2">
        <v>46096</v>
      </c>
      <c r="N563" s="2">
        <v>46095</v>
      </c>
      <c r="O563" t="s">
        <v>60</v>
      </c>
      <c r="P563" t="s">
        <v>115</v>
      </c>
      <c r="Q563" t="s">
        <v>28</v>
      </c>
      <c r="R563" t="s">
        <v>29</v>
      </c>
      <c r="S563">
        <v>2026</v>
      </c>
      <c r="T563" t="s">
        <v>2751</v>
      </c>
      <c r="U563" t="s">
        <v>2765</v>
      </c>
      <c r="V563" s="4">
        <v>0</v>
      </c>
      <c r="W563" s="4">
        <v>1</v>
      </c>
    </row>
    <row r="564" spans="1:23">
      <c r="A564" t="s">
        <v>692</v>
      </c>
      <c r="B564" s="2">
        <v>45975</v>
      </c>
      <c r="C564" t="s">
        <v>142</v>
      </c>
      <c r="D564" t="s">
        <v>143</v>
      </c>
      <c r="E564" t="s">
        <v>31</v>
      </c>
      <c r="F564" t="s">
        <v>22</v>
      </c>
      <c r="G564" t="s">
        <v>160</v>
      </c>
      <c r="H564" t="s">
        <v>161</v>
      </c>
      <c r="I564">
        <v>3</v>
      </c>
      <c r="J564" s="3">
        <v>3026.11</v>
      </c>
      <c r="K564" s="3">
        <v>9078.33</v>
      </c>
      <c r="L564" t="s">
        <v>34</v>
      </c>
      <c r="M564" s="2">
        <v>45987</v>
      </c>
      <c r="N564" s="2">
        <v>45995</v>
      </c>
      <c r="O564" t="s">
        <v>26</v>
      </c>
      <c r="P564" t="s">
        <v>35</v>
      </c>
      <c r="Q564" t="s">
        <v>28</v>
      </c>
      <c r="R564" t="s">
        <v>129</v>
      </c>
      <c r="S564">
        <v>2025</v>
      </c>
      <c r="T564" t="s">
        <v>2763</v>
      </c>
      <c r="U564" t="s">
        <v>2764</v>
      </c>
      <c r="V564" s="4">
        <v>8</v>
      </c>
      <c r="W564" s="4">
        <v>0</v>
      </c>
    </row>
    <row r="565" spans="1:23">
      <c r="A565" t="s">
        <v>693</v>
      </c>
      <c r="B565" s="2">
        <v>46160</v>
      </c>
      <c r="C565" t="s">
        <v>142</v>
      </c>
      <c r="D565" t="s">
        <v>143</v>
      </c>
      <c r="E565" t="s">
        <v>31</v>
      </c>
      <c r="F565" t="s">
        <v>22</v>
      </c>
      <c r="G565" t="s">
        <v>23</v>
      </c>
      <c r="H565" t="s">
        <v>24</v>
      </c>
      <c r="I565">
        <v>34</v>
      </c>
      <c r="J565" s="3">
        <v>254.63</v>
      </c>
      <c r="K565" s="3">
        <v>8657.42</v>
      </c>
      <c r="L565" t="s">
        <v>25</v>
      </c>
      <c r="M565" s="2">
        <v>46170</v>
      </c>
      <c r="N565" s="2">
        <v>46168</v>
      </c>
      <c r="O565" t="s">
        <v>26</v>
      </c>
      <c r="P565" t="s">
        <v>35</v>
      </c>
      <c r="Q565" t="s">
        <v>28</v>
      </c>
      <c r="R565" t="s">
        <v>29</v>
      </c>
      <c r="S565">
        <v>2026</v>
      </c>
      <c r="T565" t="s">
        <v>2766</v>
      </c>
      <c r="U565" t="s">
        <v>2769</v>
      </c>
      <c r="V565" s="4">
        <v>0</v>
      </c>
      <c r="W565" s="4">
        <v>1</v>
      </c>
    </row>
    <row r="566" spans="1:23">
      <c r="A566" t="s">
        <v>694</v>
      </c>
      <c r="B566" s="2">
        <v>45913</v>
      </c>
      <c r="C566" t="s">
        <v>71</v>
      </c>
      <c r="D566" t="s">
        <v>72</v>
      </c>
      <c r="E566" t="s">
        <v>31</v>
      </c>
      <c r="F566" t="s">
        <v>57</v>
      </c>
      <c r="G566" t="s">
        <v>74</v>
      </c>
      <c r="H566" t="s">
        <v>75</v>
      </c>
      <c r="I566">
        <v>12</v>
      </c>
      <c r="J566" s="3">
        <v>8255.4500000000007</v>
      </c>
      <c r="K566" s="3">
        <v>99065.4</v>
      </c>
      <c r="L566" t="s">
        <v>52</v>
      </c>
      <c r="M566" s="2">
        <v>45927</v>
      </c>
      <c r="N566" s="2">
        <v>45940</v>
      </c>
      <c r="O566" t="s">
        <v>26</v>
      </c>
      <c r="P566" t="s">
        <v>94</v>
      </c>
      <c r="Q566" t="s">
        <v>28</v>
      </c>
      <c r="R566" t="s">
        <v>129</v>
      </c>
      <c r="S566">
        <v>2025</v>
      </c>
      <c r="T566" t="s">
        <v>2753</v>
      </c>
      <c r="U566" t="s">
        <v>2754</v>
      </c>
      <c r="V566" s="4">
        <v>13</v>
      </c>
      <c r="W566" s="4">
        <v>0</v>
      </c>
    </row>
    <row r="567" spans="1:23">
      <c r="A567" t="s">
        <v>695</v>
      </c>
      <c r="B567" s="2">
        <v>45956</v>
      </c>
      <c r="C567" t="s">
        <v>80</v>
      </c>
      <c r="D567" t="s">
        <v>81</v>
      </c>
      <c r="E567" t="s">
        <v>39</v>
      </c>
      <c r="F567" t="s">
        <v>82</v>
      </c>
      <c r="G567" t="s">
        <v>197</v>
      </c>
      <c r="H567" t="s">
        <v>198</v>
      </c>
      <c r="I567">
        <v>31</v>
      </c>
      <c r="J567" s="3">
        <v>2078.36</v>
      </c>
      <c r="K567" s="3">
        <v>64429.16</v>
      </c>
      <c r="L567" t="s">
        <v>25</v>
      </c>
      <c r="M567" s="2">
        <v>45973</v>
      </c>
      <c r="N567" s="2">
        <v>45971</v>
      </c>
      <c r="O567" t="s">
        <v>43</v>
      </c>
      <c r="P567" t="s">
        <v>44</v>
      </c>
      <c r="Q567" t="s">
        <v>28</v>
      </c>
      <c r="R567" t="s">
        <v>29</v>
      </c>
      <c r="S567">
        <v>2025</v>
      </c>
      <c r="T567" t="s">
        <v>2749</v>
      </c>
      <c r="U567" t="s">
        <v>2750</v>
      </c>
      <c r="V567" s="4">
        <v>0</v>
      </c>
      <c r="W567" s="4">
        <v>1</v>
      </c>
    </row>
    <row r="568" spans="1:23">
      <c r="A568" t="s">
        <v>696</v>
      </c>
      <c r="B568" s="2">
        <v>46077</v>
      </c>
      <c r="C568" t="s">
        <v>71</v>
      </c>
      <c r="D568" t="s">
        <v>72</v>
      </c>
      <c r="E568" t="s">
        <v>21</v>
      </c>
      <c r="F568" t="s">
        <v>57</v>
      </c>
      <c r="G568" t="s">
        <v>101</v>
      </c>
      <c r="H568" t="s">
        <v>102</v>
      </c>
      <c r="I568">
        <v>49</v>
      </c>
      <c r="J568" s="3">
        <v>1627.25</v>
      </c>
      <c r="K568" s="3">
        <v>79735.25</v>
      </c>
      <c r="L568" t="s">
        <v>25</v>
      </c>
      <c r="M568" s="2">
        <v>46092</v>
      </c>
      <c r="N568" s="2">
        <v>46089</v>
      </c>
      <c r="O568" t="s">
        <v>60</v>
      </c>
      <c r="P568" t="s">
        <v>27</v>
      </c>
      <c r="Q568" t="s">
        <v>28</v>
      </c>
      <c r="R568" t="s">
        <v>29</v>
      </c>
      <c r="S568">
        <v>2026</v>
      </c>
      <c r="T568" t="s">
        <v>2751</v>
      </c>
      <c r="U568" t="s">
        <v>2765</v>
      </c>
      <c r="V568" s="4">
        <v>0</v>
      </c>
      <c r="W568" s="4">
        <v>1</v>
      </c>
    </row>
    <row r="569" spans="1:23">
      <c r="A569" t="s">
        <v>697</v>
      </c>
      <c r="B569" s="2">
        <v>46064</v>
      </c>
      <c r="C569" t="s">
        <v>55</v>
      </c>
      <c r="D569" t="s">
        <v>56</v>
      </c>
      <c r="E569" t="s">
        <v>21</v>
      </c>
      <c r="F569" t="s">
        <v>57</v>
      </c>
      <c r="G569" t="s">
        <v>86</v>
      </c>
      <c r="H569" t="s">
        <v>87</v>
      </c>
      <c r="I569">
        <v>8</v>
      </c>
      <c r="J569" s="3">
        <v>12427.2</v>
      </c>
      <c r="K569" s="3">
        <v>99417.600000000006</v>
      </c>
      <c r="L569" t="s">
        <v>34</v>
      </c>
      <c r="M569" s="2">
        <v>46076</v>
      </c>
      <c r="N569" s="2">
        <v>46075</v>
      </c>
      <c r="O569" t="s">
        <v>60</v>
      </c>
      <c r="P569" t="s">
        <v>27</v>
      </c>
      <c r="Q569" t="s">
        <v>28</v>
      </c>
      <c r="R569" t="s">
        <v>29</v>
      </c>
      <c r="S569">
        <v>2026</v>
      </c>
      <c r="T569" t="s">
        <v>2751</v>
      </c>
      <c r="U569" t="s">
        <v>2765</v>
      </c>
      <c r="V569" s="4">
        <v>0</v>
      </c>
      <c r="W569" s="4">
        <v>1</v>
      </c>
    </row>
    <row r="570" spans="1:23">
      <c r="A570" t="s">
        <v>698</v>
      </c>
      <c r="B570" s="2">
        <v>45823</v>
      </c>
      <c r="C570" t="s">
        <v>142</v>
      </c>
      <c r="D570" t="s">
        <v>143</v>
      </c>
      <c r="E570" t="s">
        <v>39</v>
      </c>
      <c r="F570" t="s">
        <v>22</v>
      </c>
      <c r="G570" t="s">
        <v>23</v>
      </c>
      <c r="H570" t="s">
        <v>24</v>
      </c>
      <c r="I570">
        <v>30</v>
      </c>
      <c r="J570" s="3">
        <v>246.99</v>
      </c>
      <c r="K570" s="3">
        <v>7409.7</v>
      </c>
      <c r="L570" t="s">
        <v>25</v>
      </c>
      <c r="M570" s="2">
        <v>45830</v>
      </c>
      <c r="N570" s="2">
        <v>45844</v>
      </c>
      <c r="O570" t="s">
        <v>76</v>
      </c>
      <c r="P570" t="s">
        <v>64</v>
      </c>
      <c r="Q570" t="s">
        <v>28</v>
      </c>
      <c r="R570" t="s">
        <v>129</v>
      </c>
      <c r="S570">
        <v>2025</v>
      </c>
      <c r="T570" t="s">
        <v>2743</v>
      </c>
      <c r="U570" t="s">
        <v>2756</v>
      </c>
      <c r="V570" s="4">
        <v>14</v>
      </c>
      <c r="W570" s="4">
        <v>0</v>
      </c>
    </row>
    <row r="571" spans="1:23">
      <c r="A571" t="s">
        <v>699</v>
      </c>
      <c r="B571" s="2">
        <v>46109</v>
      </c>
      <c r="C571" t="s">
        <v>19</v>
      </c>
      <c r="D571" t="s">
        <v>20</v>
      </c>
      <c r="E571" t="s">
        <v>39</v>
      </c>
      <c r="F571" t="s">
        <v>22</v>
      </c>
      <c r="G571" t="s">
        <v>32</v>
      </c>
      <c r="H571" t="s">
        <v>33</v>
      </c>
      <c r="I571">
        <v>1</v>
      </c>
      <c r="J571" s="3">
        <v>7252.44</v>
      </c>
      <c r="K571" s="3">
        <v>7252.44</v>
      </c>
      <c r="L571" t="s">
        <v>25</v>
      </c>
      <c r="M571" s="2">
        <v>46127</v>
      </c>
      <c r="N571" s="2">
        <v>46127</v>
      </c>
      <c r="O571" t="s">
        <v>76</v>
      </c>
      <c r="P571" t="s">
        <v>44</v>
      </c>
      <c r="Q571" t="s">
        <v>28</v>
      </c>
      <c r="R571" t="s">
        <v>29</v>
      </c>
      <c r="S571">
        <v>2026</v>
      </c>
      <c r="T571" t="s">
        <v>2747</v>
      </c>
      <c r="U571" t="s">
        <v>2755</v>
      </c>
      <c r="V571" s="4">
        <v>0</v>
      </c>
      <c r="W571" s="4">
        <v>1</v>
      </c>
    </row>
    <row r="572" spans="1:23">
      <c r="A572" t="s">
        <v>700</v>
      </c>
      <c r="B572" s="2">
        <v>45711</v>
      </c>
      <c r="C572" t="s">
        <v>147</v>
      </c>
      <c r="D572" t="s">
        <v>148</v>
      </c>
      <c r="E572" t="s">
        <v>39</v>
      </c>
      <c r="F572" t="s">
        <v>40</v>
      </c>
      <c r="G572" t="s">
        <v>149</v>
      </c>
      <c r="H572" t="s">
        <v>150</v>
      </c>
      <c r="I572">
        <v>20</v>
      </c>
      <c r="J572" s="3">
        <v>1287.8599999999999</v>
      </c>
      <c r="K572" s="3">
        <v>25757.200000000001</v>
      </c>
      <c r="L572" t="s">
        <v>25</v>
      </c>
      <c r="M572" s="2">
        <v>45719</v>
      </c>
      <c r="N572" s="2">
        <v>45727</v>
      </c>
      <c r="O572" t="s">
        <v>43</v>
      </c>
      <c r="P572" t="s">
        <v>44</v>
      </c>
      <c r="Q572" t="s">
        <v>28</v>
      </c>
      <c r="R572" t="s">
        <v>129</v>
      </c>
      <c r="S572">
        <v>2025</v>
      </c>
      <c r="T572" t="s">
        <v>2751</v>
      </c>
      <c r="U572" t="s">
        <v>2752</v>
      </c>
      <c r="V572" s="4">
        <v>8</v>
      </c>
      <c r="W572" s="4">
        <v>0</v>
      </c>
    </row>
    <row r="573" spans="1:23">
      <c r="A573" t="s">
        <v>701</v>
      </c>
      <c r="B573" s="2">
        <v>45722</v>
      </c>
      <c r="C573" t="s">
        <v>46</v>
      </c>
      <c r="D573" t="s">
        <v>47</v>
      </c>
      <c r="E573" t="s">
        <v>112</v>
      </c>
      <c r="F573" t="s">
        <v>49</v>
      </c>
      <c r="G573" t="s">
        <v>50</v>
      </c>
      <c r="H573" t="s">
        <v>51</v>
      </c>
      <c r="I573">
        <v>3</v>
      </c>
      <c r="J573" s="3">
        <v>53133.54</v>
      </c>
      <c r="K573" s="3">
        <v>159400.62</v>
      </c>
      <c r="L573" t="s">
        <v>34</v>
      </c>
      <c r="M573" s="2">
        <v>45728</v>
      </c>
      <c r="N573" s="2">
        <v>45726</v>
      </c>
      <c r="O573" t="s">
        <v>26</v>
      </c>
      <c r="P573" t="s">
        <v>115</v>
      </c>
      <c r="Q573" t="s">
        <v>28</v>
      </c>
      <c r="R573" t="s">
        <v>29</v>
      </c>
      <c r="S573">
        <v>2025</v>
      </c>
      <c r="T573" t="s">
        <v>2747</v>
      </c>
      <c r="U573" t="s">
        <v>2748</v>
      </c>
      <c r="V573" s="4">
        <v>0</v>
      </c>
      <c r="W573" s="4">
        <v>1</v>
      </c>
    </row>
    <row r="574" spans="1:23">
      <c r="A574" t="s">
        <v>702</v>
      </c>
      <c r="B574" s="2">
        <v>45781</v>
      </c>
      <c r="C574" t="s">
        <v>37</v>
      </c>
      <c r="D574" t="s">
        <v>38</v>
      </c>
      <c r="E574" t="s">
        <v>39</v>
      </c>
      <c r="F574" t="s">
        <v>40</v>
      </c>
      <c r="G574" t="s">
        <v>149</v>
      </c>
      <c r="H574" t="s">
        <v>150</v>
      </c>
      <c r="I574">
        <v>5</v>
      </c>
      <c r="J574" s="3">
        <v>1471.74</v>
      </c>
      <c r="K574" s="3">
        <v>7358.7</v>
      </c>
      <c r="L574" t="s">
        <v>25</v>
      </c>
      <c r="M574" s="2">
        <v>45792</v>
      </c>
      <c r="N574" s="2">
        <v>45791</v>
      </c>
      <c r="O574" t="s">
        <v>76</v>
      </c>
      <c r="P574" t="s">
        <v>44</v>
      </c>
      <c r="Q574" t="s">
        <v>28</v>
      </c>
      <c r="R574" t="s">
        <v>29</v>
      </c>
      <c r="S574">
        <v>2025</v>
      </c>
      <c r="T574" t="s">
        <v>2766</v>
      </c>
      <c r="U574" t="s">
        <v>2767</v>
      </c>
      <c r="V574" s="4">
        <v>0</v>
      </c>
      <c r="W574" s="4">
        <v>1</v>
      </c>
    </row>
    <row r="575" spans="1:23">
      <c r="A575" t="s">
        <v>703</v>
      </c>
      <c r="B575" s="2">
        <v>45702</v>
      </c>
      <c r="C575" t="s">
        <v>147</v>
      </c>
      <c r="D575" t="s">
        <v>148</v>
      </c>
      <c r="E575" t="s">
        <v>39</v>
      </c>
      <c r="F575" t="s">
        <v>40</v>
      </c>
      <c r="G575" t="s">
        <v>62</v>
      </c>
      <c r="H575" t="s">
        <v>63</v>
      </c>
      <c r="I575">
        <v>3</v>
      </c>
      <c r="J575" s="3">
        <v>17212.34</v>
      </c>
      <c r="K575" s="3">
        <v>51637.02</v>
      </c>
      <c r="L575" t="s">
        <v>52</v>
      </c>
      <c r="M575" s="2">
        <v>45711</v>
      </c>
      <c r="N575" s="2">
        <v>45709</v>
      </c>
      <c r="O575" t="s">
        <v>60</v>
      </c>
      <c r="P575" t="s">
        <v>64</v>
      </c>
      <c r="Q575" t="s">
        <v>28</v>
      </c>
      <c r="R575" t="s">
        <v>29</v>
      </c>
      <c r="S575">
        <v>2025</v>
      </c>
      <c r="T575" t="s">
        <v>2751</v>
      </c>
      <c r="U575" t="s">
        <v>2752</v>
      </c>
      <c r="V575" s="4">
        <v>0</v>
      </c>
      <c r="W575" s="4">
        <v>1</v>
      </c>
    </row>
    <row r="576" spans="1:23">
      <c r="A576" t="s">
        <v>704</v>
      </c>
      <c r="B576" s="2">
        <v>45998</v>
      </c>
      <c r="C576" t="s">
        <v>104</v>
      </c>
      <c r="D576" t="s">
        <v>105</v>
      </c>
      <c r="E576" t="s">
        <v>48</v>
      </c>
      <c r="F576" t="s">
        <v>49</v>
      </c>
      <c r="G576" t="s">
        <v>68</v>
      </c>
      <c r="H576" t="s">
        <v>69</v>
      </c>
      <c r="I576">
        <v>3</v>
      </c>
      <c r="J576" s="3">
        <v>46156.24</v>
      </c>
      <c r="K576" s="3">
        <v>138468.72</v>
      </c>
      <c r="L576" t="s">
        <v>25</v>
      </c>
      <c r="M576" s="2">
        <v>46010</v>
      </c>
      <c r="N576" s="2">
        <v>46009</v>
      </c>
      <c r="O576" t="s">
        <v>43</v>
      </c>
      <c r="P576" t="s">
        <v>53</v>
      </c>
      <c r="Q576" t="s">
        <v>28</v>
      </c>
      <c r="R576" t="s">
        <v>29</v>
      </c>
      <c r="S576">
        <v>2025</v>
      </c>
      <c r="T576" t="s">
        <v>2745</v>
      </c>
      <c r="U576" t="s">
        <v>2746</v>
      </c>
      <c r="V576" s="4">
        <v>0</v>
      </c>
      <c r="W576" s="4">
        <v>1</v>
      </c>
    </row>
    <row r="577" spans="1:23">
      <c r="A577" t="s">
        <v>705</v>
      </c>
      <c r="B577" s="2">
        <v>45679</v>
      </c>
      <c r="C577" t="s">
        <v>147</v>
      </c>
      <c r="D577" t="s">
        <v>148</v>
      </c>
      <c r="E577" t="s">
        <v>112</v>
      </c>
      <c r="F577" t="s">
        <v>40</v>
      </c>
      <c r="G577" t="s">
        <v>149</v>
      </c>
      <c r="H577" t="s">
        <v>150</v>
      </c>
      <c r="I577">
        <v>44</v>
      </c>
      <c r="J577" s="3">
        <v>1332.49</v>
      </c>
      <c r="K577" s="3">
        <v>58629.56</v>
      </c>
      <c r="L577" t="s">
        <v>25</v>
      </c>
      <c r="M577" s="2">
        <v>45685</v>
      </c>
      <c r="N577" s="2">
        <v>45692</v>
      </c>
      <c r="O577" t="s">
        <v>26</v>
      </c>
      <c r="P577" t="s">
        <v>115</v>
      </c>
      <c r="Q577" t="s">
        <v>28</v>
      </c>
      <c r="R577" t="s">
        <v>129</v>
      </c>
      <c r="S577">
        <v>2025</v>
      </c>
      <c r="T577" t="s">
        <v>2757</v>
      </c>
      <c r="U577" t="s">
        <v>2768</v>
      </c>
      <c r="V577" s="4">
        <v>7</v>
      </c>
      <c r="W577" s="4">
        <v>0</v>
      </c>
    </row>
    <row r="578" spans="1:23">
      <c r="A578" t="s">
        <v>706</v>
      </c>
      <c r="B578" s="2">
        <v>46042</v>
      </c>
      <c r="C578" t="s">
        <v>80</v>
      </c>
      <c r="D578" t="s">
        <v>81</v>
      </c>
      <c r="E578" t="s">
        <v>39</v>
      </c>
      <c r="F578" t="s">
        <v>82</v>
      </c>
      <c r="G578" t="s">
        <v>197</v>
      </c>
      <c r="H578" t="s">
        <v>198</v>
      </c>
      <c r="I578">
        <v>26</v>
      </c>
      <c r="J578" s="3">
        <v>1994.87</v>
      </c>
      <c r="K578" s="3">
        <v>51866.62</v>
      </c>
      <c r="L578" t="s">
        <v>25</v>
      </c>
      <c r="M578" s="2">
        <v>46049</v>
      </c>
      <c r="N578" s="2">
        <v>46049</v>
      </c>
      <c r="O578" t="s">
        <v>60</v>
      </c>
      <c r="P578" t="s">
        <v>44</v>
      </c>
      <c r="Q578" t="s">
        <v>28</v>
      </c>
      <c r="R578" t="s">
        <v>29</v>
      </c>
      <c r="S578">
        <v>2026</v>
      </c>
      <c r="T578" t="s">
        <v>2757</v>
      </c>
      <c r="U578" t="s">
        <v>2758</v>
      </c>
      <c r="V578" s="4">
        <v>0</v>
      </c>
      <c r="W578" s="4">
        <v>1</v>
      </c>
    </row>
    <row r="579" spans="1:23">
      <c r="A579" t="s">
        <v>707</v>
      </c>
      <c r="B579" s="2">
        <v>45682</v>
      </c>
      <c r="C579" t="s">
        <v>104</v>
      </c>
      <c r="D579" t="s">
        <v>105</v>
      </c>
      <c r="E579" t="s">
        <v>48</v>
      </c>
      <c r="F579" t="s">
        <v>49</v>
      </c>
      <c r="G579" t="s">
        <v>50</v>
      </c>
      <c r="H579" t="s">
        <v>51</v>
      </c>
      <c r="I579">
        <v>1</v>
      </c>
      <c r="J579" s="3">
        <v>50173.07</v>
      </c>
      <c r="K579" s="3">
        <v>50173.07</v>
      </c>
      <c r="L579" t="s">
        <v>34</v>
      </c>
      <c r="M579" s="2">
        <v>45699</v>
      </c>
      <c r="N579" s="2">
        <v>45698</v>
      </c>
      <c r="O579" t="s">
        <v>60</v>
      </c>
      <c r="P579" t="s">
        <v>53</v>
      </c>
      <c r="Q579" t="s">
        <v>28</v>
      </c>
      <c r="R579" t="s">
        <v>29</v>
      </c>
      <c r="S579">
        <v>2025</v>
      </c>
      <c r="T579" t="s">
        <v>2757</v>
      </c>
      <c r="U579" t="s">
        <v>2768</v>
      </c>
      <c r="V579" s="4">
        <v>0</v>
      </c>
      <c r="W579" s="4">
        <v>1</v>
      </c>
    </row>
    <row r="580" spans="1:23">
      <c r="A580" t="s">
        <v>708</v>
      </c>
      <c r="B580" s="2">
        <v>45845</v>
      </c>
      <c r="C580" t="s">
        <v>147</v>
      </c>
      <c r="D580" t="s">
        <v>148</v>
      </c>
      <c r="E580" t="s">
        <v>39</v>
      </c>
      <c r="F580" t="s">
        <v>40</v>
      </c>
      <c r="G580" t="s">
        <v>41</v>
      </c>
      <c r="H580" t="s">
        <v>42</v>
      </c>
      <c r="I580">
        <v>3</v>
      </c>
      <c r="J580" s="3">
        <v>5000.95</v>
      </c>
      <c r="K580" s="3">
        <v>15002.85</v>
      </c>
      <c r="L580" t="s">
        <v>34</v>
      </c>
      <c r="M580" s="2">
        <v>45853</v>
      </c>
      <c r="N580" s="2">
        <v>45857</v>
      </c>
      <c r="O580" t="s">
        <v>26</v>
      </c>
      <c r="P580" t="s">
        <v>64</v>
      </c>
      <c r="Q580" t="s">
        <v>28</v>
      </c>
      <c r="R580" t="s">
        <v>129</v>
      </c>
      <c r="S580">
        <v>2025</v>
      </c>
      <c r="T580" t="s">
        <v>2759</v>
      </c>
      <c r="U580" t="s">
        <v>2760</v>
      </c>
      <c r="V580" s="4">
        <v>4</v>
      </c>
      <c r="W580" s="4">
        <v>0</v>
      </c>
    </row>
    <row r="581" spans="1:23">
      <c r="A581" t="s">
        <v>709</v>
      </c>
      <c r="B581" s="2">
        <v>46177</v>
      </c>
      <c r="C581" t="s">
        <v>46</v>
      </c>
      <c r="D581" t="s">
        <v>47</v>
      </c>
      <c r="E581" t="s">
        <v>48</v>
      </c>
      <c r="F581" t="s">
        <v>49</v>
      </c>
      <c r="G581" t="s">
        <v>50</v>
      </c>
      <c r="H581" t="s">
        <v>51</v>
      </c>
      <c r="I581">
        <v>1</v>
      </c>
      <c r="J581" s="3">
        <v>54130.22</v>
      </c>
      <c r="K581" s="3">
        <v>54130.22</v>
      </c>
      <c r="L581" t="s">
        <v>34</v>
      </c>
      <c r="M581" s="2">
        <v>46191</v>
      </c>
      <c r="N581" s="2">
        <v>46189</v>
      </c>
      <c r="O581" t="s">
        <v>26</v>
      </c>
      <c r="P581" t="s">
        <v>53</v>
      </c>
      <c r="Q581" t="s">
        <v>28</v>
      </c>
      <c r="R581" t="s">
        <v>29</v>
      </c>
      <c r="S581">
        <v>2026</v>
      </c>
      <c r="T581" t="s">
        <v>2743</v>
      </c>
      <c r="U581" t="s">
        <v>2744</v>
      </c>
      <c r="V581" s="4">
        <v>0</v>
      </c>
      <c r="W581" s="4">
        <v>1</v>
      </c>
    </row>
    <row r="582" spans="1:23">
      <c r="A582" t="s">
        <v>710</v>
      </c>
      <c r="B582" s="2">
        <v>46150</v>
      </c>
      <c r="C582" t="s">
        <v>37</v>
      </c>
      <c r="D582" t="s">
        <v>38</v>
      </c>
      <c r="E582" t="s">
        <v>112</v>
      </c>
      <c r="F582" t="s">
        <v>40</v>
      </c>
      <c r="G582" t="s">
        <v>62</v>
      </c>
      <c r="H582" t="s">
        <v>63</v>
      </c>
      <c r="I582">
        <v>7</v>
      </c>
      <c r="J582" s="3">
        <v>19789.53</v>
      </c>
      <c r="K582" s="3">
        <v>138526.71</v>
      </c>
      <c r="L582" t="s">
        <v>25</v>
      </c>
      <c r="M582" s="2">
        <v>46167</v>
      </c>
      <c r="N582" s="2">
        <v>46164</v>
      </c>
      <c r="O582" t="s">
        <v>60</v>
      </c>
      <c r="P582" t="s">
        <v>115</v>
      </c>
      <c r="Q582" t="s">
        <v>28</v>
      </c>
      <c r="R582" t="s">
        <v>29</v>
      </c>
      <c r="S582">
        <v>2026</v>
      </c>
      <c r="T582" t="s">
        <v>2766</v>
      </c>
      <c r="U582" t="s">
        <v>2769</v>
      </c>
      <c r="V582" s="4">
        <v>0</v>
      </c>
      <c r="W582" s="4">
        <v>1</v>
      </c>
    </row>
    <row r="583" spans="1:23">
      <c r="A583" t="s">
        <v>711</v>
      </c>
      <c r="B583" s="2">
        <v>45743</v>
      </c>
      <c r="C583" t="s">
        <v>46</v>
      </c>
      <c r="D583" t="s">
        <v>47</v>
      </c>
      <c r="E583" t="s">
        <v>112</v>
      </c>
      <c r="F583" t="s">
        <v>49</v>
      </c>
      <c r="G583" t="s">
        <v>50</v>
      </c>
      <c r="H583" t="s">
        <v>51</v>
      </c>
      <c r="I583">
        <v>2</v>
      </c>
      <c r="J583" s="3">
        <v>53786.81</v>
      </c>
      <c r="K583" s="3">
        <v>107573.62</v>
      </c>
      <c r="L583" t="s">
        <v>25</v>
      </c>
      <c r="M583" s="2">
        <v>45755</v>
      </c>
      <c r="N583" s="2">
        <v>45753</v>
      </c>
      <c r="O583" t="s">
        <v>60</v>
      </c>
      <c r="P583" t="s">
        <v>115</v>
      </c>
      <c r="Q583" t="s">
        <v>28</v>
      </c>
      <c r="R583" t="s">
        <v>29</v>
      </c>
      <c r="S583">
        <v>2025</v>
      </c>
      <c r="T583" t="s">
        <v>2747</v>
      </c>
      <c r="U583" t="s">
        <v>2748</v>
      </c>
      <c r="V583" s="4">
        <v>0</v>
      </c>
      <c r="W583" s="4">
        <v>1</v>
      </c>
    </row>
    <row r="584" spans="1:23">
      <c r="A584" t="s">
        <v>712</v>
      </c>
      <c r="B584" s="2">
        <v>45999</v>
      </c>
      <c r="C584" t="s">
        <v>142</v>
      </c>
      <c r="D584" t="s">
        <v>143</v>
      </c>
      <c r="E584" t="s">
        <v>73</v>
      </c>
      <c r="F584" t="s">
        <v>22</v>
      </c>
      <c r="G584" t="s">
        <v>23</v>
      </c>
      <c r="H584" t="s">
        <v>24</v>
      </c>
      <c r="I584">
        <v>51</v>
      </c>
      <c r="J584" s="3">
        <v>254.2</v>
      </c>
      <c r="K584" s="3">
        <v>12964.2</v>
      </c>
      <c r="L584" t="s">
        <v>52</v>
      </c>
      <c r="M584" s="2">
        <v>46015</v>
      </c>
      <c r="N584" s="2">
        <v>46012</v>
      </c>
      <c r="O584" t="s">
        <v>60</v>
      </c>
      <c r="P584" t="s">
        <v>77</v>
      </c>
      <c r="Q584" t="s">
        <v>28</v>
      </c>
      <c r="R584" t="s">
        <v>29</v>
      </c>
      <c r="S584">
        <v>2025</v>
      </c>
      <c r="T584" t="s">
        <v>2745</v>
      </c>
      <c r="U584" t="s">
        <v>2746</v>
      </c>
      <c r="V584" s="4">
        <v>0</v>
      </c>
      <c r="W584" s="4">
        <v>1</v>
      </c>
    </row>
    <row r="585" spans="1:23">
      <c r="A585" t="s">
        <v>713</v>
      </c>
      <c r="B585" s="2">
        <v>46051</v>
      </c>
      <c r="C585" t="s">
        <v>142</v>
      </c>
      <c r="D585" t="s">
        <v>143</v>
      </c>
      <c r="E585" t="s">
        <v>31</v>
      </c>
      <c r="F585" t="s">
        <v>22</v>
      </c>
      <c r="G585" t="s">
        <v>23</v>
      </c>
      <c r="H585" t="s">
        <v>24</v>
      </c>
      <c r="I585">
        <v>12</v>
      </c>
      <c r="J585" s="3">
        <v>236.06</v>
      </c>
      <c r="K585" s="3">
        <v>2832.72</v>
      </c>
      <c r="L585" t="s">
        <v>25</v>
      </c>
      <c r="M585" s="2">
        <v>46062</v>
      </c>
      <c r="N585" s="2">
        <v>46061</v>
      </c>
      <c r="O585" t="s">
        <v>60</v>
      </c>
      <c r="P585" t="s">
        <v>35</v>
      </c>
      <c r="Q585" t="s">
        <v>28</v>
      </c>
      <c r="R585" t="s">
        <v>29</v>
      </c>
      <c r="S585">
        <v>2026</v>
      </c>
      <c r="T585" t="s">
        <v>2757</v>
      </c>
      <c r="U585" t="s">
        <v>2758</v>
      </c>
      <c r="V585" s="4">
        <v>0</v>
      </c>
      <c r="W585" s="4">
        <v>1</v>
      </c>
    </row>
    <row r="586" spans="1:23">
      <c r="A586" t="s">
        <v>714</v>
      </c>
      <c r="B586" s="2">
        <v>46014</v>
      </c>
      <c r="C586" t="s">
        <v>19</v>
      </c>
      <c r="D586" t="s">
        <v>20</v>
      </c>
      <c r="E586" t="s">
        <v>31</v>
      </c>
      <c r="F586" t="s">
        <v>22</v>
      </c>
      <c r="G586" t="s">
        <v>160</v>
      </c>
      <c r="H586" t="s">
        <v>161</v>
      </c>
      <c r="I586">
        <v>15</v>
      </c>
      <c r="J586" s="3">
        <v>2983.93</v>
      </c>
      <c r="K586" s="3">
        <v>44758.95</v>
      </c>
      <c r="L586" t="s">
        <v>25</v>
      </c>
      <c r="M586" s="2">
        <v>46025</v>
      </c>
      <c r="N586" s="2">
        <v>46024</v>
      </c>
      <c r="O586" t="s">
        <v>76</v>
      </c>
      <c r="P586" t="s">
        <v>94</v>
      </c>
      <c r="Q586" t="s">
        <v>28</v>
      </c>
      <c r="R586" t="s">
        <v>29</v>
      </c>
      <c r="S586">
        <v>2025</v>
      </c>
      <c r="T586" t="s">
        <v>2745</v>
      </c>
      <c r="U586" t="s">
        <v>2746</v>
      </c>
      <c r="V586" s="4">
        <v>0</v>
      </c>
      <c r="W586" s="4">
        <v>1</v>
      </c>
    </row>
    <row r="587" spans="1:23">
      <c r="A587" t="s">
        <v>715</v>
      </c>
      <c r="B587" s="2">
        <v>45809</v>
      </c>
      <c r="C587" t="s">
        <v>55</v>
      </c>
      <c r="D587" t="s">
        <v>56</v>
      </c>
      <c r="E587" t="s">
        <v>73</v>
      </c>
      <c r="F587" t="s">
        <v>57</v>
      </c>
      <c r="G587" t="s">
        <v>86</v>
      </c>
      <c r="H587" t="s">
        <v>87</v>
      </c>
      <c r="I587">
        <v>3</v>
      </c>
      <c r="J587" s="3">
        <v>12267.68</v>
      </c>
      <c r="K587" s="3">
        <v>36803.040000000001</v>
      </c>
      <c r="L587" t="s">
        <v>34</v>
      </c>
      <c r="M587" s="2">
        <v>45814</v>
      </c>
      <c r="N587" s="2">
        <v>45814</v>
      </c>
      <c r="O587" t="s">
        <v>60</v>
      </c>
      <c r="P587" t="s">
        <v>77</v>
      </c>
      <c r="Q587" t="s">
        <v>28</v>
      </c>
      <c r="R587" t="s">
        <v>29</v>
      </c>
      <c r="S587">
        <v>2025</v>
      </c>
      <c r="T587" t="s">
        <v>2743</v>
      </c>
      <c r="U587" t="s">
        <v>2756</v>
      </c>
      <c r="V587" s="4">
        <v>0</v>
      </c>
      <c r="W587" s="4">
        <v>1</v>
      </c>
    </row>
    <row r="588" spans="1:23">
      <c r="A588" t="s">
        <v>716</v>
      </c>
      <c r="B588" s="2">
        <v>45740</v>
      </c>
      <c r="C588" t="s">
        <v>147</v>
      </c>
      <c r="D588" t="s">
        <v>148</v>
      </c>
      <c r="E588" t="s">
        <v>39</v>
      </c>
      <c r="F588" t="s">
        <v>40</v>
      </c>
      <c r="G588" t="s">
        <v>149</v>
      </c>
      <c r="H588" t="s">
        <v>150</v>
      </c>
      <c r="I588">
        <v>24</v>
      </c>
      <c r="J588" s="3">
        <v>1273.6500000000001</v>
      </c>
      <c r="K588" s="3">
        <v>30567.599999999999</v>
      </c>
      <c r="L588" t="s">
        <v>34</v>
      </c>
      <c r="M588" s="2">
        <v>45753</v>
      </c>
      <c r="N588" s="2">
        <v>45750</v>
      </c>
      <c r="O588" t="s">
        <v>60</v>
      </c>
      <c r="P588" t="s">
        <v>64</v>
      </c>
      <c r="Q588" t="s">
        <v>28</v>
      </c>
      <c r="R588" t="s">
        <v>29</v>
      </c>
      <c r="S588">
        <v>2025</v>
      </c>
      <c r="T588" t="s">
        <v>2747</v>
      </c>
      <c r="U588" t="s">
        <v>2748</v>
      </c>
      <c r="V588" s="4">
        <v>0</v>
      </c>
      <c r="W588" s="4">
        <v>1</v>
      </c>
    </row>
    <row r="589" spans="1:23">
      <c r="A589" t="s">
        <v>717</v>
      </c>
      <c r="B589" s="2">
        <v>45769</v>
      </c>
      <c r="C589" t="s">
        <v>104</v>
      </c>
      <c r="D589" t="s">
        <v>105</v>
      </c>
      <c r="E589" t="s">
        <v>48</v>
      </c>
      <c r="F589" t="s">
        <v>49</v>
      </c>
      <c r="G589" t="s">
        <v>50</v>
      </c>
      <c r="H589" t="s">
        <v>51</v>
      </c>
      <c r="I589">
        <v>2</v>
      </c>
      <c r="J589" s="3">
        <v>50900.58</v>
      </c>
      <c r="K589" s="3">
        <v>101801.16</v>
      </c>
      <c r="L589" t="s">
        <v>34</v>
      </c>
      <c r="M589" s="2">
        <v>45785</v>
      </c>
      <c r="N589" s="2">
        <v>45784</v>
      </c>
      <c r="O589" t="s">
        <v>43</v>
      </c>
      <c r="P589" t="s">
        <v>53</v>
      </c>
      <c r="Q589" t="s">
        <v>28</v>
      </c>
      <c r="R589" t="s">
        <v>29</v>
      </c>
      <c r="S589">
        <v>2025</v>
      </c>
      <c r="T589" t="s">
        <v>2741</v>
      </c>
      <c r="U589" t="s">
        <v>2742</v>
      </c>
      <c r="V589" s="4">
        <v>0</v>
      </c>
      <c r="W589" s="4">
        <v>1</v>
      </c>
    </row>
    <row r="590" spans="1:23">
      <c r="A590" t="s">
        <v>718</v>
      </c>
      <c r="B590" s="2">
        <v>45729</v>
      </c>
      <c r="C590" t="s">
        <v>46</v>
      </c>
      <c r="D590" t="s">
        <v>47</v>
      </c>
      <c r="E590" t="s">
        <v>73</v>
      </c>
      <c r="F590" t="s">
        <v>49</v>
      </c>
      <c r="G590" t="s">
        <v>165</v>
      </c>
      <c r="H590" t="s">
        <v>166</v>
      </c>
      <c r="I590">
        <v>1</v>
      </c>
      <c r="J590" s="3">
        <v>46524.53</v>
      </c>
      <c r="K590" s="3">
        <v>46524.53</v>
      </c>
      <c r="L590" t="s">
        <v>25</v>
      </c>
      <c r="M590" s="2">
        <v>45736</v>
      </c>
      <c r="N590" s="2">
        <v>45735</v>
      </c>
      <c r="O590" t="s">
        <v>43</v>
      </c>
      <c r="P590" t="s">
        <v>77</v>
      </c>
      <c r="Q590" t="s">
        <v>28</v>
      </c>
      <c r="R590" t="s">
        <v>29</v>
      </c>
      <c r="S590">
        <v>2025</v>
      </c>
      <c r="T590" t="s">
        <v>2747</v>
      </c>
      <c r="U590" t="s">
        <v>2748</v>
      </c>
      <c r="V590" s="4">
        <v>0</v>
      </c>
      <c r="W590" s="4">
        <v>1</v>
      </c>
    </row>
    <row r="591" spans="1:23">
      <c r="A591" t="s">
        <v>720</v>
      </c>
      <c r="B591" s="2">
        <v>45875</v>
      </c>
      <c r="C591" t="s">
        <v>142</v>
      </c>
      <c r="D591" t="s">
        <v>143</v>
      </c>
      <c r="E591" t="s">
        <v>39</v>
      </c>
      <c r="F591" t="s">
        <v>22</v>
      </c>
      <c r="G591" t="s">
        <v>23</v>
      </c>
      <c r="H591" t="s">
        <v>24</v>
      </c>
      <c r="I591">
        <v>31</v>
      </c>
      <c r="J591" s="3">
        <v>255.1</v>
      </c>
      <c r="K591" s="3">
        <v>7908.1</v>
      </c>
      <c r="L591" t="s">
        <v>52</v>
      </c>
      <c r="M591" s="2">
        <v>45887</v>
      </c>
      <c r="N591" s="2">
        <v>45887</v>
      </c>
      <c r="O591" t="s">
        <v>26</v>
      </c>
      <c r="P591" t="s">
        <v>64</v>
      </c>
      <c r="Q591" t="s">
        <v>28</v>
      </c>
      <c r="R591" t="s">
        <v>29</v>
      </c>
      <c r="S591">
        <v>2025</v>
      </c>
      <c r="T591" t="s">
        <v>2761</v>
      </c>
      <c r="U591" t="s">
        <v>2762</v>
      </c>
      <c r="V591" s="4">
        <v>0</v>
      </c>
      <c r="W591" s="4">
        <v>1</v>
      </c>
    </row>
    <row r="592" spans="1:23">
      <c r="A592" t="s">
        <v>721</v>
      </c>
      <c r="B592" s="2">
        <v>45958</v>
      </c>
      <c r="C592" t="s">
        <v>142</v>
      </c>
      <c r="D592" t="s">
        <v>143</v>
      </c>
      <c r="E592" t="s">
        <v>39</v>
      </c>
      <c r="F592" t="s">
        <v>22</v>
      </c>
      <c r="G592" t="s">
        <v>160</v>
      </c>
      <c r="H592" t="s">
        <v>161</v>
      </c>
      <c r="I592">
        <v>8</v>
      </c>
      <c r="J592" s="3">
        <v>3090.56</v>
      </c>
      <c r="K592" s="3">
        <v>24724.48</v>
      </c>
      <c r="L592" t="s">
        <v>25</v>
      </c>
      <c r="M592" s="2">
        <v>45973</v>
      </c>
      <c r="N592" s="2">
        <v>45973</v>
      </c>
      <c r="O592" t="s">
        <v>43</v>
      </c>
      <c r="P592" t="s">
        <v>64</v>
      </c>
      <c r="Q592" t="s">
        <v>28</v>
      </c>
      <c r="R592" t="s">
        <v>29</v>
      </c>
      <c r="S592">
        <v>2025</v>
      </c>
      <c r="T592" t="s">
        <v>2749</v>
      </c>
      <c r="U592" t="s">
        <v>2750</v>
      </c>
      <c r="V592" s="4">
        <v>0</v>
      </c>
      <c r="W592" s="4">
        <v>1</v>
      </c>
    </row>
    <row r="593" spans="1:23">
      <c r="A593" t="s">
        <v>722</v>
      </c>
      <c r="B593" s="2">
        <v>45757</v>
      </c>
      <c r="C593" t="s">
        <v>66</v>
      </c>
      <c r="D593" t="s">
        <v>67</v>
      </c>
      <c r="E593" t="s">
        <v>48</v>
      </c>
      <c r="F593" t="s">
        <v>49</v>
      </c>
      <c r="G593" t="s">
        <v>165</v>
      </c>
      <c r="H593" t="s">
        <v>166</v>
      </c>
      <c r="I593">
        <v>1</v>
      </c>
      <c r="J593" s="3">
        <v>43763.09</v>
      </c>
      <c r="K593" s="3">
        <v>43763.09</v>
      </c>
      <c r="L593" t="s">
        <v>34</v>
      </c>
      <c r="M593" s="2">
        <v>45771</v>
      </c>
      <c r="N593" s="2">
        <v>45769</v>
      </c>
      <c r="O593" t="s">
        <v>76</v>
      </c>
      <c r="P593" t="s">
        <v>53</v>
      </c>
      <c r="Q593" t="s">
        <v>28</v>
      </c>
      <c r="R593" t="s">
        <v>29</v>
      </c>
      <c r="S593">
        <v>2025</v>
      </c>
      <c r="T593" t="s">
        <v>2741</v>
      </c>
      <c r="U593" t="s">
        <v>2742</v>
      </c>
      <c r="V593" s="4">
        <v>0</v>
      </c>
      <c r="W593" s="4">
        <v>1</v>
      </c>
    </row>
    <row r="594" spans="1:23">
      <c r="A594" t="s">
        <v>723</v>
      </c>
      <c r="B594" s="2">
        <v>46066</v>
      </c>
      <c r="C594" t="s">
        <v>147</v>
      </c>
      <c r="D594" t="s">
        <v>148</v>
      </c>
      <c r="E594" t="s">
        <v>39</v>
      </c>
      <c r="F594" t="s">
        <v>40</v>
      </c>
      <c r="G594" t="s">
        <v>136</v>
      </c>
      <c r="H594" t="s">
        <v>137</v>
      </c>
      <c r="I594">
        <v>60</v>
      </c>
      <c r="J594" s="3">
        <v>1521.08</v>
      </c>
      <c r="K594" s="3">
        <v>91264.8</v>
      </c>
      <c r="L594" t="s">
        <v>25</v>
      </c>
      <c r="M594" s="2">
        <v>46082</v>
      </c>
      <c r="N594" s="2">
        <v>46081</v>
      </c>
      <c r="O594" t="s">
        <v>43</v>
      </c>
      <c r="P594" t="s">
        <v>44</v>
      </c>
      <c r="Q594" t="s">
        <v>28</v>
      </c>
      <c r="R594" t="s">
        <v>29</v>
      </c>
      <c r="S594">
        <v>2026</v>
      </c>
      <c r="T594" t="s">
        <v>2751</v>
      </c>
      <c r="U594" t="s">
        <v>2765</v>
      </c>
      <c r="V594" s="4">
        <v>0</v>
      </c>
      <c r="W594" s="4">
        <v>1</v>
      </c>
    </row>
    <row r="595" spans="1:23">
      <c r="A595" t="s">
        <v>724</v>
      </c>
      <c r="B595" s="2">
        <v>45912</v>
      </c>
      <c r="C595" t="s">
        <v>19</v>
      </c>
      <c r="D595" t="s">
        <v>20</v>
      </c>
      <c r="E595" t="s">
        <v>31</v>
      </c>
      <c r="F595" t="s">
        <v>22</v>
      </c>
      <c r="G595" t="s">
        <v>160</v>
      </c>
      <c r="H595" t="s">
        <v>161</v>
      </c>
      <c r="I595">
        <v>1</v>
      </c>
      <c r="J595" s="3">
        <v>2986.39</v>
      </c>
      <c r="K595" s="3">
        <v>2986.39</v>
      </c>
      <c r="L595" t="s">
        <v>25</v>
      </c>
      <c r="M595" s="2">
        <v>45927</v>
      </c>
      <c r="N595" s="2">
        <v>45925</v>
      </c>
      <c r="O595" t="s">
        <v>76</v>
      </c>
      <c r="P595" t="s">
        <v>94</v>
      </c>
      <c r="Q595" t="s">
        <v>28</v>
      </c>
      <c r="R595" t="s">
        <v>29</v>
      </c>
      <c r="S595">
        <v>2025</v>
      </c>
      <c r="T595" t="s">
        <v>2753</v>
      </c>
      <c r="U595" t="s">
        <v>2754</v>
      </c>
      <c r="V595" s="4">
        <v>0</v>
      </c>
      <c r="W595" s="4">
        <v>1</v>
      </c>
    </row>
    <row r="596" spans="1:23">
      <c r="A596" t="s">
        <v>725</v>
      </c>
      <c r="B596" s="2">
        <v>45991</v>
      </c>
      <c r="C596" t="s">
        <v>147</v>
      </c>
      <c r="D596" t="s">
        <v>148</v>
      </c>
      <c r="E596" t="s">
        <v>39</v>
      </c>
      <c r="F596" t="s">
        <v>40</v>
      </c>
      <c r="G596" t="s">
        <v>62</v>
      </c>
      <c r="H596" t="s">
        <v>63</v>
      </c>
      <c r="I596">
        <v>6</v>
      </c>
      <c r="J596" s="3">
        <v>18318.669999999998</v>
      </c>
      <c r="K596" s="3">
        <v>109912.02</v>
      </c>
      <c r="L596" t="s">
        <v>52</v>
      </c>
      <c r="M596" s="2">
        <v>46002</v>
      </c>
      <c r="N596" s="2">
        <v>45999</v>
      </c>
      <c r="O596" t="s">
        <v>43</v>
      </c>
      <c r="P596" t="s">
        <v>44</v>
      </c>
      <c r="Q596" t="s">
        <v>28</v>
      </c>
      <c r="R596" t="s">
        <v>29</v>
      </c>
      <c r="S596">
        <v>2025</v>
      </c>
      <c r="T596" t="s">
        <v>2763</v>
      </c>
      <c r="U596" t="s">
        <v>2764</v>
      </c>
      <c r="V596" s="4">
        <v>0</v>
      </c>
      <c r="W596" s="4">
        <v>1</v>
      </c>
    </row>
    <row r="597" spans="1:23">
      <c r="A597" t="s">
        <v>726</v>
      </c>
      <c r="B597" s="2">
        <v>45958</v>
      </c>
      <c r="C597" t="s">
        <v>71</v>
      </c>
      <c r="D597" t="s">
        <v>72</v>
      </c>
      <c r="E597" t="s">
        <v>48</v>
      </c>
      <c r="F597" t="s">
        <v>57</v>
      </c>
      <c r="G597" t="s">
        <v>86</v>
      </c>
      <c r="H597" t="s">
        <v>87</v>
      </c>
      <c r="I597">
        <v>8</v>
      </c>
      <c r="J597" s="3">
        <v>9864.2099999999991</v>
      </c>
      <c r="K597" s="3">
        <v>78913.679999999993</v>
      </c>
      <c r="L597" t="s">
        <v>25</v>
      </c>
      <c r="M597" s="2">
        <v>45965</v>
      </c>
      <c r="N597" s="2">
        <v>45965</v>
      </c>
      <c r="O597" t="s">
        <v>26</v>
      </c>
      <c r="P597" t="s">
        <v>53</v>
      </c>
      <c r="Q597" t="s">
        <v>28</v>
      </c>
      <c r="R597" t="s">
        <v>29</v>
      </c>
      <c r="S597">
        <v>2025</v>
      </c>
      <c r="T597" t="s">
        <v>2749</v>
      </c>
      <c r="U597" t="s">
        <v>2750</v>
      </c>
      <c r="V597" s="4">
        <v>0</v>
      </c>
      <c r="W597" s="4">
        <v>1</v>
      </c>
    </row>
    <row r="598" spans="1:23">
      <c r="A598" t="s">
        <v>727</v>
      </c>
      <c r="B598" s="2">
        <v>45874</v>
      </c>
      <c r="C598" t="s">
        <v>104</v>
      </c>
      <c r="D598" t="s">
        <v>105</v>
      </c>
      <c r="E598" t="s">
        <v>112</v>
      </c>
      <c r="F598" t="s">
        <v>49</v>
      </c>
      <c r="G598" t="s">
        <v>113</v>
      </c>
      <c r="H598" t="s">
        <v>114</v>
      </c>
      <c r="I598">
        <v>1</v>
      </c>
      <c r="J598" s="3">
        <v>39877.300000000003</v>
      </c>
      <c r="K598" s="3">
        <v>39877.300000000003</v>
      </c>
      <c r="L598" t="s">
        <v>52</v>
      </c>
      <c r="M598" s="2">
        <v>45881</v>
      </c>
      <c r="N598" s="2">
        <v>45879</v>
      </c>
      <c r="O598" t="s">
        <v>76</v>
      </c>
      <c r="P598" t="s">
        <v>115</v>
      </c>
      <c r="Q598" t="s">
        <v>28</v>
      </c>
      <c r="R598" t="s">
        <v>29</v>
      </c>
      <c r="S598">
        <v>2025</v>
      </c>
      <c r="T598" t="s">
        <v>2761</v>
      </c>
      <c r="U598" t="s">
        <v>2762</v>
      </c>
      <c r="V598" s="4">
        <v>0</v>
      </c>
      <c r="W598" s="4">
        <v>1</v>
      </c>
    </row>
    <row r="599" spans="1:23">
      <c r="A599" t="s">
        <v>728</v>
      </c>
      <c r="B599" s="2">
        <v>46161</v>
      </c>
      <c r="C599" t="s">
        <v>71</v>
      </c>
      <c r="D599" t="s">
        <v>72</v>
      </c>
      <c r="E599" t="s">
        <v>48</v>
      </c>
      <c r="F599" t="s">
        <v>57</v>
      </c>
      <c r="G599" t="s">
        <v>127</v>
      </c>
      <c r="H599" t="s">
        <v>128</v>
      </c>
      <c r="I599">
        <v>6</v>
      </c>
      <c r="J599" s="3">
        <v>15502.97</v>
      </c>
      <c r="K599" s="3">
        <v>93017.82</v>
      </c>
      <c r="L599" t="s">
        <v>34</v>
      </c>
      <c r="M599" s="2">
        <v>46172</v>
      </c>
      <c r="N599" s="2">
        <v>46169</v>
      </c>
      <c r="O599" t="s">
        <v>60</v>
      </c>
      <c r="P599" t="s">
        <v>53</v>
      </c>
      <c r="Q599" t="s">
        <v>28</v>
      </c>
      <c r="R599" t="s">
        <v>29</v>
      </c>
      <c r="S599">
        <v>2026</v>
      </c>
      <c r="T599" t="s">
        <v>2766</v>
      </c>
      <c r="U599" t="s">
        <v>2769</v>
      </c>
      <c r="V599" s="4">
        <v>0</v>
      </c>
      <c r="W599" s="4">
        <v>1</v>
      </c>
    </row>
    <row r="600" spans="1:23">
      <c r="A600" t="s">
        <v>729</v>
      </c>
      <c r="B600" s="2">
        <v>45886</v>
      </c>
      <c r="C600" t="s">
        <v>142</v>
      </c>
      <c r="D600" t="s">
        <v>143</v>
      </c>
      <c r="E600" t="s">
        <v>21</v>
      </c>
      <c r="F600" t="s">
        <v>22</v>
      </c>
      <c r="G600" t="s">
        <v>23</v>
      </c>
      <c r="H600" t="s">
        <v>24</v>
      </c>
      <c r="I600">
        <v>17</v>
      </c>
      <c r="J600" s="3">
        <v>248.26</v>
      </c>
      <c r="K600" s="3">
        <v>4220.42</v>
      </c>
      <c r="L600" t="s">
        <v>25</v>
      </c>
      <c r="M600" s="2">
        <v>45902</v>
      </c>
      <c r="N600" s="2">
        <v>45900</v>
      </c>
      <c r="O600" t="s">
        <v>76</v>
      </c>
      <c r="P600" t="s">
        <v>27</v>
      </c>
      <c r="Q600" t="s">
        <v>28</v>
      </c>
      <c r="R600" t="s">
        <v>29</v>
      </c>
      <c r="S600">
        <v>2025</v>
      </c>
      <c r="T600" t="s">
        <v>2761</v>
      </c>
      <c r="U600" t="s">
        <v>2762</v>
      </c>
      <c r="V600" s="4">
        <v>0</v>
      </c>
      <c r="W600" s="4">
        <v>1</v>
      </c>
    </row>
    <row r="601" spans="1:23">
      <c r="A601" t="s">
        <v>730</v>
      </c>
      <c r="B601" s="2">
        <v>45659</v>
      </c>
      <c r="C601" t="s">
        <v>107</v>
      </c>
      <c r="D601" t="s">
        <v>108</v>
      </c>
      <c r="E601" t="s">
        <v>31</v>
      </c>
      <c r="F601" t="s">
        <v>91</v>
      </c>
      <c r="G601" t="s">
        <v>109</v>
      </c>
      <c r="H601" t="s">
        <v>110</v>
      </c>
      <c r="I601">
        <v>1</v>
      </c>
      <c r="J601" s="3">
        <v>13595.56</v>
      </c>
      <c r="K601" s="3">
        <v>13595.56</v>
      </c>
      <c r="L601" t="s">
        <v>25</v>
      </c>
      <c r="M601" s="2">
        <v>45676</v>
      </c>
      <c r="N601" s="2">
        <v>45675</v>
      </c>
      <c r="O601" t="s">
        <v>26</v>
      </c>
      <c r="P601" t="s">
        <v>94</v>
      </c>
      <c r="Q601" t="s">
        <v>28</v>
      </c>
      <c r="R601" t="s">
        <v>29</v>
      </c>
      <c r="S601">
        <v>2025</v>
      </c>
      <c r="T601" t="s">
        <v>2757</v>
      </c>
      <c r="U601" t="s">
        <v>2768</v>
      </c>
      <c r="V601" s="4">
        <v>0</v>
      </c>
      <c r="W601" s="4">
        <v>1</v>
      </c>
    </row>
    <row r="602" spans="1:23">
      <c r="A602" t="s">
        <v>731</v>
      </c>
      <c r="B602" s="2">
        <v>46062</v>
      </c>
      <c r="C602" t="s">
        <v>147</v>
      </c>
      <c r="D602" t="s">
        <v>148</v>
      </c>
      <c r="E602" t="s">
        <v>112</v>
      </c>
      <c r="F602" t="s">
        <v>40</v>
      </c>
      <c r="G602" t="s">
        <v>149</v>
      </c>
      <c r="H602" t="s">
        <v>150</v>
      </c>
      <c r="I602">
        <v>19</v>
      </c>
      <c r="J602" s="3">
        <v>1278.78</v>
      </c>
      <c r="K602" s="3">
        <v>24296.82</v>
      </c>
      <c r="L602" t="s">
        <v>34</v>
      </c>
      <c r="M602" s="2">
        <v>46074</v>
      </c>
      <c r="N602" s="2">
        <v>46073</v>
      </c>
      <c r="O602" t="s">
        <v>26</v>
      </c>
      <c r="P602" t="s">
        <v>115</v>
      </c>
      <c r="Q602" t="s">
        <v>28</v>
      </c>
      <c r="R602" t="s">
        <v>29</v>
      </c>
      <c r="S602">
        <v>2026</v>
      </c>
      <c r="T602" t="s">
        <v>2751</v>
      </c>
      <c r="U602" t="s">
        <v>2765</v>
      </c>
      <c r="V602" s="4">
        <v>0</v>
      </c>
      <c r="W602" s="4">
        <v>1</v>
      </c>
    </row>
    <row r="603" spans="1:23">
      <c r="A603" t="s">
        <v>732</v>
      </c>
      <c r="B603" s="2">
        <v>45985</v>
      </c>
      <c r="C603" t="s">
        <v>37</v>
      </c>
      <c r="D603" t="s">
        <v>38</v>
      </c>
      <c r="E603" t="s">
        <v>112</v>
      </c>
      <c r="F603" t="s">
        <v>22</v>
      </c>
      <c r="G603" t="s">
        <v>160</v>
      </c>
      <c r="H603" t="s">
        <v>161</v>
      </c>
      <c r="I603">
        <v>8</v>
      </c>
      <c r="J603" s="3">
        <v>3657</v>
      </c>
      <c r="K603" s="3">
        <v>29256</v>
      </c>
      <c r="L603" t="s">
        <v>25</v>
      </c>
      <c r="M603" s="2">
        <v>46000</v>
      </c>
      <c r="N603" s="2">
        <v>45997</v>
      </c>
      <c r="O603" t="s">
        <v>60</v>
      </c>
      <c r="P603" t="s">
        <v>115</v>
      </c>
      <c r="Q603" t="s">
        <v>28</v>
      </c>
      <c r="R603" t="s">
        <v>29</v>
      </c>
      <c r="S603">
        <v>2025</v>
      </c>
      <c r="T603" t="s">
        <v>2763</v>
      </c>
      <c r="U603" t="s">
        <v>2764</v>
      </c>
      <c r="V603" s="4">
        <v>0</v>
      </c>
      <c r="W603" s="4">
        <v>1</v>
      </c>
    </row>
    <row r="604" spans="1:23">
      <c r="A604" t="s">
        <v>733</v>
      </c>
      <c r="B604" s="2">
        <v>45999</v>
      </c>
      <c r="C604" t="s">
        <v>71</v>
      </c>
      <c r="D604" t="s">
        <v>72</v>
      </c>
      <c r="E604" t="s">
        <v>48</v>
      </c>
      <c r="F604" t="s">
        <v>57</v>
      </c>
      <c r="G604" t="s">
        <v>120</v>
      </c>
      <c r="H604" t="s">
        <v>121</v>
      </c>
      <c r="I604">
        <v>3</v>
      </c>
      <c r="J604" s="3">
        <v>21357.15</v>
      </c>
      <c r="K604" s="3">
        <v>64071.45</v>
      </c>
      <c r="L604" t="s">
        <v>25</v>
      </c>
      <c r="M604" s="2">
        <v>46017</v>
      </c>
      <c r="N604" s="2">
        <v>46014</v>
      </c>
      <c r="O604" t="s">
        <v>26</v>
      </c>
      <c r="P604" t="s">
        <v>53</v>
      </c>
      <c r="Q604" t="s">
        <v>28</v>
      </c>
      <c r="R604" t="s">
        <v>29</v>
      </c>
      <c r="S604">
        <v>2025</v>
      </c>
      <c r="T604" t="s">
        <v>2745</v>
      </c>
      <c r="U604" t="s">
        <v>2746</v>
      </c>
      <c r="V604" s="4">
        <v>0</v>
      </c>
      <c r="W604" s="4">
        <v>1</v>
      </c>
    </row>
    <row r="605" spans="1:23">
      <c r="A605" t="s">
        <v>734</v>
      </c>
      <c r="B605" s="2">
        <v>46059</v>
      </c>
      <c r="C605" t="s">
        <v>104</v>
      </c>
      <c r="D605" t="s">
        <v>105</v>
      </c>
      <c r="E605" t="s">
        <v>48</v>
      </c>
      <c r="F605" t="s">
        <v>49</v>
      </c>
      <c r="G605" t="s">
        <v>68</v>
      </c>
      <c r="H605" t="s">
        <v>69</v>
      </c>
      <c r="I605">
        <v>1</v>
      </c>
      <c r="J605" s="3">
        <v>48360.29</v>
      </c>
      <c r="K605" s="3">
        <v>48360.29</v>
      </c>
      <c r="L605" t="s">
        <v>34</v>
      </c>
      <c r="M605" s="2">
        <v>46068</v>
      </c>
      <c r="N605" s="2">
        <v>46067</v>
      </c>
      <c r="O605" t="s">
        <v>60</v>
      </c>
      <c r="P605" t="s">
        <v>53</v>
      </c>
      <c r="Q605" t="s">
        <v>28</v>
      </c>
      <c r="R605" t="s">
        <v>29</v>
      </c>
      <c r="S605">
        <v>2026</v>
      </c>
      <c r="T605" t="s">
        <v>2751</v>
      </c>
      <c r="U605" t="s">
        <v>2765</v>
      </c>
      <c r="V605" s="4">
        <v>0</v>
      </c>
      <c r="W605" s="4">
        <v>1</v>
      </c>
    </row>
    <row r="606" spans="1:23">
      <c r="A606" t="s">
        <v>735</v>
      </c>
      <c r="B606" s="2">
        <v>45792</v>
      </c>
      <c r="C606" t="s">
        <v>55</v>
      </c>
      <c r="D606" t="s">
        <v>56</v>
      </c>
      <c r="E606" t="s">
        <v>48</v>
      </c>
      <c r="F606" t="s">
        <v>57</v>
      </c>
      <c r="G606" t="s">
        <v>120</v>
      </c>
      <c r="H606" t="s">
        <v>121</v>
      </c>
      <c r="I606">
        <v>3</v>
      </c>
      <c r="J606" s="3">
        <v>24759.68</v>
      </c>
      <c r="K606" s="3">
        <v>74279.039999999994</v>
      </c>
      <c r="L606" t="s">
        <v>52</v>
      </c>
      <c r="M606" s="2">
        <v>45804</v>
      </c>
      <c r="N606" s="2">
        <v>45802</v>
      </c>
      <c r="O606" t="s">
        <v>26</v>
      </c>
      <c r="P606" t="s">
        <v>53</v>
      </c>
      <c r="Q606" t="s">
        <v>28</v>
      </c>
      <c r="R606" t="s">
        <v>29</v>
      </c>
      <c r="S606">
        <v>2025</v>
      </c>
      <c r="T606" t="s">
        <v>2766</v>
      </c>
      <c r="U606" t="s">
        <v>2767</v>
      </c>
      <c r="V606" s="4">
        <v>0</v>
      </c>
      <c r="W606" s="4">
        <v>1</v>
      </c>
    </row>
    <row r="607" spans="1:23">
      <c r="A607" t="s">
        <v>736</v>
      </c>
      <c r="B607" s="2">
        <v>45667</v>
      </c>
      <c r="C607" t="s">
        <v>37</v>
      </c>
      <c r="D607" t="s">
        <v>38</v>
      </c>
      <c r="E607" t="s">
        <v>112</v>
      </c>
      <c r="F607" t="s">
        <v>22</v>
      </c>
      <c r="G607" t="s">
        <v>32</v>
      </c>
      <c r="H607" t="s">
        <v>33</v>
      </c>
      <c r="I607">
        <v>7</v>
      </c>
      <c r="J607" s="3">
        <v>9176.3799999999992</v>
      </c>
      <c r="K607" s="3">
        <v>64234.66</v>
      </c>
      <c r="L607" t="s">
        <v>52</v>
      </c>
      <c r="M607" s="2">
        <v>45678</v>
      </c>
      <c r="N607" s="2">
        <v>45677</v>
      </c>
      <c r="O607" t="s">
        <v>43</v>
      </c>
      <c r="P607" t="s">
        <v>115</v>
      </c>
      <c r="Q607" t="s">
        <v>28</v>
      </c>
      <c r="R607" t="s">
        <v>29</v>
      </c>
      <c r="S607">
        <v>2025</v>
      </c>
      <c r="T607" t="s">
        <v>2757</v>
      </c>
      <c r="U607" t="s">
        <v>2768</v>
      </c>
      <c r="V607" s="4">
        <v>0</v>
      </c>
      <c r="W607" s="4">
        <v>1</v>
      </c>
    </row>
    <row r="608" spans="1:23">
      <c r="A608" t="s">
        <v>737</v>
      </c>
      <c r="B608" s="2">
        <v>46143</v>
      </c>
      <c r="C608" t="s">
        <v>96</v>
      </c>
      <c r="D608" t="s">
        <v>97</v>
      </c>
      <c r="E608" t="s">
        <v>39</v>
      </c>
      <c r="F608" t="s">
        <v>82</v>
      </c>
      <c r="G608" t="s">
        <v>197</v>
      </c>
      <c r="H608" t="s">
        <v>198</v>
      </c>
      <c r="I608">
        <v>14</v>
      </c>
      <c r="J608" s="3">
        <v>2118.9699999999998</v>
      </c>
      <c r="K608" s="3">
        <v>29665.58</v>
      </c>
      <c r="L608" t="s">
        <v>25</v>
      </c>
      <c r="M608" s="2">
        <v>46158</v>
      </c>
      <c r="N608" s="2">
        <v>46157</v>
      </c>
      <c r="O608" t="s">
        <v>26</v>
      </c>
      <c r="P608" t="s">
        <v>44</v>
      </c>
      <c r="Q608" t="s">
        <v>28</v>
      </c>
      <c r="R608" t="s">
        <v>29</v>
      </c>
      <c r="S608">
        <v>2026</v>
      </c>
      <c r="T608" t="s">
        <v>2766</v>
      </c>
      <c r="U608" t="s">
        <v>2769</v>
      </c>
      <c r="V608" s="4">
        <v>0</v>
      </c>
      <c r="W608" s="4">
        <v>1</v>
      </c>
    </row>
    <row r="609" spans="1:23">
      <c r="A609" t="s">
        <v>738</v>
      </c>
      <c r="B609" s="2">
        <v>46158</v>
      </c>
      <c r="C609" t="s">
        <v>107</v>
      </c>
      <c r="D609" t="s">
        <v>108</v>
      </c>
      <c r="E609" t="s">
        <v>31</v>
      </c>
      <c r="F609" t="s">
        <v>91</v>
      </c>
      <c r="G609" t="s">
        <v>109</v>
      </c>
      <c r="H609" t="s">
        <v>110</v>
      </c>
      <c r="I609">
        <v>1</v>
      </c>
      <c r="J609" s="3">
        <v>14426.57</v>
      </c>
      <c r="K609" s="3">
        <v>14426.57</v>
      </c>
      <c r="L609" t="s">
        <v>25</v>
      </c>
      <c r="M609" s="2">
        <v>46175</v>
      </c>
      <c r="N609" s="2">
        <v>46172</v>
      </c>
      <c r="O609" t="s">
        <v>60</v>
      </c>
      <c r="P609" t="s">
        <v>35</v>
      </c>
      <c r="Q609" t="s">
        <v>28</v>
      </c>
      <c r="R609" t="s">
        <v>29</v>
      </c>
      <c r="S609">
        <v>2026</v>
      </c>
      <c r="T609" t="s">
        <v>2766</v>
      </c>
      <c r="U609" t="s">
        <v>2769</v>
      </c>
      <c r="V609" s="4">
        <v>0</v>
      </c>
      <c r="W609" s="4">
        <v>1</v>
      </c>
    </row>
    <row r="610" spans="1:23">
      <c r="A610" t="s">
        <v>739</v>
      </c>
      <c r="B610" s="2">
        <v>45669</v>
      </c>
      <c r="C610" t="s">
        <v>37</v>
      </c>
      <c r="D610" t="s">
        <v>38</v>
      </c>
      <c r="E610" t="s">
        <v>39</v>
      </c>
      <c r="F610" t="s">
        <v>40</v>
      </c>
      <c r="G610" t="s">
        <v>149</v>
      </c>
      <c r="H610" t="s">
        <v>150</v>
      </c>
      <c r="I610">
        <v>41</v>
      </c>
      <c r="J610" s="3">
        <v>1461.21</v>
      </c>
      <c r="K610" s="3">
        <v>59909.61</v>
      </c>
      <c r="L610" t="s">
        <v>34</v>
      </c>
      <c r="M610" s="2">
        <v>45681</v>
      </c>
      <c r="N610" s="2">
        <v>45681</v>
      </c>
      <c r="O610" t="s">
        <v>26</v>
      </c>
      <c r="P610" t="s">
        <v>44</v>
      </c>
      <c r="Q610" t="s">
        <v>28</v>
      </c>
      <c r="R610" t="s">
        <v>29</v>
      </c>
      <c r="S610">
        <v>2025</v>
      </c>
      <c r="T610" t="s">
        <v>2757</v>
      </c>
      <c r="U610" t="s">
        <v>2768</v>
      </c>
      <c r="V610" s="4">
        <v>0</v>
      </c>
      <c r="W610" s="4">
        <v>1</v>
      </c>
    </row>
    <row r="611" spans="1:23">
      <c r="A611" t="s">
        <v>740</v>
      </c>
      <c r="B611" s="2">
        <v>46102</v>
      </c>
      <c r="C611" t="s">
        <v>147</v>
      </c>
      <c r="D611" t="s">
        <v>148</v>
      </c>
      <c r="E611" t="s">
        <v>39</v>
      </c>
      <c r="F611" t="s">
        <v>40</v>
      </c>
      <c r="G611" t="s">
        <v>41</v>
      </c>
      <c r="H611" t="s">
        <v>42</v>
      </c>
      <c r="I611">
        <v>9</v>
      </c>
      <c r="J611" s="3">
        <v>5378.91</v>
      </c>
      <c r="K611" s="3">
        <v>48410.19</v>
      </c>
      <c r="L611" t="s">
        <v>25</v>
      </c>
      <c r="M611" s="2">
        <v>46109</v>
      </c>
      <c r="N611" s="2">
        <v>46109</v>
      </c>
      <c r="O611" t="s">
        <v>60</v>
      </c>
      <c r="P611" t="s">
        <v>64</v>
      </c>
      <c r="Q611" t="s">
        <v>28</v>
      </c>
      <c r="R611" t="s">
        <v>29</v>
      </c>
      <c r="S611">
        <v>2026</v>
      </c>
      <c r="T611" t="s">
        <v>2747</v>
      </c>
      <c r="U611" t="s">
        <v>2755</v>
      </c>
      <c r="V611" s="4">
        <v>0</v>
      </c>
      <c r="W611" s="4">
        <v>1</v>
      </c>
    </row>
    <row r="612" spans="1:23">
      <c r="A612" t="s">
        <v>741</v>
      </c>
      <c r="B612" s="2">
        <v>45778</v>
      </c>
      <c r="C612" t="s">
        <v>107</v>
      </c>
      <c r="D612" t="s">
        <v>108</v>
      </c>
      <c r="E612" t="s">
        <v>31</v>
      </c>
      <c r="F612" t="s">
        <v>91</v>
      </c>
      <c r="G612" t="s">
        <v>92</v>
      </c>
      <c r="H612" t="s">
        <v>93</v>
      </c>
      <c r="I612">
        <v>1</v>
      </c>
      <c r="J612" s="3">
        <v>47680.53</v>
      </c>
      <c r="K612" s="3">
        <v>47680.53</v>
      </c>
      <c r="L612" t="s">
        <v>34</v>
      </c>
      <c r="M612" s="2">
        <v>45783</v>
      </c>
      <c r="N612" s="2">
        <v>45782</v>
      </c>
      <c r="O612" t="s">
        <v>43</v>
      </c>
      <c r="P612" t="s">
        <v>35</v>
      </c>
      <c r="Q612" t="s">
        <v>28</v>
      </c>
      <c r="R612" t="s">
        <v>29</v>
      </c>
      <c r="S612">
        <v>2025</v>
      </c>
      <c r="T612" t="s">
        <v>2766</v>
      </c>
      <c r="U612" t="s">
        <v>2767</v>
      </c>
      <c r="V612" s="4">
        <v>0</v>
      </c>
      <c r="W612" s="4">
        <v>1</v>
      </c>
    </row>
    <row r="613" spans="1:23">
      <c r="A613" t="s">
        <v>742</v>
      </c>
      <c r="B613" s="2">
        <v>45693</v>
      </c>
      <c r="C613" t="s">
        <v>147</v>
      </c>
      <c r="D613" t="s">
        <v>148</v>
      </c>
      <c r="E613" t="s">
        <v>39</v>
      </c>
      <c r="F613" t="s">
        <v>40</v>
      </c>
      <c r="G613" t="s">
        <v>136</v>
      </c>
      <c r="H613" t="s">
        <v>137</v>
      </c>
      <c r="I613">
        <v>47</v>
      </c>
      <c r="J613" s="3">
        <v>1545.1</v>
      </c>
      <c r="K613" s="3">
        <v>72619.7</v>
      </c>
      <c r="L613" t="s">
        <v>52</v>
      </c>
      <c r="M613" s="2">
        <v>45698</v>
      </c>
      <c r="N613" s="2">
        <v>45698</v>
      </c>
      <c r="O613" t="s">
        <v>76</v>
      </c>
      <c r="P613" t="s">
        <v>44</v>
      </c>
      <c r="Q613" t="s">
        <v>28</v>
      </c>
      <c r="R613" t="s">
        <v>29</v>
      </c>
      <c r="S613">
        <v>2025</v>
      </c>
      <c r="T613" t="s">
        <v>2751</v>
      </c>
      <c r="U613" t="s">
        <v>2752</v>
      </c>
      <c r="V613" s="4">
        <v>0</v>
      </c>
      <c r="W613" s="4">
        <v>1</v>
      </c>
    </row>
    <row r="614" spans="1:23">
      <c r="A614" t="s">
        <v>743</v>
      </c>
      <c r="B614" s="2">
        <v>45801</v>
      </c>
      <c r="C614" t="s">
        <v>46</v>
      </c>
      <c r="D614" t="s">
        <v>47</v>
      </c>
      <c r="E614" t="s">
        <v>48</v>
      </c>
      <c r="F614" t="s">
        <v>49</v>
      </c>
      <c r="G614" t="s">
        <v>50</v>
      </c>
      <c r="H614" t="s">
        <v>51</v>
      </c>
      <c r="I614">
        <v>1</v>
      </c>
      <c r="J614" s="3">
        <v>56202.31</v>
      </c>
      <c r="K614" s="3">
        <v>56202.31</v>
      </c>
      <c r="L614" t="s">
        <v>25</v>
      </c>
      <c r="M614" s="2">
        <v>45809</v>
      </c>
      <c r="N614" s="2">
        <v>45813</v>
      </c>
      <c r="O614" t="s">
        <v>26</v>
      </c>
      <c r="P614" t="s">
        <v>53</v>
      </c>
      <c r="Q614" t="s">
        <v>28</v>
      </c>
      <c r="R614" t="s">
        <v>129</v>
      </c>
      <c r="S614">
        <v>2025</v>
      </c>
      <c r="T614" t="s">
        <v>2766</v>
      </c>
      <c r="U614" t="s">
        <v>2767</v>
      </c>
      <c r="V614" s="4">
        <v>4</v>
      </c>
      <c r="W614" s="4">
        <v>0</v>
      </c>
    </row>
    <row r="615" spans="1:23">
      <c r="A615" t="s">
        <v>744</v>
      </c>
      <c r="B615" s="2">
        <v>45879</v>
      </c>
      <c r="C615" t="s">
        <v>71</v>
      </c>
      <c r="D615" t="s">
        <v>72</v>
      </c>
      <c r="E615" t="s">
        <v>21</v>
      </c>
      <c r="F615" t="s">
        <v>57</v>
      </c>
      <c r="G615" t="s">
        <v>127</v>
      </c>
      <c r="H615" t="s">
        <v>128</v>
      </c>
      <c r="I615">
        <v>5</v>
      </c>
      <c r="J615" s="3">
        <v>15433.03</v>
      </c>
      <c r="K615" s="3">
        <v>77165.149999999994</v>
      </c>
      <c r="L615" t="s">
        <v>25</v>
      </c>
      <c r="M615" s="2">
        <v>45890</v>
      </c>
      <c r="N615" s="2">
        <v>45889</v>
      </c>
      <c r="O615" t="s">
        <v>43</v>
      </c>
      <c r="P615" t="s">
        <v>27</v>
      </c>
      <c r="Q615" t="s">
        <v>28</v>
      </c>
      <c r="R615" t="s">
        <v>29</v>
      </c>
      <c r="S615">
        <v>2025</v>
      </c>
      <c r="T615" t="s">
        <v>2761</v>
      </c>
      <c r="U615" t="s">
        <v>2762</v>
      </c>
      <c r="V615" s="4">
        <v>0</v>
      </c>
      <c r="W615" s="4">
        <v>1</v>
      </c>
    </row>
    <row r="616" spans="1:23">
      <c r="A616" t="s">
        <v>745</v>
      </c>
      <c r="B616" s="2">
        <v>45804</v>
      </c>
      <c r="C616" t="s">
        <v>80</v>
      </c>
      <c r="D616" t="s">
        <v>81</v>
      </c>
      <c r="E616" t="s">
        <v>39</v>
      </c>
      <c r="F616" t="s">
        <v>82</v>
      </c>
      <c r="G616" t="s">
        <v>98</v>
      </c>
      <c r="H616" t="s">
        <v>99</v>
      </c>
      <c r="I616">
        <v>17</v>
      </c>
      <c r="J616" s="3">
        <v>1117.31</v>
      </c>
      <c r="K616" s="3">
        <v>18994.27</v>
      </c>
      <c r="L616" t="s">
        <v>25</v>
      </c>
      <c r="M616" s="2">
        <v>45820</v>
      </c>
      <c r="N616" s="2">
        <v>45819</v>
      </c>
      <c r="O616" t="s">
        <v>26</v>
      </c>
      <c r="P616" t="s">
        <v>44</v>
      </c>
      <c r="Q616" t="s">
        <v>28</v>
      </c>
      <c r="R616" t="s">
        <v>29</v>
      </c>
      <c r="S616">
        <v>2025</v>
      </c>
      <c r="T616" t="s">
        <v>2766</v>
      </c>
      <c r="U616" t="s">
        <v>2767</v>
      </c>
      <c r="V616" s="4">
        <v>0</v>
      </c>
      <c r="W616" s="4">
        <v>1</v>
      </c>
    </row>
    <row r="617" spans="1:23">
      <c r="A617" t="s">
        <v>746</v>
      </c>
      <c r="B617" s="2">
        <v>46102</v>
      </c>
      <c r="C617" t="s">
        <v>142</v>
      </c>
      <c r="D617" t="s">
        <v>143</v>
      </c>
      <c r="E617" t="s">
        <v>112</v>
      </c>
      <c r="F617" t="s">
        <v>22</v>
      </c>
      <c r="G617" t="s">
        <v>23</v>
      </c>
      <c r="H617" t="s">
        <v>24</v>
      </c>
      <c r="I617">
        <v>48</v>
      </c>
      <c r="J617" s="3">
        <v>261.73</v>
      </c>
      <c r="K617" s="3">
        <v>12563.04</v>
      </c>
      <c r="L617" t="s">
        <v>34</v>
      </c>
      <c r="M617" s="2">
        <v>46115</v>
      </c>
      <c r="N617" s="2">
        <v>46113</v>
      </c>
      <c r="O617" t="s">
        <v>76</v>
      </c>
      <c r="P617" t="s">
        <v>115</v>
      </c>
      <c r="Q617" t="s">
        <v>28</v>
      </c>
      <c r="R617" t="s">
        <v>29</v>
      </c>
      <c r="S617">
        <v>2026</v>
      </c>
      <c r="T617" t="s">
        <v>2747</v>
      </c>
      <c r="U617" t="s">
        <v>2755</v>
      </c>
      <c r="V617" s="4">
        <v>0</v>
      </c>
      <c r="W617" s="4">
        <v>1</v>
      </c>
    </row>
    <row r="618" spans="1:23">
      <c r="A618" t="s">
        <v>747</v>
      </c>
      <c r="B618" s="2">
        <v>45937</v>
      </c>
      <c r="C618" t="s">
        <v>104</v>
      </c>
      <c r="D618" t="s">
        <v>105</v>
      </c>
      <c r="E618" t="s">
        <v>48</v>
      </c>
      <c r="F618" t="s">
        <v>49</v>
      </c>
      <c r="G618" t="s">
        <v>113</v>
      </c>
      <c r="H618" t="s">
        <v>114</v>
      </c>
      <c r="I618">
        <v>1</v>
      </c>
      <c r="J618" s="3">
        <v>39829.839999999997</v>
      </c>
      <c r="K618" s="3">
        <v>39829.839999999997</v>
      </c>
      <c r="L618" t="s">
        <v>25</v>
      </c>
      <c r="M618" s="2">
        <v>45948</v>
      </c>
      <c r="N618" s="2">
        <v>45948</v>
      </c>
      <c r="O618" t="s">
        <v>76</v>
      </c>
      <c r="P618" t="s">
        <v>53</v>
      </c>
      <c r="Q618" t="s">
        <v>28</v>
      </c>
      <c r="R618" t="s">
        <v>29</v>
      </c>
      <c r="S618">
        <v>2025</v>
      </c>
      <c r="T618" t="s">
        <v>2749</v>
      </c>
      <c r="U618" t="s">
        <v>2750</v>
      </c>
      <c r="V618" s="4">
        <v>0</v>
      </c>
      <c r="W618" s="4">
        <v>1</v>
      </c>
    </row>
    <row r="619" spans="1:23">
      <c r="A619" t="s">
        <v>748</v>
      </c>
      <c r="B619" s="2">
        <v>45755</v>
      </c>
      <c r="C619" t="s">
        <v>46</v>
      </c>
      <c r="D619" t="s">
        <v>47</v>
      </c>
      <c r="E619" t="s">
        <v>48</v>
      </c>
      <c r="F619" t="s">
        <v>49</v>
      </c>
      <c r="G619" t="s">
        <v>165</v>
      </c>
      <c r="H619" t="s">
        <v>166</v>
      </c>
      <c r="I619">
        <v>1</v>
      </c>
      <c r="J619" s="3">
        <v>49640.98</v>
      </c>
      <c r="K619" s="3">
        <v>49640.98</v>
      </c>
      <c r="L619" t="s">
        <v>25</v>
      </c>
      <c r="M619" s="2">
        <v>45765</v>
      </c>
      <c r="N619" s="2">
        <v>45762</v>
      </c>
      <c r="O619" t="s">
        <v>60</v>
      </c>
      <c r="P619" t="s">
        <v>53</v>
      </c>
      <c r="Q619" t="s">
        <v>28</v>
      </c>
      <c r="R619" t="s">
        <v>29</v>
      </c>
      <c r="S619">
        <v>2025</v>
      </c>
      <c r="T619" t="s">
        <v>2741</v>
      </c>
      <c r="U619" t="s">
        <v>2742</v>
      </c>
      <c r="V619" s="4">
        <v>0</v>
      </c>
      <c r="W619" s="4">
        <v>1</v>
      </c>
    </row>
    <row r="620" spans="1:23">
      <c r="A620" t="s">
        <v>749</v>
      </c>
      <c r="B620" s="2">
        <v>45788</v>
      </c>
      <c r="C620" t="s">
        <v>117</v>
      </c>
      <c r="D620" t="s">
        <v>118</v>
      </c>
      <c r="E620" t="s">
        <v>48</v>
      </c>
      <c r="F620" t="s">
        <v>57</v>
      </c>
      <c r="G620" t="s">
        <v>120</v>
      </c>
      <c r="H620" t="s">
        <v>121</v>
      </c>
      <c r="I620">
        <v>5</v>
      </c>
      <c r="J620" s="3">
        <v>21919.73</v>
      </c>
      <c r="K620" s="3">
        <v>109598.65</v>
      </c>
      <c r="L620" t="s">
        <v>34</v>
      </c>
      <c r="M620" s="2">
        <v>45793</v>
      </c>
      <c r="N620" s="2">
        <v>45791</v>
      </c>
      <c r="O620" t="s">
        <v>26</v>
      </c>
      <c r="P620" t="s">
        <v>53</v>
      </c>
      <c r="Q620" t="s">
        <v>28</v>
      </c>
      <c r="R620" t="s">
        <v>29</v>
      </c>
      <c r="S620">
        <v>2025</v>
      </c>
      <c r="T620" t="s">
        <v>2766</v>
      </c>
      <c r="U620" t="s">
        <v>2767</v>
      </c>
      <c r="V620" s="4">
        <v>0</v>
      </c>
      <c r="W620" s="4">
        <v>1</v>
      </c>
    </row>
    <row r="621" spans="1:23">
      <c r="A621" t="s">
        <v>750</v>
      </c>
      <c r="B621" s="2">
        <v>46126</v>
      </c>
      <c r="C621" t="s">
        <v>37</v>
      </c>
      <c r="D621" t="s">
        <v>38</v>
      </c>
      <c r="E621" t="s">
        <v>112</v>
      </c>
      <c r="F621" t="s">
        <v>40</v>
      </c>
      <c r="G621" t="s">
        <v>136</v>
      </c>
      <c r="H621" t="s">
        <v>137</v>
      </c>
      <c r="I621">
        <v>50</v>
      </c>
      <c r="J621" s="3">
        <v>1762.85</v>
      </c>
      <c r="K621" s="3">
        <v>88142.5</v>
      </c>
      <c r="L621" t="s">
        <v>52</v>
      </c>
      <c r="M621" s="2">
        <v>46144</v>
      </c>
      <c r="N621" s="2">
        <v>46144</v>
      </c>
      <c r="O621" t="s">
        <v>60</v>
      </c>
      <c r="P621" t="s">
        <v>115</v>
      </c>
      <c r="Q621" t="s">
        <v>28</v>
      </c>
      <c r="R621" t="s">
        <v>29</v>
      </c>
      <c r="S621">
        <v>2026</v>
      </c>
      <c r="T621" t="s">
        <v>2741</v>
      </c>
      <c r="U621" t="s">
        <v>2770</v>
      </c>
      <c r="V621" s="4">
        <v>0</v>
      </c>
      <c r="W621" s="4">
        <v>1</v>
      </c>
    </row>
    <row r="622" spans="1:23">
      <c r="A622" t="s">
        <v>751</v>
      </c>
      <c r="B622" s="2">
        <v>45750</v>
      </c>
      <c r="C622" t="s">
        <v>142</v>
      </c>
      <c r="D622" t="s">
        <v>143</v>
      </c>
      <c r="E622" t="s">
        <v>39</v>
      </c>
      <c r="F622" t="s">
        <v>22</v>
      </c>
      <c r="G622" t="s">
        <v>23</v>
      </c>
      <c r="H622" t="s">
        <v>24</v>
      </c>
      <c r="I622">
        <v>52</v>
      </c>
      <c r="J622" s="3">
        <v>236.47</v>
      </c>
      <c r="K622" s="3">
        <v>12296.44</v>
      </c>
      <c r="L622" t="s">
        <v>34</v>
      </c>
      <c r="M622" s="2">
        <v>45759</v>
      </c>
      <c r="N622" s="2">
        <v>45756</v>
      </c>
      <c r="O622" t="s">
        <v>43</v>
      </c>
      <c r="P622" t="s">
        <v>44</v>
      </c>
      <c r="Q622" t="s">
        <v>28</v>
      </c>
      <c r="R622" t="s">
        <v>29</v>
      </c>
      <c r="S622">
        <v>2025</v>
      </c>
      <c r="T622" t="s">
        <v>2741</v>
      </c>
      <c r="U622" t="s">
        <v>2742</v>
      </c>
      <c r="V622" s="4">
        <v>0</v>
      </c>
      <c r="W622" s="4">
        <v>1</v>
      </c>
    </row>
    <row r="623" spans="1:23">
      <c r="A623" t="s">
        <v>752</v>
      </c>
      <c r="B623" s="2">
        <v>45797</v>
      </c>
      <c r="C623" t="s">
        <v>19</v>
      </c>
      <c r="D623" t="s">
        <v>20</v>
      </c>
      <c r="E623" t="s">
        <v>31</v>
      </c>
      <c r="F623" t="s">
        <v>22</v>
      </c>
      <c r="G623" t="s">
        <v>32</v>
      </c>
      <c r="H623" t="s">
        <v>33</v>
      </c>
      <c r="I623">
        <v>10</v>
      </c>
      <c r="J623" s="3">
        <v>7228.56</v>
      </c>
      <c r="K623" s="3">
        <v>72285.600000000006</v>
      </c>
      <c r="L623" t="s">
        <v>34</v>
      </c>
      <c r="M623" s="2">
        <v>45805</v>
      </c>
      <c r="N623" s="2">
        <v>45805</v>
      </c>
      <c r="O623" t="s">
        <v>76</v>
      </c>
      <c r="P623" t="s">
        <v>94</v>
      </c>
      <c r="Q623" t="s">
        <v>28</v>
      </c>
      <c r="R623" t="s">
        <v>29</v>
      </c>
      <c r="S623">
        <v>2025</v>
      </c>
      <c r="T623" t="s">
        <v>2766</v>
      </c>
      <c r="U623" t="s">
        <v>2767</v>
      </c>
      <c r="V623" s="4">
        <v>0</v>
      </c>
      <c r="W623" s="4">
        <v>1</v>
      </c>
    </row>
    <row r="624" spans="1:23">
      <c r="A624" t="s">
        <v>753</v>
      </c>
      <c r="B624" s="2">
        <v>45701</v>
      </c>
      <c r="C624" t="s">
        <v>104</v>
      </c>
      <c r="D624" t="s">
        <v>105</v>
      </c>
      <c r="E624" t="s">
        <v>112</v>
      </c>
      <c r="F624" t="s">
        <v>49</v>
      </c>
      <c r="G624" t="s">
        <v>50</v>
      </c>
      <c r="H624" t="s">
        <v>51</v>
      </c>
      <c r="I624">
        <v>1</v>
      </c>
      <c r="J624" s="3">
        <v>51637.8</v>
      </c>
      <c r="K624" s="3">
        <v>51637.8</v>
      </c>
      <c r="L624" t="s">
        <v>25</v>
      </c>
      <c r="M624" s="2">
        <v>45714</v>
      </c>
      <c r="N624" s="2">
        <v>45714</v>
      </c>
      <c r="O624" t="s">
        <v>60</v>
      </c>
      <c r="P624" t="s">
        <v>115</v>
      </c>
      <c r="Q624" t="s">
        <v>28</v>
      </c>
      <c r="R624" t="s">
        <v>29</v>
      </c>
      <c r="S624">
        <v>2025</v>
      </c>
      <c r="T624" t="s">
        <v>2751</v>
      </c>
      <c r="U624" t="s">
        <v>2752</v>
      </c>
      <c r="V624" s="4">
        <v>0</v>
      </c>
      <c r="W624" s="4">
        <v>1</v>
      </c>
    </row>
    <row r="625" spans="1:23">
      <c r="A625" t="s">
        <v>754</v>
      </c>
      <c r="B625" s="2">
        <v>45778</v>
      </c>
      <c r="C625" t="s">
        <v>117</v>
      </c>
      <c r="D625" t="s">
        <v>118</v>
      </c>
      <c r="E625" t="s">
        <v>31</v>
      </c>
      <c r="F625" t="s">
        <v>57</v>
      </c>
      <c r="G625" t="s">
        <v>86</v>
      </c>
      <c r="H625" t="s">
        <v>87</v>
      </c>
      <c r="I625">
        <v>7</v>
      </c>
      <c r="J625" s="3">
        <v>11160.46</v>
      </c>
      <c r="K625" s="3">
        <v>78123.22</v>
      </c>
      <c r="L625" t="s">
        <v>52</v>
      </c>
      <c r="M625" s="2">
        <v>45786</v>
      </c>
      <c r="N625" s="2">
        <v>45786</v>
      </c>
      <c r="O625" t="s">
        <v>60</v>
      </c>
      <c r="P625" t="s">
        <v>94</v>
      </c>
      <c r="Q625" t="s">
        <v>28</v>
      </c>
      <c r="R625" t="s">
        <v>29</v>
      </c>
      <c r="S625">
        <v>2025</v>
      </c>
      <c r="T625" t="s">
        <v>2766</v>
      </c>
      <c r="U625" t="s">
        <v>2767</v>
      </c>
      <c r="V625" s="4">
        <v>0</v>
      </c>
      <c r="W625" s="4">
        <v>1</v>
      </c>
    </row>
    <row r="626" spans="1:23">
      <c r="A626" t="s">
        <v>755</v>
      </c>
      <c r="B626" s="2">
        <v>46022</v>
      </c>
      <c r="C626" t="s">
        <v>104</v>
      </c>
      <c r="D626" t="s">
        <v>105</v>
      </c>
      <c r="E626" t="s">
        <v>73</v>
      </c>
      <c r="F626" t="s">
        <v>49</v>
      </c>
      <c r="G626" t="s">
        <v>165</v>
      </c>
      <c r="H626" t="s">
        <v>166</v>
      </c>
      <c r="I626">
        <v>1</v>
      </c>
      <c r="J626" s="3">
        <v>44616.37</v>
      </c>
      <c r="K626" s="3">
        <v>44616.37</v>
      </c>
      <c r="L626" t="s">
        <v>25</v>
      </c>
      <c r="M626" s="2">
        <v>46033</v>
      </c>
      <c r="N626" s="2">
        <v>46033</v>
      </c>
      <c r="O626" t="s">
        <v>26</v>
      </c>
      <c r="P626" t="s">
        <v>77</v>
      </c>
      <c r="Q626" t="s">
        <v>28</v>
      </c>
      <c r="R626" t="s">
        <v>29</v>
      </c>
      <c r="S626">
        <v>2025</v>
      </c>
      <c r="T626" t="s">
        <v>2745</v>
      </c>
      <c r="U626" t="s">
        <v>2746</v>
      </c>
      <c r="V626" s="4">
        <v>0</v>
      </c>
      <c r="W626" s="4">
        <v>1</v>
      </c>
    </row>
    <row r="627" spans="1:23">
      <c r="A627" t="s">
        <v>756</v>
      </c>
      <c r="B627" s="2">
        <v>46199</v>
      </c>
      <c r="C627" t="s">
        <v>142</v>
      </c>
      <c r="D627" t="s">
        <v>143</v>
      </c>
      <c r="E627" t="s">
        <v>39</v>
      </c>
      <c r="F627" t="s">
        <v>22</v>
      </c>
      <c r="G627" t="s">
        <v>160</v>
      </c>
      <c r="H627" t="s">
        <v>161</v>
      </c>
      <c r="I627">
        <v>5</v>
      </c>
      <c r="J627" s="3">
        <v>3242.14</v>
      </c>
      <c r="K627" s="3">
        <v>16210.7</v>
      </c>
      <c r="L627" t="s">
        <v>25</v>
      </c>
      <c r="M627" s="2">
        <v>46207</v>
      </c>
      <c r="N627" s="2"/>
      <c r="O627" t="s">
        <v>26</v>
      </c>
      <c r="P627" t="s">
        <v>44</v>
      </c>
      <c r="Q627" t="s">
        <v>167</v>
      </c>
      <c r="R627" t="s">
        <v>167</v>
      </c>
      <c r="S627">
        <v>2026</v>
      </c>
      <c r="T627" t="s">
        <v>2743</v>
      </c>
      <c r="U627" t="s">
        <v>2744</v>
      </c>
      <c r="V627" s="4"/>
      <c r="W627" s="4"/>
    </row>
    <row r="628" spans="1:23">
      <c r="A628" t="s">
        <v>757</v>
      </c>
      <c r="B628" s="2">
        <v>46107</v>
      </c>
      <c r="C628" t="s">
        <v>104</v>
      </c>
      <c r="D628" t="s">
        <v>105</v>
      </c>
      <c r="E628" t="s">
        <v>21</v>
      </c>
      <c r="F628" t="s">
        <v>49</v>
      </c>
      <c r="G628" t="s">
        <v>113</v>
      </c>
      <c r="H628" t="s">
        <v>114</v>
      </c>
      <c r="I628">
        <v>1</v>
      </c>
      <c r="J628" s="3">
        <v>39457.160000000003</v>
      </c>
      <c r="K628" s="3">
        <v>39457.160000000003</v>
      </c>
      <c r="L628" t="s">
        <v>25</v>
      </c>
      <c r="M628" s="2">
        <v>46113</v>
      </c>
      <c r="N628" s="2">
        <v>46113</v>
      </c>
      <c r="O628" t="s">
        <v>60</v>
      </c>
      <c r="P628" t="s">
        <v>27</v>
      </c>
      <c r="Q628" t="s">
        <v>28</v>
      </c>
      <c r="R628" t="s">
        <v>29</v>
      </c>
      <c r="S628">
        <v>2026</v>
      </c>
      <c r="T628" t="s">
        <v>2747</v>
      </c>
      <c r="U628" t="s">
        <v>2755</v>
      </c>
      <c r="V628" s="4">
        <v>0</v>
      </c>
      <c r="W628" s="4">
        <v>1</v>
      </c>
    </row>
    <row r="629" spans="1:23">
      <c r="A629" t="s">
        <v>758</v>
      </c>
      <c r="B629" s="2">
        <v>45690</v>
      </c>
      <c r="C629" t="s">
        <v>37</v>
      </c>
      <c r="D629" t="s">
        <v>38</v>
      </c>
      <c r="E629" t="s">
        <v>39</v>
      </c>
      <c r="F629" t="s">
        <v>40</v>
      </c>
      <c r="G629" t="s">
        <v>136</v>
      </c>
      <c r="H629" t="s">
        <v>137</v>
      </c>
      <c r="I629">
        <v>36</v>
      </c>
      <c r="J629" s="3">
        <v>1772.59</v>
      </c>
      <c r="K629" s="3">
        <v>63813.24</v>
      </c>
      <c r="L629" t="s">
        <v>25</v>
      </c>
      <c r="M629" s="2">
        <v>45707</v>
      </c>
      <c r="N629" s="2">
        <v>45706</v>
      </c>
      <c r="O629" t="s">
        <v>60</v>
      </c>
      <c r="P629" t="s">
        <v>44</v>
      </c>
      <c r="Q629" t="s">
        <v>28</v>
      </c>
      <c r="R629" t="s">
        <v>29</v>
      </c>
      <c r="S629">
        <v>2025</v>
      </c>
      <c r="T629" t="s">
        <v>2751</v>
      </c>
      <c r="U629" t="s">
        <v>2752</v>
      </c>
      <c r="V629" s="4">
        <v>0</v>
      </c>
      <c r="W629" s="4">
        <v>1</v>
      </c>
    </row>
    <row r="630" spans="1:23">
      <c r="A630" t="s">
        <v>759</v>
      </c>
      <c r="B630" s="2">
        <v>45792</v>
      </c>
      <c r="C630" t="s">
        <v>142</v>
      </c>
      <c r="D630" t="s">
        <v>143</v>
      </c>
      <c r="E630" t="s">
        <v>39</v>
      </c>
      <c r="F630" t="s">
        <v>22</v>
      </c>
      <c r="G630" t="s">
        <v>23</v>
      </c>
      <c r="H630" t="s">
        <v>24</v>
      </c>
      <c r="I630">
        <v>54</v>
      </c>
      <c r="J630" s="3">
        <v>246.23</v>
      </c>
      <c r="K630" s="3">
        <v>13296.42</v>
      </c>
      <c r="L630" t="s">
        <v>25</v>
      </c>
      <c r="M630" s="2">
        <v>45807</v>
      </c>
      <c r="N630" s="2">
        <v>45805</v>
      </c>
      <c r="O630" t="s">
        <v>43</v>
      </c>
      <c r="P630" t="s">
        <v>44</v>
      </c>
      <c r="Q630" t="s">
        <v>28</v>
      </c>
      <c r="R630" t="s">
        <v>29</v>
      </c>
      <c r="S630">
        <v>2025</v>
      </c>
      <c r="T630" t="s">
        <v>2766</v>
      </c>
      <c r="U630" t="s">
        <v>2767</v>
      </c>
      <c r="V630" s="4">
        <v>0</v>
      </c>
      <c r="W630" s="4">
        <v>1</v>
      </c>
    </row>
    <row r="631" spans="1:23">
      <c r="A631" t="s">
        <v>760</v>
      </c>
      <c r="B631" s="2">
        <v>46149</v>
      </c>
      <c r="C631" t="s">
        <v>71</v>
      </c>
      <c r="D631" t="s">
        <v>72</v>
      </c>
      <c r="E631" t="s">
        <v>31</v>
      </c>
      <c r="F631" t="s">
        <v>57</v>
      </c>
      <c r="G631" t="s">
        <v>86</v>
      </c>
      <c r="H631" t="s">
        <v>87</v>
      </c>
      <c r="I631">
        <v>3</v>
      </c>
      <c r="J631" s="3">
        <v>10453.25</v>
      </c>
      <c r="K631" s="3">
        <v>31359.75</v>
      </c>
      <c r="L631" t="s">
        <v>52</v>
      </c>
      <c r="M631" s="2">
        <v>46157</v>
      </c>
      <c r="N631" s="2">
        <v>46157</v>
      </c>
      <c r="O631" t="s">
        <v>26</v>
      </c>
      <c r="P631" t="s">
        <v>35</v>
      </c>
      <c r="Q631" t="s">
        <v>28</v>
      </c>
      <c r="R631" t="s">
        <v>29</v>
      </c>
      <c r="S631">
        <v>2026</v>
      </c>
      <c r="T631" t="s">
        <v>2766</v>
      </c>
      <c r="U631" t="s">
        <v>2769</v>
      </c>
      <c r="V631" s="4">
        <v>0</v>
      </c>
      <c r="W631" s="4">
        <v>1</v>
      </c>
    </row>
    <row r="632" spans="1:23">
      <c r="A632" t="s">
        <v>761</v>
      </c>
      <c r="B632" s="2">
        <v>45861</v>
      </c>
      <c r="C632" t="s">
        <v>71</v>
      </c>
      <c r="D632" t="s">
        <v>72</v>
      </c>
      <c r="E632" t="s">
        <v>48</v>
      </c>
      <c r="F632" t="s">
        <v>57</v>
      </c>
      <c r="G632" t="s">
        <v>120</v>
      </c>
      <c r="H632" t="s">
        <v>121</v>
      </c>
      <c r="I632">
        <v>4</v>
      </c>
      <c r="J632" s="3">
        <v>20782.11</v>
      </c>
      <c r="K632" s="3">
        <v>83128.44</v>
      </c>
      <c r="L632" t="s">
        <v>25</v>
      </c>
      <c r="M632" s="2">
        <v>45879</v>
      </c>
      <c r="N632" s="2">
        <v>45878</v>
      </c>
      <c r="O632" t="s">
        <v>26</v>
      </c>
      <c r="P632" t="s">
        <v>53</v>
      </c>
      <c r="Q632" t="s">
        <v>28</v>
      </c>
      <c r="R632" t="s">
        <v>29</v>
      </c>
      <c r="S632">
        <v>2025</v>
      </c>
      <c r="T632" t="s">
        <v>2759</v>
      </c>
      <c r="U632" t="s">
        <v>2760</v>
      </c>
      <c r="V632" s="4">
        <v>0</v>
      </c>
      <c r="W632" s="4">
        <v>1</v>
      </c>
    </row>
    <row r="633" spans="1:23">
      <c r="A633" t="s">
        <v>762</v>
      </c>
      <c r="B633" s="2">
        <v>45697</v>
      </c>
      <c r="C633" t="s">
        <v>142</v>
      </c>
      <c r="D633" t="s">
        <v>143</v>
      </c>
      <c r="E633" t="s">
        <v>39</v>
      </c>
      <c r="F633" t="s">
        <v>22</v>
      </c>
      <c r="G633" t="s">
        <v>160</v>
      </c>
      <c r="H633" t="s">
        <v>161</v>
      </c>
      <c r="I633">
        <v>14</v>
      </c>
      <c r="J633" s="3">
        <v>3080.6</v>
      </c>
      <c r="K633" s="3">
        <v>43128.4</v>
      </c>
      <c r="L633" t="s">
        <v>34</v>
      </c>
      <c r="M633" s="2">
        <v>45702</v>
      </c>
      <c r="N633" s="2">
        <v>45700</v>
      </c>
      <c r="O633" t="s">
        <v>26</v>
      </c>
      <c r="P633" t="s">
        <v>64</v>
      </c>
      <c r="Q633" t="s">
        <v>28</v>
      </c>
      <c r="R633" t="s">
        <v>29</v>
      </c>
      <c r="S633">
        <v>2025</v>
      </c>
      <c r="T633" t="s">
        <v>2751</v>
      </c>
      <c r="U633" t="s">
        <v>2752</v>
      </c>
      <c r="V633" s="4">
        <v>0</v>
      </c>
      <c r="W633" s="4">
        <v>1</v>
      </c>
    </row>
    <row r="634" spans="1:23">
      <c r="A634" t="s">
        <v>763</v>
      </c>
      <c r="B634" s="2">
        <v>46002</v>
      </c>
      <c r="C634" t="s">
        <v>37</v>
      </c>
      <c r="D634" t="s">
        <v>38</v>
      </c>
      <c r="E634" t="s">
        <v>39</v>
      </c>
      <c r="F634" t="s">
        <v>40</v>
      </c>
      <c r="G634" t="s">
        <v>41</v>
      </c>
      <c r="H634" t="s">
        <v>42</v>
      </c>
      <c r="I634">
        <v>5</v>
      </c>
      <c r="J634" s="3">
        <v>5686.89</v>
      </c>
      <c r="K634" s="3">
        <v>28434.45</v>
      </c>
      <c r="L634" t="s">
        <v>25</v>
      </c>
      <c r="M634" s="2">
        <v>46012</v>
      </c>
      <c r="N634" s="2">
        <v>46011</v>
      </c>
      <c r="O634" t="s">
        <v>43</v>
      </c>
      <c r="P634" t="s">
        <v>64</v>
      </c>
      <c r="Q634" t="s">
        <v>28</v>
      </c>
      <c r="R634" t="s">
        <v>29</v>
      </c>
      <c r="S634">
        <v>2025</v>
      </c>
      <c r="T634" t="s">
        <v>2745</v>
      </c>
      <c r="U634" t="s">
        <v>2746</v>
      </c>
      <c r="V634" s="4">
        <v>0</v>
      </c>
      <c r="W634" s="4">
        <v>1</v>
      </c>
    </row>
    <row r="635" spans="1:23">
      <c r="A635" t="s">
        <v>764</v>
      </c>
      <c r="B635" s="2">
        <v>45699</v>
      </c>
      <c r="C635" t="s">
        <v>104</v>
      </c>
      <c r="D635" t="s">
        <v>105</v>
      </c>
      <c r="E635" t="s">
        <v>48</v>
      </c>
      <c r="F635" t="s">
        <v>49</v>
      </c>
      <c r="G635" t="s">
        <v>50</v>
      </c>
      <c r="H635" t="s">
        <v>51</v>
      </c>
      <c r="I635">
        <v>3</v>
      </c>
      <c r="J635" s="3">
        <v>51231.15</v>
      </c>
      <c r="K635" s="3">
        <v>153693.45000000001</v>
      </c>
      <c r="L635" t="s">
        <v>52</v>
      </c>
      <c r="M635" s="2">
        <v>45705</v>
      </c>
      <c r="N635" s="2">
        <v>45703</v>
      </c>
      <c r="O635" t="s">
        <v>76</v>
      </c>
      <c r="P635" t="s">
        <v>53</v>
      </c>
      <c r="Q635" t="s">
        <v>28</v>
      </c>
      <c r="R635" t="s">
        <v>29</v>
      </c>
      <c r="S635">
        <v>2025</v>
      </c>
      <c r="T635" t="s">
        <v>2751</v>
      </c>
      <c r="U635" t="s">
        <v>2752</v>
      </c>
      <c r="V635" s="4">
        <v>0</v>
      </c>
      <c r="W635" s="4">
        <v>1</v>
      </c>
    </row>
    <row r="636" spans="1:23">
      <c r="A636" t="s">
        <v>765</v>
      </c>
      <c r="B636" s="2">
        <v>45969</v>
      </c>
      <c r="C636" t="s">
        <v>55</v>
      </c>
      <c r="D636" t="s">
        <v>56</v>
      </c>
      <c r="E636" t="s">
        <v>48</v>
      </c>
      <c r="F636" t="s">
        <v>57</v>
      </c>
      <c r="G636" t="s">
        <v>58</v>
      </c>
      <c r="H636" t="s">
        <v>59</v>
      </c>
      <c r="I636">
        <v>6</v>
      </c>
      <c r="J636" s="3">
        <v>65258.82</v>
      </c>
      <c r="K636" s="3">
        <v>391552.92</v>
      </c>
      <c r="L636" t="s">
        <v>34</v>
      </c>
      <c r="M636" s="2">
        <v>45977</v>
      </c>
      <c r="N636" s="2">
        <v>45976</v>
      </c>
      <c r="O636" t="s">
        <v>43</v>
      </c>
      <c r="P636" t="s">
        <v>53</v>
      </c>
      <c r="Q636" t="s">
        <v>28</v>
      </c>
      <c r="R636" t="s">
        <v>29</v>
      </c>
      <c r="S636">
        <v>2025</v>
      </c>
      <c r="T636" t="s">
        <v>2763</v>
      </c>
      <c r="U636" t="s">
        <v>2764</v>
      </c>
      <c r="V636" s="4">
        <v>0</v>
      </c>
      <c r="W636" s="4">
        <v>1</v>
      </c>
    </row>
    <row r="637" spans="1:23">
      <c r="A637" t="s">
        <v>766</v>
      </c>
      <c r="B637" s="2">
        <v>45791</v>
      </c>
      <c r="C637" t="s">
        <v>89</v>
      </c>
      <c r="D637" t="s">
        <v>90</v>
      </c>
      <c r="E637" t="s">
        <v>31</v>
      </c>
      <c r="F637" t="s">
        <v>91</v>
      </c>
      <c r="G637" t="s">
        <v>92</v>
      </c>
      <c r="H637" t="s">
        <v>93</v>
      </c>
      <c r="I637">
        <v>1</v>
      </c>
      <c r="J637" s="3">
        <v>42005.01</v>
      </c>
      <c r="K637" s="3">
        <v>42005.01</v>
      </c>
      <c r="L637" t="s">
        <v>25</v>
      </c>
      <c r="M637" s="2">
        <v>45797</v>
      </c>
      <c r="N637" s="2">
        <v>45795</v>
      </c>
      <c r="O637" t="s">
        <v>60</v>
      </c>
      <c r="P637" t="s">
        <v>94</v>
      </c>
      <c r="Q637" t="s">
        <v>28</v>
      </c>
      <c r="R637" t="s">
        <v>29</v>
      </c>
      <c r="S637">
        <v>2025</v>
      </c>
      <c r="T637" t="s">
        <v>2766</v>
      </c>
      <c r="U637" t="s">
        <v>2767</v>
      </c>
      <c r="V637" s="4">
        <v>0</v>
      </c>
      <c r="W637" s="4">
        <v>1</v>
      </c>
    </row>
    <row r="638" spans="1:23">
      <c r="A638" t="s">
        <v>767</v>
      </c>
      <c r="B638" s="2">
        <v>45815</v>
      </c>
      <c r="C638" t="s">
        <v>96</v>
      </c>
      <c r="D638" t="s">
        <v>97</v>
      </c>
      <c r="E638" t="s">
        <v>39</v>
      </c>
      <c r="F638" t="s">
        <v>82</v>
      </c>
      <c r="G638" t="s">
        <v>197</v>
      </c>
      <c r="H638" t="s">
        <v>198</v>
      </c>
      <c r="I638">
        <v>59</v>
      </c>
      <c r="J638" s="3">
        <v>2203.58</v>
      </c>
      <c r="K638" s="3">
        <v>130011.22</v>
      </c>
      <c r="L638" t="s">
        <v>52</v>
      </c>
      <c r="M638" s="2">
        <v>45833</v>
      </c>
      <c r="N638" s="2">
        <v>45831</v>
      </c>
      <c r="O638" t="s">
        <v>60</v>
      </c>
      <c r="P638" t="s">
        <v>64</v>
      </c>
      <c r="Q638" t="s">
        <v>28</v>
      </c>
      <c r="R638" t="s">
        <v>29</v>
      </c>
      <c r="S638">
        <v>2025</v>
      </c>
      <c r="T638" t="s">
        <v>2743</v>
      </c>
      <c r="U638" t="s">
        <v>2756</v>
      </c>
      <c r="V638" s="4">
        <v>0</v>
      </c>
      <c r="W638" s="4">
        <v>1</v>
      </c>
    </row>
    <row r="639" spans="1:23">
      <c r="A639" t="s">
        <v>768</v>
      </c>
      <c r="B639" s="2">
        <v>46104</v>
      </c>
      <c r="C639" t="s">
        <v>117</v>
      </c>
      <c r="D639" t="s">
        <v>118</v>
      </c>
      <c r="E639" t="s">
        <v>73</v>
      </c>
      <c r="F639" t="s">
        <v>57</v>
      </c>
      <c r="G639" t="s">
        <v>101</v>
      </c>
      <c r="H639" t="s">
        <v>102</v>
      </c>
      <c r="I639">
        <v>13</v>
      </c>
      <c r="J639" s="3">
        <v>1785.21</v>
      </c>
      <c r="K639" s="3">
        <v>23207.73</v>
      </c>
      <c r="L639" t="s">
        <v>25</v>
      </c>
      <c r="M639" s="2">
        <v>46113</v>
      </c>
      <c r="N639" s="2">
        <v>46124</v>
      </c>
      <c r="O639" t="s">
        <v>26</v>
      </c>
      <c r="P639" t="s">
        <v>77</v>
      </c>
      <c r="Q639" t="s">
        <v>28</v>
      </c>
      <c r="R639" t="s">
        <v>129</v>
      </c>
      <c r="S639">
        <v>2026</v>
      </c>
      <c r="T639" t="s">
        <v>2747</v>
      </c>
      <c r="U639" t="s">
        <v>2755</v>
      </c>
      <c r="V639" s="4">
        <v>11</v>
      </c>
      <c r="W639" s="4">
        <v>0</v>
      </c>
    </row>
    <row r="640" spans="1:23">
      <c r="A640" t="s">
        <v>769</v>
      </c>
      <c r="B640" s="2">
        <v>45827</v>
      </c>
      <c r="C640" t="s">
        <v>142</v>
      </c>
      <c r="D640" t="s">
        <v>143</v>
      </c>
      <c r="E640" t="s">
        <v>31</v>
      </c>
      <c r="F640" t="s">
        <v>22</v>
      </c>
      <c r="G640" t="s">
        <v>160</v>
      </c>
      <c r="H640" t="s">
        <v>161</v>
      </c>
      <c r="I640">
        <v>3</v>
      </c>
      <c r="J640" s="3">
        <v>3100.97</v>
      </c>
      <c r="K640" s="3">
        <v>9302.91</v>
      </c>
      <c r="L640" t="s">
        <v>34</v>
      </c>
      <c r="M640" s="2">
        <v>45832</v>
      </c>
      <c r="N640" s="2">
        <v>45831</v>
      </c>
      <c r="O640" t="s">
        <v>43</v>
      </c>
      <c r="P640" t="s">
        <v>35</v>
      </c>
      <c r="Q640" t="s">
        <v>28</v>
      </c>
      <c r="R640" t="s">
        <v>29</v>
      </c>
      <c r="S640">
        <v>2025</v>
      </c>
      <c r="T640" t="s">
        <v>2743</v>
      </c>
      <c r="U640" t="s">
        <v>2756</v>
      </c>
      <c r="V640" s="4">
        <v>0</v>
      </c>
      <c r="W640" s="4">
        <v>1</v>
      </c>
    </row>
    <row r="641" spans="1:23">
      <c r="A641" t="s">
        <v>770</v>
      </c>
      <c r="B641" s="2">
        <v>46195</v>
      </c>
      <c r="C641" t="s">
        <v>134</v>
      </c>
      <c r="D641" t="s">
        <v>135</v>
      </c>
      <c r="E641" t="s">
        <v>112</v>
      </c>
      <c r="F641" t="s">
        <v>40</v>
      </c>
      <c r="G641" t="s">
        <v>136</v>
      </c>
      <c r="H641" t="s">
        <v>137</v>
      </c>
      <c r="I641">
        <v>7</v>
      </c>
      <c r="J641" s="3">
        <v>1609.41</v>
      </c>
      <c r="K641" s="3">
        <v>11265.87</v>
      </c>
      <c r="L641" t="s">
        <v>52</v>
      </c>
      <c r="M641" s="2">
        <v>46208</v>
      </c>
      <c r="N641" s="2">
        <v>46208</v>
      </c>
      <c r="O641" t="s">
        <v>76</v>
      </c>
      <c r="P641" t="s">
        <v>115</v>
      </c>
      <c r="Q641" t="s">
        <v>28</v>
      </c>
      <c r="R641" t="s">
        <v>29</v>
      </c>
      <c r="S641">
        <v>2026</v>
      </c>
      <c r="T641" t="s">
        <v>2743</v>
      </c>
      <c r="U641" t="s">
        <v>2744</v>
      </c>
      <c r="V641" s="4">
        <v>0</v>
      </c>
      <c r="W641" s="4">
        <v>1</v>
      </c>
    </row>
    <row r="642" spans="1:23">
      <c r="A642" t="s">
        <v>771</v>
      </c>
      <c r="B642" s="2">
        <v>45873</v>
      </c>
      <c r="C642" t="s">
        <v>37</v>
      </c>
      <c r="D642" t="s">
        <v>38</v>
      </c>
      <c r="E642" t="s">
        <v>39</v>
      </c>
      <c r="F642" t="s">
        <v>40</v>
      </c>
      <c r="G642" t="s">
        <v>136</v>
      </c>
      <c r="H642" t="s">
        <v>137</v>
      </c>
      <c r="I642">
        <v>40</v>
      </c>
      <c r="J642" s="3">
        <v>1845.26</v>
      </c>
      <c r="K642" s="3">
        <v>73810.399999999994</v>
      </c>
      <c r="L642" t="s">
        <v>52</v>
      </c>
      <c r="M642" s="2">
        <v>45882</v>
      </c>
      <c r="N642" s="2">
        <v>45879</v>
      </c>
      <c r="O642" t="s">
        <v>76</v>
      </c>
      <c r="P642" t="s">
        <v>44</v>
      </c>
      <c r="Q642" t="s">
        <v>28</v>
      </c>
      <c r="R642" t="s">
        <v>29</v>
      </c>
      <c r="S642">
        <v>2025</v>
      </c>
      <c r="T642" t="s">
        <v>2761</v>
      </c>
      <c r="U642" t="s">
        <v>2762</v>
      </c>
      <c r="V642" s="4">
        <v>0</v>
      </c>
      <c r="W642" s="4">
        <v>1</v>
      </c>
    </row>
    <row r="643" spans="1:23">
      <c r="A643" t="s">
        <v>772</v>
      </c>
      <c r="B643" s="2">
        <v>45716</v>
      </c>
      <c r="C643" t="s">
        <v>147</v>
      </c>
      <c r="D643" t="s">
        <v>148</v>
      </c>
      <c r="E643" t="s">
        <v>39</v>
      </c>
      <c r="F643" t="s">
        <v>40</v>
      </c>
      <c r="G643" t="s">
        <v>149</v>
      </c>
      <c r="H643" t="s">
        <v>150</v>
      </c>
      <c r="I643">
        <v>21</v>
      </c>
      <c r="J643" s="3">
        <v>1276.78</v>
      </c>
      <c r="K643" s="3">
        <v>26812.38</v>
      </c>
      <c r="L643" t="s">
        <v>34</v>
      </c>
      <c r="M643" s="2">
        <v>45721</v>
      </c>
      <c r="N643" s="2">
        <v>45721</v>
      </c>
      <c r="O643" t="s">
        <v>60</v>
      </c>
      <c r="P643" t="s">
        <v>44</v>
      </c>
      <c r="Q643" t="s">
        <v>28</v>
      </c>
      <c r="R643" t="s">
        <v>29</v>
      </c>
      <c r="S643">
        <v>2025</v>
      </c>
      <c r="T643" t="s">
        <v>2751</v>
      </c>
      <c r="U643" t="s">
        <v>2752</v>
      </c>
      <c r="V643" s="4">
        <v>0</v>
      </c>
      <c r="W643" s="4">
        <v>1</v>
      </c>
    </row>
    <row r="644" spans="1:23">
      <c r="A644" t="s">
        <v>773</v>
      </c>
      <c r="B644" s="2">
        <v>45883</v>
      </c>
      <c r="C644" t="s">
        <v>96</v>
      </c>
      <c r="D644" t="s">
        <v>97</v>
      </c>
      <c r="E644" t="s">
        <v>39</v>
      </c>
      <c r="F644" t="s">
        <v>82</v>
      </c>
      <c r="G644" t="s">
        <v>98</v>
      </c>
      <c r="H644" t="s">
        <v>99</v>
      </c>
      <c r="I644">
        <v>51</v>
      </c>
      <c r="J644" s="3">
        <v>1139.26</v>
      </c>
      <c r="K644" s="3">
        <v>58102.26</v>
      </c>
      <c r="L644" t="s">
        <v>25</v>
      </c>
      <c r="M644" s="2">
        <v>45894</v>
      </c>
      <c r="N644" s="2">
        <v>45891</v>
      </c>
      <c r="O644" t="s">
        <v>26</v>
      </c>
      <c r="P644" t="s">
        <v>44</v>
      </c>
      <c r="Q644" t="s">
        <v>28</v>
      </c>
      <c r="R644" t="s">
        <v>29</v>
      </c>
      <c r="S644">
        <v>2025</v>
      </c>
      <c r="T644" t="s">
        <v>2761</v>
      </c>
      <c r="U644" t="s">
        <v>2762</v>
      </c>
      <c r="V644" s="4">
        <v>0</v>
      </c>
      <c r="W644" s="4">
        <v>1</v>
      </c>
    </row>
    <row r="645" spans="1:23">
      <c r="A645" t="s">
        <v>774</v>
      </c>
      <c r="B645" s="2">
        <v>45838</v>
      </c>
      <c r="C645" t="s">
        <v>19</v>
      </c>
      <c r="D645" t="s">
        <v>20</v>
      </c>
      <c r="E645" t="s">
        <v>31</v>
      </c>
      <c r="F645" t="s">
        <v>22</v>
      </c>
      <c r="G645" t="s">
        <v>23</v>
      </c>
      <c r="H645" t="s">
        <v>24</v>
      </c>
      <c r="I645">
        <v>15</v>
      </c>
      <c r="J645" s="3">
        <v>219.17</v>
      </c>
      <c r="K645" s="3">
        <v>3287.55</v>
      </c>
      <c r="L645" t="s">
        <v>25</v>
      </c>
      <c r="M645" s="2">
        <v>45845</v>
      </c>
      <c r="N645" s="2">
        <v>45844</v>
      </c>
      <c r="O645" t="s">
        <v>43</v>
      </c>
      <c r="P645" t="s">
        <v>35</v>
      </c>
      <c r="Q645" t="s">
        <v>28</v>
      </c>
      <c r="R645" t="s">
        <v>29</v>
      </c>
      <c r="S645">
        <v>2025</v>
      </c>
      <c r="T645" t="s">
        <v>2743</v>
      </c>
      <c r="U645" t="s">
        <v>2756</v>
      </c>
      <c r="V645" s="4">
        <v>0</v>
      </c>
      <c r="W645" s="4">
        <v>1</v>
      </c>
    </row>
    <row r="646" spans="1:23">
      <c r="A646" t="s">
        <v>775</v>
      </c>
      <c r="B646" s="2">
        <v>45909</v>
      </c>
      <c r="C646" t="s">
        <v>71</v>
      </c>
      <c r="D646" t="s">
        <v>72</v>
      </c>
      <c r="E646" t="s">
        <v>31</v>
      </c>
      <c r="F646" t="s">
        <v>57</v>
      </c>
      <c r="G646" t="s">
        <v>101</v>
      </c>
      <c r="H646" t="s">
        <v>102</v>
      </c>
      <c r="I646">
        <v>53</v>
      </c>
      <c r="J646" s="3">
        <v>1636.96</v>
      </c>
      <c r="K646" s="3">
        <v>86758.88</v>
      </c>
      <c r="L646" t="s">
        <v>25</v>
      </c>
      <c r="M646" s="2">
        <v>45926</v>
      </c>
      <c r="N646" s="2">
        <v>45929</v>
      </c>
      <c r="O646" t="s">
        <v>43</v>
      </c>
      <c r="P646" t="s">
        <v>94</v>
      </c>
      <c r="Q646" t="s">
        <v>28</v>
      </c>
      <c r="R646" t="s">
        <v>129</v>
      </c>
      <c r="S646">
        <v>2025</v>
      </c>
      <c r="T646" t="s">
        <v>2753</v>
      </c>
      <c r="U646" t="s">
        <v>2754</v>
      </c>
      <c r="V646" s="4">
        <v>3</v>
      </c>
      <c r="W646" s="4">
        <v>0</v>
      </c>
    </row>
    <row r="647" spans="1:23">
      <c r="A647" t="s">
        <v>776</v>
      </c>
      <c r="B647" s="2">
        <v>45702</v>
      </c>
      <c r="C647" t="s">
        <v>66</v>
      </c>
      <c r="D647" t="s">
        <v>67</v>
      </c>
      <c r="E647" t="s">
        <v>48</v>
      </c>
      <c r="F647" t="s">
        <v>49</v>
      </c>
      <c r="G647" t="s">
        <v>50</v>
      </c>
      <c r="H647" t="s">
        <v>51</v>
      </c>
      <c r="I647">
        <v>1</v>
      </c>
      <c r="J647" s="3">
        <v>51144.51</v>
      </c>
      <c r="K647" s="3">
        <v>51144.51</v>
      </c>
      <c r="L647" t="s">
        <v>34</v>
      </c>
      <c r="M647" s="2">
        <v>45719</v>
      </c>
      <c r="N647" s="2">
        <v>45732</v>
      </c>
      <c r="O647" t="s">
        <v>43</v>
      </c>
      <c r="P647" t="s">
        <v>53</v>
      </c>
      <c r="Q647" t="s">
        <v>28</v>
      </c>
      <c r="R647" t="s">
        <v>129</v>
      </c>
      <c r="S647">
        <v>2025</v>
      </c>
      <c r="T647" t="s">
        <v>2751</v>
      </c>
      <c r="U647" t="s">
        <v>2752</v>
      </c>
      <c r="V647" s="4">
        <v>13</v>
      </c>
      <c r="W647" s="4">
        <v>0</v>
      </c>
    </row>
    <row r="648" spans="1:23">
      <c r="A648" t="s">
        <v>777</v>
      </c>
      <c r="B648" s="2">
        <v>45800</v>
      </c>
      <c r="C648" t="s">
        <v>55</v>
      </c>
      <c r="D648" t="s">
        <v>56</v>
      </c>
      <c r="E648" t="s">
        <v>31</v>
      </c>
      <c r="F648" t="s">
        <v>57</v>
      </c>
      <c r="G648" t="s">
        <v>86</v>
      </c>
      <c r="H648" t="s">
        <v>87</v>
      </c>
      <c r="I648">
        <v>4</v>
      </c>
      <c r="J648" s="3">
        <v>12133.52</v>
      </c>
      <c r="K648" s="3">
        <v>48534.080000000002</v>
      </c>
      <c r="L648" t="s">
        <v>34</v>
      </c>
      <c r="M648" s="2">
        <v>45805</v>
      </c>
      <c r="N648" s="2">
        <v>45803</v>
      </c>
      <c r="O648" t="s">
        <v>43</v>
      </c>
      <c r="P648" t="s">
        <v>94</v>
      </c>
      <c r="Q648" t="s">
        <v>28</v>
      </c>
      <c r="R648" t="s">
        <v>29</v>
      </c>
      <c r="S648">
        <v>2025</v>
      </c>
      <c r="T648" t="s">
        <v>2766</v>
      </c>
      <c r="U648" t="s">
        <v>2767</v>
      </c>
      <c r="V648" s="4">
        <v>0</v>
      </c>
      <c r="W648" s="4">
        <v>1</v>
      </c>
    </row>
    <row r="649" spans="1:23">
      <c r="A649" t="s">
        <v>778</v>
      </c>
      <c r="B649" s="2">
        <v>45703</v>
      </c>
      <c r="C649" t="s">
        <v>117</v>
      </c>
      <c r="D649" t="s">
        <v>118</v>
      </c>
      <c r="E649" t="s">
        <v>21</v>
      </c>
      <c r="F649" t="s">
        <v>57</v>
      </c>
      <c r="G649" t="s">
        <v>74</v>
      </c>
      <c r="H649" t="s">
        <v>75</v>
      </c>
      <c r="I649">
        <v>1</v>
      </c>
      <c r="J649" s="3">
        <v>9089.15</v>
      </c>
      <c r="K649" s="3">
        <v>9089.15</v>
      </c>
      <c r="L649" t="s">
        <v>25</v>
      </c>
      <c r="M649" s="2">
        <v>45711</v>
      </c>
      <c r="N649" s="2">
        <v>45710</v>
      </c>
      <c r="O649" t="s">
        <v>76</v>
      </c>
      <c r="P649" t="s">
        <v>27</v>
      </c>
      <c r="Q649" t="s">
        <v>28</v>
      </c>
      <c r="R649" t="s">
        <v>29</v>
      </c>
      <c r="S649">
        <v>2025</v>
      </c>
      <c r="T649" t="s">
        <v>2751</v>
      </c>
      <c r="U649" t="s">
        <v>2752</v>
      </c>
      <c r="V649" s="4">
        <v>0</v>
      </c>
      <c r="W649" s="4">
        <v>1</v>
      </c>
    </row>
    <row r="650" spans="1:23">
      <c r="A650" t="s">
        <v>779</v>
      </c>
      <c r="B650" s="2">
        <v>45773</v>
      </c>
      <c r="C650" t="s">
        <v>37</v>
      </c>
      <c r="D650" t="s">
        <v>38</v>
      </c>
      <c r="E650" t="s">
        <v>112</v>
      </c>
      <c r="F650" t="s">
        <v>22</v>
      </c>
      <c r="G650" t="s">
        <v>23</v>
      </c>
      <c r="H650" t="s">
        <v>24</v>
      </c>
      <c r="I650">
        <v>9</v>
      </c>
      <c r="J650" s="3">
        <v>273.81</v>
      </c>
      <c r="K650" s="3">
        <v>2464.29</v>
      </c>
      <c r="L650" t="s">
        <v>52</v>
      </c>
      <c r="M650" s="2">
        <v>45787</v>
      </c>
      <c r="N650" s="2">
        <v>45785</v>
      </c>
      <c r="O650" t="s">
        <v>43</v>
      </c>
      <c r="P650" t="s">
        <v>115</v>
      </c>
      <c r="Q650" t="s">
        <v>28</v>
      </c>
      <c r="R650" t="s">
        <v>29</v>
      </c>
      <c r="S650">
        <v>2025</v>
      </c>
      <c r="T650" t="s">
        <v>2741</v>
      </c>
      <c r="U650" t="s">
        <v>2742</v>
      </c>
      <c r="V650" s="4">
        <v>0</v>
      </c>
      <c r="W650" s="4">
        <v>1</v>
      </c>
    </row>
    <row r="651" spans="1:23">
      <c r="A651" t="s">
        <v>780</v>
      </c>
      <c r="B651" s="2">
        <v>45812</v>
      </c>
      <c r="C651" t="s">
        <v>19</v>
      </c>
      <c r="D651" t="s">
        <v>20</v>
      </c>
      <c r="E651" t="s">
        <v>31</v>
      </c>
      <c r="F651" t="s">
        <v>22</v>
      </c>
      <c r="G651" t="s">
        <v>23</v>
      </c>
      <c r="H651" t="s">
        <v>24</v>
      </c>
      <c r="I651">
        <v>47</v>
      </c>
      <c r="J651" s="3">
        <v>221.82</v>
      </c>
      <c r="K651" s="3">
        <v>10425.540000000001</v>
      </c>
      <c r="L651" t="s">
        <v>25</v>
      </c>
      <c r="M651" s="2">
        <v>45827</v>
      </c>
      <c r="N651" s="2">
        <v>45825</v>
      </c>
      <c r="O651" t="s">
        <v>43</v>
      </c>
      <c r="P651" t="s">
        <v>35</v>
      </c>
      <c r="Q651" t="s">
        <v>28</v>
      </c>
      <c r="R651" t="s">
        <v>29</v>
      </c>
      <c r="S651">
        <v>2025</v>
      </c>
      <c r="T651" t="s">
        <v>2743</v>
      </c>
      <c r="U651" t="s">
        <v>2756</v>
      </c>
      <c r="V651" s="4">
        <v>0</v>
      </c>
      <c r="W651" s="4">
        <v>1</v>
      </c>
    </row>
    <row r="652" spans="1:23">
      <c r="A652" t="s">
        <v>781</v>
      </c>
      <c r="B652" s="2">
        <v>45736</v>
      </c>
      <c r="C652" t="s">
        <v>142</v>
      </c>
      <c r="D652" t="s">
        <v>143</v>
      </c>
      <c r="E652" t="s">
        <v>112</v>
      </c>
      <c r="F652" t="s">
        <v>22</v>
      </c>
      <c r="G652" t="s">
        <v>32</v>
      </c>
      <c r="H652" t="s">
        <v>33</v>
      </c>
      <c r="I652">
        <v>8</v>
      </c>
      <c r="J652" s="3">
        <v>8047.25</v>
      </c>
      <c r="K652" s="3">
        <v>64378</v>
      </c>
      <c r="L652" t="s">
        <v>34</v>
      </c>
      <c r="M652" s="2">
        <v>45752</v>
      </c>
      <c r="N652" s="2">
        <v>45749</v>
      </c>
      <c r="O652" t="s">
        <v>43</v>
      </c>
      <c r="P652" t="s">
        <v>115</v>
      </c>
      <c r="Q652" t="s">
        <v>28</v>
      </c>
      <c r="R652" t="s">
        <v>29</v>
      </c>
      <c r="S652">
        <v>2025</v>
      </c>
      <c r="T652" t="s">
        <v>2747</v>
      </c>
      <c r="U652" t="s">
        <v>2748</v>
      </c>
      <c r="V652" s="4">
        <v>0</v>
      </c>
      <c r="W652" s="4">
        <v>1</v>
      </c>
    </row>
    <row r="653" spans="1:23">
      <c r="A653" t="s">
        <v>782</v>
      </c>
      <c r="B653" s="2">
        <v>45943</v>
      </c>
      <c r="C653" t="s">
        <v>19</v>
      </c>
      <c r="D653" t="s">
        <v>20</v>
      </c>
      <c r="E653" t="s">
        <v>21</v>
      </c>
      <c r="F653" t="s">
        <v>22</v>
      </c>
      <c r="G653" t="s">
        <v>23</v>
      </c>
      <c r="H653" t="s">
        <v>24</v>
      </c>
      <c r="I653">
        <v>36</v>
      </c>
      <c r="J653" s="3">
        <v>225.97</v>
      </c>
      <c r="K653" s="3">
        <v>8134.92</v>
      </c>
      <c r="L653" t="s">
        <v>34</v>
      </c>
      <c r="M653" s="2">
        <v>45954</v>
      </c>
      <c r="N653" s="2">
        <v>45951</v>
      </c>
      <c r="O653" t="s">
        <v>76</v>
      </c>
      <c r="P653" t="s">
        <v>27</v>
      </c>
      <c r="Q653" t="s">
        <v>28</v>
      </c>
      <c r="R653" t="s">
        <v>29</v>
      </c>
      <c r="S653">
        <v>2025</v>
      </c>
      <c r="T653" t="s">
        <v>2749</v>
      </c>
      <c r="U653" t="s">
        <v>2750</v>
      </c>
      <c r="V653" s="4">
        <v>0</v>
      </c>
      <c r="W653" s="4">
        <v>1</v>
      </c>
    </row>
    <row r="654" spans="1:23">
      <c r="A654" t="s">
        <v>783</v>
      </c>
      <c r="B654" s="2">
        <v>45909</v>
      </c>
      <c r="C654" t="s">
        <v>19</v>
      </c>
      <c r="D654" t="s">
        <v>20</v>
      </c>
      <c r="E654" t="s">
        <v>31</v>
      </c>
      <c r="F654" t="s">
        <v>22</v>
      </c>
      <c r="G654" t="s">
        <v>32</v>
      </c>
      <c r="H654" t="s">
        <v>33</v>
      </c>
      <c r="I654">
        <v>4</v>
      </c>
      <c r="J654" s="3">
        <v>7313.91</v>
      </c>
      <c r="K654" s="3">
        <v>29255.64</v>
      </c>
      <c r="L654" t="s">
        <v>25</v>
      </c>
      <c r="M654" s="2">
        <v>45920</v>
      </c>
      <c r="N654" s="2">
        <v>45933</v>
      </c>
      <c r="O654" t="s">
        <v>26</v>
      </c>
      <c r="P654" t="s">
        <v>94</v>
      </c>
      <c r="Q654" t="s">
        <v>28</v>
      </c>
      <c r="R654" t="s">
        <v>129</v>
      </c>
      <c r="S654">
        <v>2025</v>
      </c>
      <c r="T654" t="s">
        <v>2753</v>
      </c>
      <c r="U654" t="s">
        <v>2754</v>
      </c>
      <c r="V654" s="4">
        <v>13</v>
      </c>
      <c r="W654" s="4">
        <v>0</v>
      </c>
    </row>
    <row r="655" spans="1:23">
      <c r="A655" t="s">
        <v>784</v>
      </c>
      <c r="B655" s="2">
        <v>45898</v>
      </c>
      <c r="C655" t="s">
        <v>19</v>
      </c>
      <c r="D655" t="s">
        <v>20</v>
      </c>
      <c r="E655" t="s">
        <v>39</v>
      </c>
      <c r="F655" t="s">
        <v>22</v>
      </c>
      <c r="G655" t="s">
        <v>160</v>
      </c>
      <c r="H655" t="s">
        <v>161</v>
      </c>
      <c r="I655">
        <v>15</v>
      </c>
      <c r="J655" s="3">
        <v>3064.8</v>
      </c>
      <c r="K655" s="3">
        <v>45972</v>
      </c>
      <c r="L655" t="s">
        <v>25</v>
      </c>
      <c r="M655" s="2">
        <v>45904</v>
      </c>
      <c r="N655" s="2">
        <v>45911</v>
      </c>
      <c r="O655" t="s">
        <v>26</v>
      </c>
      <c r="P655" t="s">
        <v>44</v>
      </c>
      <c r="Q655" t="s">
        <v>28</v>
      </c>
      <c r="R655" t="s">
        <v>129</v>
      </c>
      <c r="S655">
        <v>2025</v>
      </c>
      <c r="T655" t="s">
        <v>2761</v>
      </c>
      <c r="U655" t="s">
        <v>2762</v>
      </c>
      <c r="V655" s="4">
        <v>7</v>
      </c>
      <c r="W655" s="4">
        <v>0</v>
      </c>
    </row>
    <row r="656" spans="1:23">
      <c r="A656" t="s">
        <v>785</v>
      </c>
      <c r="B656" s="2">
        <v>46129</v>
      </c>
      <c r="C656" t="s">
        <v>37</v>
      </c>
      <c r="D656" t="s">
        <v>38</v>
      </c>
      <c r="E656" t="s">
        <v>112</v>
      </c>
      <c r="F656" t="s">
        <v>40</v>
      </c>
      <c r="G656" t="s">
        <v>149</v>
      </c>
      <c r="H656" t="s">
        <v>150</v>
      </c>
      <c r="I656">
        <v>52</v>
      </c>
      <c r="J656" s="3">
        <v>1415.92</v>
      </c>
      <c r="K656" s="3">
        <v>73627.839999999997</v>
      </c>
      <c r="L656" t="s">
        <v>25</v>
      </c>
      <c r="M656" s="2">
        <v>46136</v>
      </c>
      <c r="N656" s="2">
        <v>46135</v>
      </c>
      <c r="O656" t="s">
        <v>43</v>
      </c>
      <c r="P656" t="s">
        <v>115</v>
      </c>
      <c r="Q656" t="s">
        <v>28</v>
      </c>
      <c r="R656" t="s">
        <v>29</v>
      </c>
      <c r="S656">
        <v>2026</v>
      </c>
      <c r="T656" t="s">
        <v>2741</v>
      </c>
      <c r="U656" t="s">
        <v>2770</v>
      </c>
      <c r="V656" s="4">
        <v>0</v>
      </c>
      <c r="W656" s="4">
        <v>1</v>
      </c>
    </row>
    <row r="657" spans="1:23">
      <c r="A657" t="s">
        <v>786</v>
      </c>
      <c r="B657" s="2">
        <v>46038</v>
      </c>
      <c r="C657" t="s">
        <v>96</v>
      </c>
      <c r="D657" t="s">
        <v>97</v>
      </c>
      <c r="E657" t="s">
        <v>39</v>
      </c>
      <c r="F657" t="s">
        <v>82</v>
      </c>
      <c r="G657" t="s">
        <v>83</v>
      </c>
      <c r="H657" t="s">
        <v>84</v>
      </c>
      <c r="I657">
        <v>15</v>
      </c>
      <c r="J657" s="3">
        <v>736.98</v>
      </c>
      <c r="K657" s="3">
        <v>11054.7</v>
      </c>
      <c r="L657" t="s">
        <v>25</v>
      </c>
      <c r="M657" s="2">
        <v>46043</v>
      </c>
      <c r="N657" s="2">
        <v>46042</v>
      </c>
      <c r="O657" t="s">
        <v>43</v>
      </c>
      <c r="P657" t="s">
        <v>64</v>
      </c>
      <c r="Q657" t="s">
        <v>28</v>
      </c>
      <c r="R657" t="s">
        <v>29</v>
      </c>
      <c r="S657">
        <v>2026</v>
      </c>
      <c r="T657" t="s">
        <v>2757</v>
      </c>
      <c r="U657" t="s">
        <v>2758</v>
      </c>
      <c r="V657" s="4">
        <v>0</v>
      </c>
      <c r="W657" s="4">
        <v>1</v>
      </c>
    </row>
    <row r="658" spans="1:23">
      <c r="A658" t="s">
        <v>787</v>
      </c>
      <c r="B658" s="2">
        <v>46084</v>
      </c>
      <c r="C658" t="s">
        <v>80</v>
      </c>
      <c r="D658" t="s">
        <v>81</v>
      </c>
      <c r="E658" t="s">
        <v>39</v>
      </c>
      <c r="F658" t="s">
        <v>82</v>
      </c>
      <c r="G658" t="s">
        <v>83</v>
      </c>
      <c r="H658" t="s">
        <v>84</v>
      </c>
      <c r="I658">
        <v>24</v>
      </c>
      <c r="J658" s="3">
        <v>699.64</v>
      </c>
      <c r="K658" s="3">
        <v>16791.36</v>
      </c>
      <c r="L658" t="s">
        <v>25</v>
      </c>
      <c r="M658" s="2">
        <v>46096</v>
      </c>
      <c r="N658" s="2">
        <v>46094</v>
      </c>
      <c r="O658" t="s">
        <v>43</v>
      </c>
      <c r="P658" t="s">
        <v>44</v>
      </c>
      <c r="Q658" t="s">
        <v>28</v>
      </c>
      <c r="R658" t="s">
        <v>29</v>
      </c>
      <c r="S658">
        <v>2026</v>
      </c>
      <c r="T658" t="s">
        <v>2747</v>
      </c>
      <c r="U658" t="s">
        <v>2755</v>
      </c>
      <c r="V658" s="4">
        <v>0</v>
      </c>
      <c r="W658" s="4">
        <v>1</v>
      </c>
    </row>
    <row r="659" spans="1:23">
      <c r="A659" t="s">
        <v>788</v>
      </c>
      <c r="B659" s="2">
        <v>45771</v>
      </c>
      <c r="C659" t="s">
        <v>19</v>
      </c>
      <c r="D659" t="s">
        <v>20</v>
      </c>
      <c r="E659" t="s">
        <v>112</v>
      </c>
      <c r="F659" t="s">
        <v>22</v>
      </c>
      <c r="G659" t="s">
        <v>32</v>
      </c>
      <c r="H659" t="s">
        <v>33</v>
      </c>
      <c r="I659">
        <v>1</v>
      </c>
      <c r="J659" s="3">
        <v>7729.97</v>
      </c>
      <c r="K659" s="3">
        <v>7729.97</v>
      </c>
      <c r="L659" t="s">
        <v>34</v>
      </c>
      <c r="M659" s="2">
        <v>45782</v>
      </c>
      <c r="N659" s="2">
        <v>45779</v>
      </c>
      <c r="O659" t="s">
        <v>76</v>
      </c>
      <c r="P659" t="s">
        <v>115</v>
      </c>
      <c r="Q659" t="s">
        <v>28</v>
      </c>
      <c r="R659" t="s">
        <v>29</v>
      </c>
      <c r="S659">
        <v>2025</v>
      </c>
      <c r="T659" t="s">
        <v>2741</v>
      </c>
      <c r="U659" t="s">
        <v>2742</v>
      </c>
      <c r="V659" s="4">
        <v>0</v>
      </c>
      <c r="W659" s="4">
        <v>1</v>
      </c>
    </row>
    <row r="660" spans="1:23">
      <c r="A660" t="s">
        <v>789</v>
      </c>
      <c r="B660" s="2">
        <v>45890</v>
      </c>
      <c r="C660" t="s">
        <v>142</v>
      </c>
      <c r="D660" t="s">
        <v>143</v>
      </c>
      <c r="E660" t="s">
        <v>39</v>
      </c>
      <c r="F660" t="s">
        <v>22</v>
      </c>
      <c r="G660" t="s">
        <v>32</v>
      </c>
      <c r="H660" t="s">
        <v>33</v>
      </c>
      <c r="I660">
        <v>12</v>
      </c>
      <c r="J660" s="3">
        <v>8155.65</v>
      </c>
      <c r="K660" s="3">
        <v>97867.8</v>
      </c>
      <c r="L660" t="s">
        <v>25</v>
      </c>
      <c r="M660" s="2">
        <v>45898</v>
      </c>
      <c r="N660" s="2">
        <v>45898</v>
      </c>
      <c r="O660" t="s">
        <v>26</v>
      </c>
      <c r="P660" t="s">
        <v>64</v>
      </c>
      <c r="Q660" t="s">
        <v>28</v>
      </c>
      <c r="R660" t="s">
        <v>29</v>
      </c>
      <c r="S660">
        <v>2025</v>
      </c>
      <c r="T660" t="s">
        <v>2761</v>
      </c>
      <c r="U660" t="s">
        <v>2762</v>
      </c>
      <c r="V660" s="4">
        <v>0</v>
      </c>
      <c r="W660" s="4">
        <v>1</v>
      </c>
    </row>
    <row r="661" spans="1:23">
      <c r="A661" t="s">
        <v>790</v>
      </c>
      <c r="B661" s="2">
        <v>46137</v>
      </c>
      <c r="C661" t="s">
        <v>104</v>
      </c>
      <c r="D661" t="s">
        <v>105</v>
      </c>
      <c r="E661" t="s">
        <v>48</v>
      </c>
      <c r="F661" t="s">
        <v>49</v>
      </c>
      <c r="G661" t="s">
        <v>68</v>
      </c>
      <c r="H661" t="s">
        <v>69</v>
      </c>
      <c r="I661">
        <v>2</v>
      </c>
      <c r="J661" s="3">
        <v>49550.43</v>
      </c>
      <c r="K661" s="3">
        <v>99100.86</v>
      </c>
      <c r="L661" t="s">
        <v>25</v>
      </c>
      <c r="M661" s="2">
        <v>46145</v>
      </c>
      <c r="N661" s="2">
        <v>46145</v>
      </c>
      <c r="O661" t="s">
        <v>76</v>
      </c>
      <c r="P661" t="s">
        <v>53</v>
      </c>
      <c r="Q661" t="s">
        <v>28</v>
      </c>
      <c r="R661" t="s">
        <v>29</v>
      </c>
      <c r="S661">
        <v>2026</v>
      </c>
      <c r="T661" t="s">
        <v>2741</v>
      </c>
      <c r="U661" t="s">
        <v>2770</v>
      </c>
      <c r="V661" s="4">
        <v>0</v>
      </c>
      <c r="W661" s="4">
        <v>1</v>
      </c>
    </row>
    <row r="662" spans="1:23">
      <c r="A662" t="s">
        <v>791</v>
      </c>
      <c r="B662" s="2">
        <v>45903</v>
      </c>
      <c r="C662" t="s">
        <v>107</v>
      </c>
      <c r="D662" t="s">
        <v>108</v>
      </c>
      <c r="E662" t="s">
        <v>31</v>
      </c>
      <c r="F662" t="s">
        <v>91</v>
      </c>
      <c r="G662" t="s">
        <v>92</v>
      </c>
      <c r="H662" t="s">
        <v>93</v>
      </c>
      <c r="I662">
        <v>1</v>
      </c>
      <c r="J662" s="3">
        <v>47497.62</v>
      </c>
      <c r="K662" s="3">
        <v>47497.62</v>
      </c>
      <c r="L662" t="s">
        <v>25</v>
      </c>
      <c r="M662" s="2">
        <v>45911</v>
      </c>
      <c r="N662" s="2">
        <v>45911</v>
      </c>
      <c r="O662" t="s">
        <v>43</v>
      </c>
      <c r="P662" t="s">
        <v>94</v>
      </c>
      <c r="Q662" t="s">
        <v>28</v>
      </c>
      <c r="R662" t="s">
        <v>29</v>
      </c>
      <c r="S662">
        <v>2025</v>
      </c>
      <c r="T662" t="s">
        <v>2753</v>
      </c>
      <c r="U662" t="s">
        <v>2754</v>
      </c>
      <c r="V662" s="4">
        <v>0</v>
      </c>
      <c r="W662" s="4">
        <v>1</v>
      </c>
    </row>
    <row r="663" spans="1:23">
      <c r="A663" t="s">
        <v>792</v>
      </c>
      <c r="B663" s="2">
        <v>46153</v>
      </c>
      <c r="C663" t="s">
        <v>66</v>
      </c>
      <c r="D663" t="s">
        <v>67</v>
      </c>
      <c r="E663" t="s">
        <v>21</v>
      </c>
      <c r="F663" t="s">
        <v>49</v>
      </c>
      <c r="G663" t="s">
        <v>113</v>
      </c>
      <c r="H663" t="s">
        <v>114</v>
      </c>
      <c r="I663">
        <v>2</v>
      </c>
      <c r="J663" s="3">
        <v>37879.22</v>
      </c>
      <c r="K663" s="3">
        <v>75758.44</v>
      </c>
      <c r="L663" t="s">
        <v>34</v>
      </c>
      <c r="M663" s="2">
        <v>46166</v>
      </c>
      <c r="N663" s="2">
        <v>46163</v>
      </c>
      <c r="O663" t="s">
        <v>26</v>
      </c>
      <c r="P663" t="s">
        <v>27</v>
      </c>
      <c r="Q663" t="s">
        <v>28</v>
      </c>
      <c r="R663" t="s">
        <v>29</v>
      </c>
      <c r="S663">
        <v>2026</v>
      </c>
      <c r="T663" t="s">
        <v>2766</v>
      </c>
      <c r="U663" t="s">
        <v>2769</v>
      </c>
      <c r="V663" s="4">
        <v>0</v>
      </c>
      <c r="W663" s="4">
        <v>1</v>
      </c>
    </row>
    <row r="664" spans="1:23">
      <c r="A664" t="s">
        <v>793</v>
      </c>
      <c r="B664" s="2">
        <v>45997</v>
      </c>
      <c r="C664" t="s">
        <v>71</v>
      </c>
      <c r="D664" t="s">
        <v>72</v>
      </c>
      <c r="E664" t="s">
        <v>48</v>
      </c>
      <c r="F664" t="s">
        <v>57</v>
      </c>
      <c r="G664" t="s">
        <v>127</v>
      </c>
      <c r="H664" t="s">
        <v>128</v>
      </c>
      <c r="I664">
        <v>7</v>
      </c>
      <c r="J664" s="3">
        <v>14883.12</v>
      </c>
      <c r="K664" s="3">
        <v>104181.84</v>
      </c>
      <c r="L664" t="s">
        <v>25</v>
      </c>
      <c r="M664" s="2">
        <v>46009</v>
      </c>
      <c r="N664" s="2">
        <v>46009</v>
      </c>
      <c r="O664" t="s">
        <v>26</v>
      </c>
      <c r="P664" t="s">
        <v>53</v>
      </c>
      <c r="Q664" t="s">
        <v>28</v>
      </c>
      <c r="R664" t="s">
        <v>29</v>
      </c>
      <c r="S664">
        <v>2025</v>
      </c>
      <c r="T664" t="s">
        <v>2745</v>
      </c>
      <c r="U664" t="s">
        <v>2746</v>
      </c>
      <c r="V664" s="4">
        <v>0</v>
      </c>
      <c r="W664" s="4">
        <v>1</v>
      </c>
    </row>
    <row r="665" spans="1:23">
      <c r="A665" t="s">
        <v>794</v>
      </c>
      <c r="B665" s="2">
        <v>46171</v>
      </c>
      <c r="C665" t="s">
        <v>66</v>
      </c>
      <c r="D665" t="s">
        <v>67</v>
      </c>
      <c r="E665" t="s">
        <v>48</v>
      </c>
      <c r="F665" t="s">
        <v>49</v>
      </c>
      <c r="G665" t="s">
        <v>68</v>
      </c>
      <c r="H665" t="s">
        <v>69</v>
      </c>
      <c r="I665">
        <v>1</v>
      </c>
      <c r="J665" s="3">
        <v>46118.23</v>
      </c>
      <c r="K665" s="3">
        <v>46118.23</v>
      </c>
      <c r="L665" t="s">
        <v>25</v>
      </c>
      <c r="M665" s="2">
        <v>46185</v>
      </c>
      <c r="N665" s="2">
        <v>46182</v>
      </c>
      <c r="O665" t="s">
        <v>60</v>
      </c>
      <c r="P665" t="s">
        <v>53</v>
      </c>
      <c r="Q665" t="s">
        <v>28</v>
      </c>
      <c r="R665" t="s">
        <v>29</v>
      </c>
      <c r="S665">
        <v>2026</v>
      </c>
      <c r="T665" t="s">
        <v>2766</v>
      </c>
      <c r="U665" t="s">
        <v>2769</v>
      </c>
      <c r="V665" s="4">
        <v>0</v>
      </c>
      <c r="W665" s="4">
        <v>1</v>
      </c>
    </row>
    <row r="666" spans="1:23">
      <c r="A666" t="s">
        <v>795</v>
      </c>
      <c r="B666" s="2">
        <v>46167</v>
      </c>
      <c r="C666" t="s">
        <v>134</v>
      </c>
      <c r="D666" t="s">
        <v>135</v>
      </c>
      <c r="E666" t="s">
        <v>39</v>
      </c>
      <c r="F666" t="s">
        <v>40</v>
      </c>
      <c r="G666" t="s">
        <v>41</v>
      </c>
      <c r="H666" t="s">
        <v>42</v>
      </c>
      <c r="I666">
        <v>3</v>
      </c>
      <c r="J666" s="3">
        <v>5405.04</v>
      </c>
      <c r="K666" s="3">
        <v>16215.12</v>
      </c>
      <c r="L666" t="s">
        <v>34</v>
      </c>
      <c r="M666" s="2">
        <v>46176</v>
      </c>
      <c r="N666" s="2">
        <v>46174</v>
      </c>
      <c r="O666" t="s">
        <v>76</v>
      </c>
      <c r="P666" t="s">
        <v>64</v>
      </c>
      <c r="Q666" t="s">
        <v>28</v>
      </c>
      <c r="R666" t="s">
        <v>29</v>
      </c>
      <c r="S666">
        <v>2026</v>
      </c>
      <c r="T666" t="s">
        <v>2766</v>
      </c>
      <c r="U666" t="s">
        <v>2769</v>
      </c>
      <c r="V666" s="4">
        <v>0</v>
      </c>
      <c r="W666" s="4">
        <v>1</v>
      </c>
    </row>
    <row r="667" spans="1:23">
      <c r="A667" t="s">
        <v>796</v>
      </c>
      <c r="B667" s="2">
        <v>45730</v>
      </c>
      <c r="C667" t="s">
        <v>66</v>
      </c>
      <c r="D667" t="s">
        <v>67</v>
      </c>
      <c r="E667" t="s">
        <v>48</v>
      </c>
      <c r="F667" t="s">
        <v>49</v>
      </c>
      <c r="G667" t="s">
        <v>68</v>
      </c>
      <c r="H667" t="s">
        <v>69</v>
      </c>
      <c r="I667">
        <v>2</v>
      </c>
      <c r="J667" s="3">
        <v>47895.49</v>
      </c>
      <c r="K667" s="3">
        <v>95790.98</v>
      </c>
      <c r="L667" t="s">
        <v>52</v>
      </c>
      <c r="M667" s="2">
        <v>45745</v>
      </c>
      <c r="N667" s="2">
        <v>45745</v>
      </c>
      <c r="O667" t="s">
        <v>60</v>
      </c>
      <c r="P667" t="s">
        <v>53</v>
      </c>
      <c r="Q667" t="s">
        <v>28</v>
      </c>
      <c r="R667" t="s">
        <v>29</v>
      </c>
      <c r="S667">
        <v>2025</v>
      </c>
      <c r="T667" t="s">
        <v>2747</v>
      </c>
      <c r="U667" t="s">
        <v>2748</v>
      </c>
      <c r="V667" s="4">
        <v>0</v>
      </c>
      <c r="W667" s="4">
        <v>1</v>
      </c>
    </row>
    <row r="668" spans="1:23">
      <c r="A668" t="s">
        <v>797</v>
      </c>
      <c r="B668" s="2">
        <v>46068</v>
      </c>
      <c r="C668" t="s">
        <v>142</v>
      </c>
      <c r="D668" t="s">
        <v>143</v>
      </c>
      <c r="E668" t="s">
        <v>31</v>
      </c>
      <c r="F668" t="s">
        <v>22</v>
      </c>
      <c r="G668" t="s">
        <v>23</v>
      </c>
      <c r="H668" t="s">
        <v>24</v>
      </c>
      <c r="I668">
        <v>44</v>
      </c>
      <c r="J668" s="3">
        <v>246.5</v>
      </c>
      <c r="K668" s="3">
        <v>10846</v>
      </c>
      <c r="L668" t="s">
        <v>25</v>
      </c>
      <c r="M668" s="2">
        <v>46078</v>
      </c>
      <c r="N668" s="2">
        <v>46075</v>
      </c>
      <c r="O668" t="s">
        <v>76</v>
      </c>
      <c r="P668" t="s">
        <v>94</v>
      </c>
      <c r="Q668" t="s">
        <v>28</v>
      </c>
      <c r="R668" t="s">
        <v>29</v>
      </c>
      <c r="S668">
        <v>2026</v>
      </c>
      <c r="T668" t="s">
        <v>2751</v>
      </c>
      <c r="U668" t="s">
        <v>2765</v>
      </c>
      <c r="V668" s="4">
        <v>0</v>
      </c>
      <c r="W668" s="4">
        <v>1</v>
      </c>
    </row>
    <row r="669" spans="1:23">
      <c r="A669" t="s">
        <v>798</v>
      </c>
      <c r="B669" s="2">
        <v>45666</v>
      </c>
      <c r="C669" t="s">
        <v>134</v>
      </c>
      <c r="D669" t="s">
        <v>135</v>
      </c>
      <c r="E669" t="s">
        <v>39</v>
      </c>
      <c r="F669" t="s">
        <v>40</v>
      </c>
      <c r="G669" t="s">
        <v>149</v>
      </c>
      <c r="H669" t="s">
        <v>150</v>
      </c>
      <c r="I669">
        <v>19</v>
      </c>
      <c r="J669" s="3">
        <v>1399.74</v>
      </c>
      <c r="K669" s="3">
        <v>26595.06</v>
      </c>
      <c r="L669" t="s">
        <v>25</v>
      </c>
      <c r="M669" s="2">
        <v>45677</v>
      </c>
      <c r="N669" s="2">
        <v>45677</v>
      </c>
      <c r="O669" t="s">
        <v>60</v>
      </c>
      <c r="P669" t="s">
        <v>44</v>
      </c>
      <c r="Q669" t="s">
        <v>28</v>
      </c>
      <c r="R669" t="s">
        <v>29</v>
      </c>
      <c r="S669">
        <v>2025</v>
      </c>
      <c r="T669" t="s">
        <v>2757</v>
      </c>
      <c r="U669" t="s">
        <v>2768</v>
      </c>
      <c r="V669" s="4">
        <v>0</v>
      </c>
      <c r="W669" s="4">
        <v>1</v>
      </c>
    </row>
    <row r="670" spans="1:23">
      <c r="A670" t="s">
        <v>799</v>
      </c>
      <c r="B670" s="2">
        <v>45769</v>
      </c>
      <c r="C670" t="s">
        <v>104</v>
      </c>
      <c r="D670" t="s">
        <v>105</v>
      </c>
      <c r="E670" t="s">
        <v>48</v>
      </c>
      <c r="F670" t="s">
        <v>49</v>
      </c>
      <c r="G670" t="s">
        <v>68</v>
      </c>
      <c r="H670" t="s">
        <v>69</v>
      </c>
      <c r="I670">
        <v>1</v>
      </c>
      <c r="J670" s="3">
        <v>47500.07</v>
      </c>
      <c r="K670" s="3">
        <v>47500.07</v>
      </c>
      <c r="L670" t="s">
        <v>25</v>
      </c>
      <c r="M670" s="2">
        <v>45779</v>
      </c>
      <c r="N670" s="2">
        <v>45776</v>
      </c>
      <c r="O670" t="s">
        <v>60</v>
      </c>
      <c r="P670" t="s">
        <v>53</v>
      </c>
      <c r="Q670" t="s">
        <v>28</v>
      </c>
      <c r="R670" t="s">
        <v>29</v>
      </c>
      <c r="S670">
        <v>2025</v>
      </c>
      <c r="T670" t="s">
        <v>2741</v>
      </c>
      <c r="U670" t="s">
        <v>2742</v>
      </c>
      <c r="V670" s="4">
        <v>0</v>
      </c>
      <c r="W670" s="4">
        <v>1</v>
      </c>
    </row>
    <row r="671" spans="1:23">
      <c r="A671" t="s">
        <v>800</v>
      </c>
      <c r="B671" s="2">
        <v>45943</v>
      </c>
      <c r="C671" t="s">
        <v>71</v>
      </c>
      <c r="D671" t="s">
        <v>72</v>
      </c>
      <c r="E671" t="s">
        <v>31</v>
      </c>
      <c r="F671" t="s">
        <v>57</v>
      </c>
      <c r="G671" t="s">
        <v>86</v>
      </c>
      <c r="H671" t="s">
        <v>87</v>
      </c>
      <c r="I671">
        <v>1</v>
      </c>
      <c r="J671" s="3">
        <v>10078.02</v>
      </c>
      <c r="K671" s="3">
        <v>10078.02</v>
      </c>
      <c r="L671" t="s">
        <v>52</v>
      </c>
      <c r="M671" s="2">
        <v>45957</v>
      </c>
      <c r="N671" s="2">
        <v>45957</v>
      </c>
      <c r="O671" t="s">
        <v>76</v>
      </c>
      <c r="P671" t="s">
        <v>35</v>
      </c>
      <c r="Q671" t="s">
        <v>28</v>
      </c>
      <c r="R671" t="s">
        <v>29</v>
      </c>
      <c r="S671">
        <v>2025</v>
      </c>
      <c r="T671" t="s">
        <v>2749</v>
      </c>
      <c r="U671" t="s">
        <v>2750</v>
      </c>
      <c r="V671" s="4">
        <v>0</v>
      </c>
      <c r="W671" s="4">
        <v>1</v>
      </c>
    </row>
    <row r="672" spans="1:23">
      <c r="A672" t="s">
        <v>801</v>
      </c>
      <c r="B672" s="2">
        <v>46142</v>
      </c>
      <c r="C672" t="s">
        <v>142</v>
      </c>
      <c r="D672" t="s">
        <v>143</v>
      </c>
      <c r="E672" t="s">
        <v>39</v>
      </c>
      <c r="F672" t="s">
        <v>22</v>
      </c>
      <c r="G672" t="s">
        <v>32</v>
      </c>
      <c r="H672" t="s">
        <v>33</v>
      </c>
      <c r="I672">
        <v>3</v>
      </c>
      <c r="J672" s="3">
        <v>7664.95</v>
      </c>
      <c r="K672" s="3">
        <v>22994.85</v>
      </c>
      <c r="L672" t="s">
        <v>25</v>
      </c>
      <c r="M672" s="2">
        <v>46148</v>
      </c>
      <c r="N672" s="2">
        <v>46146</v>
      </c>
      <c r="O672" t="s">
        <v>76</v>
      </c>
      <c r="P672" t="s">
        <v>44</v>
      </c>
      <c r="Q672" t="s">
        <v>28</v>
      </c>
      <c r="R672" t="s">
        <v>29</v>
      </c>
      <c r="S672">
        <v>2026</v>
      </c>
      <c r="T672" t="s">
        <v>2741</v>
      </c>
      <c r="U672" t="s">
        <v>2770</v>
      </c>
      <c r="V672" s="4">
        <v>0</v>
      </c>
      <c r="W672" s="4">
        <v>1</v>
      </c>
    </row>
    <row r="673" spans="1:23">
      <c r="A673" t="s">
        <v>802</v>
      </c>
      <c r="B673" s="2">
        <v>46087</v>
      </c>
      <c r="C673" t="s">
        <v>66</v>
      </c>
      <c r="D673" t="s">
        <v>67</v>
      </c>
      <c r="E673" t="s">
        <v>48</v>
      </c>
      <c r="F673" t="s">
        <v>49</v>
      </c>
      <c r="G673" t="s">
        <v>50</v>
      </c>
      <c r="H673" t="s">
        <v>51</v>
      </c>
      <c r="I673">
        <v>2</v>
      </c>
      <c r="J673" s="3">
        <v>48842.05</v>
      </c>
      <c r="K673" s="3">
        <v>97684.1</v>
      </c>
      <c r="L673" t="s">
        <v>25</v>
      </c>
      <c r="M673" s="2">
        <v>46097</v>
      </c>
      <c r="N673" s="2">
        <v>46095</v>
      </c>
      <c r="O673" t="s">
        <v>76</v>
      </c>
      <c r="P673" t="s">
        <v>53</v>
      </c>
      <c r="Q673" t="s">
        <v>28</v>
      </c>
      <c r="R673" t="s">
        <v>29</v>
      </c>
      <c r="S673">
        <v>2026</v>
      </c>
      <c r="T673" t="s">
        <v>2747</v>
      </c>
      <c r="U673" t="s">
        <v>2755</v>
      </c>
      <c r="V673" s="4">
        <v>0</v>
      </c>
      <c r="W673" s="4">
        <v>1</v>
      </c>
    </row>
    <row r="674" spans="1:23">
      <c r="A674" t="s">
        <v>803</v>
      </c>
      <c r="B674" s="2">
        <v>46151</v>
      </c>
      <c r="C674" t="s">
        <v>71</v>
      </c>
      <c r="D674" t="s">
        <v>72</v>
      </c>
      <c r="E674" t="s">
        <v>48</v>
      </c>
      <c r="F674" t="s">
        <v>57</v>
      </c>
      <c r="G674" t="s">
        <v>120</v>
      </c>
      <c r="H674" t="s">
        <v>121</v>
      </c>
      <c r="I674">
        <v>7</v>
      </c>
      <c r="J674" s="3">
        <v>21337.69</v>
      </c>
      <c r="K674" s="3">
        <v>149363.82999999999</v>
      </c>
      <c r="L674" t="s">
        <v>52</v>
      </c>
      <c r="M674" s="2">
        <v>46169</v>
      </c>
      <c r="N674" s="2">
        <v>46183</v>
      </c>
      <c r="O674" t="s">
        <v>26</v>
      </c>
      <c r="P674" t="s">
        <v>53</v>
      </c>
      <c r="Q674" t="s">
        <v>28</v>
      </c>
      <c r="R674" t="s">
        <v>129</v>
      </c>
      <c r="S674">
        <v>2026</v>
      </c>
      <c r="T674" t="s">
        <v>2766</v>
      </c>
      <c r="U674" t="s">
        <v>2769</v>
      </c>
      <c r="V674" s="4">
        <v>14</v>
      </c>
      <c r="W674" s="4">
        <v>0</v>
      </c>
    </row>
    <row r="675" spans="1:23">
      <c r="A675" t="s">
        <v>804</v>
      </c>
      <c r="B675" s="2">
        <v>45806</v>
      </c>
      <c r="C675" t="s">
        <v>104</v>
      </c>
      <c r="D675" t="s">
        <v>105</v>
      </c>
      <c r="E675" t="s">
        <v>112</v>
      </c>
      <c r="F675" t="s">
        <v>49</v>
      </c>
      <c r="G675" t="s">
        <v>165</v>
      </c>
      <c r="H675" t="s">
        <v>166</v>
      </c>
      <c r="I675">
        <v>1</v>
      </c>
      <c r="J675" s="3">
        <v>46830.83</v>
      </c>
      <c r="K675" s="3">
        <v>46830.83</v>
      </c>
      <c r="L675" t="s">
        <v>34</v>
      </c>
      <c r="M675" s="2">
        <v>45818</v>
      </c>
      <c r="N675" s="2">
        <v>45818</v>
      </c>
      <c r="O675" t="s">
        <v>60</v>
      </c>
      <c r="P675" t="s">
        <v>115</v>
      </c>
      <c r="Q675" t="s">
        <v>28</v>
      </c>
      <c r="R675" t="s">
        <v>29</v>
      </c>
      <c r="S675">
        <v>2025</v>
      </c>
      <c r="T675" t="s">
        <v>2766</v>
      </c>
      <c r="U675" t="s">
        <v>2767</v>
      </c>
      <c r="V675" s="4">
        <v>0</v>
      </c>
      <c r="W675" s="4">
        <v>1</v>
      </c>
    </row>
    <row r="676" spans="1:23">
      <c r="A676" t="s">
        <v>805</v>
      </c>
      <c r="B676" s="2">
        <v>45786</v>
      </c>
      <c r="C676" t="s">
        <v>142</v>
      </c>
      <c r="D676" t="s">
        <v>143</v>
      </c>
      <c r="E676" t="s">
        <v>31</v>
      </c>
      <c r="F676" t="s">
        <v>22</v>
      </c>
      <c r="G676" t="s">
        <v>23</v>
      </c>
      <c r="H676" t="s">
        <v>24</v>
      </c>
      <c r="I676">
        <v>17</v>
      </c>
      <c r="J676" s="3">
        <v>251.64</v>
      </c>
      <c r="K676" s="3">
        <v>4277.88</v>
      </c>
      <c r="L676" t="s">
        <v>34</v>
      </c>
      <c r="M676" s="2">
        <v>45797</v>
      </c>
      <c r="N676" s="2">
        <v>45796</v>
      </c>
      <c r="O676" t="s">
        <v>26</v>
      </c>
      <c r="P676" t="s">
        <v>35</v>
      </c>
      <c r="Q676" t="s">
        <v>28</v>
      </c>
      <c r="R676" t="s">
        <v>29</v>
      </c>
      <c r="S676">
        <v>2025</v>
      </c>
      <c r="T676" t="s">
        <v>2766</v>
      </c>
      <c r="U676" t="s">
        <v>2767</v>
      </c>
      <c r="V676" s="4">
        <v>0</v>
      </c>
      <c r="W676" s="4">
        <v>1</v>
      </c>
    </row>
    <row r="677" spans="1:23">
      <c r="A677" t="s">
        <v>806</v>
      </c>
      <c r="B677" s="2">
        <v>45672</v>
      </c>
      <c r="C677" t="s">
        <v>46</v>
      </c>
      <c r="D677" t="s">
        <v>47</v>
      </c>
      <c r="E677" t="s">
        <v>73</v>
      </c>
      <c r="F677" t="s">
        <v>49</v>
      </c>
      <c r="G677" t="s">
        <v>165</v>
      </c>
      <c r="H677" t="s">
        <v>166</v>
      </c>
      <c r="I677">
        <v>2</v>
      </c>
      <c r="J677" s="3">
        <v>49517.29</v>
      </c>
      <c r="K677" s="3">
        <v>99034.58</v>
      </c>
      <c r="L677" t="s">
        <v>25</v>
      </c>
      <c r="M677" s="2">
        <v>45687</v>
      </c>
      <c r="N677" s="2">
        <v>45684</v>
      </c>
      <c r="O677" t="s">
        <v>76</v>
      </c>
      <c r="P677" t="s">
        <v>77</v>
      </c>
      <c r="Q677" t="s">
        <v>28</v>
      </c>
      <c r="R677" t="s">
        <v>29</v>
      </c>
      <c r="S677">
        <v>2025</v>
      </c>
      <c r="T677" t="s">
        <v>2757</v>
      </c>
      <c r="U677" t="s">
        <v>2768</v>
      </c>
      <c r="V677" s="4">
        <v>0</v>
      </c>
      <c r="W677" s="4">
        <v>1</v>
      </c>
    </row>
    <row r="678" spans="1:23">
      <c r="A678" t="s">
        <v>807</v>
      </c>
      <c r="B678" s="2">
        <v>46001</v>
      </c>
      <c r="C678" t="s">
        <v>37</v>
      </c>
      <c r="D678" t="s">
        <v>38</v>
      </c>
      <c r="E678" t="s">
        <v>39</v>
      </c>
      <c r="F678" t="s">
        <v>40</v>
      </c>
      <c r="G678" t="s">
        <v>136</v>
      </c>
      <c r="H678" t="s">
        <v>137</v>
      </c>
      <c r="I678">
        <v>39</v>
      </c>
      <c r="J678" s="3">
        <v>1789.41</v>
      </c>
      <c r="K678" s="3">
        <v>69786.990000000005</v>
      </c>
      <c r="L678" t="s">
        <v>34</v>
      </c>
      <c r="M678" s="2">
        <v>46012</v>
      </c>
      <c r="N678" s="2">
        <v>46009</v>
      </c>
      <c r="O678" t="s">
        <v>43</v>
      </c>
      <c r="P678" t="s">
        <v>64</v>
      </c>
      <c r="Q678" t="s">
        <v>28</v>
      </c>
      <c r="R678" t="s">
        <v>29</v>
      </c>
      <c r="S678">
        <v>2025</v>
      </c>
      <c r="T678" t="s">
        <v>2745</v>
      </c>
      <c r="U678" t="s">
        <v>2746</v>
      </c>
      <c r="V678" s="4">
        <v>0</v>
      </c>
      <c r="W678" s="4">
        <v>1</v>
      </c>
    </row>
    <row r="679" spans="1:23">
      <c r="A679" t="s">
        <v>808</v>
      </c>
      <c r="B679" s="2">
        <v>45764</v>
      </c>
      <c r="C679" t="s">
        <v>134</v>
      </c>
      <c r="D679" t="s">
        <v>135</v>
      </c>
      <c r="E679" t="s">
        <v>39</v>
      </c>
      <c r="F679" t="s">
        <v>40</v>
      </c>
      <c r="G679" t="s">
        <v>41</v>
      </c>
      <c r="H679" t="s">
        <v>42</v>
      </c>
      <c r="I679">
        <v>15</v>
      </c>
      <c r="J679" s="3">
        <v>5549.34</v>
      </c>
      <c r="K679" s="3">
        <v>83240.100000000006</v>
      </c>
      <c r="L679" t="s">
        <v>25</v>
      </c>
      <c r="M679" s="2">
        <v>45777</v>
      </c>
      <c r="N679" s="2">
        <v>45774</v>
      </c>
      <c r="O679" t="s">
        <v>43</v>
      </c>
      <c r="P679" t="s">
        <v>44</v>
      </c>
      <c r="Q679" t="s">
        <v>28</v>
      </c>
      <c r="R679" t="s">
        <v>29</v>
      </c>
      <c r="S679">
        <v>2025</v>
      </c>
      <c r="T679" t="s">
        <v>2741</v>
      </c>
      <c r="U679" t="s">
        <v>2742</v>
      </c>
      <c r="V679" s="4">
        <v>0</v>
      </c>
      <c r="W679" s="4">
        <v>1</v>
      </c>
    </row>
    <row r="680" spans="1:23">
      <c r="A680" t="s">
        <v>809</v>
      </c>
      <c r="B680" s="2">
        <v>46088</v>
      </c>
      <c r="C680" t="s">
        <v>104</v>
      </c>
      <c r="D680" t="s">
        <v>105</v>
      </c>
      <c r="E680" t="s">
        <v>48</v>
      </c>
      <c r="F680" t="s">
        <v>49</v>
      </c>
      <c r="G680" t="s">
        <v>113</v>
      </c>
      <c r="H680" t="s">
        <v>114</v>
      </c>
      <c r="I680">
        <v>1</v>
      </c>
      <c r="J680" s="3">
        <v>38085.94</v>
      </c>
      <c r="K680" s="3">
        <v>38085.94</v>
      </c>
      <c r="L680" t="s">
        <v>25</v>
      </c>
      <c r="M680" s="2">
        <v>46098</v>
      </c>
      <c r="N680" s="2">
        <v>46095</v>
      </c>
      <c r="O680" t="s">
        <v>60</v>
      </c>
      <c r="P680" t="s">
        <v>53</v>
      </c>
      <c r="Q680" t="s">
        <v>28</v>
      </c>
      <c r="R680" t="s">
        <v>29</v>
      </c>
      <c r="S680">
        <v>2026</v>
      </c>
      <c r="T680" t="s">
        <v>2747</v>
      </c>
      <c r="U680" t="s">
        <v>2755</v>
      </c>
      <c r="V680" s="4">
        <v>0</v>
      </c>
      <c r="W680" s="4">
        <v>1</v>
      </c>
    </row>
    <row r="681" spans="1:23">
      <c r="A681" t="s">
        <v>810</v>
      </c>
      <c r="B681" s="2">
        <v>46177</v>
      </c>
      <c r="C681" t="s">
        <v>147</v>
      </c>
      <c r="D681" t="s">
        <v>148</v>
      </c>
      <c r="E681" t="s">
        <v>112</v>
      </c>
      <c r="F681" t="s">
        <v>40</v>
      </c>
      <c r="G681" t="s">
        <v>136</v>
      </c>
      <c r="H681" t="s">
        <v>137</v>
      </c>
      <c r="I681">
        <v>31</v>
      </c>
      <c r="J681" s="3">
        <v>1633.99</v>
      </c>
      <c r="K681" s="3">
        <v>50653.69</v>
      </c>
      <c r="L681" t="s">
        <v>25</v>
      </c>
      <c r="M681" s="2">
        <v>46192</v>
      </c>
      <c r="N681" s="2">
        <v>46189</v>
      </c>
      <c r="O681" t="s">
        <v>43</v>
      </c>
      <c r="P681" t="s">
        <v>115</v>
      </c>
      <c r="Q681" t="s">
        <v>28</v>
      </c>
      <c r="R681" t="s">
        <v>29</v>
      </c>
      <c r="S681">
        <v>2026</v>
      </c>
      <c r="T681" t="s">
        <v>2743</v>
      </c>
      <c r="U681" t="s">
        <v>2744</v>
      </c>
      <c r="V681" s="4">
        <v>0</v>
      </c>
      <c r="W681" s="4">
        <v>1</v>
      </c>
    </row>
    <row r="682" spans="1:23">
      <c r="A682" t="s">
        <v>811</v>
      </c>
      <c r="B682" s="2">
        <v>45983</v>
      </c>
      <c r="C682" t="s">
        <v>134</v>
      </c>
      <c r="D682" t="s">
        <v>135</v>
      </c>
      <c r="E682" t="s">
        <v>112</v>
      </c>
      <c r="F682" t="s">
        <v>40</v>
      </c>
      <c r="G682" t="s">
        <v>149</v>
      </c>
      <c r="H682" t="s">
        <v>150</v>
      </c>
      <c r="I682">
        <v>44</v>
      </c>
      <c r="J682" s="3">
        <v>1343.55</v>
      </c>
      <c r="K682" s="3">
        <v>59116.2</v>
      </c>
      <c r="L682" t="s">
        <v>34</v>
      </c>
      <c r="M682" s="2">
        <v>45998</v>
      </c>
      <c r="N682" s="2">
        <v>45998</v>
      </c>
      <c r="O682" t="s">
        <v>60</v>
      </c>
      <c r="P682" t="s">
        <v>115</v>
      </c>
      <c r="Q682" t="s">
        <v>28</v>
      </c>
      <c r="R682" t="s">
        <v>29</v>
      </c>
      <c r="S682">
        <v>2025</v>
      </c>
      <c r="T682" t="s">
        <v>2763</v>
      </c>
      <c r="U682" t="s">
        <v>2764</v>
      </c>
      <c r="V682" s="4">
        <v>0</v>
      </c>
      <c r="W682" s="4">
        <v>1</v>
      </c>
    </row>
    <row r="683" spans="1:23">
      <c r="A683" t="s">
        <v>812</v>
      </c>
      <c r="B683" s="2">
        <v>45835</v>
      </c>
      <c r="C683" t="s">
        <v>142</v>
      </c>
      <c r="D683" t="s">
        <v>143</v>
      </c>
      <c r="E683" t="s">
        <v>21</v>
      </c>
      <c r="F683" t="s">
        <v>22</v>
      </c>
      <c r="G683" t="s">
        <v>160</v>
      </c>
      <c r="H683" t="s">
        <v>161</v>
      </c>
      <c r="I683">
        <v>3</v>
      </c>
      <c r="J683" s="3">
        <v>3225.29</v>
      </c>
      <c r="K683" s="3">
        <v>9675.8700000000008</v>
      </c>
      <c r="L683" t="s">
        <v>34</v>
      </c>
      <c r="M683" s="2">
        <v>45848</v>
      </c>
      <c r="N683" s="2">
        <v>45845</v>
      </c>
      <c r="O683" t="s">
        <v>76</v>
      </c>
      <c r="P683" t="s">
        <v>27</v>
      </c>
      <c r="Q683" t="s">
        <v>28</v>
      </c>
      <c r="R683" t="s">
        <v>29</v>
      </c>
      <c r="S683">
        <v>2025</v>
      </c>
      <c r="T683" t="s">
        <v>2743</v>
      </c>
      <c r="U683" t="s">
        <v>2756</v>
      </c>
      <c r="V683" s="4">
        <v>0</v>
      </c>
      <c r="W683" s="4">
        <v>1</v>
      </c>
    </row>
    <row r="684" spans="1:23">
      <c r="A684" t="s">
        <v>813</v>
      </c>
      <c r="B684" s="2">
        <v>45988</v>
      </c>
      <c r="C684" t="s">
        <v>134</v>
      </c>
      <c r="D684" t="s">
        <v>135</v>
      </c>
      <c r="E684" t="s">
        <v>39</v>
      </c>
      <c r="F684" t="s">
        <v>40</v>
      </c>
      <c r="G684" t="s">
        <v>41</v>
      </c>
      <c r="H684" t="s">
        <v>42</v>
      </c>
      <c r="I684">
        <v>1</v>
      </c>
      <c r="J684" s="3">
        <v>5472.34</v>
      </c>
      <c r="K684" s="3">
        <v>5472.34</v>
      </c>
      <c r="L684" t="s">
        <v>34</v>
      </c>
      <c r="M684" s="2">
        <v>46002</v>
      </c>
      <c r="N684" s="2">
        <v>46002</v>
      </c>
      <c r="O684" t="s">
        <v>43</v>
      </c>
      <c r="P684" t="s">
        <v>64</v>
      </c>
      <c r="Q684" t="s">
        <v>28</v>
      </c>
      <c r="R684" t="s">
        <v>29</v>
      </c>
      <c r="S684">
        <v>2025</v>
      </c>
      <c r="T684" t="s">
        <v>2763</v>
      </c>
      <c r="U684" t="s">
        <v>2764</v>
      </c>
      <c r="V684" s="4">
        <v>0</v>
      </c>
      <c r="W684" s="4">
        <v>1</v>
      </c>
    </row>
    <row r="685" spans="1:23">
      <c r="A685" t="s">
        <v>814</v>
      </c>
      <c r="B685" s="2">
        <v>46122</v>
      </c>
      <c r="C685" t="s">
        <v>71</v>
      </c>
      <c r="D685" t="s">
        <v>72</v>
      </c>
      <c r="E685" t="s">
        <v>48</v>
      </c>
      <c r="F685" t="s">
        <v>57</v>
      </c>
      <c r="G685" t="s">
        <v>86</v>
      </c>
      <c r="H685" t="s">
        <v>87</v>
      </c>
      <c r="I685">
        <v>4</v>
      </c>
      <c r="J685" s="3">
        <v>9987.73</v>
      </c>
      <c r="K685" s="3">
        <v>39950.92</v>
      </c>
      <c r="L685" t="s">
        <v>34</v>
      </c>
      <c r="M685" s="2">
        <v>46135</v>
      </c>
      <c r="N685" s="2">
        <v>46132</v>
      </c>
      <c r="O685" t="s">
        <v>43</v>
      </c>
      <c r="P685" t="s">
        <v>53</v>
      </c>
      <c r="Q685" t="s">
        <v>28</v>
      </c>
      <c r="R685" t="s">
        <v>29</v>
      </c>
      <c r="S685">
        <v>2026</v>
      </c>
      <c r="T685" t="s">
        <v>2741</v>
      </c>
      <c r="U685" t="s">
        <v>2770</v>
      </c>
      <c r="V685" s="4">
        <v>0</v>
      </c>
      <c r="W685" s="4">
        <v>1</v>
      </c>
    </row>
    <row r="686" spans="1:23">
      <c r="A686" t="s">
        <v>815</v>
      </c>
      <c r="B686" s="2">
        <v>45681</v>
      </c>
      <c r="C686" t="s">
        <v>89</v>
      </c>
      <c r="D686" t="s">
        <v>90</v>
      </c>
      <c r="E686" t="s">
        <v>31</v>
      </c>
      <c r="F686" t="s">
        <v>91</v>
      </c>
      <c r="G686" t="s">
        <v>92</v>
      </c>
      <c r="H686" t="s">
        <v>93</v>
      </c>
      <c r="I686">
        <v>1</v>
      </c>
      <c r="J686" s="3">
        <v>42572.480000000003</v>
      </c>
      <c r="K686" s="3">
        <v>42572.480000000003</v>
      </c>
      <c r="L686" t="s">
        <v>25</v>
      </c>
      <c r="M686" s="2">
        <v>45688</v>
      </c>
      <c r="N686" s="2">
        <v>45687</v>
      </c>
      <c r="O686" t="s">
        <v>60</v>
      </c>
      <c r="P686" t="s">
        <v>35</v>
      </c>
      <c r="Q686" t="s">
        <v>28</v>
      </c>
      <c r="R686" t="s">
        <v>29</v>
      </c>
      <c r="S686">
        <v>2025</v>
      </c>
      <c r="T686" t="s">
        <v>2757</v>
      </c>
      <c r="U686" t="s">
        <v>2768</v>
      </c>
      <c r="V686" s="4">
        <v>0</v>
      </c>
      <c r="W686" s="4">
        <v>1</v>
      </c>
    </row>
    <row r="687" spans="1:23">
      <c r="A687" t="s">
        <v>816</v>
      </c>
      <c r="B687" s="2">
        <v>45870</v>
      </c>
      <c r="C687" t="s">
        <v>89</v>
      </c>
      <c r="D687" t="s">
        <v>90</v>
      </c>
      <c r="E687" t="s">
        <v>31</v>
      </c>
      <c r="F687" t="s">
        <v>91</v>
      </c>
      <c r="G687" t="s">
        <v>109</v>
      </c>
      <c r="H687" t="s">
        <v>110</v>
      </c>
      <c r="I687">
        <v>1</v>
      </c>
      <c r="J687" s="3">
        <v>13079.12</v>
      </c>
      <c r="K687" s="3">
        <v>13079.12</v>
      </c>
      <c r="L687" t="s">
        <v>52</v>
      </c>
      <c r="M687" s="2">
        <v>45878</v>
      </c>
      <c r="N687" s="2">
        <v>45875</v>
      </c>
      <c r="O687" t="s">
        <v>60</v>
      </c>
      <c r="P687" t="s">
        <v>94</v>
      </c>
      <c r="Q687" t="s">
        <v>28</v>
      </c>
      <c r="R687" t="s">
        <v>29</v>
      </c>
      <c r="S687">
        <v>2025</v>
      </c>
      <c r="T687" t="s">
        <v>2761</v>
      </c>
      <c r="U687" t="s">
        <v>2762</v>
      </c>
      <c r="V687" s="4">
        <v>0</v>
      </c>
      <c r="W687" s="4">
        <v>1</v>
      </c>
    </row>
    <row r="688" spans="1:23">
      <c r="A688" t="s">
        <v>817</v>
      </c>
      <c r="B688" s="2">
        <v>45842</v>
      </c>
      <c r="C688" t="s">
        <v>104</v>
      </c>
      <c r="D688" t="s">
        <v>105</v>
      </c>
      <c r="E688" t="s">
        <v>112</v>
      </c>
      <c r="F688" t="s">
        <v>49</v>
      </c>
      <c r="G688" t="s">
        <v>113</v>
      </c>
      <c r="H688" t="s">
        <v>114</v>
      </c>
      <c r="I688">
        <v>1</v>
      </c>
      <c r="J688" s="3">
        <v>37652.410000000003</v>
      </c>
      <c r="K688" s="3">
        <v>37652.410000000003</v>
      </c>
      <c r="L688" t="s">
        <v>25</v>
      </c>
      <c r="M688" s="2">
        <v>45854</v>
      </c>
      <c r="N688" s="2">
        <v>45854</v>
      </c>
      <c r="O688" t="s">
        <v>76</v>
      </c>
      <c r="P688" t="s">
        <v>115</v>
      </c>
      <c r="Q688" t="s">
        <v>28</v>
      </c>
      <c r="R688" t="s">
        <v>29</v>
      </c>
      <c r="S688">
        <v>2025</v>
      </c>
      <c r="T688" t="s">
        <v>2759</v>
      </c>
      <c r="U688" t="s">
        <v>2760</v>
      </c>
      <c r="V688" s="4">
        <v>0</v>
      </c>
      <c r="W688" s="4">
        <v>1</v>
      </c>
    </row>
    <row r="689" spans="1:23">
      <c r="A689" t="s">
        <v>818</v>
      </c>
      <c r="B689" s="2">
        <v>45855</v>
      </c>
      <c r="C689" t="s">
        <v>19</v>
      </c>
      <c r="D689" t="s">
        <v>20</v>
      </c>
      <c r="E689" t="s">
        <v>31</v>
      </c>
      <c r="F689" t="s">
        <v>22</v>
      </c>
      <c r="G689" t="s">
        <v>32</v>
      </c>
      <c r="H689" t="s">
        <v>33</v>
      </c>
      <c r="I689">
        <v>6</v>
      </c>
      <c r="J689" s="3">
        <v>7105.06</v>
      </c>
      <c r="K689" s="3">
        <v>42630.36</v>
      </c>
      <c r="L689" t="s">
        <v>25</v>
      </c>
      <c r="M689" s="2">
        <v>45861</v>
      </c>
      <c r="N689" s="2">
        <v>45861</v>
      </c>
      <c r="O689" t="s">
        <v>26</v>
      </c>
      <c r="P689" t="s">
        <v>94</v>
      </c>
      <c r="Q689" t="s">
        <v>28</v>
      </c>
      <c r="R689" t="s">
        <v>29</v>
      </c>
      <c r="S689">
        <v>2025</v>
      </c>
      <c r="T689" t="s">
        <v>2759</v>
      </c>
      <c r="U689" t="s">
        <v>2760</v>
      </c>
      <c r="V689" s="4">
        <v>0</v>
      </c>
      <c r="W689" s="4">
        <v>1</v>
      </c>
    </row>
    <row r="690" spans="1:23">
      <c r="A690" t="s">
        <v>819</v>
      </c>
      <c r="B690" s="2">
        <v>45787</v>
      </c>
      <c r="C690" t="s">
        <v>107</v>
      </c>
      <c r="D690" t="s">
        <v>108</v>
      </c>
      <c r="E690" t="s">
        <v>31</v>
      </c>
      <c r="F690" t="s">
        <v>91</v>
      </c>
      <c r="G690" t="s">
        <v>109</v>
      </c>
      <c r="H690" t="s">
        <v>110</v>
      </c>
      <c r="I690">
        <v>2</v>
      </c>
      <c r="J690" s="3">
        <v>14006.76</v>
      </c>
      <c r="K690" s="3">
        <v>28013.52</v>
      </c>
      <c r="L690" t="s">
        <v>25</v>
      </c>
      <c r="M690" s="2">
        <v>45803</v>
      </c>
      <c r="N690" s="2">
        <v>45800</v>
      </c>
      <c r="O690" t="s">
        <v>60</v>
      </c>
      <c r="P690" t="s">
        <v>94</v>
      </c>
      <c r="Q690" t="s">
        <v>28</v>
      </c>
      <c r="R690" t="s">
        <v>29</v>
      </c>
      <c r="S690">
        <v>2025</v>
      </c>
      <c r="T690" t="s">
        <v>2766</v>
      </c>
      <c r="U690" t="s">
        <v>2767</v>
      </c>
      <c r="V690" s="4">
        <v>0</v>
      </c>
      <c r="W690" s="4">
        <v>1</v>
      </c>
    </row>
    <row r="691" spans="1:23">
      <c r="A691" t="s">
        <v>820</v>
      </c>
      <c r="B691" s="2">
        <v>45914</v>
      </c>
      <c r="C691" t="s">
        <v>104</v>
      </c>
      <c r="D691" t="s">
        <v>105</v>
      </c>
      <c r="E691" t="s">
        <v>48</v>
      </c>
      <c r="F691" t="s">
        <v>49</v>
      </c>
      <c r="G691" t="s">
        <v>68</v>
      </c>
      <c r="H691" t="s">
        <v>69</v>
      </c>
      <c r="I691">
        <v>3</v>
      </c>
      <c r="J691" s="3">
        <v>49506.42</v>
      </c>
      <c r="K691" s="3">
        <v>148519.26</v>
      </c>
      <c r="L691" t="s">
        <v>52</v>
      </c>
      <c r="M691" s="2">
        <v>45923</v>
      </c>
      <c r="N691" s="2">
        <v>45922</v>
      </c>
      <c r="O691" t="s">
        <v>60</v>
      </c>
      <c r="P691" t="s">
        <v>53</v>
      </c>
      <c r="Q691" t="s">
        <v>28</v>
      </c>
      <c r="R691" t="s">
        <v>29</v>
      </c>
      <c r="S691">
        <v>2025</v>
      </c>
      <c r="T691" t="s">
        <v>2753</v>
      </c>
      <c r="U691" t="s">
        <v>2754</v>
      </c>
      <c r="V691" s="4">
        <v>0</v>
      </c>
      <c r="W691" s="4">
        <v>1</v>
      </c>
    </row>
    <row r="692" spans="1:23">
      <c r="A692" t="s">
        <v>821</v>
      </c>
      <c r="B692" s="2">
        <v>46114</v>
      </c>
      <c r="C692" t="s">
        <v>46</v>
      </c>
      <c r="D692" t="s">
        <v>47</v>
      </c>
      <c r="E692" t="s">
        <v>48</v>
      </c>
      <c r="F692" t="s">
        <v>49</v>
      </c>
      <c r="G692" t="s">
        <v>113</v>
      </c>
      <c r="H692" t="s">
        <v>114</v>
      </c>
      <c r="I692">
        <v>3</v>
      </c>
      <c r="J692" s="3">
        <v>40225.15</v>
      </c>
      <c r="K692" s="3">
        <v>120675.45</v>
      </c>
      <c r="L692" t="s">
        <v>25</v>
      </c>
      <c r="M692" s="2">
        <v>46124</v>
      </c>
      <c r="N692" s="2">
        <v>46124</v>
      </c>
      <c r="O692" t="s">
        <v>43</v>
      </c>
      <c r="P692" t="s">
        <v>53</v>
      </c>
      <c r="Q692" t="s">
        <v>28</v>
      </c>
      <c r="R692" t="s">
        <v>29</v>
      </c>
      <c r="S692">
        <v>2026</v>
      </c>
      <c r="T692" t="s">
        <v>2741</v>
      </c>
      <c r="U692" t="s">
        <v>2770</v>
      </c>
      <c r="V692" s="4">
        <v>0</v>
      </c>
      <c r="W692" s="4">
        <v>1</v>
      </c>
    </row>
    <row r="693" spans="1:23">
      <c r="A693" t="s">
        <v>822</v>
      </c>
      <c r="B693" s="2">
        <v>46077</v>
      </c>
      <c r="C693" t="s">
        <v>104</v>
      </c>
      <c r="D693" t="s">
        <v>105</v>
      </c>
      <c r="E693" t="s">
        <v>48</v>
      </c>
      <c r="F693" t="s">
        <v>49</v>
      </c>
      <c r="G693" t="s">
        <v>68</v>
      </c>
      <c r="H693" t="s">
        <v>69</v>
      </c>
      <c r="I693">
        <v>1</v>
      </c>
      <c r="J693" s="3">
        <v>46857.19</v>
      </c>
      <c r="K693" s="3">
        <v>46857.19</v>
      </c>
      <c r="L693" t="s">
        <v>25</v>
      </c>
      <c r="M693" s="2">
        <v>46088</v>
      </c>
      <c r="N693" s="2">
        <v>46086</v>
      </c>
      <c r="O693" t="s">
        <v>26</v>
      </c>
      <c r="P693" t="s">
        <v>53</v>
      </c>
      <c r="Q693" t="s">
        <v>28</v>
      </c>
      <c r="R693" t="s">
        <v>29</v>
      </c>
      <c r="S693">
        <v>2026</v>
      </c>
      <c r="T693" t="s">
        <v>2751</v>
      </c>
      <c r="U693" t="s">
        <v>2765</v>
      </c>
      <c r="V693" s="4">
        <v>0</v>
      </c>
      <c r="W693" s="4">
        <v>1</v>
      </c>
    </row>
    <row r="694" spans="1:23">
      <c r="A694" t="s">
        <v>823</v>
      </c>
      <c r="B694" s="2">
        <v>46038</v>
      </c>
      <c r="C694" t="s">
        <v>19</v>
      </c>
      <c r="D694" t="s">
        <v>20</v>
      </c>
      <c r="E694" t="s">
        <v>21</v>
      </c>
      <c r="F694" t="s">
        <v>22</v>
      </c>
      <c r="G694" t="s">
        <v>160</v>
      </c>
      <c r="H694" t="s">
        <v>161</v>
      </c>
      <c r="I694">
        <v>4</v>
      </c>
      <c r="J694" s="3">
        <v>3001.31</v>
      </c>
      <c r="K694" s="3">
        <v>12005.24</v>
      </c>
      <c r="L694" t="s">
        <v>52</v>
      </c>
      <c r="M694" s="2">
        <v>46050</v>
      </c>
      <c r="N694" s="2">
        <v>46048</v>
      </c>
      <c r="O694" t="s">
        <v>43</v>
      </c>
      <c r="P694" t="s">
        <v>27</v>
      </c>
      <c r="Q694" t="s">
        <v>28</v>
      </c>
      <c r="R694" t="s">
        <v>29</v>
      </c>
      <c r="S694">
        <v>2026</v>
      </c>
      <c r="T694" t="s">
        <v>2757</v>
      </c>
      <c r="U694" t="s">
        <v>2758</v>
      </c>
      <c r="V694" s="4">
        <v>0</v>
      </c>
      <c r="W694" s="4">
        <v>1</v>
      </c>
    </row>
    <row r="695" spans="1:23">
      <c r="A695" t="s">
        <v>824</v>
      </c>
      <c r="B695" s="2">
        <v>45948</v>
      </c>
      <c r="C695" t="s">
        <v>107</v>
      </c>
      <c r="D695" t="s">
        <v>108</v>
      </c>
      <c r="E695" t="s">
        <v>31</v>
      </c>
      <c r="F695" t="s">
        <v>91</v>
      </c>
      <c r="G695" t="s">
        <v>109</v>
      </c>
      <c r="H695" t="s">
        <v>110</v>
      </c>
      <c r="I695">
        <v>1</v>
      </c>
      <c r="J695" s="3">
        <v>14371.01</v>
      </c>
      <c r="K695" s="3">
        <v>14371.01</v>
      </c>
      <c r="L695" t="s">
        <v>34</v>
      </c>
      <c r="M695" s="2">
        <v>45962</v>
      </c>
      <c r="N695" s="2">
        <v>45959</v>
      </c>
      <c r="O695" t="s">
        <v>60</v>
      </c>
      <c r="P695" t="s">
        <v>35</v>
      </c>
      <c r="Q695" t="s">
        <v>28</v>
      </c>
      <c r="R695" t="s">
        <v>29</v>
      </c>
      <c r="S695">
        <v>2025</v>
      </c>
      <c r="T695" t="s">
        <v>2749</v>
      </c>
      <c r="U695" t="s">
        <v>2750</v>
      </c>
      <c r="V695" s="4">
        <v>0</v>
      </c>
      <c r="W695" s="4">
        <v>1</v>
      </c>
    </row>
    <row r="696" spans="1:23">
      <c r="A696" t="s">
        <v>825</v>
      </c>
      <c r="B696" s="2">
        <v>45985</v>
      </c>
      <c r="C696" t="s">
        <v>37</v>
      </c>
      <c r="D696" t="s">
        <v>38</v>
      </c>
      <c r="E696" t="s">
        <v>39</v>
      </c>
      <c r="F696" t="s">
        <v>40</v>
      </c>
      <c r="G696" t="s">
        <v>62</v>
      </c>
      <c r="H696" t="s">
        <v>63</v>
      </c>
      <c r="I696">
        <v>2</v>
      </c>
      <c r="J696" s="3">
        <v>19492.080000000002</v>
      </c>
      <c r="K696" s="3">
        <v>38984.160000000003</v>
      </c>
      <c r="L696" t="s">
        <v>34</v>
      </c>
      <c r="M696" s="2">
        <v>45991</v>
      </c>
      <c r="N696" s="2">
        <v>45989</v>
      </c>
      <c r="O696" t="s">
        <v>26</v>
      </c>
      <c r="P696" t="s">
        <v>64</v>
      </c>
      <c r="Q696" t="s">
        <v>28</v>
      </c>
      <c r="R696" t="s">
        <v>29</v>
      </c>
      <c r="S696">
        <v>2025</v>
      </c>
      <c r="T696" t="s">
        <v>2763</v>
      </c>
      <c r="U696" t="s">
        <v>2764</v>
      </c>
      <c r="V696" s="4">
        <v>0</v>
      </c>
      <c r="W696" s="4">
        <v>1</v>
      </c>
    </row>
    <row r="697" spans="1:23">
      <c r="A697" t="s">
        <v>826</v>
      </c>
      <c r="B697" s="2">
        <v>45949</v>
      </c>
      <c r="C697" t="s">
        <v>55</v>
      </c>
      <c r="D697" t="s">
        <v>56</v>
      </c>
      <c r="E697" t="s">
        <v>48</v>
      </c>
      <c r="F697" t="s">
        <v>57</v>
      </c>
      <c r="G697" t="s">
        <v>74</v>
      </c>
      <c r="H697" t="s">
        <v>75</v>
      </c>
      <c r="I697">
        <v>7</v>
      </c>
      <c r="J697" s="3">
        <v>9955.61</v>
      </c>
      <c r="K697" s="3">
        <v>69689.27</v>
      </c>
      <c r="L697" t="s">
        <v>25</v>
      </c>
      <c r="M697" s="2">
        <v>45954</v>
      </c>
      <c r="N697" s="2">
        <v>45954</v>
      </c>
      <c r="O697" t="s">
        <v>43</v>
      </c>
      <c r="P697" t="s">
        <v>53</v>
      </c>
      <c r="Q697" t="s">
        <v>28</v>
      </c>
      <c r="R697" t="s">
        <v>29</v>
      </c>
      <c r="S697">
        <v>2025</v>
      </c>
      <c r="T697" t="s">
        <v>2749</v>
      </c>
      <c r="U697" t="s">
        <v>2750</v>
      </c>
      <c r="V697" s="4">
        <v>0</v>
      </c>
      <c r="W697" s="4">
        <v>1</v>
      </c>
    </row>
    <row r="698" spans="1:23">
      <c r="A698" t="s">
        <v>827</v>
      </c>
      <c r="B698" s="2">
        <v>46139</v>
      </c>
      <c r="C698" t="s">
        <v>104</v>
      </c>
      <c r="D698" t="s">
        <v>105</v>
      </c>
      <c r="E698" t="s">
        <v>48</v>
      </c>
      <c r="F698" t="s">
        <v>49</v>
      </c>
      <c r="G698" t="s">
        <v>165</v>
      </c>
      <c r="H698" t="s">
        <v>166</v>
      </c>
      <c r="I698">
        <v>1</v>
      </c>
      <c r="J698" s="3">
        <v>44600.59</v>
      </c>
      <c r="K698" s="3">
        <v>44600.59</v>
      </c>
      <c r="L698" t="s">
        <v>34</v>
      </c>
      <c r="M698" s="2">
        <v>46152</v>
      </c>
      <c r="N698" s="2">
        <v>46149</v>
      </c>
      <c r="O698" t="s">
        <v>60</v>
      </c>
      <c r="P698" t="s">
        <v>53</v>
      </c>
      <c r="Q698" t="s">
        <v>28</v>
      </c>
      <c r="R698" t="s">
        <v>29</v>
      </c>
      <c r="S698">
        <v>2026</v>
      </c>
      <c r="T698" t="s">
        <v>2741</v>
      </c>
      <c r="U698" t="s">
        <v>2770</v>
      </c>
      <c r="V698" s="4">
        <v>0</v>
      </c>
      <c r="W698" s="4">
        <v>1</v>
      </c>
    </row>
    <row r="699" spans="1:23">
      <c r="A699" t="s">
        <v>828</v>
      </c>
      <c r="B699" s="2">
        <v>46123</v>
      </c>
      <c r="C699" t="s">
        <v>107</v>
      </c>
      <c r="D699" t="s">
        <v>108</v>
      </c>
      <c r="E699" t="s">
        <v>31</v>
      </c>
      <c r="F699" t="s">
        <v>91</v>
      </c>
      <c r="G699" t="s">
        <v>109</v>
      </c>
      <c r="H699" t="s">
        <v>110</v>
      </c>
      <c r="I699">
        <v>1</v>
      </c>
      <c r="J699" s="3">
        <v>13327.15</v>
      </c>
      <c r="K699" s="3">
        <v>13327.15</v>
      </c>
      <c r="L699" t="s">
        <v>25</v>
      </c>
      <c r="M699" s="2">
        <v>46128</v>
      </c>
      <c r="N699" s="2">
        <v>46127</v>
      </c>
      <c r="O699" t="s">
        <v>76</v>
      </c>
      <c r="P699" t="s">
        <v>35</v>
      </c>
      <c r="Q699" t="s">
        <v>28</v>
      </c>
      <c r="R699" t="s">
        <v>29</v>
      </c>
      <c r="S699">
        <v>2026</v>
      </c>
      <c r="T699" t="s">
        <v>2741</v>
      </c>
      <c r="U699" t="s">
        <v>2770</v>
      </c>
      <c r="V699" s="4">
        <v>0</v>
      </c>
      <c r="W699" s="4">
        <v>1</v>
      </c>
    </row>
    <row r="700" spans="1:23">
      <c r="A700" t="s">
        <v>829</v>
      </c>
      <c r="B700" s="2">
        <v>45889</v>
      </c>
      <c r="C700" t="s">
        <v>147</v>
      </c>
      <c r="D700" t="s">
        <v>148</v>
      </c>
      <c r="E700" t="s">
        <v>39</v>
      </c>
      <c r="F700" t="s">
        <v>40</v>
      </c>
      <c r="G700" t="s">
        <v>41</v>
      </c>
      <c r="H700" t="s">
        <v>42</v>
      </c>
      <c r="I700">
        <v>5</v>
      </c>
      <c r="J700" s="3">
        <v>5381.62</v>
      </c>
      <c r="K700" s="3">
        <v>26908.1</v>
      </c>
      <c r="L700" t="s">
        <v>52</v>
      </c>
      <c r="M700" s="2">
        <v>45906</v>
      </c>
      <c r="N700" s="2">
        <v>45908</v>
      </c>
      <c r="O700" t="s">
        <v>43</v>
      </c>
      <c r="P700" t="s">
        <v>44</v>
      </c>
      <c r="Q700" t="s">
        <v>28</v>
      </c>
      <c r="R700" t="s">
        <v>129</v>
      </c>
      <c r="S700">
        <v>2025</v>
      </c>
      <c r="T700" t="s">
        <v>2761</v>
      </c>
      <c r="U700" t="s">
        <v>2762</v>
      </c>
      <c r="V700" s="4">
        <v>2</v>
      </c>
      <c r="W700" s="4">
        <v>0</v>
      </c>
    </row>
    <row r="701" spans="1:23">
      <c r="A701" t="s">
        <v>830</v>
      </c>
      <c r="B701" s="2">
        <v>46046</v>
      </c>
      <c r="C701" t="s">
        <v>142</v>
      </c>
      <c r="D701" t="s">
        <v>143</v>
      </c>
      <c r="E701" t="s">
        <v>39</v>
      </c>
      <c r="F701" t="s">
        <v>22</v>
      </c>
      <c r="G701" t="s">
        <v>32</v>
      </c>
      <c r="H701" t="s">
        <v>33</v>
      </c>
      <c r="I701">
        <v>14</v>
      </c>
      <c r="J701" s="3">
        <v>7576.65</v>
      </c>
      <c r="K701" s="3">
        <v>106073.1</v>
      </c>
      <c r="L701" t="s">
        <v>34</v>
      </c>
      <c r="M701" s="2">
        <v>46053</v>
      </c>
      <c r="N701" s="2">
        <v>46050</v>
      </c>
      <c r="O701" t="s">
        <v>43</v>
      </c>
      <c r="P701" t="s">
        <v>64</v>
      </c>
      <c r="Q701" t="s">
        <v>28</v>
      </c>
      <c r="R701" t="s">
        <v>29</v>
      </c>
      <c r="S701">
        <v>2026</v>
      </c>
      <c r="T701" t="s">
        <v>2757</v>
      </c>
      <c r="U701" t="s">
        <v>2758</v>
      </c>
      <c r="V701" s="4">
        <v>0</v>
      </c>
      <c r="W701" s="4">
        <v>1</v>
      </c>
    </row>
    <row r="702" spans="1:23">
      <c r="A702" t="s">
        <v>831</v>
      </c>
      <c r="B702" s="2">
        <v>45945</v>
      </c>
      <c r="C702" t="s">
        <v>55</v>
      </c>
      <c r="D702" t="s">
        <v>56</v>
      </c>
      <c r="E702" t="s">
        <v>48</v>
      </c>
      <c r="F702" t="s">
        <v>57</v>
      </c>
      <c r="G702" t="s">
        <v>101</v>
      </c>
      <c r="H702" t="s">
        <v>102</v>
      </c>
      <c r="I702">
        <v>10</v>
      </c>
      <c r="J702" s="3">
        <v>1971.35</v>
      </c>
      <c r="K702" s="3">
        <v>19713.5</v>
      </c>
      <c r="L702" t="s">
        <v>34</v>
      </c>
      <c r="M702" s="2">
        <v>45955</v>
      </c>
      <c r="N702" s="2">
        <v>45954</v>
      </c>
      <c r="O702" t="s">
        <v>26</v>
      </c>
      <c r="P702" t="s">
        <v>53</v>
      </c>
      <c r="Q702" t="s">
        <v>28</v>
      </c>
      <c r="R702" t="s">
        <v>29</v>
      </c>
      <c r="S702">
        <v>2025</v>
      </c>
      <c r="T702" t="s">
        <v>2749</v>
      </c>
      <c r="U702" t="s">
        <v>2750</v>
      </c>
      <c r="V702" s="4">
        <v>0</v>
      </c>
      <c r="W702" s="4">
        <v>1</v>
      </c>
    </row>
    <row r="703" spans="1:23">
      <c r="A703" t="s">
        <v>832</v>
      </c>
      <c r="B703" s="2">
        <v>45719</v>
      </c>
      <c r="C703" t="s">
        <v>104</v>
      </c>
      <c r="D703" t="s">
        <v>105</v>
      </c>
      <c r="E703" t="s">
        <v>48</v>
      </c>
      <c r="F703" t="s">
        <v>49</v>
      </c>
      <c r="G703" t="s">
        <v>68</v>
      </c>
      <c r="H703" t="s">
        <v>69</v>
      </c>
      <c r="I703">
        <v>1</v>
      </c>
      <c r="J703" s="3">
        <v>46531.59</v>
      </c>
      <c r="K703" s="3">
        <v>46531.59</v>
      </c>
      <c r="L703" t="s">
        <v>34</v>
      </c>
      <c r="M703" s="2">
        <v>45737</v>
      </c>
      <c r="N703" s="2">
        <v>45735</v>
      </c>
      <c r="O703" t="s">
        <v>76</v>
      </c>
      <c r="P703" t="s">
        <v>53</v>
      </c>
      <c r="Q703" t="s">
        <v>28</v>
      </c>
      <c r="R703" t="s">
        <v>29</v>
      </c>
      <c r="S703">
        <v>2025</v>
      </c>
      <c r="T703" t="s">
        <v>2747</v>
      </c>
      <c r="U703" t="s">
        <v>2748</v>
      </c>
      <c r="V703" s="4">
        <v>0</v>
      </c>
      <c r="W703" s="4">
        <v>1</v>
      </c>
    </row>
    <row r="704" spans="1:23">
      <c r="A704" t="s">
        <v>833</v>
      </c>
      <c r="B704" s="2">
        <v>46183</v>
      </c>
      <c r="C704" t="s">
        <v>142</v>
      </c>
      <c r="D704" t="s">
        <v>143</v>
      </c>
      <c r="E704" t="s">
        <v>73</v>
      </c>
      <c r="F704" t="s">
        <v>22</v>
      </c>
      <c r="G704" t="s">
        <v>160</v>
      </c>
      <c r="H704" t="s">
        <v>161</v>
      </c>
      <c r="I704">
        <v>14</v>
      </c>
      <c r="J704" s="3">
        <v>3218.56</v>
      </c>
      <c r="K704" s="3">
        <v>45059.839999999997</v>
      </c>
      <c r="L704" t="s">
        <v>25</v>
      </c>
      <c r="M704" s="2">
        <v>46197</v>
      </c>
      <c r="N704" s="2">
        <v>46196</v>
      </c>
      <c r="O704" t="s">
        <v>43</v>
      </c>
      <c r="P704" t="s">
        <v>77</v>
      </c>
      <c r="Q704" t="s">
        <v>28</v>
      </c>
      <c r="R704" t="s">
        <v>29</v>
      </c>
      <c r="S704">
        <v>2026</v>
      </c>
      <c r="T704" t="s">
        <v>2743</v>
      </c>
      <c r="U704" t="s">
        <v>2744</v>
      </c>
      <c r="V704" s="4">
        <v>0</v>
      </c>
      <c r="W704" s="4">
        <v>1</v>
      </c>
    </row>
    <row r="705" spans="1:23">
      <c r="A705" t="s">
        <v>834</v>
      </c>
      <c r="B705" s="2">
        <v>45904</v>
      </c>
      <c r="C705" t="s">
        <v>104</v>
      </c>
      <c r="D705" t="s">
        <v>105</v>
      </c>
      <c r="E705" t="s">
        <v>73</v>
      </c>
      <c r="F705" t="s">
        <v>49</v>
      </c>
      <c r="G705" t="s">
        <v>113</v>
      </c>
      <c r="H705" t="s">
        <v>114</v>
      </c>
      <c r="I705">
        <v>1</v>
      </c>
      <c r="J705" s="3">
        <v>38295.629999999997</v>
      </c>
      <c r="K705" s="3">
        <v>38295.629999999997</v>
      </c>
      <c r="L705" t="s">
        <v>25</v>
      </c>
      <c r="M705" s="2">
        <v>45913</v>
      </c>
      <c r="N705" s="2">
        <v>45913</v>
      </c>
      <c r="O705" t="s">
        <v>26</v>
      </c>
      <c r="P705" t="s">
        <v>77</v>
      </c>
      <c r="Q705" t="s">
        <v>28</v>
      </c>
      <c r="R705" t="s">
        <v>29</v>
      </c>
      <c r="S705">
        <v>2025</v>
      </c>
      <c r="T705" t="s">
        <v>2753</v>
      </c>
      <c r="U705" t="s">
        <v>2754</v>
      </c>
      <c r="V705" s="4">
        <v>0</v>
      </c>
      <c r="W705" s="4">
        <v>1</v>
      </c>
    </row>
    <row r="706" spans="1:23">
      <c r="A706" t="s">
        <v>835</v>
      </c>
      <c r="B706" s="2">
        <v>46064</v>
      </c>
      <c r="C706" t="s">
        <v>89</v>
      </c>
      <c r="D706" t="s">
        <v>90</v>
      </c>
      <c r="E706" t="s">
        <v>31</v>
      </c>
      <c r="F706" t="s">
        <v>91</v>
      </c>
      <c r="G706" t="s">
        <v>109</v>
      </c>
      <c r="H706" t="s">
        <v>110</v>
      </c>
      <c r="I706">
        <v>2</v>
      </c>
      <c r="J706" s="3">
        <v>12110.04</v>
      </c>
      <c r="K706" s="3">
        <v>24220.080000000002</v>
      </c>
      <c r="L706" t="s">
        <v>25</v>
      </c>
      <c r="M706" s="2">
        <v>46080</v>
      </c>
      <c r="N706" s="2">
        <v>46079</v>
      </c>
      <c r="O706" t="s">
        <v>60</v>
      </c>
      <c r="P706" t="s">
        <v>94</v>
      </c>
      <c r="Q706" t="s">
        <v>28</v>
      </c>
      <c r="R706" t="s">
        <v>29</v>
      </c>
      <c r="S706">
        <v>2026</v>
      </c>
      <c r="T706" t="s">
        <v>2751</v>
      </c>
      <c r="U706" t="s">
        <v>2765</v>
      </c>
      <c r="V706" s="4">
        <v>0</v>
      </c>
      <c r="W706" s="4">
        <v>1</v>
      </c>
    </row>
    <row r="707" spans="1:23">
      <c r="A707" t="s">
        <v>836</v>
      </c>
      <c r="B707" s="2">
        <v>45940</v>
      </c>
      <c r="C707" t="s">
        <v>71</v>
      </c>
      <c r="D707" t="s">
        <v>72</v>
      </c>
      <c r="E707" t="s">
        <v>31</v>
      </c>
      <c r="F707" t="s">
        <v>57</v>
      </c>
      <c r="G707" t="s">
        <v>101</v>
      </c>
      <c r="H707" t="s">
        <v>102</v>
      </c>
      <c r="I707">
        <v>12</v>
      </c>
      <c r="J707" s="3">
        <v>1714.09</v>
      </c>
      <c r="K707" s="3">
        <v>20569.080000000002</v>
      </c>
      <c r="L707" t="s">
        <v>34</v>
      </c>
      <c r="M707" s="2">
        <v>45948</v>
      </c>
      <c r="N707" s="2">
        <v>45950</v>
      </c>
      <c r="O707" t="s">
        <v>26</v>
      </c>
      <c r="P707" t="s">
        <v>94</v>
      </c>
      <c r="Q707" t="s">
        <v>28</v>
      </c>
      <c r="R707" t="s">
        <v>129</v>
      </c>
      <c r="S707">
        <v>2025</v>
      </c>
      <c r="T707" t="s">
        <v>2749</v>
      </c>
      <c r="U707" t="s">
        <v>2750</v>
      </c>
      <c r="V707" s="4">
        <v>2</v>
      </c>
      <c r="W707" s="4">
        <v>0</v>
      </c>
    </row>
    <row r="708" spans="1:23">
      <c r="A708" t="s">
        <v>837</v>
      </c>
      <c r="B708" s="2">
        <v>46202</v>
      </c>
      <c r="C708" t="s">
        <v>80</v>
      </c>
      <c r="D708" t="s">
        <v>81</v>
      </c>
      <c r="E708" t="s">
        <v>39</v>
      </c>
      <c r="F708" t="s">
        <v>82</v>
      </c>
      <c r="G708" t="s">
        <v>197</v>
      </c>
      <c r="H708" t="s">
        <v>198</v>
      </c>
      <c r="I708">
        <v>11</v>
      </c>
      <c r="J708" s="3">
        <v>1985.57</v>
      </c>
      <c r="K708" s="3">
        <v>21841.27</v>
      </c>
      <c r="L708" t="s">
        <v>25</v>
      </c>
      <c r="M708" s="2">
        <v>46210</v>
      </c>
      <c r="N708" s="2">
        <v>46208</v>
      </c>
      <c r="O708" t="s">
        <v>26</v>
      </c>
      <c r="P708" t="s">
        <v>44</v>
      </c>
      <c r="Q708" t="s">
        <v>28</v>
      </c>
      <c r="R708" t="s">
        <v>29</v>
      </c>
      <c r="S708">
        <v>2026</v>
      </c>
      <c r="T708" t="s">
        <v>2743</v>
      </c>
      <c r="U708" t="s">
        <v>2744</v>
      </c>
      <c r="V708" s="4">
        <v>0</v>
      </c>
      <c r="W708" s="4">
        <v>1</v>
      </c>
    </row>
    <row r="709" spans="1:23">
      <c r="A709" t="s">
        <v>838</v>
      </c>
      <c r="B709" s="2">
        <v>45952</v>
      </c>
      <c r="C709" t="s">
        <v>142</v>
      </c>
      <c r="D709" t="s">
        <v>143</v>
      </c>
      <c r="E709" t="s">
        <v>21</v>
      </c>
      <c r="F709" t="s">
        <v>22</v>
      </c>
      <c r="G709" t="s">
        <v>23</v>
      </c>
      <c r="H709" t="s">
        <v>24</v>
      </c>
      <c r="I709">
        <v>44</v>
      </c>
      <c r="J709" s="3">
        <v>255.22</v>
      </c>
      <c r="K709" s="3">
        <v>11229.68</v>
      </c>
      <c r="L709" t="s">
        <v>25</v>
      </c>
      <c r="M709" s="2">
        <v>45964</v>
      </c>
      <c r="N709" s="2">
        <v>45963</v>
      </c>
      <c r="O709" t="s">
        <v>43</v>
      </c>
      <c r="P709" t="s">
        <v>27</v>
      </c>
      <c r="Q709" t="s">
        <v>28</v>
      </c>
      <c r="R709" t="s">
        <v>29</v>
      </c>
      <c r="S709">
        <v>2025</v>
      </c>
      <c r="T709" t="s">
        <v>2749</v>
      </c>
      <c r="U709" t="s">
        <v>2750</v>
      </c>
      <c r="V709" s="4">
        <v>0</v>
      </c>
      <c r="W709" s="4">
        <v>1</v>
      </c>
    </row>
    <row r="710" spans="1:23">
      <c r="A710" t="s">
        <v>839</v>
      </c>
      <c r="B710" s="2">
        <v>45849</v>
      </c>
      <c r="C710" t="s">
        <v>142</v>
      </c>
      <c r="D710" t="s">
        <v>143</v>
      </c>
      <c r="E710" t="s">
        <v>73</v>
      </c>
      <c r="F710" t="s">
        <v>22</v>
      </c>
      <c r="G710" t="s">
        <v>32</v>
      </c>
      <c r="H710" t="s">
        <v>33</v>
      </c>
      <c r="I710">
        <v>3</v>
      </c>
      <c r="J710" s="3">
        <v>7722.51</v>
      </c>
      <c r="K710" s="3">
        <v>23167.53</v>
      </c>
      <c r="L710" t="s">
        <v>34</v>
      </c>
      <c r="M710" s="2">
        <v>45858</v>
      </c>
      <c r="N710" s="2">
        <v>45857</v>
      </c>
      <c r="O710" t="s">
        <v>43</v>
      </c>
      <c r="P710" t="s">
        <v>77</v>
      </c>
      <c r="Q710" t="s">
        <v>28</v>
      </c>
      <c r="R710" t="s">
        <v>29</v>
      </c>
      <c r="S710">
        <v>2025</v>
      </c>
      <c r="T710" t="s">
        <v>2759</v>
      </c>
      <c r="U710" t="s">
        <v>2760</v>
      </c>
      <c r="V710" s="4">
        <v>0</v>
      </c>
      <c r="W710" s="4">
        <v>1</v>
      </c>
    </row>
    <row r="711" spans="1:23">
      <c r="A711" t="s">
        <v>840</v>
      </c>
      <c r="B711" s="2">
        <v>46143</v>
      </c>
      <c r="C711" t="s">
        <v>89</v>
      </c>
      <c r="D711" t="s">
        <v>90</v>
      </c>
      <c r="E711" t="s">
        <v>31</v>
      </c>
      <c r="F711" t="s">
        <v>91</v>
      </c>
      <c r="G711" t="s">
        <v>109</v>
      </c>
      <c r="H711" t="s">
        <v>110</v>
      </c>
      <c r="I711">
        <v>3</v>
      </c>
      <c r="J711" s="3">
        <v>12921.29</v>
      </c>
      <c r="K711" s="3">
        <v>38763.870000000003</v>
      </c>
      <c r="L711" t="s">
        <v>25</v>
      </c>
      <c r="M711" s="2">
        <v>46158</v>
      </c>
      <c r="N711" s="2">
        <v>46157</v>
      </c>
      <c r="O711" t="s">
        <v>26</v>
      </c>
      <c r="P711" t="s">
        <v>94</v>
      </c>
      <c r="Q711" t="s">
        <v>28</v>
      </c>
      <c r="R711" t="s">
        <v>29</v>
      </c>
      <c r="S711">
        <v>2026</v>
      </c>
      <c r="T711" t="s">
        <v>2766</v>
      </c>
      <c r="U711" t="s">
        <v>2769</v>
      </c>
      <c r="V711" s="4">
        <v>0</v>
      </c>
      <c r="W711" s="4">
        <v>1</v>
      </c>
    </row>
    <row r="712" spans="1:23">
      <c r="A712" t="s">
        <v>841</v>
      </c>
      <c r="B712" s="2">
        <v>45754</v>
      </c>
      <c r="C712" t="s">
        <v>104</v>
      </c>
      <c r="D712" t="s">
        <v>105</v>
      </c>
      <c r="E712" t="s">
        <v>48</v>
      </c>
      <c r="F712" t="s">
        <v>49</v>
      </c>
      <c r="G712" t="s">
        <v>68</v>
      </c>
      <c r="H712" t="s">
        <v>69</v>
      </c>
      <c r="I712">
        <v>3</v>
      </c>
      <c r="J712" s="3">
        <v>47595.37</v>
      </c>
      <c r="K712" s="3">
        <v>142786.10999999999</v>
      </c>
      <c r="L712" t="s">
        <v>25</v>
      </c>
      <c r="M712" s="2">
        <v>45763</v>
      </c>
      <c r="N712" s="2">
        <v>45761</v>
      </c>
      <c r="O712" t="s">
        <v>43</v>
      </c>
      <c r="P712" t="s">
        <v>53</v>
      </c>
      <c r="Q712" t="s">
        <v>28</v>
      </c>
      <c r="R712" t="s">
        <v>29</v>
      </c>
      <c r="S712">
        <v>2025</v>
      </c>
      <c r="T712" t="s">
        <v>2741</v>
      </c>
      <c r="U712" t="s">
        <v>2742</v>
      </c>
      <c r="V712" s="4">
        <v>0</v>
      </c>
      <c r="W712" s="4">
        <v>1</v>
      </c>
    </row>
    <row r="713" spans="1:23">
      <c r="A713" t="s">
        <v>842</v>
      </c>
      <c r="B713" s="2">
        <v>45966</v>
      </c>
      <c r="C713" t="s">
        <v>104</v>
      </c>
      <c r="D713" t="s">
        <v>105</v>
      </c>
      <c r="E713" t="s">
        <v>112</v>
      </c>
      <c r="F713" t="s">
        <v>49</v>
      </c>
      <c r="G713" t="s">
        <v>68</v>
      </c>
      <c r="H713" t="s">
        <v>69</v>
      </c>
      <c r="I713">
        <v>1</v>
      </c>
      <c r="J713" s="3">
        <v>49042.59</v>
      </c>
      <c r="K713" s="3">
        <v>49042.59</v>
      </c>
      <c r="L713" t="s">
        <v>34</v>
      </c>
      <c r="M713" s="2">
        <v>45973</v>
      </c>
      <c r="N713" s="2">
        <v>45972</v>
      </c>
      <c r="O713" t="s">
        <v>26</v>
      </c>
      <c r="P713" t="s">
        <v>115</v>
      </c>
      <c r="Q713" t="s">
        <v>28</v>
      </c>
      <c r="R713" t="s">
        <v>29</v>
      </c>
      <c r="S713">
        <v>2025</v>
      </c>
      <c r="T713" t="s">
        <v>2763</v>
      </c>
      <c r="U713" t="s">
        <v>2764</v>
      </c>
      <c r="V713" s="4">
        <v>0</v>
      </c>
      <c r="W713" s="4">
        <v>1</v>
      </c>
    </row>
    <row r="714" spans="1:23">
      <c r="A714" t="s">
        <v>843</v>
      </c>
      <c r="B714" s="2">
        <v>46167</v>
      </c>
      <c r="C714" t="s">
        <v>142</v>
      </c>
      <c r="D714" t="s">
        <v>143</v>
      </c>
      <c r="E714" t="s">
        <v>31</v>
      </c>
      <c r="F714" t="s">
        <v>22</v>
      </c>
      <c r="G714" t="s">
        <v>160</v>
      </c>
      <c r="H714" t="s">
        <v>161</v>
      </c>
      <c r="I714">
        <v>4</v>
      </c>
      <c r="J714" s="3">
        <v>3235.03</v>
      </c>
      <c r="K714" s="3">
        <v>12940.12</v>
      </c>
      <c r="L714" t="s">
        <v>52</v>
      </c>
      <c r="M714" s="2">
        <v>46178</v>
      </c>
      <c r="N714" s="2">
        <v>46176</v>
      </c>
      <c r="O714" t="s">
        <v>60</v>
      </c>
      <c r="P714" t="s">
        <v>94</v>
      </c>
      <c r="Q714" t="s">
        <v>28</v>
      </c>
      <c r="R714" t="s">
        <v>29</v>
      </c>
      <c r="S714">
        <v>2026</v>
      </c>
      <c r="T714" t="s">
        <v>2766</v>
      </c>
      <c r="U714" t="s">
        <v>2769</v>
      </c>
      <c r="V714" s="4">
        <v>0</v>
      </c>
      <c r="W714" s="4">
        <v>1</v>
      </c>
    </row>
    <row r="715" spans="1:23">
      <c r="A715" t="s">
        <v>844</v>
      </c>
      <c r="B715" s="2">
        <v>46058</v>
      </c>
      <c r="C715" t="s">
        <v>37</v>
      </c>
      <c r="D715" t="s">
        <v>38</v>
      </c>
      <c r="E715" t="s">
        <v>112</v>
      </c>
      <c r="F715" t="s">
        <v>40</v>
      </c>
      <c r="G715" t="s">
        <v>136</v>
      </c>
      <c r="H715" t="s">
        <v>137</v>
      </c>
      <c r="I715">
        <v>49</v>
      </c>
      <c r="J715" s="3">
        <v>1786.96</v>
      </c>
      <c r="K715" s="3">
        <v>87561.04</v>
      </c>
      <c r="L715" t="s">
        <v>25</v>
      </c>
      <c r="M715" s="2">
        <v>46068</v>
      </c>
      <c r="N715" s="2">
        <v>46068</v>
      </c>
      <c r="O715" t="s">
        <v>60</v>
      </c>
      <c r="P715" t="s">
        <v>115</v>
      </c>
      <c r="Q715" t="s">
        <v>28</v>
      </c>
      <c r="R715" t="s">
        <v>29</v>
      </c>
      <c r="S715">
        <v>2026</v>
      </c>
      <c r="T715" t="s">
        <v>2751</v>
      </c>
      <c r="U715" t="s">
        <v>2765</v>
      </c>
      <c r="V715" s="4">
        <v>0</v>
      </c>
      <c r="W715" s="4">
        <v>1</v>
      </c>
    </row>
    <row r="716" spans="1:23">
      <c r="A716" t="s">
        <v>845</v>
      </c>
      <c r="B716" s="2">
        <v>45953</v>
      </c>
      <c r="C716" t="s">
        <v>96</v>
      </c>
      <c r="D716" t="s">
        <v>97</v>
      </c>
      <c r="E716" t="s">
        <v>39</v>
      </c>
      <c r="F716" t="s">
        <v>82</v>
      </c>
      <c r="G716" t="s">
        <v>83</v>
      </c>
      <c r="H716" t="s">
        <v>84</v>
      </c>
      <c r="I716">
        <v>23</v>
      </c>
      <c r="J716" s="3">
        <v>707.94</v>
      </c>
      <c r="K716" s="3">
        <v>16282.62</v>
      </c>
      <c r="L716" t="s">
        <v>25</v>
      </c>
      <c r="M716" s="2">
        <v>45967</v>
      </c>
      <c r="N716" s="2">
        <v>45966</v>
      </c>
      <c r="O716" t="s">
        <v>76</v>
      </c>
      <c r="P716" t="s">
        <v>64</v>
      </c>
      <c r="Q716" t="s">
        <v>28</v>
      </c>
      <c r="R716" t="s">
        <v>29</v>
      </c>
      <c r="S716">
        <v>2025</v>
      </c>
      <c r="T716" t="s">
        <v>2749</v>
      </c>
      <c r="U716" t="s">
        <v>2750</v>
      </c>
      <c r="V716" s="4">
        <v>0</v>
      </c>
      <c r="W716" s="4">
        <v>1</v>
      </c>
    </row>
    <row r="717" spans="1:23">
      <c r="A717" t="s">
        <v>846</v>
      </c>
      <c r="B717" s="2">
        <v>45959</v>
      </c>
      <c r="C717" t="s">
        <v>37</v>
      </c>
      <c r="D717" t="s">
        <v>38</v>
      </c>
      <c r="E717" t="s">
        <v>39</v>
      </c>
      <c r="F717" t="s">
        <v>40</v>
      </c>
      <c r="G717" t="s">
        <v>41</v>
      </c>
      <c r="H717" t="s">
        <v>42</v>
      </c>
      <c r="I717">
        <v>7</v>
      </c>
      <c r="J717" s="3">
        <v>5705.91</v>
      </c>
      <c r="K717" s="3">
        <v>39941.370000000003</v>
      </c>
      <c r="L717" t="s">
        <v>25</v>
      </c>
      <c r="M717" s="2">
        <v>45969</v>
      </c>
      <c r="N717" s="2">
        <v>45969</v>
      </c>
      <c r="O717" t="s">
        <v>26</v>
      </c>
      <c r="P717" t="s">
        <v>44</v>
      </c>
      <c r="Q717" t="s">
        <v>28</v>
      </c>
      <c r="R717" t="s">
        <v>29</v>
      </c>
      <c r="S717">
        <v>2025</v>
      </c>
      <c r="T717" t="s">
        <v>2749</v>
      </c>
      <c r="U717" t="s">
        <v>2750</v>
      </c>
      <c r="V717" s="4">
        <v>0</v>
      </c>
      <c r="W717" s="4">
        <v>1</v>
      </c>
    </row>
    <row r="718" spans="1:23">
      <c r="A718" t="s">
        <v>847</v>
      </c>
      <c r="B718" s="2">
        <v>45948</v>
      </c>
      <c r="C718" t="s">
        <v>37</v>
      </c>
      <c r="D718" t="s">
        <v>38</v>
      </c>
      <c r="E718" t="s">
        <v>31</v>
      </c>
      <c r="F718" t="s">
        <v>22</v>
      </c>
      <c r="G718" t="s">
        <v>23</v>
      </c>
      <c r="H718" t="s">
        <v>24</v>
      </c>
      <c r="I718">
        <v>14</v>
      </c>
      <c r="J718" s="3">
        <v>268.49</v>
      </c>
      <c r="K718" s="3">
        <v>3758.86</v>
      </c>
      <c r="L718" t="s">
        <v>25</v>
      </c>
      <c r="M718" s="2">
        <v>45964</v>
      </c>
      <c r="N718" s="2">
        <v>45964</v>
      </c>
      <c r="O718" t="s">
        <v>43</v>
      </c>
      <c r="P718" t="s">
        <v>35</v>
      </c>
      <c r="Q718" t="s">
        <v>28</v>
      </c>
      <c r="R718" t="s">
        <v>29</v>
      </c>
      <c r="S718">
        <v>2025</v>
      </c>
      <c r="T718" t="s">
        <v>2749</v>
      </c>
      <c r="U718" t="s">
        <v>2750</v>
      </c>
      <c r="V718" s="4">
        <v>0</v>
      </c>
      <c r="W718" s="4">
        <v>1</v>
      </c>
    </row>
    <row r="719" spans="1:23">
      <c r="A719" t="s">
        <v>848</v>
      </c>
      <c r="B719" s="2">
        <v>46021</v>
      </c>
      <c r="C719" t="s">
        <v>104</v>
      </c>
      <c r="D719" t="s">
        <v>105</v>
      </c>
      <c r="E719" t="s">
        <v>48</v>
      </c>
      <c r="F719" t="s">
        <v>49</v>
      </c>
      <c r="G719" t="s">
        <v>68</v>
      </c>
      <c r="H719" t="s">
        <v>69</v>
      </c>
      <c r="I719">
        <v>1</v>
      </c>
      <c r="J719" s="3">
        <v>49985.98</v>
      </c>
      <c r="K719" s="3">
        <v>49985.98</v>
      </c>
      <c r="L719" t="s">
        <v>34</v>
      </c>
      <c r="M719" s="2">
        <v>46030</v>
      </c>
      <c r="N719" s="2">
        <v>46029</v>
      </c>
      <c r="O719" t="s">
        <v>76</v>
      </c>
      <c r="P719" t="s">
        <v>53</v>
      </c>
      <c r="Q719" t="s">
        <v>28</v>
      </c>
      <c r="R719" t="s">
        <v>29</v>
      </c>
      <c r="S719">
        <v>2025</v>
      </c>
      <c r="T719" t="s">
        <v>2745</v>
      </c>
      <c r="U719" t="s">
        <v>2746</v>
      </c>
      <c r="V719" s="4">
        <v>0</v>
      </c>
      <c r="W719" s="4">
        <v>1</v>
      </c>
    </row>
    <row r="720" spans="1:23">
      <c r="A720" t="s">
        <v>849</v>
      </c>
      <c r="B720" s="2">
        <v>45862</v>
      </c>
      <c r="C720" t="s">
        <v>142</v>
      </c>
      <c r="D720" t="s">
        <v>143</v>
      </c>
      <c r="E720" t="s">
        <v>73</v>
      </c>
      <c r="F720" t="s">
        <v>22</v>
      </c>
      <c r="G720" t="s">
        <v>160</v>
      </c>
      <c r="H720" t="s">
        <v>161</v>
      </c>
      <c r="I720">
        <v>15</v>
      </c>
      <c r="J720" s="3">
        <v>3108.29</v>
      </c>
      <c r="K720" s="3">
        <v>46624.35</v>
      </c>
      <c r="L720" t="s">
        <v>25</v>
      </c>
      <c r="M720" s="2">
        <v>45877</v>
      </c>
      <c r="N720" s="2">
        <v>45876</v>
      </c>
      <c r="O720" t="s">
        <v>60</v>
      </c>
      <c r="P720" t="s">
        <v>77</v>
      </c>
      <c r="Q720" t="s">
        <v>28</v>
      </c>
      <c r="R720" t="s">
        <v>29</v>
      </c>
      <c r="S720">
        <v>2025</v>
      </c>
      <c r="T720" t="s">
        <v>2759</v>
      </c>
      <c r="U720" t="s">
        <v>2760</v>
      </c>
      <c r="V720" s="4">
        <v>0</v>
      </c>
      <c r="W720" s="4">
        <v>1</v>
      </c>
    </row>
    <row r="721" spans="1:23">
      <c r="A721" t="s">
        <v>850</v>
      </c>
      <c r="B721" s="2">
        <v>45799</v>
      </c>
      <c r="C721" t="s">
        <v>104</v>
      </c>
      <c r="D721" t="s">
        <v>105</v>
      </c>
      <c r="E721" t="s">
        <v>48</v>
      </c>
      <c r="F721" t="s">
        <v>49</v>
      </c>
      <c r="G721" t="s">
        <v>68</v>
      </c>
      <c r="H721" t="s">
        <v>69</v>
      </c>
      <c r="I721">
        <v>2</v>
      </c>
      <c r="J721" s="3">
        <v>48095.51</v>
      </c>
      <c r="K721" s="3">
        <v>96191.02</v>
      </c>
      <c r="L721" t="s">
        <v>25</v>
      </c>
      <c r="M721" s="2">
        <v>45811</v>
      </c>
      <c r="N721" s="2">
        <v>45821</v>
      </c>
      <c r="O721" t="s">
        <v>60</v>
      </c>
      <c r="P721" t="s">
        <v>53</v>
      </c>
      <c r="Q721" t="s">
        <v>28</v>
      </c>
      <c r="R721" t="s">
        <v>129</v>
      </c>
      <c r="S721">
        <v>2025</v>
      </c>
      <c r="T721" t="s">
        <v>2766</v>
      </c>
      <c r="U721" t="s">
        <v>2767</v>
      </c>
      <c r="V721" s="4">
        <v>10</v>
      </c>
      <c r="W721" s="4">
        <v>0</v>
      </c>
    </row>
    <row r="722" spans="1:23">
      <c r="A722" t="s">
        <v>851</v>
      </c>
      <c r="B722" s="2">
        <v>45801</v>
      </c>
      <c r="C722" t="s">
        <v>19</v>
      </c>
      <c r="D722" t="s">
        <v>20</v>
      </c>
      <c r="E722" t="s">
        <v>21</v>
      </c>
      <c r="F722" t="s">
        <v>22</v>
      </c>
      <c r="G722" t="s">
        <v>32</v>
      </c>
      <c r="H722" t="s">
        <v>33</v>
      </c>
      <c r="I722">
        <v>9</v>
      </c>
      <c r="J722" s="3">
        <v>7046.93</v>
      </c>
      <c r="K722" s="3">
        <v>63422.37</v>
      </c>
      <c r="L722" t="s">
        <v>34</v>
      </c>
      <c r="M722" s="2">
        <v>45815</v>
      </c>
      <c r="N722" s="2">
        <v>45815</v>
      </c>
      <c r="O722" t="s">
        <v>60</v>
      </c>
      <c r="P722" t="s">
        <v>27</v>
      </c>
      <c r="Q722" t="s">
        <v>28</v>
      </c>
      <c r="R722" t="s">
        <v>29</v>
      </c>
      <c r="S722">
        <v>2025</v>
      </c>
      <c r="T722" t="s">
        <v>2766</v>
      </c>
      <c r="U722" t="s">
        <v>2767</v>
      </c>
      <c r="V722" s="4">
        <v>0</v>
      </c>
      <c r="W722" s="4">
        <v>1</v>
      </c>
    </row>
    <row r="723" spans="1:23">
      <c r="A723" t="s">
        <v>852</v>
      </c>
      <c r="B723" s="2">
        <v>46188</v>
      </c>
      <c r="C723" t="s">
        <v>37</v>
      </c>
      <c r="D723" t="s">
        <v>38</v>
      </c>
      <c r="E723" t="s">
        <v>39</v>
      </c>
      <c r="F723" t="s">
        <v>22</v>
      </c>
      <c r="G723" t="s">
        <v>160</v>
      </c>
      <c r="H723" t="s">
        <v>161</v>
      </c>
      <c r="I723">
        <v>6</v>
      </c>
      <c r="J723" s="3">
        <v>3432.82</v>
      </c>
      <c r="K723" s="3">
        <v>20596.919999999998</v>
      </c>
      <c r="L723" t="s">
        <v>34</v>
      </c>
      <c r="M723" s="2">
        <v>46202</v>
      </c>
      <c r="N723" s="2">
        <v>46200</v>
      </c>
      <c r="O723" t="s">
        <v>43</v>
      </c>
      <c r="P723" t="s">
        <v>64</v>
      </c>
      <c r="Q723" t="s">
        <v>28</v>
      </c>
      <c r="R723" t="s">
        <v>29</v>
      </c>
      <c r="S723">
        <v>2026</v>
      </c>
      <c r="T723" t="s">
        <v>2743</v>
      </c>
      <c r="U723" t="s">
        <v>2744</v>
      </c>
      <c r="V723" s="4">
        <v>0</v>
      </c>
      <c r="W723" s="4">
        <v>1</v>
      </c>
    </row>
    <row r="724" spans="1:23">
      <c r="A724" t="s">
        <v>853</v>
      </c>
      <c r="B724" s="2">
        <v>46186</v>
      </c>
      <c r="C724" t="s">
        <v>104</v>
      </c>
      <c r="D724" t="s">
        <v>105</v>
      </c>
      <c r="E724" t="s">
        <v>48</v>
      </c>
      <c r="F724" t="s">
        <v>49</v>
      </c>
      <c r="G724" t="s">
        <v>50</v>
      </c>
      <c r="H724" t="s">
        <v>51</v>
      </c>
      <c r="I724">
        <v>1</v>
      </c>
      <c r="J724" s="3">
        <v>53082.19</v>
      </c>
      <c r="K724" s="3">
        <v>53082.19</v>
      </c>
      <c r="L724" t="s">
        <v>34</v>
      </c>
      <c r="M724" s="2">
        <v>46195</v>
      </c>
      <c r="N724" s="2">
        <v>46195</v>
      </c>
      <c r="O724" t="s">
        <v>26</v>
      </c>
      <c r="P724" t="s">
        <v>53</v>
      </c>
      <c r="Q724" t="s">
        <v>28</v>
      </c>
      <c r="R724" t="s">
        <v>29</v>
      </c>
      <c r="S724">
        <v>2026</v>
      </c>
      <c r="T724" t="s">
        <v>2743</v>
      </c>
      <c r="U724" t="s">
        <v>2744</v>
      </c>
      <c r="V724" s="4">
        <v>0</v>
      </c>
      <c r="W724" s="4">
        <v>1</v>
      </c>
    </row>
    <row r="725" spans="1:23">
      <c r="A725" t="s">
        <v>854</v>
      </c>
      <c r="B725" s="2">
        <v>45726</v>
      </c>
      <c r="C725" t="s">
        <v>89</v>
      </c>
      <c r="D725" t="s">
        <v>90</v>
      </c>
      <c r="E725" t="s">
        <v>31</v>
      </c>
      <c r="F725" t="s">
        <v>91</v>
      </c>
      <c r="G725" t="s">
        <v>92</v>
      </c>
      <c r="H725" t="s">
        <v>93</v>
      </c>
      <c r="I725">
        <v>1</v>
      </c>
      <c r="J725" s="3">
        <v>40711.629999999997</v>
      </c>
      <c r="K725" s="3">
        <v>40711.629999999997</v>
      </c>
      <c r="L725" t="s">
        <v>25</v>
      </c>
      <c r="M725" s="2">
        <v>45744</v>
      </c>
      <c r="N725" s="2">
        <v>45741</v>
      </c>
      <c r="O725" t="s">
        <v>43</v>
      </c>
      <c r="P725" t="s">
        <v>35</v>
      </c>
      <c r="Q725" t="s">
        <v>28</v>
      </c>
      <c r="R725" t="s">
        <v>29</v>
      </c>
      <c r="S725">
        <v>2025</v>
      </c>
      <c r="T725" t="s">
        <v>2747</v>
      </c>
      <c r="U725" t="s">
        <v>2748</v>
      </c>
      <c r="V725" s="4">
        <v>0</v>
      </c>
      <c r="W725" s="4">
        <v>1</v>
      </c>
    </row>
    <row r="726" spans="1:23">
      <c r="A726" t="s">
        <v>855</v>
      </c>
      <c r="B726" s="2">
        <v>46072</v>
      </c>
      <c r="C726" t="s">
        <v>142</v>
      </c>
      <c r="D726" t="s">
        <v>143</v>
      </c>
      <c r="E726" t="s">
        <v>39</v>
      </c>
      <c r="F726" t="s">
        <v>22</v>
      </c>
      <c r="G726" t="s">
        <v>32</v>
      </c>
      <c r="H726" t="s">
        <v>33</v>
      </c>
      <c r="I726">
        <v>8</v>
      </c>
      <c r="J726" s="3">
        <v>7918.16</v>
      </c>
      <c r="K726" s="3">
        <v>63345.279999999999</v>
      </c>
      <c r="L726" t="s">
        <v>25</v>
      </c>
      <c r="M726" s="2">
        <v>46090</v>
      </c>
      <c r="N726" s="2">
        <v>46090</v>
      </c>
      <c r="O726" t="s">
        <v>43</v>
      </c>
      <c r="P726" t="s">
        <v>64</v>
      </c>
      <c r="Q726" t="s">
        <v>28</v>
      </c>
      <c r="R726" t="s">
        <v>29</v>
      </c>
      <c r="S726">
        <v>2026</v>
      </c>
      <c r="T726" t="s">
        <v>2751</v>
      </c>
      <c r="U726" t="s">
        <v>2765</v>
      </c>
      <c r="V726" s="4">
        <v>0</v>
      </c>
      <c r="W726" s="4">
        <v>1</v>
      </c>
    </row>
    <row r="727" spans="1:23">
      <c r="A727" t="s">
        <v>856</v>
      </c>
      <c r="B727" s="2">
        <v>45904</v>
      </c>
      <c r="C727" t="s">
        <v>71</v>
      </c>
      <c r="D727" t="s">
        <v>72</v>
      </c>
      <c r="E727" t="s">
        <v>48</v>
      </c>
      <c r="F727" t="s">
        <v>57</v>
      </c>
      <c r="G727" t="s">
        <v>74</v>
      </c>
      <c r="H727" t="s">
        <v>75</v>
      </c>
      <c r="I727">
        <v>2</v>
      </c>
      <c r="J727" s="3">
        <v>7986.02</v>
      </c>
      <c r="K727" s="3">
        <v>15972.04</v>
      </c>
      <c r="L727" t="s">
        <v>25</v>
      </c>
      <c r="M727" s="2">
        <v>45918</v>
      </c>
      <c r="N727" s="2">
        <v>45916</v>
      </c>
      <c r="O727" t="s">
        <v>43</v>
      </c>
      <c r="P727" t="s">
        <v>53</v>
      </c>
      <c r="Q727" t="s">
        <v>28</v>
      </c>
      <c r="R727" t="s">
        <v>29</v>
      </c>
      <c r="S727">
        <v>2025</v>
      </c>
      <c r="T727" t="s">
        <v>2753</v>
      </c>
      <c r="U727" t="s">
        <v>2754</v>
      </c>
      <c r="V727" s="4">
        <v>0</v>
      </c>
      <c r="W727" s="4">
        <v>1</v>
      </c>
    </row>
    <row r="728" spans="1:23">
      <c r="A728" t="s">
        <v>857</v>
      </c>
      <c r="B728" s="2">
        <v>46084</v>
      </c>
      <c r="C728" t="s">
        <v>37</v>
      </c>
      <c r="D728" t="s">
        <v>38</v>
      </c>
      <c r="E728" t="s">
        <v>39</v>
      </c>
      <c r="F728" t="s">
        <v>40</v>
      </c>
      <c r="G728" t="s">
        <v>62</v>
      </c>
      <c r="H728" t="s">
        <v>63</v>
      </c>
      <c r="I728">
        <v>5</v>
      </c>
      <c r="J728" s="3">
        <v>19696.990000000002</v>
      </c>
      <c r="K728" s="3">
        <v>98484.95</v>
      </c>
      <c r="L728" t="s">
        <v>25</v>
      </c>
      <c r="M728" s="2">
        <v>46089</v>
      </c>
      <c r="N728" s="2">
        <v>46086</v>
      </c>
      <c r="O728" t="s">
        <v>76</v>
      </c>
      <c r="P728" t="s">
        <v>64</v>
      </c>
      <c r="Q728" t="s">
        <v>28</v>
      </c>
      <c r="R728" t="s">
        <v>29</v>
      </c>
      <c r="S728">
        <v>2026</v>
      </c>
      <c r="T728" t="s">
        <v>2747</v>
      </c>
      <c r="U728" t="s">
        <v>2755</v>
      </c>
      <c r="V728" s="4">
        <v>0</v>
      </c>
      <c r="W728" s="4">
        <v>1</v>
      </c>
    </row>
    <row r="729" spans="1:23">
      <c r="A729" t="s">
        <v>858</v>
      </c>
      <c r="B729" s="2">
        <v>46127</v>
      </c>
      <c r="C729" t="s">
        <v>134</v>
      </c>
      <c r="D729" t="s">
        <v>135</v>
      </c>
      <c r="E729" t="s">
        <v>112</v>
      </c>
      <c r="F729" t="s">
        <v>40</v>
      </c>
      <c r="G729" t="s">
        <v>149</v>
      </c>
      <c r="H729" t="s">
        <v>150</v>
      </c>
      <c r="I729">
        <v>29</v>
      </c>
      <c r="J729" s="3">
        <v>1381.81</v>
      </c>
      <c r="K729" s="3">
        <v>40072.49</v>
      </c>
      <c r="L729" t="s">
        <v>25</v>
      </c>
      <c r="M729" s="2">
        <v>46140</v>
      </c>
      <c r="N729" s="2">
        <v>46139</v>
      </c>
      <c r="O729" t="s">
        <v>76</v>
      </c>
      <c r="P729" t="s">
        <v>115</v>
      </c>
      <c r="Q729" t="s">
        <v>28</v>
      </c>
      <c r="R729" t="s">
        <v>29</v>
      </c>
      <c r="S729">
        <v>2026</v>
      </c>
      <c r="T729" t="s">
        <v>2741</v>
      </c>
      <c r="U729" t="s">
        <v>2770</v>
      </c>
      <c r="V729" s="4">
        <v>0</v>
      </c>
      <c r="W729" s="4">
        <v>1</v>
      </c>
    </row>
    <row r="730" spans="1:23">
      <c r="A730" t="s">
        <v>859</v>
      </c>
      <c r="B730" s="2">
        <v>45801</v>
      </c>
      <c r="C730" t="s">
        <v>104</v>
      </c>
      <c r="D730" t="s">
        <v>105</v>
      </c>
      <c r="E730" t="s">
        <v>48</v>
      </c>
      <c r="F730" t="s">
        <v>49</v>
      </c>
      <c r="G730" t="s">
        <v>68</v>
      </c>
      <c r="H730" t="s">
        <v>69</v>
      </c>
      <c r="I730">
        <v>2</v>
      </c>
      <c r="J730" s="3">
        <v>49705.89</v>
      </c>
      <c r="K730" s="3">
        <v>99411.78</v>
      </c>
      <c r="L730" t="s">
        <v>34</v>
      </c>
      <c r="M730" s="2">
        <v>45812</v>
      </c>
      <c r="N730" s="2">
        <v>45811</v>
      </c>
      <c r="O730" t="s">
        <v>76</v>
      </c>
      <c r="P730" t="s">
        <v>53</v>
      </c>
      <c r="Q730" t="s">
        <v>28</v>
      </c>
      <c r="R730" t="s">
        <v>29</v>
      </c>
      <c r="S730">
        <v>2025</v>
      </c>
      <c r="T730" t="s">
        <v>2766</v>
      </c>
      <c r="U730" t="s">
        <v>2767</v>
      </c>
      <c r="V730" s="4">
        <v>0</v>
      </c>
      <c r="W730" s="4">
        <v>1</v>
      </c>
    </row>
    <row r="731" spans="1:23">
      <c r="A731" t="s">
        <v>860</v>
      </c>
      <c r="B731" s="2">
        <v>45989</v>
      </c>
      <c r="C731" t="s">
        <v>37</v>
      </c>
      <c r="D731" t="s">
        <v>38</v>
      </c>
      <c r="E731" t="s">
        <v>31</v>
      </c>
      <c r="F731" t="s">
        <v>22</v>
      </c>
      <c r="G731" t="s">
        <v>32</v>
      </c>
      <c r="H731" t="s">
        <v>33</v>
      </c>
      <c r="I731">
        <v>1</v>
      </c>
      <c r="J731" s="3">
        <v>8062.91</v>
      </c>
      <c r="K731" s="3">
        <v>8062.91</v>
      </c>
      <c r="L731" t="s">
        <v>25</v>
      </c>
      <c r="M731" s="2">
        <v>46007</v>
      </c>
      <c r="N731" s="2">
        <v>46006</v>
      </c>
      <c r="O731" t="s">
        <v>43</v>
      </c>
      <c r="P731" t="s">
        <v>35</v>
      </c>
      <c r="Q731" t="s">
        <v>28</v>
      </c>
      <c r="R731" t="s">
        <v>29</v>
      </c>
      <c r="S731">
        <v>2025</v>
      </c>
      <c r="T731" t="s">
        <v>2763</v>
      </c>
      <c r="U731" t="s">
        <v>2764</v>
      </c>
      <c r="V731" s="4">
        <v>0</v>
      </c>
      <c r="W731" s="4">
        <v>1</v>
      </c>
    </row>
    <row r="732" spans="1:23">
      <c r="A732" t="s">
        <v>861</v>
      </c>
      <c r="B732" s="2">
        <v>46145</v>
      </c>
      <c r="C732" t="s">
        <v>96</v>
      </c>
      <c r="D732" t="s">
        <v>97</v>
      </c>
      <c r="E732" t="s">
        <v>39</v>
      </c>
      <c r="F732" t="s">
        <v>82</v>
      </c>
      <c r="G732" t="s">
        <v>83</v>
      </c>
      <c r="H732" t="s">
        <v>84</v>
      </c>
      <c r="I732">
        <v>51</v>
      </c>
      <c r="J732" s="3">
        <v>755.76</v>
      </c>
      <c r="K732" s="3">
        <v>38543.760000000002</v>
      </c>
      <c r="L732" t="s">
        <v>52</v>
      </c>
      <c r="M732" s="2">
        <v>46156</v>
      </c>
      <c r="N732" s="2">
        <v>46153</v>
      </c>
      <c r="O732" t="s">
        <v>43</v>
      </c>
      <c r="P732" t="s">
        <v>44</v>
      </c>
      <c r="Q732" t="s">
        <v>28</v>
      </c>
      <c r="R732" t="s">
        <v>29</v>
      </c>
      <c r="S732">
        <v>2026</v>
      </c>
      <c r="T732" t="s">
        <v>2766</v>
      </c>
      <c r="U732" t="s">
        <v>2769</v>
      </c>
      <c r="V732" s="4">
        <v>0</v>
      </c>
      <c r="W732" s="4">
        <v>1</v>
      </c>
    </row>
    <row r="733" spans="1:23">
      <c r="A733" t="s">
        <v>862</v>
      </c>
      <c r="B733" s="2">
        <v>45775</v>
      </c>
      <c r="C733" t="s">
        <v>46</v>
      </c>
      <c r="D733" t="s">
        <v>47</v>
      </c>
      <c r="E733" t="s">
        <v>48</v>
      </c>
      <c r="F733" t="s">
        <v>49</v>
      </c>
      <c r="G733" t="s">
        <v>165</v>
      </c>
      <c r="H733" t="s">
        <v>166</v>
      </c>
      <c r="I733">
        <v>1</v>
      </c>
      <c r="J733" s="3">
        <v>49401.04</v>
      </c>
      <c r="K733" s="3">
        <v>49401.04</v>
      </c>
      <c r="L733" t="s">
        <v>25</v>
      </c>
      <c r="M733" s="2">
        <v>45785</v>
      </c>
      <c r="N733" s="2">
        <v>45782</v>
      </c>
      <c r="O733" t="s">
        <v>26</v>
      </c>
      <c r="P733" t="s">
        <v>53</v>
      </c>
      <c r="Q733" t="s">
        <v>28</v>
      </c>
      <c r="R733" t="s">
        <v>29</v>
      </c>
      <c r="S733">
        <v>2025</v>
      </c>
      <c r="T733" t="s">
        <v>2741</v>
      </c>
      <c r="U733" t="s">
        <v>2742</v>
      </c>
      <c r="V733" s="4">
        <v>0</v>
      </c>
      <c r="W733" s="4">
        <v>1</v>
      </c>
    </row>
    <row r="734" spans="1:23">
      <c r="A734" t="s">
        <v>863</v>
      </c>
      <c r="B734" s="2">
        <v>45916</v>
      </c>
      <c r="C734" t="s">
        <v>71</v>
      </c>
      <c r="D734" t="s">
        <v>72</v>
      </c>
      <c r="E734" t="s">
        <v>48</v>
      </c>
      <c r="F734" t="s">
        <v>57</v>
      </c>
      <c r="G734" t="s">
        <v>86</v>
      </c>
      <c r="H734" t="s">
        <v>87</v>
      </c>
      <c r="I734">
        <v>4</v>
      </c>
      <c r="J734" s="3">
        <v>10182.48</v>
      </c>
      <c r="K734" s="3">
        <v>40729.919999999998</v>
      </c>
      <c r="L734" t="s">
        <v>25</v>
      </c>
      <c r="M734" s="2">
        <v>45922</v>
      </c>
      <c r="N734" s="2">
        <v>45922</v>
      </c>
      <c r="O734" t="s">
        <v>26</v>
      </c>
      <c r="P734" t="s">
        <v>53</v>
      </c>
      <c r="Q734" t="s">
        <v>28</v>
      </c>
      <c r="R734" t="s">
        <v>29</v>
      </c>
      <c r="S734">
        <v>2025</v>
      </c>
      <c r="T734" t="s">
        <v>2753</v>
      </c>
      <c r="U734" t="s">
        <v>2754</v>
      </c>
      <c r="V734" s="4">
        <v>0</v>
      </c>
      <c r="W734" s="4">
        <v>1</v>
      </c>
    </row>
    <row r="735" spans="1:23">
      <c r="A735" t="s">
        <v>864</v>
      </c>
      <c r="B735" s="2">
        <v>45731</v>
      </c>
      <c r="C735" t="s">
        <v>66</v>
      </c>
      <c r="D735" t="s">
        <v>67</v>
      </c>
      <c r="E735" t="s">
        <v>48</v>
      </c>
      <c r="F735" t="s">
        <v>49</v>
      </c>
      <c r="G735" t="s">
        <v>50</v>
      </c>
      <c r="H735" t="s">
        <v>51</v>
      </c>
      <c r="I735">
        <v>2</v>
      </c>
      <c r="J735" s="3">
        <v>51011.65</v>
      </c>
      <c r="K735" s="3">
        <v>102023.3</v>
      </c>
      <c r="L735" t="s">
        <v>34</v>
      </c>
      <c r="M735" s="2">
        <v>45744</v>
      </c>
      <c r="N735" s="2">
        <v>45743</v>
      </c>
      <c r="O735" t="s">
        <v>60</v>
      </c>
      <c r="P735" t="s">
        <v>53</v>
      </c>
      <c r="Q735" t="s">
        <v>28</v>
      </c>
      <c r="R735" t="s">
        <v>29</v>
      </c>
      <c r="S735">
        <v>2025</v>
      </c>
      <c r="T735" t="s">
        <v>2747</v>
      </c>
      <c r="U735" t="s">
        <v>2748</v>
      </c>
      <c r="V735" s="4">
        <v>0</v>
      </c>
      <c r="W735" s="4">
        <v>1</v>
      </c>
    </row>
    <row r="736" spans="1:23">
      <c r="A736" t="s">
        <v>865</v>
      </c>
      <c r="B736" s="2">
        <v>45738</v>
      </c>
      <c r="C736" t="s">
        <v>89</v>
      </c>
      <c r="D736" t="s">
        <v>90</v>
      </c>
      <c r="E736" t="s">
        <v>31</v>
      </c>
      <c r="F736" t="s">
        <v>91</v>
      </c>
      <c r="G736" t="s">
        <v>92</v>
      </c>
      <c r="H736" t="s">
        <v>93</v>
      </c>
      <c r="I736">
        <v>3</v>
      </c>
      <c r="J736" s="3">
        <v>40514.589999999997</v>
      </c>
      <c r="K736" s="3">
        <v>121543.77</v>
      </c>
      <c r="L736" t="s">
        <v>52</v>
      </c>
      <c r="M736" s="2">
        <v>45748</v>
      </c>
      <c r="N736" s="2">
        <v>45763</v>
      </c>
      <c r="O736" t="s">
        <v>76</v>
      </c>
      <c r="P736" t="s">
        <v>35</v>
      </c>
      <c r="Q736" t="s">
        <v>28</v>
      </c>
      <c r="R736" t="s">
        <v>129</v>
      </c>
      <c r="S736">
        <v>2025</v>
      </c>
      <c r="T736" t="s">
        <v>2747</v>
      </c>
      <c r="U736" t="s">
        <v>2748</v>
      </c>
      <c r="V736" s="4">
        <v>15</v>
      </c>
      <c r="W736" s="4">
        <v>0</v>
      </c>
    </row>
    <row r="737" spans="1:23">
      <c r="A737" t="s">
        <v>866</v>
      </c>
      <c r="B737" s="2">
        <v>46024</v>
      </c>
      <c r="C737" t="s">
        <v>134</v>
      </c>
      <c r="D737" t="s">
        <v>135</v>
      </c>
      <c r="E737" t="s">
        <v>112</v>
      </c>
      <c r="F737" t="s">
        <v>40</v>
      </c>
      <c r="G737" t="s">
        <v>41</v>
      </c>
      <c r="H737" t="s">
        <v>42</v>
      </c>
      <c r="I737">
        <v>9</v>
      </c>
      <c r="J737" s="3">
        <v>5301.32</v>
      </c>
      <c r="K737" s="3">
        <v>47711.88</v>
      </c>
      <c r="L737" t="s">
        <v>34</v>
      </c>
      <c r="M737" s="2">
        <v>46038</v>
      </c>
      <c r="N737" s="2">
        <v>46035</v>
      </c>
      <c r="O737" t="s">
        <v>43</v>
      </c>
      <c r="P737" t="s">
        <v>115</v>
      </c>
      <c r="Q737" t="s">
        <v>28</v>
      </c>
      <c r="R737" t="s">
        <v>29</v>
      </c>
      <c r="S737">
        <v>2026</v>
      </c>
      <c r="T737" t="s">
        <v>2757</v>
      </c>
      <c r="U737" t="s">
        <v>2758</v>
      </c>
      <c r="V737" s="4">
        <v>0</v>
      </c>
      <c r="W737" s="4">
        <v>1</v>
      </c>
    </row>
    <row r="738" spans="1:23">
      <c r="A738" t="s">
        <v>867</v>
      </c>
      <c r="B738" s="2">
        <v>45691</v>
      </c>
      <c r="C738" t="s">
        <v>104</v>
      </c>
      <c r="D738" t="s">
        <v>105</v>
      </c>
      <c r="E738" t="s">
        <v>21</v>
      </c>
      <c r="F738" t="s">
        <v>49</v>
      </c>
      <c r="G738" t="s">
        <v>113</v>
      </c>
      <c r="H738" t="s">
        <v>114</v>
      </c>
      <c r="I738">
        <v>1</v>
      </c>
      <c r="J738" s="3">
        <v>38351.040000000001</v>
      </c>
      <c r="K738" s="3">
        <v>38351.040000000001</v>
      </c>
      <c r="L738" t="s">
        <v>25</v>
      </c>
      <c r="M738" s="2">
        <v>45708</v>
      </c>
      <c r="N738" s="2">
        <v>45708</v>
      </c>
      <c r="O738" t="s">
        <v>43</v>
      </c>
      <c r="P738" t="s">
        <v>27</v>
      </c>
      <c r="Q738" t="s">
        <v>28</v>
      </c>
      <c r="R738" t="s">
        <v>29</v>
      </c>
      <c r="S738">
        <v>2025</v>
      </c>
      <c r="T738" t="s">
        <v>2751</v>
      </c>
      <c r="U738" t="s">
        <v>2752</v>
      </c>
      <c r="V738" s="4">
        <v>0</v>
      </c>
      <c r="W738" s="4">
        <v>1</v>
      </c>
    </row>
    <row r="739" spans="1:23">
      <c r="A739" t="s">
        <v>868</v>
      </c>
      <c r="B739" s="2">
        <v>46084</v>
      </c>
      <c r="C739" t="s">
        <v>107</v>
      </c>
      <c r="D739" t="s">
        <v>108</v>
      </c>
      <c r="E739" t="s">
        <v>31</v>
      </c>
      <c r="F739" t="s">
        <v>91</v>
      </c>
      <c r="G739" t="s">
        <v>109</v>
      </c>
      <c r="H739" t="s">
        <v>110</v>
      </c>
      <c r="I739">
        <v>1</v>
      </c>
      <c r="J739" s="3">
        <v>13534.75</v>
      </c>
      <c r="K739" s="3">
        <v>13534.75</v>
      </c>
      <c r="L739" t="s">
        <v>25</v>
      </c>
      <c r="M739" s="2">
        <v>46090</v>
      </c>
      <c r="N739" s="2">
        <v>46100</v>
      </c>
      <c r="O739" t="s">
        <v>76</v>
      </c>
      <c r="P739" t="s">
        <v>35</v>
      </c>
      <c r="Q739" t="s">
        <v>28</v>
      </c>
      <c r="R739" t="s">
        <v>129</v>
      </c>
      <c r="S739">
        <v>2026</v>
      </c>
      <c r="T739" t="s">
        <v>2747</v>
      </c>
      <c r="U739" t="s">
        <v>2755</v>
      </c>
      <c r="V739" s="4">
        <v>10</v>
      </c>
      <c r="W739" s="4">
        <v>0</v>
      </c>
    </row>
    <row r="740" spans="1:23">
      <c r="A740" t="s">
        <v>869</v>
      </c>
      <c r="B740" s="2">
        <v>46147</v>
      </c>
      <c r="C740" t="s">
        <v>131</v>
      </c>
      <c r="D740" t="s">
        <v>132</v>
      </c>
      <c r="E740" t="s">
        <v>48</v>
      </c>
      <c r="F740" t="s">
        <v>57</v>
      </c>
      <c r="G740" t="s">
        <v>101</v>
      </c>
      <c r="H740" t="s">
        <v>102</v>
      </c>
      <c r="I740">
        <v>55</v>
      </c>
      <c r="J740" s="3">
        <v>1816</v>
      </c>
      <c r="K740" s="3">
        <v>99880</v>
      </c>
      <c r="L740" t="s">
        <v>34</v>
      </c>
      <c r="M740" s="2">
        <v>46164</v>
      </c>
      <c r="N740" s="2">
        <v>46161</v>
      </c>
      <c r="O740" t="s">
        <v>43</v>
      </c>
      <c r="P740" t="s">
        <v>53</v>
      </c>
      <c r="Q740" t="s">
        <v>28</v>
      </c>
      <c r="R740" t="s">
        <v>29</v>
      </c>
      <c r="S740">
        <v>2026</v>
      </c>
      <c r="T740" t="s">
        <v>2766</v>
      </c>
      <c r="U740" t="s">
        <v>2769</v>
      </c>
      <c r="V740" s="4">
        <v>0</v>
      </c>
      <c r="W740" s="4">
        <v>1</v>
      </c>
    </row>
    <row r="741" spans="1:23">
      <c r="A741" t="s">
        <v>870</v>
      </c>
      <c r="B741" s="2">
        <v>45711</v>
      </c>
      <c r="C741" t="s">
        <v>19</v>
      </c>
      <c r="D741" t="s">
        <v>20</v>
      </c>
      <c r="E741" t="s">
        <v>73</v>
      </c>
      <c r="F741" t="s">
        <v>22</v>
      </c>
      <c r="G741" t="s">
        <v>160</v>
      </c>
      <c r="H741" t="s">
        <v>161</v>
      </c>
      <c r="I741">
        <v>2</v>
      </c>
      <c r="J741" s="3">
        <v>2957.21</v>
      </c>
      <c r="K741" s="3">
        <v>5914.42</v>
      </c>
      <c r="L741" t="s">
        <v>52</v>
      </c>
      <c r="M741" s="2">
        <v>45723</v>
      </c>
      <c r="N741" s="2">
        <v>45734</v>
      </c>
      <c r="O741" t="s">
        <v>76</v>
      </c>
      <c r="P741" t="s">
        <v>77</v>
      </c>
      <c r="Q741" t="s">
        <v>28</v>
      </c>
      <c r="R741" t="s">
        <v>129</v>
      </c>
      <c r="S741">
        <v>2025</v>
      </c>
      <c r="T741" t="s">
        <v>2751</v>
      </c>
      <c r="U741" t="s">
        <v>2752</v>
      </c>
      <c r="V741" s="4">
        <v>11</v>
      </c>
      <c r="W741" s="4">
        <v>0</v>
      </c>
    </row>
    <row r="742" spans="1:23">
      <c r="A742" t="s">
        <v>871</v>
      </c>
      <c r="B742" s="2">
        <v>45856</v>
      </c>
      <c r="C742" t="s">
        <v>142</v>
      </c>
      <c r="D742" t="s">
        <v>143</v>
      </c>
      <c r="E742" t="s">
        <v>112</v>
      </c>
      <c r="F742" t="s">
        <v>22</v>
      </c>
      <c r="G742" t="s">
        <v>23</v>
      </c>
      <c r="H742" t="s">
        <v>24</v>
      </c>
      <c r="I742">
        <v>31</v>
      </c>
      <c r="J742" s="3">
        <v>249.55</v>
      </c>
      <c r="K742" s="3">
        <v>7736.05</v>
      </c>
      <c r="L742" t="s">
        <v>52</v>
      </c>
      <c r="M742" s="2">
        <v>45872</v>
      </c>
      <c r="N742" s="2">
        <v>45872</v>
      </c>
      <c r="O742" t="s">
        <v>43</v>
      </c>
      <c r="P742" t="s">
        <v>115</v>
      </c>
      <c r="Q742" t="s">
        <v>28</v>
      </c>
      <c r="R742" t="s">
        <v>29</v>
      </c>
      <c r="S742">
        <v>2025</v>
      </c>
      <c r="T742" t="s">
        <v>2759</v>
      </c>
      <c r="U742" t="s">
        <v>2760</v>
      </c>
      <c r="V742" s="4">
        <v>0</v>
      </c>
      <c r="W742" s="4">
        <v>1</v>
      </c>
    </row>
    <row r="743" spans="1:23">
      <c r="A743" t="s">
        <v>872</v>
      </c>
      <c r="B743" s="2">
        <v>45716</v>
      </c>
      <c r="C743" t="s">
        <v>142</v>
      </c>
      <c r="D743" t="s">
        <v>143</v>
      </c>
      <c r="E743" t="s">
        <v>39</v>
      </c>
      <c r="F743" t="s">
        <v>22</v>
      </c>
      <c r="G743" t="s">
        <v>160</v>
      </c>
      <c r="H743" t="s">
        <v>161</v>
      </c>
      <c r="I743">
        <v>11</v>
      </c>
      <c r="J743" s="3">
        <v>3123.13</v>
      </c>
      <c r="K743" s="3">
        <v>34354.43</v>
      </c>
      <c r="L743" t="s">
        <v>34</v>
      </c>
      <c r="M743" s="2">
        <v>45724</v>
      </c>
      <c r="N743" s="2">
        <v>45723</v>
      </c>
      <c r="O743" t="s">
        <v>60</v>
      </c>
      <c r="P743" t="s">
        <v>64</v>
      </c>
      <c r="Q743" t="s">
        <v>28</v>
      </c>
      <c r="R743" t="s">
        <v>29</v>
      </c>
      <c r="S743">
        <v>2025</v>
      </c>
      <c r="T743" t="s">
        <v>2751</v>
      </c>
      <c r="U743" t="s">
        <v>2752</v>
      </c>
      <c r="V743" s="4">
        <v>0</v>
      </c>
      <c r="W743" s="4">
        <v>1</v>
      </c>
    </row>
    <row r="744" spans="1:23">
      <c r="A744" t="s">
        <v>873</v>
      </c>
      <c r="B744" s="2">
        <v>45736</v>
      </c>
      <c r="C744" t="s">
        <v>19</v>
      </c>
      <c r="D744" t="s">
        <v>20</v>
      </c>
      <c r="E744" t="s">
        <v>112</v>
      </c>
      <c r="F744" t="s">
        <v>22</v>
      </c>
      <c r="G744" t="s">
        <v>160</v>
      </c>
      <c r="H744" t="s">
        <v>161</v>
      </c>
      <c r="I744">
        <v>15</v>
      </c>
      <c r="J744" s="3">
        <v>3208.39</v>
      </c>
      <c r="K744" s="3">
        <v>48125.85</v>
      </c>
      <c r="L744" t="s">
        <v>52</v>
      </c>
      <c r="M744" s="2">
        <v>45754</v>
      </c>
      <c r="N744" s="2">
        <v>45752</v>
      </c>
      <c r="O744" t="s">
        <v>76</v>
      </c>
      <c r="P744" t="s">
        <v>115</v>
      </c>
      <c r="Q744" t="s">
        <v>28</v>
      </c>
      <c r="R744" t="s">
        <v>29</v>
      </c>
      <c r="S744">
        <v>2025</v>
      </c>
      <c r="T744" t="s">
        <v>2747</v>
      </c>
      <c r="U744" t="s">
        <v>2748</v>
      </c>
      <c r="V744" s="4">
        <v>0</v>
      </c>
      <c r="W744" s="4">
        <v>1</v>
      </c>
    </row>
    <row r="745" spans="1:23">
      <c r="A745" t="s">
        <v>874</v>
      </c>
      <c r="B745" s="2">
        <v>45984</v>
      </c>
      <c r="C745" t="s">
        <v>107</v>
      </c>
      <c r="D745" t="s">
        <v>108</v>
      </c>
      <c r="E745" t="s">
        <v>31</v>
      </c>
      <c r="F745" t="s">
        <v>91</v>
      </c>
      <c r="G745" t="s">
        <v>109</v>
      </c>
      <c r="H745" t="s">
        <v>110</v>
      </c>
      <c r="I745">
        <v>3</v>
      </c>
      <c r="J745" s="3">
        <v>14073.06</v>
      </c>
      <c r="K745" s="3">
        <v>42219.18</v>
      </c>
      <c r="L745" t="s">
        <v>52</v>
      </c>
      <c r="M745" s="2">
        <v>45996</v>
      </c>
      <c r="N745" s="2">
        <v>45995</v>
      </c>
      <c r="O745" t="s">
        <v>26</v>
      </c>
      <c r="P745" t="s">
        <v>35</v>
      </c>
      <c r="Q745" t="s">
        <v>28</v>
      </c>
      <c r="R745" t="s">
        <v>29</v>
      </c>
      <c r="S745">
        <v>2025</v>
      </c>
      <c r="T745" t="s">
        <v>2763</v>
      </c>
      <c r="U745" t="s">
        <v>2764</v>
      </c>
      <c r="V745" s="4">
        <v>0</v>
      </c>
      <c r="W745" s="4">
        <v>1</v>
      </c>
    </row>
    <row r="746" spans="1:23">
      <c r="A746" t="s">
        <v>875</v>
      </c>
      <c r="B746" s="2">
        <v>45873</v>
      </c>
      <c r="C746" t="s">
        <v>131</v>
      </c>
      <c r="D746" t="s">
        <v>132</v>
      </c>
      <c r="E746" t="s">
        <v>48</v>
      </c>
      <c r="F746" t="s">
        <v>57</v>
      </c>
      <c r="G746" t="s">
        <v>101</v>
      </c>
      <c r="H746" t="s">
        <v>102</v>
      </c>
      <c r="I746">
        <v>46</v>
      </c>
      <c r="J746" s="3">
        <v>1930.12</v>
      </c>
      <c r="K746" s="3">
        <v>88785.52</v>
      </c>
      <c r="L746" t="s">
        <v>25</v>
      </c>
      <c r="M746" s="2">
        <v>45890</v>
      </c>
      <c r="N746" s="2">
        <v>45890</v>
      </c>
      <c r="O746" t="s">
        <v>43</v>
      </c>
      <c r="P746" t="s">
        <v>53</v>
      </c>
      <c r="Q746" t="s">
        <v>28</v>
      </c>
      <c r="R746" t="s">
        <v>29</v>
      </c>
      <c r="S746">
        <v>2025</v>
      </c>
      <c r="T746" t="s">
        <v>2761</v>
      </c>
      <c r="U746" t="s">
        <v>2762</v>
      </c>
      <c r="V746" s="4">
        <v>0</v>
      </c>
      <c r="W746" s="4">
        <v>1</v>
      </c>
    </row>
    <row r="747" spans="1:23">
      <c r="A747" t="s">
        <v>876</v>
      </c>
      <c r="B747" s="2">
        <v>45942</v>
      </c>
      <c r="C747" t="s">
        <v>142</v>
      </c>
      <c r="D747" t="s">
        <v>143</v>
      </c>
      <c r="E747" t="s">
        <v>21</v>
      </c>
      <c r="F747" t="s">
        <v>22</v>
      </c>
      <c r="G747" t="s">
        <v>23</v>
      </c>
      <c r="H747" t="s">
        <v>24</v>
      </c>
      <c r="I747">
        <v>36</v>
      </c>
      <c r="J747" s="3">
        <v>248.64</v>
      </c>
      <c r="K747" s="3">
        <v>8951.0400000000009</v>
      </c>
      <c r="L747" t="s">
        <v>25</v>
      </c>
      <c r="M747" s="2">
        <v>45947</v>
      </c>
      <c r="N747" s="2">
        <v>45944</v>
      </c>
      <c r="O747" t="s">
        <v>26</v>
      </c>
      <c r="P747" t="s">
        <v>27</v>
      </c>
      <c r="Q747" t="s">
        <v>28</v>
      </c>
      <c r="R747" t="s">
        <v>29</v>
      </c>
      <c r="S747">
        <v>2025</v>
      </c>
      <c r="T747" t="s">
        <v>2749</v>
      </c>
      <c r="U747" t="s">
        <v>2750</v>
      </c>
      <c r="V747" s="4">
        <v>0</v>
      </c>
      <c r="W747" s="4">
        <v>1</v>
      </c>
    </row>
    <row r="748" spans="1:23">
      <c r="A748" t="s">
        <v>877</v>
      </c>
      <c r="B748" s="2">
        <v>46046</v>
      </c>
      <c r="C748" t="s">
        <v>142</v>
      </c>
      <c r="D748" t="s">
        <v>143</v>
      </c>
      <c r="E748" t="s">
        <v>73</v>
      </c>
      <c r="F748" t="s">
        <v>22</v>
      </c>
      <c r="G748" t="s">
        <v>32</v>
      </c>
      <c r="H748" t="s">
        <v>33</v>
      </c>
      <c r="I748">
        <v>6</v>
      </c>
      <c r="J748" s="3">
        <v>7868.17</v>
      </c>
      <c r="K748" s="3">
        <v>47209.02</v>
      </c>
      <c r="L748" t="s">
        <v>52</v>
      </c>
      <c r="M748" s="2">
        <v>46051</v>
      </c>
      <c r="N748" s="2">
        <v>46049</v>
      </c>
      <c r="O748" t="s">
        <v>76</v>
      </c>
      <c r="P748" t="s">
        <v>77</v>
      </c>
      <c r="Q748" t="s">
        <v>28</v>
      </c>
      <c r="R748" t="s">
        <v>29</v>
      </c>
      <c r="S748">
        <v>2026</v>
      </c>
      <c r="T748" t="s">
        <v>2757</v>
      </c>
      <c r="U748" t="s">
        <v>2758</v>
      </c>
      <c r="V748" s="4">
        <v>0</v>
      </c>
      <c r="W748" s="4">
        <v>1</v>
      </c>
    </row>
    <row r="749" spans="1:23">
      <c r="A749" t="s">
        <v>878</v>
      </c>
      <c r="B749" s="2">
        <v>45686</v>
      </c>
      <c r="C749" t="s">
        <v>66</v>
      </c>
      <c r="D749" t="s">
        <v>67</v>
      </c>
      <c r="E749" t="s">
        <v>48</v>
      </c>
      <c r="F749" t="s">
        <v>49</v>
      </c>
      <c r="G749" t="s">
        <v>68</v>
      </c>
      <c r="H749" t="s">
        <v>69</v>
      </c>
      <c r="I749">
        <v>1</v>
      </c>
      <c r="J749" s="3">
        <v>48588.66</v>
      </c>
      <c r="K749" s="3">
        <v>48588.66</v>
      </c>
      <c r="L749" t="s">
        <v>52</v>
      </c>
      <c r="M749" s="2">
        <v>45703</v>
      </c>
      <c r="N749" s="2">
        <v>45711</v>
      </c>
      <c r="O749" t="s">
        <v>76</v>
      </c>
      <c r="P749" t="s">
        <v>53</v>
      </c>
      <c r="Q749" t="s">
        <v>28</v>
      </c>
      <c r="R749" t="s">
        <v>129</v>
      </c>
      <c r="S749">
        <v>2025</v>
      </c>
      <c r="T749" t="s">
        <v>2757</v>
      </c>
      <c r="U749" t="s">
        <v>2768</v>
      </c>
      <c r="V749" s="4">
        <v>8</v>
      </c>
      <c r="W749" s="4">
        <v>0</v>
      </c>
    </row>
    <row r="750" spans="1:23">
      <c r="A750" t="s">
        <v>879</v>
      </c>
      <c r="B750" s="2">
        <v>46092</v>
      </c>
      <c r="C750" t="s">
        <v>142</v>
      </c>
      <c r="D750" t="s">
        <v>143</v>
      </c>
      <c r="E750" t="s">
        <v>31</v>
      </c>
      <c r="F750" t="s">
        <v>22</v>
      </c>
      <c r="G750" t="s">
        <v>160</v>
      </c>
      <c r="H750" t="s">
        <v>161</v>
      </c>
      <c r="I750">
        <v>12</v>
      </c>
      <c r="J750" s="3">
        <v>3132.1</v>
      </c>
      <c r="K750" s="3">
        <v>37585.199999999997</v>
      </c>
      <c r="L750" t="s">
        <v>25</v>
      </c>
      <c r="M750" s="2">
        <v>46100</v>
      </c>
      <c r="N750" s="2">
        <v>46100</v>
      </c>
      <c r="O750" t="s">
        <v>76</v>
      </c>
      <c r="P750" t="s">
        <v>94</v>
      </c>
      <c r="Q750" t="s">
        <v>28</v>
      </c>
      <c r="R750" t="s">
        <v>29</v>
      </c>
      <c r="S750">
        <v>2026</v>
      </c>
      <c r="T750" t="s">
        <v>2747</v>
      </c>
      <c r="U750" t="s">
        <v>2755</v>
      </c>
      <c r="V750" s="4">
        <v>0</v>
      </c>
      <c r="W750" s="4">
        <v>1</v>
      </c>
    </row>
    <row r="751" spans="1:23">
      <c r="A751" t="s">
        <v>880</v>
      </c>
      <c r="B751" s="2">
        <v>45960</v>
      </c>
      <c r="C751" t="s">
        <v>55</v>
      </c>
      <c r="D751" t="s">
        <v>56</v>
      </c>
      <c r="E751" t="s">
        <v>73</v>
      </c>
      <c r="F751" t="s">
        <v>57</v>
      </c>
      <c r="G751" t="s">
        <v>58</v>
      </c>
      <c r="H751" t="s">
        <v>59</v>
      </c>
      <c r="I751">
        <v>1</v>
      </c>
      <c r="J751" s="3">
        <v>64401.31</v>
      </c>
      <c r="K751" s="3">
        <v>64401.31</v>
      </c>
      <c r="L751" t="s">
        <v>34</v>
      </c>
      <c r="M751" s="2">
        <v>45966</v>
      </c>
      <c r="N751" s="2">
        <v>45964</v>
      </c>
      <c r="O751" t="s">
        <v>26</v>
      </c>
      <c r="P751" t="s">
        <v>77</v>
      </c>
      <c r="Q751" t="s">
        <v>28</v>
      </c>
      <c r="R751" t="s">
        <v>29</v>
      </c>
      <c r="S751">
        <v>2025</v>
      </c>
      <c r="T751" t="s">
        <v>2749</v>
      </c>
      <c r="U751" t="s">
        <v>2750</v>
      </c>
      <c r="V751" s="4">
        <v>0</v>
      </c>
      <c r="W751" s="4">
        <v>1</v>
      </c>
    </row>
    <row r="752" spans="1:23">
      <c r="A752" t="s">
        <v>881</v>
      </c>
      <c r="B752" s="2">
        <v>46131</v>
      </c>
      <c r="C752" t="s">
        <v>19</v>
      </c>
      <c r="D752" t="s">
        <v>20</v>
      </c>
      <c r="E752" t="s">
        <v>39</v>
      </c>
      <c r="F752" t="s">
        <v>22</v>
      </c>
      <c r="G752" t="s">
        <v>160</v>
      </c>
      <c r="H752" t="s">
        <v>161</v>
      </c>
      <c r="I752">
        <v>4</v>
      </c>
      <c r="J752" s="3">
        <v>3034.93</v>
      </c>
      <c r="K752" s="3">
        <v>12139.72</v>
      </c>
      <c r="L752" t="s">
        <v>25</v>
      </c>
      <c r="M752" s="2">
        <v>46142</v>
      </c>
      <c r="N752" s="2">
        <v>46145</v>
      </c>
      <c r="O752" t="s">
        <v>76</v>
      </c>
      <c r="P752" t="s">
        <v>64</v>
      </c>
      <c r="Q752" t="s">
        <v>28</v>
      </c>
      <c r="R752" t="s">
        <v>129</v>
      </c>
      <c r="S752">
        <v>2026</v>
      </c>
      <c r="T752" t="s">
        <v>2741</v>
      </c>
      <c r="U752" t="s">
        <v>2770</v>
      </c>
      <c r="V752" s="4">
        <v>3</v>
      </c>
      <c r="W752" s="4">
        <v>0</v>
      </c>
    </row>
    <row r="753" spans="1:23">
      <c r="A753" t="s">
        <v>882</v>
      </c>
      <c r="B753" s="2">
        <v>46109</v>
      </c>
      <c r="C753" t="s">
        <v>66</v>
      </c>
      <c r="D753" t="s">
        <v>67</v>
      </c>
      <c r="E753" t="s">
        <v>48</v>
      </c>
      <c r="F753" t="s">
        <v>49</v>
      </c>
      <c r="G753" t="s">
        <v>165</v>
      </c>
      <c r="H753" t="s">
        <v>166</v>
      </c>
      <c r="I753">
        <v>1</v>
      </c>
      <c r="J753" s="3">
        <v>42403.79</v>
      </c>
      <c r="K753" s="3">
        <v>42403.79</v>
      </c>
      <c r="L753" t="s">
        <v>25</v>
      </c>
      <c r="M753" s="2">
        <v>46116</v>
      </c>
      <c r="N753" s="2">
        <v>46116</v>
      </c>
      <c r="O753" t="s">
        <v>43</v>
      </c>
      <c r="P753" t="s">
        <v>53</v>
      </c>
      <c r="Q753" t="s">
        <v>28</v>
      </c>
      <c r="R753" t="s">
        <v>29</v>
      </c>
      <c r="S753">
        <v>2026</v>
      </c>
      <c r="T753" t="s">
        <v>2747</v>
      </c>
      <c r="U753" t="s">
        <v>2755</v>
      </c>
      <c r="V753" s="4">
        <v>0</v>
      </c>
      <c r="W753" s="4">
        <v>1</v>
      </c>
    </row>
    <row r="754" spans="1:23">
      <c r="A754" t="s">
        <v>883</v>
      </c>
      <c r="B754" s="2">
        <v>45982</v>
      </c>
      <c r="C754" t="s">
        <v>131</v>
      </c>
      <c r="D754" t="s">
        <v>132</v>
      </c>
      <c r="E754" t="s">
        <v>48</v>
      </c>
      <c r="F754" t="s">
        <v>57</v>
      </c>
      <c r="G754" t="s">
        <v>120</v>
      </c>
      <c r="H754" t="s">
        <v>121</v>
      </c>
      <c r="I754">
        <v>1</v>
      </c>
      <c r="J754" s="3">
        <v>24046.45</v>
      </c>
      <c r="K754" s="3">
        <v>24046.45</v>
      </c>
      <c r="L754" t="s">
        <v>25</v>
      </c>
      <c r="M754" s="2">
        <v>45997</v>
      </c>
      <c r="N754" s="2">
        <v>45995</v>
      </c>
      <c r="O754" t="s">
        <v>43</v>
      </c>
      <c r="P754" t="s">
        <v>53</v>
      </c>
      <c r="Q754" t="s">
        <v>28</v>
      </c>
      <c r="R754" t="s">
        <v>29</v>
      </c>
      <c r="S754">
        <v>2025</v>
      </c>
      <c r="T754" t="s">
        <v>2763</v>
      </c>
      <c r="U754" t="s">
        <v>2764</v>
      </c>
      <c r="V754" s="4">
        <v>0</v>
      </c>
      <c r="W754" s="4">
        <v>1</v>
      </c>
    </row>
    <row r="755" spans="1:23">
      <c r="A755" t="s">
        <v>884</v>
      </c>
      <c r="B755" s="2">
        <v>46016</v>
      </c>
      <c r="C755" t="s">
        <v>89</v>
      </c>
      <c r="D755" t="s">
        <v>90</v>
      </c>
      <c r="E755" t="s">
        <v>31</v>
      </c>
      <c r="F755" t="s">
        <v>91</v>
      </c>
      <c r="G755" t="s">
        <v>92</v>
      </c>
      <c r="H755" t="s">
        <v>93</v>
      </c>
      <c r="I755">
        <v>1</v>
      </c>
      <c r="J755" s="3">
        <v>41551.480000000003</v>
      </c>
      <c r="K755" s="3">
        <v>41551.480000000003</v>
      </c>
      <c r="L755" t="s">
        <v>25</v>
      </c>
      <c r="M755" s="2">
        <v>46034</v>
      </c>
      <c r="N755" s="2">
        <v>46031</v>
      </c>
      <c r="O755" t="s">
        <v>60</v>
      </c>
      <c r="P755" t="s">
        <v>35</v>
      </c>
      <c r="Q755" t="s">
        <v>28</v>
      </c>
      <c r="R755" t="s">
        <v>29</v>
      </c>
      <c r="S755">
        <v>2025</v>
      </c>
      <c r="T755" t="s">
        <v>2745</v>
      </c>
      <c r="U755" t="s">
        <v>2746</v>
      </c>
      <c r="V755" s="4">
        <v>0</v>
      </c>
      <c r="W755" s="4">
        <v>1</v>
      </c>
    </row>
    <row r="756" spans="1:23">
      <c r="A756" t="s">
        <v>885</v>
      </c>
      <c r="B756" s="2">
        <v>45804</v>
      </c>
      <c r="C756" t="s">
        <v>131</v>
      </c>
      <c r="D756" t="s">
        <v>132</v>
      </c>
      <c r="E756" t="s">
        <v>31</v>
      </c>
      <c r="F756" t="s">
        <v>57</v>
      </c>
      <c r="G756" t="s">
        <v>58</v>
      </c>
      <c r="H756" t="s">
        <v>59</v>
      </c>
      <c r="I756">
        <v>6</v>
      </c>
      <c r="J756" s="3">
        <v>62102.47</v>
      </c>
      <c r="K756" s="3">
        <v>372614.82</v>
      </c>
      <c r="L756" t="s">
        <v>34</v>
      </c>
      <c r="M756" s="2">
        <v>45816</v>
      </c>
      <c r="N756" s="2">
        <v>45814</v>
      </c>
      <c r="O756" t="s">
        <v>26</v>
      </c>
      <c r="P756" t="s">
        <v>35</v>
      </c>
      <c r="Q756" t="s">
        <v>28</v>
      </c>
      <c r="R756" t="s">
        <v>29</v>
      </c>
      <c r="S756">
        <v>2025</v>
      </c>
      <c r="T756" t="s">
        <v>2766</v>
      </c>
      <c r="U756" t="s">
        <v>2767</v>
      </c>
      <c r="V756" s="4">
        <v>0</v>
      </c>
      <c r="W756" s="4">
        <v>1</v>
      </c>
    </row>
    <row r="757" spans="1:23">
      <c r="A757" t="s">
        <v>886</v>
      </c>
      <c r="B757" s="2">
        <v>45703</v>
      </c>
      <c r="C757" t="s">
        <v>96</v>
      </c>
      <c r="D757" t="s">
        <v>97</v>
      </c>
      <c r="E757" t="s">
        <v>39</v>
      </c>
      <c r="F757" t="s">
        <v>82</v>
      </c>
      <c r="G757" t="s">
        <v>83</v>
      </c>
      <c r="H757" t="s">
        <v>84</v>
      </c>
      <c r="I757">
        <v>25</v>
      </c>
      <c r="J757" s="3">
        <v>711.95</v>
      </c>
      <c r="K757" s="3">
        <v>17798.75</v>
      </c>
      <c r="L757" t="s">
        <v>52</v>
      </c>
      <c r="M757" s="2">
        <v>45716</v>
      </c>
      <c r="N757" s="2">
        <v>45714</v>
      </c>
      <c r="O757" t="s">
        <v>60</v>
      </c>
      <c r="P757" t="s">
        <v>64</v>
      </c>
      <c r="Q757" t="s">
        <v>28</v>
      </c>
      <c r="R757" t="s">
        <v>29</v>
      </c>
      <c r="S757">
        <v>2025</v>
      </c>
      <c r="T757" t="s">
        <v>2751</v>
      </c>
      <c r="U757" t="s">
        <v>2752</v>
      </c>
      <c r="V757" s="4">
        <v>0</v>
      </c>
      <c r="W757" s="4">
        <v>1</v>
      </c>
    </row>
    <row r="758" spans="1:23">
      <c r="A758" t="s">
        <v>887</v>
      </c>
      <c r="B758" s="2">
        <v>45811</v>
      </c>
      <c r="C758" t="s">
        <v>37</v>
      </c>
      <c r="D758" t="s">
        <v>38</v>
      </c>
      <c r="E758" t="s">
        <v>112</v>
      </c>
      <c r="F758" t="s">
        <v>22</v>
      </c>
      <c r="G758" t="s">
        <v>23</v>
      </c>
      <c r="H758" t="s">
        <v>24</v>
      </c>
      <c r="I758">
        <v>41</v>
      </c>
      <c r="J758" s="3">
        <v>291.58</v>
      </c>
      <c r="K758" s="3">
        <v>11954.78</v>
      </c>
      <c r="L758" t="s">
        <v>25</v>
      </c>
      <c r="M758" s="2">
        <v>45824</v>
      </c>
      <c r="N758" s="2">
        <v>45821</v>
      </c>
      <c r="O758" t="s">
        <v>43</v>
      </c>
      <c r="P758" t="s">
        <v>115</v>
      </c>
      <c r="Q758" t="s">
        <v>28</v>
      </c>
      <c r="R758" t="s">
        <v>29</v>
      </c>
      <c r="S758">
        <v>2025</v>
      </c>
      <c r="T758" t="s">
        <v>2743</v>
      </c>
      <c r="U758" t="s">
        <v>2756</v>
      </c>
      <c r="V758" s="4">
        <v>0</v>
      </c>
      <c r="W758" s="4">
        <v>1</v>
      </c>
    </row>
    <row r="759" spans="1:23">
      <c r="A759" t="s">
        <v>888</v>
      </c>
      <c r="B759" s="2">
        <v>46190</v>
      </c>
      <c r="C759" t="s">
        <v>131</v>
      </c>
      <c r="D759" t="s">
        <v>132</v>
      </c>
      <c r="E759" t="s">
        <v>21</v>
      </c>
      <c r="F759" t="s">
        <v>57</v>
      </c>
      <c r="G759" t="s">
        <v>58</v>
      </c>
      <c r="H759" t="s">
        <v>59</v>
      </c>
      <c r="I759">
        <v>6</v>
      </c>
      <c r="J759" s="3">
        <v>59048.33</v>
      </c>
      <c r="K759" s="3">
        <v>354289.98</v>
      </c>
      <c r="L759" t="s">
        <v>25</v>
      </c>
      <c r="M759" s="2">
        <v>46198</v>
      </c>
      <c r="N759" s="2">
        <v>46198</v>
      </c>
      <c r="O759" t="s">
        <v>60</v>
      </c>
      <c r="P759" t="s">
        <v>27</v>
      </c>
      <c r="Q759" t="s">
        <v>28</v>
      </c>
      <c r="R759" t="s">
        <v>29</v>
      </c>
      <c r="S759">
        <v>2026</v>
      </c>
      <c r="T759" t="s">
        <v>2743</v>
      </c>
      <c r="U759" t="s">
        <v>2744</v>
      </c>
      <c r="V759" s="4">
        <v>0</v>
      </c>
      <c r="W759" s="4">
        <v>1</v>
      </c>
    </row>
    <row r="760" spans="1:23">
      <c r="A760" t="s">
        <v>889</v>
      </c>
      <c r="B760" s="2">
        <v>45739</v>
      </c>
      <c r="C760" t="s">
        <v>71</v>
      </c>
      <c r="D760" t="s">
        <v>72</v>
      </c>
      <c r="E760" t="s">
        <v>31</v>
      </c>
      <c r="F760" t="s">
        <v>57</v>
      </c>
      <c r="G760" t="s">
        <v>120</v>
      </c>
      <c r="H760" t="s">
        <v>121</v>
      </c>
      <c r="I760">
        <v>7</v>
      </c>
      <c r="J760" s="3">
        <v>20080.48</v>
      </c>
      <c r="K760" s="3">
        <v>140563.35999999999</v>
      </c>
      <c r="L760" t="s">
        <v>52</v>
      </c>
      <c r="M760" s="2">
        <v>45747</v>
      </c>
      <c r="N760" s="2">
        <v>45746</v>
      </c>
      <c r="O760" t="s">
        <v>26</v>
      </c>
      <c r="P760" t="s">
        <v>35</v>
      </c>
      <c r="Q760" t="s">
        <v>28</v>
      </c>
      <c r="R760" t="s">
        <v>29</v>
      </c>
      <c r="S760">
        <v>2025</v>
      </c>
      <c r="T760" t="s">
        <v>2747</v>
      </c>
      <c r="U760" t="s">
        <v>2748</v>
      </c>
      <c r="V760" s="4">
        <v>0</v>
      </c>
      <c r="W760" s="4">
        <v>1</v>
      </c>
    </row>
    <row r="761" spans="1:23">
      <c r="A761" t="s">
        <v>890</v>
      </c>
      <c r="B761" s="2">
        <v>45799</v>
      </c>
      <c r="C761" t="s">
        <v>104</v>
      </c>
      <c r="D761" t="s">
        <v>105</v>
      </c>
      <c r="E761" t="s">
        <v>48</v>
      </c>
      <c r="F761" t="s">
        <v>49</v>
      </c>
      <c r="G761" t="s">
        <v>165</v>
      </c>
      <c r="H761" t="s">
        <v>166</v>
      </c>
      <c r="I761">
        <v>3</v>
      </c>
      <c r="J761" s="3">
        <v>44854.44</v>
      </c>
      <c r="K761" s="3">
        <v>134563.32</v>
      </c>
      <c r="L761" t="s">
        <v>52</v>
      </c>
      <c r="M761" s="2">
        <v>45806</v>
      </c>
      <c r="N761" s="2">
        <v>45805</v>
      </c>
      <c r="O761" t="s">
        <v>60</v>
      </c>
      <c r="P761" t="s">
        <v>53</v>
      </c>
      <c r="Q761" t="s">
        <v>28</v>
      </c>
      <c r="R761" t="s">
        <v>29</v>
      </c>
      <c r="S761">
        <v>2025</v>
      </c>
      <c r="T761" t="s">
        <v>2766</v>
      </c>
      <c r="U761" t="s">
        <v>2767</v>
      </c>
      <c r="V761" s="4">
        <v>0</v>
      </c>
      <c r="W761" s="4">
        <v>1</v>
      </c>
    </row>
    <row r="762" spans="1:23">
      <c r="A762" t="s">
        <v>891</v>
      </c>
      <c r="B762" s="2">
        <v>45828</v>
      </c>
      <c r="C762" t="s">
        <v>131</v>
      </c>
      <c r="D762" t="s">
        <v>132</v>
      </c>
      <c r="E762" t="s">
        <v>21</v>
      </c>
      <c r="F762" t="s">
        <v>57</v>
      </c>
      <c r="G762" t="s">
        <v>120</v>
      </c>
      <c r="H762" t="s">
        <v>121</v>
      </c>
      <c r="I762">
        <v>3</v>
      </c>
      <c r="J762" s="3">
        <v>23566.36</v>
      </c>
      <c r="K762" s="3">
        <v>70699.08</v>
      </c>
      <c r="L762" t="s">
        <v>25</v>
      </c>
      <c r="M762" s="2">
        <v>45846</v>
      </c>
      <c r="N762" s="2">
        <v>45854</v>
      </c>
      <c r="O762" t="s">
        <v>26</v>
      </c>
      <c r="P762" t="s">
        <v>27</v>
      </c>
      <c r="Q762" t="s">
        <v>28</v>
      </c>
      <c r="R762" t="s">
        <v>129</v>
      </c>
      <c r="S762">
        <v>2025</v>
      </c>
      <c r="T762" t="s">
        <v>2743</v>
      </c>
      <c r="U762" t="s">
        <v>2756</v>
      </c>
      <c r="V762" s="4">
        <v>8</v>
      </c>
      <c r="W762" s="4">
        <v>0</v>
      </c>
    </row>
    <row r="763" spans="1:23">
      <c r="A763" t="s">
        <v>892</v>
      </c>
      <c r="B763" s="2">
        <v>45793</v>
      </c>
      <c r="C763" t="s">
        <v>55</v>
      </c>
      <c r="D763" t="s">
        <v>56</v>
      </c>
      <c r="E763" t="s">
        <v>31</v>
      </c>
      <c r="F763" t="s">
        <v>57</v>
      </c>
      <c r="G763" t="s">
        <v>74</v>
      </c>
      <c r="H763" t="s">
        <v>75</v>
      </c>
      <c r="I763">
        <v>9</v>
      </c>
      <c r="J763" s="3">
        <v>9575.56</v>
      </c>
      <c r="K763" s="3">
        <v>86180.04</v>
      </c>
      <c r="L763" t="s">
        <v>25</v>
      </c>
      <c r="M763" s="2">
        <v>45801</v>
      </c>
      <c r="N763" s="2">
        <v>45801</v>
      </c>
      <c r="O763" t="s">
        <v>76</v>
      </c>
      <c r="P763" t="s">
        <v>94</v>
      </c>
      <c r="Q763" t="s">
        <v>28</v>
      </c>
      <c r="R763" t="s">
        <v>29</v>
      </c>
      <c r="S763">
        <v>2025</v>
      </c>
      <c r="T763" t="s">
        <v>2766</v>
      </c>
      <c r="U763" t="s">
        <v>2767</v>
      </c>
      <c r="V763" s="4">
        <v>0</v>
      </c>
      <c r="W763" s="4">
        <v>1</v>
      </c>
    </row>
    <row r="764" spans="1:23">
      <c r="A764" t="s">
        <v>893</v>
      </c>
      <c r="B764" s="2">
        <v>45704</v>
      </c>
      <c r="C764" t="s">
        <v>134</v>
      </c>
      <c r="D764" t="s">
        <v>135</v>
      </c>
      <c r="E764" t="s">
        <v>112</v>
      </c>
      <c r="F764" t="s">
        <v>40</v>
      </c>
      <c r="G764" t="s">
        <v>62</v>
      </c>
      <c r="H764" t="s">
        <v>63</v>
      </c>
      <c r="I764">
        <v>7</v>
      </c>
      <c r="J764" s="3">
        <v>18993.259999999998</v>
      </c>
      <c r="K764" s="3">
        <v>132952.82</v>
      </c>
      <c r="L764" t="s">
        <v>34</v>
      </c>
      <c r="M764" s="2">
        <v>45713</v>
      </c>
      <c r="N764" s="2">
        <v>45712</v>
      </c>
      <c r="O764" t="s">
        <v>43</v>
      </c>
      <c r="P764" t="s">
        <v>115</v>
      </c>
      <c r="Q764" t="s">
        <v>28</v>
      </c>
      <c r="R764" t="s">
        <v>29</v>
      </c>
      <c r="S764">
        <v>2025</v>
      </c>
      <c r="T764" t="s">
        <v>2751</v>
      </c>
      <c r="U764" t="s">
        <v>2752</v>
      </c>
      <c r="V764" s="4">
        <v>0</v>
      </c>
      <c r="W764" s="4">
        <v>1</v>
      </c>
    </row>
    <row r="765" spans="1:23">
      <c r="A765" t="s">
        <v>894</v>
      </c>
      <c r="B765" s="2">
        <v>45665</v>
      </c>
      <c r="C765" t="s">
        <v>71</v>
      </c>
      <c r="D765" t="s">
        <v>72</v>
      </c>
      <c r="E765" t="s">
        <v>73</v>
      </c>
      <c r="F765" t="s">
        <v>57</v>
      </c>
      <c r="G765" t="s">
        <v>74</v>
      </c>
      <c r="H765" t="s">
        <v>75</v>
      </c>
      <c r="I765">
        <v>9</v>
      </c>
      <c r="J765" s="3">
        <v>8094.73</v>
      </c>
      <c r="K765" s="3">
        <v>72852.570000000007</v>
      </c>
      <c r="L765" t="s">
        <v>25</v>
      </c>
      <c r="M765" s="2">
        <v>45681</v>
      </c>
      <c r="N765" s="2">
        <v>45681</v>
      </c>
      <c r="O765" t="s">
        <v>60</v>
      </c>
      <c r="P765" t="s">
        <v>77</v>
      </c>
      <c r="Q765" t="s">
        <v>28</v>
      </c>
      <c r="R765" t="s">
        <v>29</v>
      </c>
      <c r="S765">
        <v>2025</v>
      </c>
      <c r="T765" t="s">
        <v>2757</v>
      </c>
      <c r="U765" t="s">
        <v>2768</v>
      </c>
      <c r="V765" s="4">
        <v>0</v>
      </c>
      <c r="W765" s="4">
        <v>1</v>
      </c>
    </row>
    <row r="766" spans="1:23">
      <c r="A766" t="s">
        <v>895</v>
      </c>
      <c r="B766" s="2">
        <v>45707</v>
      </c>
      <c r="C766" t="s">
        <v>104</v>
      </c>
      <c r="D766" t="s">
        <v>105</v>
      </c>
      <c r="E766" t="s">
        <v>112</v>
      </c>
      <c r="F766" t="s">
        <v>49</v>
      </c>
      <c r="G766" t="s">
        <v>68</v>
      </c>
      <c r="H766" t="s">
        <v>69</v>
      </c>
      <c r="I766">
        <v>1</v>
      </c>
      <c r="J766" s="3">
        <v>47739.17</v>
      </c>
      <c r="K766" s="3">
        <v>47739.17</v>
      </c>
      <c r="L766" t="s">
        <v>52</v>
      </c>
      <c r="M766" s="2">
        <v>45714</v>
      </c>
      <c r="N766" s="2">
        <v>45727</v>
      </c>
      <c r="O766" t="s">
        <v>26</v>
      </c>
      <c r="P766" t="s">
        <v>115</v>
      </c>
      <c r="Q766" t="s">
        <v>28</v>
      </c>
      <c r="R766" t="s">
        <v>129</v>
      </c>
      <c r="S766">
        <v>2025</v>
      </c>
      <c r="T766" t="s">
        <v>2751</v>
      </c>
      <c r="U766" t="s">
        <v>2752</v>
      </c>
      <c r="V766" s="4">
        <v>13</v>
      </c>
      <c r="W766" s="4">
        <v>0</v>
      </c>
    </row>
    <row r="767" spans="1:23">
      <c r="A767" t="s">
        <v>896</v>
      </c>
      <c r="B767" s="2">
        <v>46189</v>
      </c>
      <c r="C767" t="s">
        <v>134</v>
      </c>
      <c r="D767" t="s">
        <v>135</v>
      </c>
      <c r="E767" t="s">
        <v>112</v>
      </c>
      <c r="F767" t="s">
        <v>40</v>
      </c>
      <c r="G767" t="s">
        <v>41</v>
      </c>
      <c r="H767" t="s">
        <v>42</v>
      </c>
      <c r="I767">
        <v>5</v>
      </c>
      <c r="J767" s="3">
        <v>5264.48</v>
      </c>
      <c r="K767" s="3">
        <v>26322.400000000001</v>
      </c>
      <c r="L767" t="s">
        <v>25</v>
      </c>
      <c r="M767" s="2">
        <v>46198</v>
      </c>
      <c r="N767" s="2">
        <v>46197</v>
      </c>
      <c r="O767" t="s">
        <v>76</v>
      </c>
      <c r="P767" t="s">
        <v>115</v>
      </c>
      <c r="Q767" t="s">
        <v>28</v>
      </c>
      <c r="R767" t="s">
        <v>29</v>
      </c>
      <c r="S767">
        <v>2026</v>
      </c>
      <c r="T767" t="s">
        <v>2743</v>
      </c>
      <c r="U767" t="s">
        <v>2744</v>
      </c>
      <c r="V767" s="4">
        <v>0</v>
      </c>
      <c r="W767" s="4">
        <v>1</v>
      </c>
    </row>
    <row r="768" spans="1:23">
      <c r="A768" t="s">
        <v>897</v>
      </c>
      <c r="B768" s="2">
        <v>45802</v>
      </c>
      <c r="C768" t="s">
        <v>142</v>
      </c>
      <c r="D768" t="s">
        <v>143</v>
      </c>
      <c r="E768" t="s">
        <v>31</v>
      </c>
      <c r="F768" t="s">
        <v>22</v>
      </c>
      <c r="G768" t="s">
        <v>23</v>
      </c>
      <c r="H768" t="s">
        <v>24</v>
      </c>
      <c r="I768">
        <v>39</v>
      </c>
      <c r="J768" s="3">
        <v>255.1</v>
      </c>
      <c r="K768" s="3">
        <v>9948.9</v>
      </c>
      <c r="L768" t="s">
        <v>25</v>
      </c>
      <c r="M768" s="2">
        <v>45815</v>
      </c>
      <c r="N768" s="2">
        <v>45815</v>
      </c>
      <c r="O768" t="s">
        <v>43</v>
      </c>
      <c r="P768" t="s">
        <v>35</v>
      </c>
      <c r="Q768" t="s">
        <v>28</v>
      </c>
      <c r="R768" t="s">
        <v>29</v>
      </c>
      <c r="S768">
        <v>2025</v>
      </c>
      <c r="T768" t="s">
        <v>2766</v>
      </c>
      <c r="U768" t="s">
        <v>2767</v>
      </c>
      <c r="V768" s="4">
        <v>0</v>
      </c>
      <c r="W768" s="4">
        <v>1</v>
      </c>
    </row>
    <row r="769" spans="1:23">
      <c r="A769" t="s">
        <v>898</v>
      </c>
      <c r="B769" s="2">
        <v>45866</v>
      </c>
      <c r="C769" t="s">
        <v>134</v>
      </c>
      <c r="D769" t="s">
        <v>135</v>
      </c>
      <c r="E769" t="s">
        <v>112</v>
      </c>
      <c r="F769" t="s">
        <v>40</v>
      </c>
      <c r="G769" t="s">
        <v>62</v>
      </c>
      <c r="H769" t="s">
        <v>63</v>
      </c>
      <c r="I769">
        <v>5</v>
      </c>
      <c r="J769" s="3">
        <v>19143.68</v>
      </c>
      <c r="K769" s="3">
        <v>95718.399999999994</v>
      </c>
      <c r="L769" t="s">
        <v>25</v>
      </c>
      <c r="M769" s="2">
        <v>45872</v>
      </c>
      <c r="N769" s="2">
        <v>45872</v>
      </c>
      <c r="O769" t="s">
        <v>60</v>
      </c>
      <c r="P769" t="s">
        <v>115</v>
      </c>
      <c r="Q769" t="s">
        <v>28</v>
      </c>
      <c r="R769" t="s">
        <v>29</v>
      </c>
      <c r="S769">
        <v>2025</v>
      </c>
      <c r="T769" t="s">
        <v>2759</v>
      </c>
      <c r="U769" t="s">
        <v>2760</v>
      </c>
      <c r="V769" s="4">
        <v>0</v>
      </c>
      <c r="W769" s="4">
        <v>1</v>
      </c>
    </row>
    <row r="770" spans="1:23">
      <c r="A770" t="s">
        <v>899</v>
      </c>
      <c r="B770" s="2">
        <v>45927</v>
      </c>
      <c r="C770" t="s">
        <v>147</v>
      </c>
      <c r="D770" t="s">
        <v>148</v>
      </c>
      <c r="E770" t="s">
        <v>39</v>
      </c>
      <c r="F770" t="s">
        <v>40</v>
      </c>
      <c r="G770" t="s">
        <v>41</v>
      </c>
      <c r="H770" t="s">
        <v>42</v>
      </c>
      <c r="I770">
        <v>12</v>
      </c>
      <c r="J770" s="3">
        <v>5351.59</v>
      </c>
      <c r="K770" s="3">
        <v>64219.08</v>
      </c>
      <c r="L770" t="s">
        <v>25</v>
      </c>
      <c r="M770" s="2">
        <v>45944</v>
      </c>
      <c r="N770" s="2">
        <v>45944</v>
      </c>
      <c r="O770" t="s">
        <v>76</v>
      </c>
      <c r="P770" t="s">
        <v>44</v>
      </c>
      <c r="Q770" t="s">
        <v>28</v>
      </c>
      <c r="R770" t="s">
        <v>29</v>
      </c>
      <c r="S770">
        <v>2025</v>
      </c>
      <c r="T770" t="s">
        <v>2753</v>
      </c>
      <c r="U770" t="s">
        <v>2754</v>
      </c>
      <c r="V770" s="4">
        <v>0</v>
      </c>
      <c r="W770" s="4">
        <v>1</v>
      </c>
    </row>
    <row r="771" spans="1:23">
      <c r="A771" t="s">
        <v>900</v>
      </c>
      <c r="B771" s="2">
        <v>46122</v>
      </c>
      <c r="C771" t="s">
        <v>107</v>
      </c>
      <c r="D771" t="s">
        <v>108</v>
      </c>
      <c r="E771" t="s">
        <v>31</v>
      </c>
      <c r="F771" t="s">
        <v>91</v>
      </c>
      <c r="G771" t="s">
        <v>109</v>
      </c>
      <c r="H771" t="s">
        <v>110</v>
      </c>
      <c r="I771">
        <v>1</v>
      </c>
      <c r="J771" s="3">
        <v>13247.47</v>
      </c>
      <c r="K771" s="3">
        <v>13247.47</v>
      </c>
      <c r="L771" t="s">
        <v>25</v>
      </c>
      <c r="M771" s="2">
        <v>46138</v>
      </c>
      <c r="N771" s="2">
        <v>46136</v>
      </c>
      <c r="O771" t="s">
        <v>43</v>
      </c>
      <c r="P771" t="s">
        <v>94</v>
      </c>
      <c r="Q771" t="s">
        <v>28</v>
      </c>
      <c r="R771" t="s">
        <v>29</v>
      </c>
      <c r="S771">
        <v>2026</v>
      </c>
      <c r="T771" t="s">
        <v>2741</v>
      </c>
      <c r="U771" t="s">
        <v>2770</v>
      </c>
      <c r="V771" s="4">
        <v>0</v>
      </c>
      <c r="W771" s="4">
        <v>1</v>
      </c>
    </row>
    <row r="772" spans="1:23">
      <c r="A772" t="s">
        <v>901</v>
      </c>
      <c r="B772" s="2">
        <v>45909</v>
      </c>
      <c r="C772" t="s">
        <v>142</v>
      </c>
      <c r="D772" t="s">
        <v>143</v>
      </c>
      <c r="E772" t="s">
        <v>73</v>
      </c>
      <c r="F772" t="s">
        <v>22</v>
      </c>
      <c r="G772" t="s">
        <v>32</v>
      </c>
      <c r="H772" t="s">
        <v>33</v>
      </c>
      <c r="I772">
        <v>8</v>
      </c>
      <c r="J772" s="3">
        <v>7818.02</v>
      </c>
      <c r="K772" s="3">
        <v>62544.160000000003</v>
      </c>
      <c r="L772" t="s">
        <v>25</v>
      </c>
      <c r="M772" s="2">
        <v>45927</v>
      </c>
      <c r="N772" s="2">
        <v>45924</v>
      </c>
      <c r="O772" t="s">
        <v>26</v>
      </c>
      <c r="P772" t="s">
        <v>77</v>
      </c>
      <c r="Q772" t="s">
        <v>28</v>
      </c>
      <c r="R772" t="s">
        <v>29</v>
      </c>
      <c r="S772">
        <v>2025</v>
      </c>
      <c r="T772" t="s">
        <v>2753</v>
      </c>
      <c r="U772" t="s">
        <v>2754</v>
      </c>
      <c r="V772" s="4">
        <v>0</v>
      </c>
      <c r="W772" s="4">
        <v>1</v>
      </c>
    </row>
    <row r="773" spans="1:23">
      <c r="A773" t="s">
        <v>902</v>
      </c>
      <c r="B773" s="2">
        <v>45877</v>
      </c>
      <c r="C773" t="s">
        <v>96</v>
      </c>
      <c r="D773" t="s">
        <v>97</v>
      </c>
      <c r="E773" t="s">
        <v>39</v>
      </c>
      <c r="F773" t="s">
        <v>82</v>
      </c>
      <c r="G773" t="s">
        <v>197</v>
      </c>
      <c r="H773" t="s">
        <v>198</v>
      </c>
      <c r="I773">
        <v>31</v>
      </c>
      <c r="J773" s="3">
        <v>2070.16</v>
      </c>
      <c r="K773" s="3">
        <v>64174.96</v>
      </c>
      <c r="L773" t="s">
        <v>34</v>
      </c>
      <c r="M773" s="2">
        <v>45893</v>
      </c>
      <c r="N773" s="2">
        <v>45890</v>
      </c>
      <c r="O773" t="s">
        <v>26</v>
      </c>
      <c r="P773" t="s">
        <v>44</v>
      </c>
      <c r="Q773" t="s">
        <v>28</v>
      </c>
      <c r="R773" t="s">
        <v>29</v>
      </c>
      <c r="S773">
        <v>2025</v>
      </c>
      <c r="T773" t="s">
        <v>2761</v>
      </c>
      <c r="U773" t="s">
        <v>2762</v>
      </c>
      <c r="V773" s="4">
        <v>0</v>
      </c>
      <c r="W773" s="4">
        <v>1</v>
      </c>
    </row>
    <row r="774" spans="1:23">
      <c r="A774" t="s">
        <v>903</v>
      </c>
      <c r="B774" s="2">
        <v>46153</v>
      </c>
      <c r="C774" t="s">
        <v>147</v>
      </c>
      <c r="D774" t="s">
        <v>148</v>
      </c>
      <c r="E774" t="s">
        <v>112</v>
      </c>
      <c r="F774" t="s">
        <v>40</v>
      </c>
      <c r="G774" t="s">
        <v>149</v>
      </c>
      <c r="H774" t="s">
        <v>150</v>
      </c>
      <c r="I774">
        <v>36</v>
      </c>
      <c r="J774" s="3">
        <v>1322.07</v>
      </c>
      <c r="K774" s="3">
        <v>47594.52</v>
      </c>
      <c r="L774" t="s">
        <v>25</v>
      </c>
      <c r="M774" s="2">
        <v>46170</v>
      </c>
      <c r="N774" s="2">
        <v>46168</v>
      </c>
      <c r="O774" t="s">
        <v>76</v>
      </c>
      <c r="P774" t="s">
        <v>115</v>
      </c>
      <c r="Q774" t="s">
        <v>28</v>
      </c>
      <c r="R774" t="s">
        <v>29</v>
      </c>
      <c r="S774">
        <v>2026</v>
      </c>
      <c r="T774" t="s">
        <v>2766</v>
      </c>
      <c r="U774" t="s">
        <v>2769</v>
      </c>
      <c r="V774" s="4">
        <v>0</v>
      </c>
      <c r="W774" s="4">
        <v>1</v>
      </c>
    </row>
    <row r="775" spans="1:23">
      <c r="A775" t="s">
        <v>904</v>
      </c>
      <c r="B775" s="2">
        <v>45882</v>
      </c>
      <c r="C775" t="s">
        <v>147</v>
      </c>
      <c r="D775" t="s">
        <v>148</v>
      </c>
      <c r="E775" t="s">
        <v>112</v>
      </c>
      <c r="F775" t="s">
        <v>40</v>
      </c>
      <c r="G775" t="s">
        <v>62</v>
      </c>
      <c r="H775" t="s">
        <v>63</v>
      </c>
      <c r="I775">
        <v>7</v>
      </c>
      <c r="J775" s="3">
        <v>17569.71</v>
      </c>
      <c r="K775" s="3">
        <v>122987.97</v>
      </c>
      <c r="L775" t="s">
        <v>34</v>
      </c>
      <c r="M775" s="2">
        <v>45888</v>
      </c>
      <c r="N775" s="2">
        <v>45886</v>
      </c>
      <c r="O775" t="s">
        <v>76</v>
      </c>
      <c r="P775" t="s">
        <v>115</v>
      </c>
      <c r="Q775" t="s">
        <v>28</v>
      </c>
      <c r="R775" t="s">
        <v>29</v>
      </c>
      <c r="S775">
        <v>2025</v>
      </c>
      <c r="T775" t="s">
        <v>2761</v>
      </c>
      <c r="U775" t="s">
        <v>2762</v>
      </c>
      <c r="V775" s="4">
        <v>0</v>
      </c>
      <c r="W775" s="4">
        <v>1</v>
      </c>
    </row>
    <row r="776" spans="1:23">
      <c r="A776" t="s">
        <v>905</v>
      </c>
      <c r="B776" s="2">
        <v>46158</v>
      </c>
      <c r="C776" t="s">
        <v>55</v>
      </c>
      <c r="D776" t="s">
        <v>56</v>
      </c>
      <c r="E776" t="s">
        <v>48</v>
      </c>
      <c r="F776" t="s">
        <v>57</v>
      </c>
      <c r="G776" t="s">
        <v>58</v>
      </c>
      <c r="H776" t="s">
        <v>59</v>
      </c>
      <c r="I776">
        <v>7</v>
      </c>
      <c r="J776" s="3">
        <v>61875.94</v>
      </c>
      <c r="K776" s="3">
        <v>433131.58</v>
      </c>
      <c r="L776" t="s">
        <v>25</v>
      </c>
      <c r="M776" s="2">
        <v>46163</v>
      </c>
      <c r="N776" s="2">
        <v>46161</v>
      </c>
      <c r="O776" t="s">
        <v>76</v>
      </c>
      <c r="P776" t="s">
        <v>53</v>
      </c>
      <c r="Q776" t="s">
        <v>28</v>
      </c>
      <c r="R776" t="s">
        <v>29</v>
      </c>
      <c r="S776">
        <v>2026</v>
      </c>
      <c r="T776" t="s">
        <v>2766</v>
      </c>
      <c r="U776" t="s">
        <v>2769</v>
      </c>
      <c r="V776" s="4">
        <v>0</v>
      </c>
      <c r="W776" s="4">
        <v>1</v>
      </c>
    </row>
    <row r="777" spans="1:23">
      <c r="A777" t="s">
        <v>906</v>
      </c>
      <c r="B777" s="2">
        <v>46093</v>
      </c>
      <c r="C777" t="s">
        <v>147</v>
      </c>
      <c r="D777" t="s">
        <v>148</v>
      </c>
      <c r="E777" t="s">
        <v>112</v>
      </c>
      <c r="F777" t="s">
        <v>40</v>
      </c>
      <c r="G777" t="s">
        <v>62</v>
      </c>
      <c r="H777" t="s">
        <v>63</v>
      </c>
      <c r="I777">
        <v>1</v>
      </c>
      <c r="J777" s="3">
        <v>17592.8</v>
      </c>
      <c r="K777" s="3">
        <v>17592.8</v>
      </c>
      <c r="L777" t="s">
        <v>34</v>
      </c>
      <c r="M777" s="2">
        <v>46102</v>
      </c>
      <c r="N777" s="2">
        <v>46101</v>
      </c>
      <c r="O777" t="s">
        <v>26</v>
      </c>
      <c r="P777" t="s">
        <v>115</v>
      </c>
      <c r="Q777" t="s">
        <v>28</v>
      </c>
      <c r="R777" t="s">
        <v>29</v>
      </c>
      <c r="S777">
        <v>2026</v>
      </c>
      <c r="T777" t="s">
        <v>2747</v>
      </c>
      <c r="U777" t="s">
        <v>2755</v>
      </c>
      <c r="V777" s="4">
        <v>0</v>
      </c>
      <c r="W777" s="4">
        <v>1</v>
      </c>
    </row>
    <row r="778" spans="1:23">
      <c r="A778" t="s">
        <v>907</v>
      </c>
      <c r="B778" s="2">
        <v>45995</v>
      </c>
      <c r="C778" t="s">
        <v>37</v>
      </c>
      <c r="D778" t="s">
        <v>38</v>
      </c>
      <c r="E778" t="s">
        <v>31</v>
      </c>
      <c r="F778" t="s">
        <v>22</v>
      </c>
      <c r="G778" t="s">
        <v>23</v>
      </c>
      <c r="H778" t="s">
        <v>24</v>
      </c>
      <c r="I778">
        <v>50</v>
      </c>
      <c r="J778" s="3">
        <v>253.79</v>
      </c>
      <c r="K778" s="3">
        <v>12689.5</v>
      </c>
      <c r="L778" t="s">
        <v>34</v>
      </c>
      <c r="M778" s="2">
        <v>46005</v>
      </c>
      <c r="N778" s="2">
        <v>46005</v>
      </c>
      <c r="O778" t="s">
        <v>26</v>
      </c>
      <c r="P778" t="s">
        <v>35</v>
      </c>
      <c r="Q778" t="s">
        <v>28</v>
      </c>
      <c r="R778" t="s">
        <v>29</v>
      </c>
      <c r="S778">
        <v>2025</v>
      </c>
      <c r="T778" t="s">
        <v>2745</v>
      </c>
      <c r="U778" t="s">
        <v>2746</v>
      </c>
      <c r="V778" s="4">
        <v>0</v>
      </c>
      <c r="W778" s="4">
        <v>1</v>
      </c>
    </row>
    <row r="779" spans="1:23">
      <c r="A779" t="s">
        <v>908</v>
      </c>
      <c r="B779" s="2">
        <v>45892</v>
      </c>
      <c r="C779" t="s">
        <v>134</v>
      </c>
      <c r="D779" t="s">
        <v>135</v>
      </c>
      <c r="E779" t="s">
        <v>39</v>
      </c>
      <c r="F779" t="s">
        <v>40</v>
      </c>
      <c r="G779" t="s">
        <v>136</v>
      </c>
      <c r="H779" t="s">
        <v>137</v>
      </c>
      <c r="I779">
        <v>20</v>
      </c>
      <c r="J779" s="3">
        <v>1666.11</v>
      </c>
      <c r="K779" s="3">
        <v>33322.199999999997</v>
      </c>
      <c r="L779" t="s">
        <v>34</v>
      </c>
      <c r="M779" s="2">
        <v>45897</v>
      </c>
      <c r="N779" s="2">
        <v>45899</v>
      </c>
      <c r="O779" t="s">
        <v>43</v>
      </c>
      <c r="P779" t="s">
        <v>44</v>
      </c>
      <c r="Q779" t="s">
        <v>28</v>
      </c>
      <c r="R779" t="s">
        <v>129</v>
      </c>
      <c r="S779">
        <v>2025</v>
      </c>
      <c r="T779" t="s">
        <v>2761</v>
      </c>
      <c r="U779" t="s">
        <v>2762</v>
      </c>
      <c r="V779" s="4">
        <v>2</v>
      </c>
      <c r="W779" s="4">
        <v>0</v>
      </c>
    </row>
    <row r="780" spans="1:23">
      <c r="A780" t="s">
        <v>909</v>
      </c>
      <c r="B780" s="2">
        <v>46154</v>
      </c>
      <c r="C780" t="s">
        <v>19</v>
      </c>
      <c r="D780" t="s">
        <v>20</v>
      </c>
      <c r="E780" t="s">
        <v>21</v>
      </c>
      <c r="F780" t="s">
        <v>22</v>
      </c>
      <c r="G780" t="s">
        <v>23</v>
      </c>
      <c r="H780" t="s">
        <v>24</v>
      </c>
      <c r="I780">
        <v>7</v>
      </c>
      <c r="J780" s="3">
        <v>232.85</v>
      </c>
      <c r="K780" s="3">
        <v>1629.95</v>
      </c>
      <c r="L780" t="s">
        <v>34</v>
      </c>
      <c r="M780" s="2">
        <v>46163</v>
      </c>
      <c r="N780" s="2">
        <v>46160</v>
      </c>
      <c r="O780" t="s">
        <v>26</v>
      </c>
      <c r="P780" t="s">
        <v>27</v>
      </c>
      <c r="Q780" t="s">
        <v>28</v>
      </c>
      <c r="R780" t="s">
        <v>29</v>
      </c>
      <c r="S780">
        <v>2026</v>
      </c>
      <c r="T780" t="s">
        <v>2766</v>
      </c>
      <c r="U780" t="s">
        <v>2769</v>
      </c>
      <c r="V780" s="4">
        <v>0</v>
      </c>
      <c r="W780" s="4">
        <v>1</v>
      </c>
    </row>
    <row r="781" spans="1:23">
      <c r="A781" t="s">
        <v>910</v>
      </c>
      <c r="B781" s="2">
        <v>45744</v>
      </c>
      <c r="C781" t="s">
        <v>142</v>
      </c>
      <c r="D781" t="s">
        <v>143</v>
      </c>
      <c r="E781" t="s">
        <v>31</v>
      </c>
      <c r="F781" t="s">
        <v>22</v>
      </c>
      <c r="G781" t="s">
        <v>32</v>
      </c>
      <c r="H781" t="s">
        <v>33</v>
      </c>
      <c r="I781">
        <v>14</v>
      </c>
      <c r="J781" s="3">
        <v>7498.35</v>
      </c>
      <c r="K781" s="3">
        <v>104976.9</v>
      </c>
      <c r="L781" t="s">
        <v>25</v>
      </c>
      <c r="M781" s="2">
        <v>45757</v>
      </c>
      <c r="N781" s="2">
        <v>45756</v>
      </c>
      <c r="O781" t="s">
        <v>60</v>
      </c>
      <c r="P781" t="s">
        <v>94</v>
      </c>
      <c r="Q781" t="s">
        <v>28</v>
      </c>
      <c r="R781" t="s">
        <v>29</v>
      </c>
      <c r="S781">
        <v>2025</v>
      </c>
      <c r="T781" t="s">
        <v>2747</v>
      </c>
      <c r="U781" t="s">
        <v>2748</v>
      </c>
      <c r="V781" s="4">
        <v>0</v>
      </c>
      <c r="W781" s="4">
        <v>1</v>
      </c>
    </row>
    <row r="782" spans="1:23">
      <c r="A782" t="s">
        <v>911</v>
      </c>
      <c r="B782" s="2">
        <v>45977</v>
      </c>
      <c r="C782" t="s">
        <v>55</v>
      </c>
      <c r="D782" t="s">
        <v>56</v>
      </c>
      <c r="E782" t="s">
        <v>73</v>
      </c>
      <c r="F782" t="s">
        <v>57</v>
      </c>
      <c r="G782" t="s">
        <v>101</v>
      </c>
      <c r="H782" t="s">
        <v>102</v>
      </c>
      <c r="I782">
        <v>11</v>
      </c>
      <c r="J782" s="3">
        <v>2000.6</v>
      </c>
      <c r="K782" s="3">
        <v>22006.6</v>
      </c>
      <c r="L782" t="s">
        <v>25</v>
      </c>
      <c r="M782" s="2">
        <v>45986</v>
      </c>
      <c r="N782" s="2">
        <v>45983</v>
      </c>
      <c r="O782" t="s">
        <v>60</v>
      </c>
      <c r="P782" t="s">
        <v>77</v>
      </c>
      <c r="Q782" t="s">
        <v>28</v>
      </c>
      <c r="R782" t="s">
        <v>29</v>
      </c>
      <c r="S782">
        <v>2025</v>
      </c>
      <c r="T782" t="s">
        <v>2763</v>
      </c>
      <c r="U782" t="s">
        <v>2764</v>
      </c>
      <c r="V782" s="4">
        <v>0</v>
      </c>
      <c r="W782" s="4">
        <v>1</v>
      </c>
    </row>
    <row r="783" spans="1:23">
      <c r="A783" t="s">
        <v>912</v>
      </c>
      <c r="B783" s="2">
        <v>45943</v>
      </c>
      <c r="C783" t="s">
        <v>104</v>
      </c>
      <c r="D783" t="s">
        <v>105</v>
      </c>
      <c r="E783" t="s">
        <v>112</v>
      </c>
      <c r="F783" t="s">
        <v>49</v>
      </c>
      <c r="G783" t="s">
        <v>50</v>
      </c>
      <c r="H783" t="s">
        <v>51</v>
      </c>
      <c r="I783">
        <v>2</v>
      </c>
      <c r="J783" s="3">
        <v>54567.96</v>
      </c>
      <c r="K783" s="3">
        <v>109135.92</v>
      </c>
      <c r="L783" t="s">
        <v>25</v>
      </c>
      <c r="M783" s="2">
        <v>45953</v>
      </c>
      <c r="N783" s="2">
        <v>45953</v>
      </c>
      <c r="O783" t="s">
        <v>43</v>
      </c>
      <c r="P783" t="s">
        <v>115</v>
      </c>
      <c r="Q783" t="s">
        <v>28</v>
      </c>
      <c r="R783" t="s">
        <v>29</v>
      </c>
      <c r="S783">
        <v>2025</v>
      </c>
      <c r="T783" t="s">
        <v>2749</v>
      </c>
      <c r="U783" t="s">
        <v>2750</v>
      </c>
      <c r="V783" s="4">
        <v>0</v>
      </c>
      <c r="W783" s="4">
        <v>1</v>
      </c>
    </row>
    <row r="784" spans="1:23">
      <c r="A784" t="s">
        <v>913</v>
      </c>
      <c r="B784" s="2">
        <v>45895</v>
      </c>
      <c r="C784" t="s">
        <v>89</v>
      </c>
      <c r="D784" t="s">
        <v>90</v>
      </c>
      <c r="E784" t="s">
        <v>31</v>
      </c>
      <c r="F784" t="s">
        <v>91</v>
      </c>
      <c r="G784" t="s">
        <v>109</v>
      </c>
      <c r="H784" t="s">
        <v>110</v>
      </c>
      <c r="I784">
        <v>1</v>
      </c>
      <c r="J784" s="3">
        <v>12910.89</v>
      </c>
      <c r="K784" s="3">
        <v>12910.89</v>
      </c>
      <c r="L784" t="s">
        <v>52</v>
      </c>
      <c r="M784" s="2">
        <v>45901</v>
      </c>
      <c r="N784" s="2">
        <v>45900</v>
      </c>
      <c r="O784" t="s">
        <v>60</v>
      </c>
      <c r="P784" t="s">
        <v>94</v>
      </c>
      <c r="Q784" t="s">
        <v>28</v>
      </c>
      <c r="R784" t="s">
        <v>29</v>
      </c>
      <c r="S784">
        <v>2025</v>
      </c>
      <c r="T784" t="s">
        <v>2761</v>
      </c>
      <c r="U784" t="s">
        <v>2762</v>
      </c>
      <c r="V784" s="4">
        <v>0</v>
      </c>
      <c r="W784" s="4">
        <v>1</v>
      </c>
    </row>
    <row r="785" spans="1:23">
      <c r="A785" t="s">
        <v>914</v>
      </c>
      <c r="B785" s="2">
        <v>45743</v>
      </c>
      <c r="C785" t="s">
        <v>71</v>
      </c>
      <c r="D785" t="s">
        <v>72</v>
      </c>
      <c r="E785" t="s">
        <v>31</v>
      </c>
      <c r="F785" t="s">
        <v>57</v>
      </c>
      <c r="G785" t="s">
        <v>127</v>
      </c>
      <c r="H785" t="s">
        <v>128</v>
      </c>
      <c r="I785">
        <v>4</v>
      </c>
      <c r="J785" s="3">
        <v>15456.13</v>
      </c>
      <c r="K785" s="3">
        <v>61824.52</v>
      </c>
      <c r="L785" t="s">
        <v>25</v>
      </c>
      <c r="M785" s="2">
        <v>45748</v>
      </c>
      <c r="N785" s="2">
        <v>45746</v>
      </c>
      <c r="O785" t="s">
        <v>76</v>
      </c>
      <c r="P785" t="s">
        <v>94</v>
      </c>
      <c r="Q785" t="s">
        <v>28</v>
      </c>
      <c r="R785" t="s">
        <v>29</v>
      </c>
      <c r="S785">
        <v>2025</v>
      </c>
      <c r="T785" t="s">
        <v>2747</v>
      </c>
      <c r="U785" t="s">
        <v>2748</v>
      </c>
      <c r="V785" s="4">
        <v>0</v>
      </c>
      <c r="W785" s="4">
        <v>1</v>
      </c>
    </row>
    <row r="786" spans="1:23">
      <c r="A786" t="s">
        <v>915</v>
      </c>
      <c r="B786" s="2">
        <v>45695</v>
      </c>
      <c r="C786" t="s">
        <v>55</v>
      </c>
      <c r="D786" t="s">
        <v>56</v>
      </c>
      <c r="E786" t="s">
        <v>31</v>
      </c>
      <c r="F786" t="s">
        <v>57</v>
      </c>
      <c r="G786" t="s">
        <v>101</v>
      </c>
      <c r="H786" t="s">
        <v>102</v>
      </c>
      <c r="I786">
        <v>40</v>
      </c>
      <c r="J786" s="3">
        <v>1955.7</v>
      </c>
      <c r="K786" s="3">
        <v>78228</v>
      </c>
      <c r="L786" t="s">
        <v>25</v>
      </c>
      <c r="M786" s="2">
        <v>45712</v>
      </c>
      <c r="N786" s="2">
        <v>45709</v>
      </c>
      <c r="O786" t="s">
        <v>26</v>
      </c>
      <c r="P786" t="s">
        <v>35</v>
      </c>
      <c r="Q786" t="s">
        <v>28</v>
      </c>
      <c r="R786" t="s">
        <v>29</v>
      </c>
      <c r="S786">
        <v>2025</v>
      </c>
      <c r="T786" t="s">
        <v>2751</v>
      </c>
      <c r="U786" t="s">
        <v>2752</v>
      </c>
      <c r="V786" s="4">
        <v>0</v>
      </c>
      <c r="W786" s="4">
        <v>1</v>
      </c>
    </row>
    <row r="787" spans="1:23">
      <c r="A787" t="s">
        <v>916</v>
      </c>
      <c r="B787" s="2">
        <v>46184</v>
      </c>
      <c r="C787" t="s">
        <v>71</v>
      </c>
      <c r="D787" t="s">
        <v>72</v>
      </c>
      <c r="E787" t="s">
        <v>48</v>
      </c>
      <c r="F787" t="s">
        <v>57</v>
      </c>
      <c r="G787" t="s">
        <v>101</v>
      </c>
      <c r="H787" t="s">
        <v>102</v>
      </c>
      <c r="I787">
        <v>13</v>
      </c>
      <c r="J787" s="3">
        <v>1627.9</v>
      </c>
      <c r="K787" s="3">
        <v>21162.7</v>
      </c>
      <c r="L787" t="s">
        <v>34</v>
      </c>
      <c r="M787" s="2">
        <v>46201</v>
      </c>
      <c r="N787" s="2">
        <v>46211</v>
      </c>
      <c r="O787" t="s">
        <v>26</v>
      </c>
      <c r="P787" t="s">
        <v>53</v>
      </c>
      <c r="Q787" t="s">
        <v>28</v>
      </c>
      <c r="R787" t="s">
        <v>129</v>
      </c>
      <c r="S787">
        <v>2026</v>
      </c>
      <c r="T787" t="s">
        <v>2743</v>
      </c>
      <c r="U787" t="s">
        <v>2744</v>
      </c>
      <c r="V787" s="4">
        <v>10</v>
      </c>
      <c r="W787" s="4">
        <v>0</v>
      </c>
    </row>
    <row r="788" spans="1:23">
      <c r="A788" t="s">
        <v>917</v>
      </c>
      <c r="B788" s="2">
        <v>45774</v>
      </c>
      <c r="C788" t="s">
        <v>37</v>
      </c>
      <c r="D788" t="s">
        <v>38</v>
      </c>
      <c r="E788" t="s">
        <v>73</v>
      </c>
      <c r="F788" t="s">
        <v>22</v>
      </c>
      <c r="G788" t="s">
        <v>32</v>
      </c>
      <c r="H788" t="s">
        <v>33</v>
      </c>
      <c r="I788">
        <v>12</v>
      </c>
      <c r="J788" s="3">
        <v>8378.11</v>
      </c>
      <c r="K788" s="3">
        <v>100537.32</v>
      </c>
      <c r="L788" t="s">
        <v>25</v>
      </c>
      <c r="M788" s="2">
        <v>45792</v>
      </c>
      <c r="N788" s="2">
        <v>45789</v>
      </c>
      <c r="O788" t="s">
        <v>43</v>
      </c>
      <c r="P788" t="s">
        <v>77</v>
      </c>
      <c r="Q788" t="s">
        <v>28</v>
      </c>
      <c r="R788" t="s">
        <v>29</v>
      </c>
      <c r="S788">
        <v>2025</v>
      </c>
      <c r="T788" t="s">
        <v>2741</v>
      </c>
      <c r="U788" t="s">
        <v>2742</v>
      </c>
      <c r="V788" s="4">
        <v>0</v>
      </c>
      <c r="W788" s="4">
        <v>1</v>
      </c>
    </row>
    <row r="789" spans="1:23">
      <c r="A789" t="s">
        <v>918</v>
      </c>
      <c r="B789" s="2">
        <v>45959</v>
      </c>
      <c r="C789" t="s">
        <v>134</v>
      </c>
      <c r="D789" t="s">
        <v>135</v>
      </c>
      <c r="E789" t="s">
        <v>112</v>
      </c>
      <c r="F789" t="s">
        <v>40</v>
      </c>
      <c r="G789" t="s">
        <v>136</v>
      </c>
      <c r="H789" t="s">
        <v>137</v>
      </c>
      <c r="I789">
        <v>46</v>
      </c>
      <c r="J789" s="3">
        <v>1639.19</v>
      </c>
      <c r="K789" s="3">
        <v>75402.740000000005</v>
      </c>
      <c r="L789" t="s">
        <v>34</v>
      </c>
      <c r="M789" s="2">
        <v>45966</v>
      </c>
      <c r="N789" s="2">
        <v>45965</v>
      </c>
      <c r="O789" t="s">
        <v>76</v>
      </c>
      <c r="P789" t="s">
        <v>115</v>
      </c>
      <c r="Q789" t="s">
        <v>28</v>
      </c>
      <c r="R789" t="s">
        <v>29</v>
      </c>
      <c r="S789">
        <v>2025</v>
      </c>
      <c r="T789" t="s">
        <v>2749</v>
      </c>
      <c r="U789" t="s">
        <v>2750</v>
      </c>
      <c r="V789" s="4">
        <v>0</v>
      </c>
      <c r="W789" s="4">
        <v>1</v>
      </c>
    </row>
    <row r="790" spans="1:23">
      <c r="A790" t="s">
        <v>919</v>
      </c>
      <c r="B790" s="2">
        <v>46141</v>
      </c>
      <c r="C790" t="s">
        <v>104</v>
      </c>
      <c r="D790" t="s">
        <v>105</v>
      </c>
      <c r="E790" t="s">
        <v>112</v>
      </c>
      <c r="F790" t="s">
        <v>49</v>
      </c>
      <c r="G790" t="s">
        <v>50</v>
      </c>
      <c r="H790" t="s">
        <v>51</v>
      </c>
      <c r="I790">
        <v>2</v>
      </c>
      <c r="J790" s="3">
        <v>53266.58</v>
      </c>
      <c r="K790" s="3">
        <v>106533.16</v>
      </c>
      <c r="L790" t="s">
        <v>25</v>
      </c>
      <c r="M790" s="2">
        <v>46146</v>
      </c>
      <c r="N790" s="2">
        <v>46145</v>
      </c>
      <c r="O790" t="s">
        <v>43</v>
      </c>
      <c r="P790" t="s">
        <v>115</v>
      </c>
      <c r="Q790" t="s">
        <v>28</v>
      </c>
      <c r="R790" t="s">
        <v>29</v>
      </c>
      <c r="S790">
        <v>2026</v>
      </c>
      <c r="T790" t="s">
        <v>2741</v>
      </c>
      <c r="U790" t="s">
        <v>2770</v>
      </c>
      <c r="V790" s="4">
        <v>0</v>
      </c>
      <c r="W790" s="4">
        <v>1</v>
      </c>
    </row>
    <row r="791" spans="1:23">
      <c r="A791" t="s">
        <v>920</v>
      </c>
      <c r="B791" s="2">
        <v>45977</v>
      </c>
      <c r="C791" t="s">
        <v>142</v>
      </c>
      <c r="D791" t="s">
        <v>143</v>
      </c>
      <c r="E791" t="s">
        <v>39</v>
      </c>
      <c r="F791" t="s">
        <v>22</v>
      </c>
      <c r="G791" t="s">
        <v>32</v>
      </c>
      <c r="H791" t="s">
        <v>33</v>
      </c>
      <c r="I791">
        <v>10</v>
      </c>
      <c r="J791" s="3">
        <v>7554.49</v>
      </c>
      <c r="K791" s="3">
        <v>75544.899999999994</v>
      </c>
      <c r="L791" t="s">
        <v>25</v>
      </c>
      <c r="M791" s="2">
        <v>45989</v>
      </c>
      <c r="N791" s="2">
        <v>45989</v>
      </c>
      <c r="O791" t="s">
        <v>26</v>
      </c>
      <c r="P791" t="s">
        <v>44</v>
      </c>
      <c r="Q791" t="s">
        <v>28</v>
      </c>
      <c r="R791" t="s">
        <v>29</v>
      </c>
      <c r="S791">
        <v>2025</v>
      </c>
      <c r="T791" t="s">
        <v>2763</v>
      </c>
      <c r="U791" t="s">
        <v>2764</v>
      </c>
      <c r="V791" s="4">
        <v>0</v>
      </c>
      <c r="W791" s="4">
        <v>1</v>
      </c>
    </row>
    <row r="792" spans="1:23">
      <c r="A792" t="s">
        <v>921</v>
      </c>
      <c r="B792" s="2">
        <v>45939</v>
      </c>
      <c r="C792" t="s">
        <v>134</v>
      </c>
      <c r="D792" t="s">
        <v>135</v>
      </c>
      <c r="E792" t="s">
        <v>112</v>
      </c>
      <c r="F792" t="s">
        <v>40</v>
      </c>
      <c r="G792" t="s">
        <v>136</v>
      </c>
      <c r="H792" t="s">
        <v>137</v>
      </c>
      <c r="I792">
        <v>21</v>
      </c>
      <c r="J792" s="3">
        <v>1697.9</v>
      </c>
      <c r="K792" s="3">
        <v>35655.9</v>
      </c>
      <c r="L792" t="s">
        <v>25</v>
      </c>
      <c r="M792" s="2">
        <v>45952</v>
      </c>
      <c r="N792" s="2">
        <v>45951</v>
      </c>
      <c r="O792" t="s">
        <v>26</v>
      </c>
      <c r="P792" t="s">
        <v>115</v>
      </c>
      <c r="Q792" t="s">
        <v>28</v>
      </c>
      <c r="R792" t="s">
        <v>29</v>
      </c>
      <c r="S792">
        <v>2025</v>
      </c>
      <c r="T792" t="s">
        <v>2749</v>
      </c>
      <c r="U792" t="s">
        <v>2750</v>
      </c>
      <c r="V792" s="4">
        <v>0</v>
      </c>
      <c r="W792" s="4">
        <v>1</v>
      </c>
    </row>
    <row r="793" spans="1:23">
      <c r="A793" t="s">
        <v>922</v>
      </c>
      <c r="B793" s="2">
        <v>45879</v>
      </c>
      <c r="C793" t="s">
        <v>37</v>
      </c>
      <c r="D793" t="s">
        <v>38</v>
      </c>
      <c r="E793" t="s">
        <v>21</v>
      </c>
      <c r="F793" t="s">
        <v>22</v>
      </c>
      <c r="G793" t="s">
        <v>23</v>
      </c>
      <c r="H793" t="s">
        <v>24</v>
      </c>
      <c r="I793">
        <v>54</v>
      </c>
      <c r="J793" s="3">
        <v>265.52</v>
      </c>
      <c r="K793" s="3">
        <v>14338.08</v>
      </c>
      <c r="L793" t="s">
        <v>52</v>
      </c>
      <c r="M793" s="2">
        <v>45890</v>
      </c>
      <c r="N793" s="2">
        <v>45888</v>
      </c>
      <c r="O793" t="s">
        <v>60</v>
      </c>
      <c r="P793" t="s">
        <v>27</v>
      </c>
      <c r="Q793" t="s">
        <v>28</v>
      </c>
      <c r="R793" t="s">
        <v>29</v>
      </c>
      <c r="S793">
        <v>2025</v>
      </c>
      <c r="T793" t="s">
        <v>2761</v>
      </c>
      <c r="U793" t="s">
        <v>2762</v>
      </c>
      <c r="V793" s="4">
        <v>0</v>
      </c>
      <c r="W793" s="4">
        <v>1</v>
      </c>
    </row>
    <row r="794" spans="1:23">
      <c r="A794" t="s">
        <v>923</v>
      </c>
      <c r="B794" s="2">
        <v>45830</v>
      </c>
      <c r="C794" t="s">
        <v>37</v>
      </c>
      <c r="D794" t="s">
        <v>38</v>
      </c>
      <c r="E794" t="s">
        <v>39</v>
      </c>
      <c r="F794" t="s">
        <v>22</v>
      </c>
      <c r="G794" t="s">
        <v>23</v>
      </c>
      <c r="H794" t="s">
        <v>24</v>
      </c>
      <c r="I794">
        <v>14</v>
      </c>
      <c r="J794" s="3">
        <v>266.17</v>
      </c>
      <c r="K794" s="3">
        <v>3726.38</v>
      </c>
      <c r="L794" t="s">
        <v>25</v>
      </c>
      <c r="M794" s="2">
        <v>45837</v>
      </c>
      <c r="N794" s="2">
        <v>45837</v>
      </c>
      <c r="O794" t="s">
        <v>43</v>
      </c>
      <c r="P794" t="s">
        <v>64</v>
      </c>
      <c r="Q794" t="s">
        <v>28</v>
      </c>
      <c r="R794" t="s">
        <v>29</v>
      </c>
      <c r="S794">
        <v>2025</v>
      </c>
      <c r="T794" t="s">
        <v>2743</v>
      </c>
      <c r="U794" t="s">
        <v>2756</v>
      </c>
      <c r="V794" s="4">
        <v>0</v>
      </c>
      <c r="W794" s="4">
        <v>1</v>
      </c>
    </row>
    <row r="795" spans="1:23">
      <c r="A795" t="s">
        <v>924</v>
      </c>
      <c r="B795" s="2">
        <v>46093</v>
      </c>
      <c r="C795" t="s">
        <v>55</v>
      </c>
      <c r="D795" t="s">
        <v>56</v>
      </c>
      <c r="E795" t="s">
        <v>21</v>
      </c>
      <c r="F795" t="s">
        <v>57</v>
      </c>
      <c r="G795" t="s">
        <v>101</v>
      </c>
      <c r="H795" t="s">
        <v>102</v>
      </c>
      <c r="I795">
        <v>54</v>
      </c>
      <c r="J795" s="3">
        <v>1988.79</v>
      </c>
      <c r="K795" s="3">
        <v>107394.66</v>
      </c>
      <c r="L795" t="s">
        <v>25</v>
      </c>
      <c r="M795" s="2">
        <v>46104</v>
      </c>
      <c r="N795" s="2">
        <v>46102</v>
      </c>
      <c r="O795" t="s">
        <v>76</v>
      </c>
      <c r="P795" t="s">
        <v>27</v>
      </c>
      <c r="Q795" t="s">
        <v>28</v>
      </c>
      <c r="R795" t="s">
        <v>29</v>
      </c>
      <c r="S795">
        <v>2026</v>
      </c>
      <c r="T795" t="s">
        <v>2747</v>
      </c>
      <c r="U795" t="s">
        <v>2755</v>
      </c>
      <c r="V795" s="4">
        <v>0</v>
      </c>
      <c r="W795" s="4">
        <v>1</v>
      </c>
    </row>
    <row r="796" spans="1:23">
      <c r="A796" t="s">
        <v>925</v>
      </c>
      <c r="B796" s="2">
        <v>45942</v>
      </c>
      <c r="C796" t="s">
        <v>46</v>
      </c>
      <c r="D796" t="s">
        <v>47</v>
      </c>
      <c r="E796" t="s">
        <v>48</v>
      </c>
      <c r="F796" t="s">
        <v>49</v>
      </c>
      <c r="G796" t="s">
        <v>68</v>
      </c>
      <c r="H796" t="s">
        <v>69</v>
      </c>
      <c r="I796">
        <v>1</v>
      </c>
      <c r="J796" s="3">
        <v>49992.07</v>
      </c>
      <c r="K796" s="3">
        <v>49992.07</v>
      </c>
      <c r="L796" t="s">
        <v>25</v>
      </c>
      <c r="M796" s="2">
        <v>45955</v>
      </c>
      <c r="N796" s="2">
        <v>45953</v>
      </c>
      <c r="O796" t="s">
        <v>76</v>
      </c>
      <c r="P796" t="s">
        <v>53</v>
      </c>
      <c r="Q796" t="s">
        <v>28</v>
      </c>
      <c r="R796" t="s">
        <v>29</v>
      </c>
      <c r="S796">
        <v>2025</v>
      </c>
      <c r="T796" t="s">
        <v>2749</v>
      </c>
      <c r="U796" t="s">
        <v>2750</v>
      </c>
      <c r="V796" s="4">
        <v>0</v>
      </c>
      <c r="W796" s="4">
        <v>1</v>
      </c>
    </row>
    <row r="797" spans="1:23">
      <c r="A797" t="s">
        <v>926</v>
      </c>
      <c r="B797" s="2">
        <v>45876</v>
      </c>
      <c r="C797" t="s">
        <v>142</v>
      </c>
      <c r="D797" t="s">
        <v>143</v>
      </c>
      <c r="E797" t="s">
        <v>112</v>
      </c>
      <c r="F797" t="s">
        <v>22</v>
      </c>
      <c r="G797" t="s">
        <v>160</v>
      </c>
      <c r="H797" t="s">
        <v>161</v>
      </c>
      <c r="I797">
        <v>1</v>
      </c>
      <c r="J797" s="3">
        <v>3485.87</v>
      </c>
      <c r="K797" s="3">
        <v>3485.87</v>
      </c>
      <c r="L797" t="s">
        <v>25</v>
      </c>
      <c r="M797" s="2">
        <v>45884</v>
      </c>
      <c r="N797" s="2">
        <v>45883</v>
      </c>
      <c r="O797" t="s">
        <v>76</v>
      </c>
      <c r="P797" t="s">
        <v>115</v>
      </c>
      <c r="Q797" t="s">
        <v>28</v>
      </c>
      <c r="R797" t="s">
        <v>29</v>
      </c>
      <c r="S797">
        <v>2025</v>
      </c>
      <c r="T797" t="s">
        <v>2761</v>
      </c>
      <c r="U797" t="s">
        <v>2762</v>
      </c>
      <c r="V797" s="4">
        <v>0</v>
      </c>
      <c r="W797" s="4">
        <v>1</v>
      </c>
    </row>
    <row r="798" spans="1:23">
      <c r="A798" t="s">
        <v>927</v>
      </c>
      <c r="B798" s="2">
        <v>45917</v>
      </c>
      <c r="C798" t="s">
        <v>134</v>
      </c>
      <c r="D798" t="s">
        <v>135</v>
      </c>
      <c r="E798" t="s">
        <v>39</v>
      </c>
      <c r="F798" t="s">
        <v>40</v>
      </c>
      <c r="G798" t="s">
        <v>41</v>
      </c>
      <c r="H798" t="s">
        <v>42</v>
      </c>
      <c r="I798">
        <v>7</v>
      </c>
      <c r="J798" s="3">
        <v>5495.85</v>
      </c>
      <c r="K798" s="3">
        <v>38470.949999999997</v>
      </c>
      <c r="L798" t="s">
        <v>25</v>
      </c>
      <c r="M798" s="2">
        <v>45922</v>
      </c>
      <c r="N798" s="2">
        <v>45920</v>
      </c>
      <c r="O798" t="s">
        <v>43</v>
      </c>
      <c r="P798" t="s">
        <v>64</v>
      </c>
      <c r="Q798" t="s">
        <v>28</v>
      </c>
      <c r="R798" t="s">
        <v>29</v>
      </c>
      <c r="S798">
        <v>2025</v>
      </c>
      <c r="T798" t="s">
        <v>2753</v>
      </c>
      <c r="U798" t="s">
        <v>2754</v>
      </c>
      <c r="V798" s="4">
        <v>0</v>
      </c>
      <c r="W798" s="4">
        <v>1</v>
      </c>
    </row>
    <row r="799" spans="1:23">
      <c r="A799" t="s">
        <v>928</v>
      </c>
      <c r="B799" s="2">
        <v>46123</v>
      </c>
      <c r="C799" t="s">
        <v>37</v>
      </c>
      <c r="D799" t="s">
        <v>38</v>
      </c>
      <c r="E799" t="s">
        <v>31</v>
      </c>
      <c r="F799" t="s">
        <v>22</v>
      </c>
      <c r="G799" t="s">
        <v>32</v>
      </c>
      <c r="H799" t="s">
        <v>33</v>
      </c>
      <c r="I799">
        <v>1</v>
      </c>
      <c r="J799" s="3">
        <v>8040.85</v>
      </c>
      <c r="K799" s="3">
        <v>8040.85</v>
      </c>
      <c r="L799" t="s">
        <v>34</v>
      </c>
      <c r="M799" s="2">
        <v>46137</v>
      </c>
      <c r="N799" s="2">
        <v>46136</v>
      </c>
      <c r="O799" t="s">
        <v>26</v>
      </c>
      <c r="P799" t="s">
        <v>94</v>
      </c>
      <c r="Q799" t="s">
        <v>28</v>
      </c>
      <c r="R799" t="s">
        <v>29</v>
      </c>
      <c r="S799">
        <v>2026</v>
      </c>
      <c r="T799" t="s">
        <v>2741</v>
      </c>
      <c r="U799" t="s">
        <v>2770</v>
      </c>
      <c r="V799" s="4">
        <v>0</v>
      </c>
      <c r="W799" s="4">
        <v>1</v>
      </c>
    </row>
    <row r="800" spans="1:23">
      <c r="A800" t="s">
        <v>929</v>
      </c>
      <c r="B800" s="2">
        <v>45742</v>
      </c>
      <c r="C800" t="s">
        <v>71</v>
      </c>
      <c r="D800" t="s">
        <v>72</v>
      </c>
      <c r="E800" t="s">
        <v>48</v>
      </c>
      <c r="F800" t="s">
        <v>57</v>
      </c>
      <c r="G800" t="s">
        <v>74</v>
      </c>
      <c r="H800" t="s">
        <v>75</v>
      </c>
      <c r="I800">
        <v>2</v>
      </c>
      <c r="J800" s="3">
        <v>7820.47</v>
      </c>
      <c r="K800" s="3">
        <v>15640.94</v>
      </c>
      <c r="L800" t="s">
        <v>34</v>
      </c>
      <c r="M800" s="2">
        <v>45760</v>
      </c>
      <c r="N800" s="2">
        <v>45759</v>
      </c>
      <c r="O800" t="s">
        <v>43</v>
      </c>
      <c r="P800" t="s">
        <v>53</v>
      </c>
      <c r="Q800" t="s">
        <v>28</v>
      </c>
      <c r="R800" t="s">
        <v>29</v>
      </c>
      <c r="S800">
        <v>2025</v>
      </c>
      <c r="T800" t="s">
        <v>2747</v>
      </c>
      <c r="U800" t="s">
        <v>2748</v>
      </c>
      <c r="V800" s="4">
        <v>0</v>
      </c>
      <c r="W800" s="4">
        <v>1</v>
      </c>
    </row>
    <row r="801" spans="1:23">
      <c r="A801" t="s">
        <v>930</v>
      </c>
      <c r="B801" s="2">
        <v>46033</v>
      </c>
      <c r="C801" t="s">
        <v>147</v>
      </c>
      <c r="D801" t="s">
        <v>148</v>
      </c>
      <c r="E801" t="s">
        <v>112</v>
      </c>
      <c r="F801" t="s">
        <v>40</v>
      </c>
      <c r="G801" t="s">
        <v>62</v>
      </c>
      <c r="H801" t="s">
        <v>63</v>
      </c>
      <c r="I801">
        <v>2</v>
      </c>
      <c r="J801" s="3">
        <v>18119.95</v>
      </c>
      <c r="K801" s="3">
        <v>36239.9</v>
      </c>
      <c r="L801" t="s">
        <v>34</v>
      </c>
      <c r="M801" s="2">
        <v>46041</v>
      </c>
      <c r="N801" s="2">
        <v>46040</v>
      </c>
      <c r="O801" t="s">
        <v>43</v>
      </c>
      <c r="P801" t="s">
        <v>115</v>
      </c>
      <c r="Q801" t="s">
        <v>28</v>
      </c>
      <c r="R801" t="s">
        <v>29</v>
      </c>
      <c r="S801">
        <v>2026</v>
      </c>
      <c r="T801" t="s">
        <v>2757</v>
      </c>
      <c r="U801" t="s">
        <v>2758</v>
      </c>
      <c r="V801" s="4">
        <v>0</v>
      </c>
      <c r="W801" s="4">
        <v>1</v>
      </c>
    </row>
    <row r="802" spans="1:23">
      <c r="A802" t="s">
        <v>931</v>
      </c>
      <c r="B802" s="2">
        <v>46112</v>
      </c>
      <c r="C802" t="s">
        <v>142</v>
      </c>
      <c r="D802" t="s">
        <v>143</v>
      </c>
      <c r="E802" t="s">
        <v>31</v>
      </c>
      <c r="F802" t="s">
        <v>22</v>
      </c>
      <c r="G802" t="s">
        <v>32</v>
      </c>
      <c r="H802" t="s">
        <v>33</v>
      </c>
      <c r="I802">
        <v>14</v>
      </c>
      <c r="J802" s="3">
        <v>7933.98</v>
      </c>
      <c r="K802" s="3">
        <v>111075.72</v>
      </c>
      <c r="L802" t="s">
        <v>25</v>
      </c>
      <c r="M802" s="2">
        <v>46130</v>
      </c>
      <c r="N802" s="2">
        <v>46128</v>
      </c>
      <c r="O802" t="s">
        <v>76</v>
      </c>
      <c r="P802" t="s">
        <v>94</v>
      </c>
      <c r="Q802" t="s">
        <v>28</v>
      </c>
      <c r="R802" t="s">
        <v>29</v>
      </c>
      <c r="S802">
        <v>2026</v>
      </c>
      <c r="T802" t="s">
        <v>2747</v>
      </c>
      <c r="U802" t="s">
        <v>2755</v>
      </c>
      <c r="V802" s="4">
        <v>0</v>
      </c>
      <c r="W802" s="4">
        <v>1</v>
      </c>
    </row>
    <row r="803" spans="1:23">
      <c r="A803" t="s">
        <v>932</v>
      </c>
      <c r="B803" s="2">
        <v>46007</v>
      </c>
      <c r="C803" t="s">
        <v>131</v>
      </c>
      <c r="D803" t="s">
        <v>132</v>
      </c>
      <c r="E803" t="s">
        <v>48</v>
      </c>
      <c r="F803" t="s">
        <v>57</v>
      </c>
      <c r="G803" t="s">
        <v>127</v>
      </c>
      <c r="H803" t="s">
        <v>128</v>
      </c>
      <c r="I803">
        <v>2</v>
      </c>
      <c r="J803" s="3">
        <v>16586.53</v>
      </c>
      <c r="K803" s="3">
        <v>33173.06</v>
      </c>
      <c r="L803" t="s">
        <v>25</v>
      </c>
      <c r="M803" s="2">
        <v>46014</v>
      </c>
      <c r="N803" s="2">
        <v>46013</v>
      </c>
      <c r="O803" t="s">
        <v>43</v>
      </c>
      <c r="P803" t="s">
        <v>53</v>
      </c>
      <c r="Q803" t="s">
        <v>28</v>
      </c>
      <c r="R803" t="s">
        <v>29</v>
      </c>
      <c r="S803">
        <v>2025</v>
      </c>
      <c r="T803" t="s">
        <v>2745</v>
      </c>
      <c r="U803" t="s">
        <v>2746</v>
      </c>
      <c r="V803" s="4">
        <v>0</v>
      </c>
      <c r="W803" s="4">
        <v>1</v>
      </c>
    </row>
    <row r="804" spans="1:23">
      <c r="A804" t="s">
        <v>933</v>
      </c>
      <c r="B804" s="2">
        <v>45668</v>
      </c>
      <c r="C804" t="s">
        <v>37</v>
      </c>
      <c r="D804" t="s">
        <v>38</v>
      </c>
      <c r="E804" t="s">
        <v>73</v>
      </c>
      <c r="F804" t="s">
        <v>22</v>
      </c>
      <c r="G804" t="s">
        <v>32</v>
      </c>
      <c r="H804" t="s">
        <v>33</v>
      </c>
      <c r="I804">
        <v>11</v>
      </c>
      <c r="J804" s="3">
        <v>8243.35</v>
      </c>
      <c r="K804" s="3">
        <v>90676.85</v>
      </c>
      <c r="L804" t="s">
        <v>34</v>
      </c>
      <c r="M804" s="2">
        <v>45683</v>
      </c>
      <c r="N804" s="2">
        <v>45682</v>
      </c>
      <c r="O804" t="s">
        <v>26</v>
      </c>
      <c r="P804" t="s">
        <v>77</v>
      </c>
      <c r="Q804" t="s">
        <v>28</v>
      </c>
      <c r="R804" t="s">
        <v>29</v>
      </c>
      <c r="S804">
        <v>2025</v>
      </c>
      <c r="T804" t="s">
        <v>2757</v>
      </c>
      <c r="U804" t="s">
        <v>2768</v>
      </c>
      <c r="V804" s="4">
        <v>0</v>
      </c>
      <c r="W804" s="4">
        <v>1</v>
      </c>
    </row>
    <row r="805" spans="1:23">
      <c r="A805" t="s">
        <v>934</v>
      </c>
      <c r="B805" s="2">
        <v>45712</v>
      </c>
      <c r="C805" t="s">
        <v>46</v>
      </c>
      <c r="D805" t="s">
        <v>47</v>
      </c>
      <c r="E805" t="s">
        <v>21</v>
      </c>
      <c r="F805" t="s">
        <v>49</v>
      </c>
      <c r="G805" t="s">
        <v>50</v>
      </c>
      <c r="H805" t="s">
        <v>51</v>
      </c>
      <c r="I805">
        <v>1</v>
      </c>
      <c r="J805" s="3">
        <v>54968.89</v>
      </c>
      <c r="K805" s="3">
        <v>54968.89</v>
      </c>
      <c r="L805" t="s">
        <v>52</v>
      </c>
      <c r="M805" s="2">
        <v>45721</v>
      </c>
      <c r="N805" s="2">
        <v>45720</v>
      </c>
      <c r="O805" t="s">
        <v>76</v>
      </c>
      <c r="P805" t="s">
        <v>27</v>
      </c>
      <c r="Q805" t="s">
        <v>28</v>
      </c>
      <c r="R805" t="s">
        <v>29</v>
      </c>
      <c r="S805">
        <v>2025</v>
      </c>
      <c r="T805" t="s">
        <v>2751</v>
      </c>
      <c r="U805" t="s">
        <v>2752</v>
      </c>
      <c r="V805" s="4">
        <v>0</v>
      </c>
      <c r="W805" s="4">
        <v>1</v>
      </c>
    </row>
    <row r="806" spans="1:23">
      <c r="A806" t="s">
        <v>935</v>
      </c>
      <c r="B806" s="2">
        <v>45928</v>
      </c>
      <c r="C806" t="s">
        <v>66</v>
      </c>
      <c r="D806" t="s">
        <v>67</v>
      </c>
      <c r="E806" t="s">
        <v>21</v>
      </c>
      <c r="F806" t="s">
        <v>49</v>
      </c>
      <c r="G806" t="s">
        <v>165</v>
      </c>
      <c r="H806" t="s">
        <v>166</v>
      </c>
      <c r="I806">
        <v>1</v>
      </c>
      <c r="J806" s="3">
        <v>43958.77</v>
      </c>
      <c r="K806" s="3">
        <v>43958.77</v>
      </c>
      <c r="L806" t="s">
        <v>25</v>
      </c>
      <c r="M806" s="2">
        <v>45933</v>
      </c>
      <c r="N806" s="2">
        <v>45930</v>
      </c>
      <c r="O806" t="s">
        <v>26</v>
      </c>
      <c r="P806" t="s">
        <v>27</v>
      </c>
      <c r="Q806" t="s">
        <v>28</v>
      </c>
      <c r="R806" t="s">
        <v>29</v>
      </c>
      <c r="S806">
        <v>2025</v>
      </c>
      <c r="T806" t="s">
        <v>2753</v>
      </c>
      <c r="U806" t="s">
        <v>2754</v>
      </c>
      <c r="V806" s="4">
        <v>0</v>
      </c>
      <c r="W806" s="4">
        <v>1</v>
      </c>
    </row>
    <row r="807" spans="1:23">
      <c r="A807" t="s">
        <v>936</v>
      </c>
      <c r="B807" s="2">
        <v>45953</v>
      </c>
      <c r="C807" t="s">
        <v>46</v>
      </c>
      <c r="D807" t="s">
        <v>47</v>
      </c>
      <c r="E807" t="s">
        <v>48</v>
      </c>
      <c r="F807" t="s">
        <v>49</v>
      </c>
      <c r="G807" t="s">
        <v>113</v>
      </c>
      <c r="H807" t="s">
        <v>114</v>
      </c>
      <c r="I807">
        <v>1</v>
      </c>
      <c r="J807" s="3">
        <v>39432.71</v>
      </c>
      <c r="K807" s="3">
        <v>39432.71</v>
      </c>
      <c r="L807" t="s">
        <v>25</v>
      </c>
      <c r="M807" s="2">
        <v>45965</v>
      </c>
      <c r="N807" s="2">
        <v>45965</v>
      </c>
      <c r="O807" t="s">
        <v>26</v>
      </c>
      <c r="P807" t="s">
        <v>53</v>
      </c>
      <c r="Q807" t="s">
        <v>28</v>
      </c>
      <c r="R807" t="s">
        <v>29</v>
      </c>
      <c r="S807">
        <v>2025</v>
      </c>
      <c r="T807" t="s">
        <v>2749</v>
      </c>
      <c r="U807" t="s">
        <v>2750</v>
      </c>
      <c r="V807" s="4">
        <v>0</v>
      </c>
      <c r="W807" s="4">
        <v>1</v>
      </c>
    </row>
    <row r="808" spans="1:23">
      <c r="A808" t="s">
        <v>937</v>
      </c>
      <c r="B808" s="2">
        <v>45801</v>
      </c>
      <c r="C808" t="s">
        <v>71</v>
      </c>
      <c r="D808" t="s">
        <v>72</v>
      </c>
      <c r="E808" t="s">
        <v>21</v>
      </c>
      <c r="F808" t="s">
        <v>57</v>
      </c>
      <c r="G808" t="s">
        <v>74</v>
      </c>
      <c r="H808" t="s">
        <v>75</v>
      </c>
      <c r="I808">
        <v>6</v>
      </c>
      <c r="J808" s="3">
        <v>8431.99</v>
      </c>
      <c r="K808" s="3">
        <v>50591.94</v>
      </c>
      <c r="L808" t="s">
        <v>52</v>
      </c>
      <c r="M808" s="2">
        <v>45817</v>
      </c>
      <c r="N808" s="2">
        <v>45824</v>
      </c>
      <c r="O808" t="s">
        <v>43</v>
      </c>
      <c r="P808" t="s">
        <v>27</v>
      </c>
      <c r="Q808" t="s">
        <v>28</v>
      </c>
      <c r="R808" t="s">
        <v>129</v>
      </c>
      <c r="S808">
        <v>2025</v>
      </c>
      <c r="T808" t="s">
        <v>2766</v>
      </c>
      <c r="U808" t="s">
        <v>2767</v>
      </c>
      <c r="V808" s="4">
        <v>7</v>
      </c>
      <c r="W808" s="4">
        <v>0</v>
      </c>
    </row>
    <row r="809" spans="1:23">
      <c r="A809" t="s">
        <v>938</v>
      </c>
      <c r="B809" s="2">
        <v>46089</v>
      </c>
      <c r="C809" t="s">
        <v>37</v>
      </c>
      <c r="D809" t="s">
        <v>38</v>
      </c>
      <c r="E809" t="s">
        <v>21</v>
      </c>
      <c r="F809" t="s">
        <v>22</v>
      </c>
      <c r="G809" t="s">
        <v>23</v>
      </c>
      <c r="H809" t="s">
        <v>24</v>
      </c>
      <c r="I809">
        <v>34</v>
      </c>
      <c r="J809" s="3">
        <v>258.89</v>
      </c>
      <c r="K809" s="3">
        <v>8802.26</v>
      </c>
      <c r="L809" t="s">
        <v>25</v>
      </c>
      <c r="M809" s="2">
        <v>46102</v>
      </c>
      <c r="N809" s="2">
        <v>46102</v>
      </c>
      <c r="O809" t="s">
        <v>60</v>
      </c>
      <c r="P809" t="s">
        <v>27</v>
      </c>
      <c r="Q809" t="s">
        <v>28</v>
      </c>
      <c r="R809" t="s">
        <v>29</v>
      </c>
      <c r="S809">
        <v>2026</v>
      </c>
      <c r="T809" t="s">
        <v>2747</v>
      </c>
      <c r="U809" t="s">
        <v>2755</v>
      </c>
      <c r="V809" s="4">
        <v>0</v>
      </c>
      <c r="W809" s="4">
        <v>1</v>
      </c>
    </row>
    <row r="810" spans="1:23">
      <c r="A810" t="s">
        <v>939</v>
      </c>
      <c r="B810" s="2">
        <v>46066</v>
      </c>
      <c r="C810" t="s">
        <v>71</v>
      </c>
      <c r="D810" t="s">
        <v>72</v>
      </c>
      <c r="E810" t="s">
        <v>21</v>
      </c>
      <c r="F810" t="s">
        <v>57</v>
      </c>
      <c r="G810" t="s">
        <v>58</v>
      </c>
      <c r="H810" t="s">
        <v>59</v>
      </c>
      <c r="I810">
        <v>7</v>
      </c>
      <c r="J810" s="3">
        <v>53417.61</v>
      </c>
      <c r="K810" s="3">
        <v>373923.27</v>
      </c>
      <c r="L810" t="s">
        <v>34</v>
      </c>
      <c r="M810" s="2">
        <v>46075</v>
      </c>
      <c r="N810" s="2">
        <v>46080</v>
      </c>
      <c r="O810" t="s">
        <v>43</v>
      </c>
      <c r="P810" t="s">
        <v>27</v>
      </c>
      <c r="Q810" t="s">
        <v>28</v>
      </c>
      <c r="R810" t="s">
        <v>129</v>
      </c>
      <c r="S810">
        <v>2026</v>
      </c>
      <c r="T810" t="s">
        <v>2751</v>
      </c>
      <c r="U810" t="s">
        <v>2765</v>
      </c>
      <c r="V810" s="4">
        <v>5</v>
      </c>
      <c r="W810" s="4">
        <v>0</v>
      </c>
    </row>
    <row r="811" spans="1:23">
      <c r="A811" t="s">
        <v>940</v>
      </c>
      <c r="B811" s="2">
        <v>46094</v>
      </c>
      <c r="C811" t="s">
        <v>37</v>
      </c>
      <c r="D811" t="s">
        <v>38</v>
      </c>
      <c r="E811" t="s">
        <v>112</v>
      </c>
      <c r="F811" t="s">
        <v>40</v>
      </c>
      <c r="G811" t="s">
        <v>41</v>
      </c>
      <c r="H811" t="s">
        <v>42</v>
      </c>
      <c r="I811">
        <v>5</v>
      </c>
      <c r="J811" s="3">
        <v>5633.4</v>
      </c>
      <c r="K811" s="3">
        <v>28167</v>
      </c>
      <c r="L811" t="s">
        <v>52</v>
      </c>
      <c r="M811" s="2">
        <v>46108</v>
      </c>
      <c r="N811" s="2">
        <v>46107</v>
      </c>
      <c r="O811" t="s">
        <v>26</v>
      </c>
      <c r="P811" t="s">
        <v>115</v>
      </c>
      <c r="Q811" t="s">
        <v>28</v>
      </c>
      <c r="R811" t="s">
        <v>29</v>
      </c>
      <c r="S811">
        <v>2026</v>
      </c>
      <c r="T811" t="s">
        <v>2747</v>
      </c>
      <c r="U811" t="s">
        <v>2755</v>
      </c>
      <c r="V811" s="4">
        <v>0</v>
      </c>
      <c r="W811" s="4">
        <v>1</v>
      </c>
    </row>
    <row r="812" spans="1:23">
      <c r="A812" t="s">
        <v>941</v>
      </c>
      <c r="B812" s="2">
        <v>45974</v>
      </c>
      <c r="C812" t="s">
        <v>134</v>
      </c>
      <c r="D812" t="s">
        <v>135</v>
      </c>
      <c r="E812" t="s">
        <v>39</v>
      </c>
      <c r="F812" t="s">
        <v>40</v>
      </c>
      <c r="G812" t="s">
        <v>62</v>
      </c>
      <c r="H812" t="s">
        <v>63</v>
      </c>
      <c r="I812">
        <v>3</v>
      </c>
      <c r="J812" s="3">
        <v>18526.88</v>
      </c>
      <c r="K812" s="3">
        <v>55580.639999999999</v>
      </c>
      <c r="L812" t="s">
        <v>25</v>
      </c>
      <c r="M812" s="2">
        <v>45982</v>
      </c>
      <c r="N812" s="2">
        <v>45980</v>
      </c>
      <c r="O812" t="s">
        <v>26</v>
      </c>
      <c r="P812" t="s">
        <v>64</v>
      </c>
      <c r="Q812" t="s">
        <v>28</v>
      </c>
      <c r="R812" t="s">
        <v>29</v>
      </c>
      <c r="S812">
        <v>2025</v>
      </c>
      <c r="T812" t="s">
        <v>2763</v>
      </c>
      <c r="U812" t="s">
        <v>2764</v>
      </c>
      <c r="V812" s="4">
        <v>0</v>
      </c>
      <c r="W812" s="4">
        <v>1</v>
      </c>
    </row>
    <row r="813" spans="1:23">
      <c r="A813" t="s">
        <v>942</v>
      </c>
      <c r="B813" s="2">
        <v>45866</v>
      </c>
      <c r="C813" t="s">
        <v>71</v>
      </c>
      <c r="D813" t="s">
        <v>72</v>
      </c>
      <c r="E813" t="s">
        <v>48</v>
      </c>
      <c r="F813" t="s">
        <v>57</v>
      </c>
      <c r="G813" t="s">
        <v>120</v>
      </c>
      <c r="H813" t="s">
        <v>121</v>
      </c>
      <c r="I813">
        <v>1</v>
      </c>
      <c r="J813" s="3">
        <v>21085.25</v>
      </c>
      <c r="K813" s="3">
        <v>21085.25</v>
      </c>
      <c r="L813" t="s">
        <v>25</v>
      </c>
      <c r="M813" s="2">
        <v>45878</v>
      </c>
      <c r="N813" s="2">
        <v>45881</v>
      </c>
      <c r="O813" t="s">
        <v>60</v>
      </c>
      <c r="P813" t="s">
        <v>53</v>
      </c>
      <c r="Q813" t="s">
        <v>28</v>
      </c>
      <c r="R813" t="s">
        <v>129</v>
      </c>
      <c r="S813">
        <v>2025</v>
      </c>
      <c r="T813" t="s">
        <v>2759</v>
      </c>
      <c r="U813" t="s">
        <v>2760</v>
      </c>
      <c r="V813" s="4">
        <v>3</v>
      </c>
      <c r="W813" s="4">
        <v>0</v>
      </c>
    </row>
    <row r="814" spans="1:23">
      <c r="A814" t="s">
        <v>943</v>
      </c>
      <c r="B814" s="2">
        <v>45756</v>
      </c>
      <c r="C814" t="s">
        <v>19</v>
      </c>
      <c r="D814" t="s">
        <v>20</v>
      </c>
      <c r="E814" t="s">
        <v>21</v>
      </c>
      <c r="F814" t="s">
        <v>22</v>
      </c>
      <c r="G814" t="s">
        <v>160</v>
      </c>
      <c r="H814" t="s">
        <v>161</v>
      </c>
      <c r="I814">
        <v>14</v>
      </c>
      <c r="J814" s="3">
        <v>3049.09</v>
      </c>
      <c r="K814" s="3">
        <v>42687.26</v>
      </c>
      <c r="L814" t="s">
        <v>34</v>
      </c>
      <c r="M814" s="2">
        <v>45771</v>
      </c>
      <c r="N814" s="2">
        <v>45768</v>
      </c>
      <c r="O814" t="s">
        <v>43</v>
      </c>
      <c r="P814" t="s">
        <v>27</v>
      </c>
      <c r="Q814" t="s">
        <v>28</v>
      </c>
      <c r="R814" t="s">
        <v>29</v>
      </c>
      <c r="S814">
        <v>2025</v>
      </c>
      <c r="T814" t="s">
        <v>2741</v>
      </c>
      <c r="U814" t="s">
        <v>2742</v>
      </c>
      <c r="V814" s="4">
        <v>0</v>
      </c>
      <c r="W814" s="4">
        <v>1</v>
      </c>
    </row>
    <row r="815" spans="1:23">
      <c r="A815" t="s">
        <v>944</v>
      </c>
      <c r="B815" s="2">
        <v>45685</v>
      </c>
      <c r="C815" t="s">
        <v>89</v>
      </c>
      <c r="D815" t="s">
        <v>90</v>
      </c>
      <c r="E815" t="s">
        <v>31</v>
      </c>
      <c r="F815" t="s">
        <v>91</v>
      </c>
      <c r="G815" t="s">
        <v>109</v>
      </c>
      <c r="H815" t="s">
        <v>110</v>
      </c>
      <c r="I815">
        <v>1</v>
      </c>
      <c r="J815" s="3">
        <v>12564.14</v>
      </c>
      <c r="K815" s="3">
        <v>12564.14</v>
      </c>
      <c r="L815" t="s">
        <v>52</v>
      </c>
      <c r="M815" s="2">
        <v>45699</v>
      </c>
      <c r="N815" s="2">
        <v>45696</v>
      </c>
      <c r="O815" t="s">
        <v>26</v>
      </c>
      <c r="P815" t="s">
        <v>94</v>
      </c>
      <c r="Q815" t="s">
        <v>28</v>
      </c>
      <c r="R815" t="s">
        <v>29</v>
      </c>
      <c r="S815">
        <v>2025</v>
      </c>
      <c r="T815" t="s">
        <v>2757</v>
      </c>
      <c r="U815" t="s">
        <v>2768</v>
      </c>
      <c r="V815" s="4">
        <v>0</v>
      </c>
      <c r="W815" s="4">
        <v>1</v>
      </c>
    </row>
    <row r="816" spans="1:23">
      <c r="A816" t="s">
        <v>945</v>
      </c>
      <c r="B816" s="2">
        <v>46169</v>
      </c>
      <c r="C816" t="s">
        <v>134</v>
      </c>
      <c r="D816" t="s">
        <v>135</v>
      </c>
      <c r="E816" t="s">
        <v>39</v>
      </c>
      <c r="F816" t="s">
        <v>40</v>
      </c>
      <c r="G816" t="s">
        <v>41</v>
      </c>
      <c r="H816" t="s">
        <v>42</v>
      </c>
      <c r="I816">
        <v>7</v>
      </c>
      <c r="J816" s="3">
        <v>5501.87</v>
      </c>
      <c r="K816" s="3">
        <v>38513.089999999997</v>
      </c>
      <c r="L816" t="s">
        <v>34</v>
      </c>
      <c r="M816" s="2">
        <v>46176</v>
      </c>
      <c r="N816" s="2">
        <v>46173</v>
      </c>
      <c r="O816" t="s">
        <v>60</v>
      </c>
      <c r="P816" t="s">
        <v>64</v>
      </c>
      <c r="Q816" t="s">
        <v>28</v>
      </c>
      <c r="R816" t="s">
        <v>29</v>
      </c>
      <c r="S816">
        <v>2026</v>
      </c>
      <c r="T816" t="s">
        <v>2766</v>
      </c>
      <c r="U816" t="s">
        <v>2769</v>
      </c>
      <c r="V816" s="4">
        <v>0</v>
      </c>
      <c r="W816" s="4">
        <v>1</v>
      </c>
    </row>
    <row r="817" spans="1:23">
      <c r="A817" t="s">
        <v>946</v>
      </c>
      <c r="B817" s="2">
        <v>46089</v>
      </c>
      <c r="C817" t="s">
        <v>71</v>
      </c>
      <c r="D817" t="s">
        <v>72</v>
      </c>
      <c r="E817" t="s">
        <v>73</v>
      </c>
      <c r="F817" t="s">
        <v>57</v>
      </c>
      <c r="G817" t="s">
        <v>101</v>
      </c>
      <c r="H817" t="s">
        <v>102</v>
      </c>
      <c r="I817">
        <v>48</v>
      </c>
      <c r="J817" s="3">
        <v>1628.68</v>
      </c>
      <c r="K817" s="3">
        <v>78176.639999999999</v>
      </c>
      <c r="L817" t="s">
        <v>25</v>
      </c>
      <c r="M817" s="2">
        <v>46105</v>
      </c>
      <c r="N817" s="2">
        <v>46120</v>
      </c>
      <c r="O817" t="s">
        <v>43</v>
      </c>
      <c r="P817" t="s">
        <v>77</v>
      </c>
      <c r="Q817" t="s">
        <v>28</v>
      </c>
      <c r="R817" t="s">
        <v>129</v>
      </c>
      <c r="S817">
        <v>2026</v>
      </c>
      <c r="T817" t="s">
        <v>2747</v>
      </c>
      <c r="U817" t="s">
        <v>2755</v>
      </c>
      <c r="V817" s="4">
        <v>15</v>
      </c>
      <c r="W817" s="4">
        <v>0</v>
      </c>
    </row>
    <row r="818" spans="1:23">
      <c r="A818" t="s">
        <v>947</v>
      </c>
      <c r="B818" s="2">
        <v>45984</v>
      </c>
      <c r="C818" t="s">
        <v>142</v>
      </c>
      <c r="D818" t="s">
        <v>143</v>
      </c>
      <c r="E818" t="s">
        <v>31</v>
      </c>
      <c r="F818" t="s">
        <v>22</v>
      </c>
      <c r="G818" t="s">
        <v>160</v>
      </c>
      <c r="H818" t="s">
        <v>161</v>
      </c>
      <c r="I818">
        <v>11</v>
      </c>
      <c r="J818" s="3">
        <v>3209.36</v>
      </c>
      <c r="K818" s="3">
        <v>35302.959999999999</v>
      </c>
      <c r="L818" t="s">
        <v>25</v>
      </c>
      <c r="M818" s="2">
        <v>45995</v>
      </c>
      <c r="N818" s="2">
        <v>45995</v>
      </c>
      <c r="O818" t="s">
        <v>76</v>
      </c>
      <c r="P818" t="s">
        <v>94</v>
      </c>
      <c r="Q818" t="s">
        <v>28</v>
      </c>
      <c r="R818" t="s">
        <v>29</v>
      </c>
      <c r="S818">
        <v>2025</v>
      </c>
      <c r="T818" t="s">
        <v>2763</v>
      </c>
      <c r="U818" t="s">
        <v>2764</v>
      </c>
      <c r="V818" s="4">
        <v>0</v>
      </c>
      <c r="W818" s="4">
        <v>1</v>
      </c>
    </row>
    <row r="819" spans="1:23">
      <c r="A819" t="s">
        <v>948</v>
      </c>
      <c r="B819" s="2">
        <v>46119</v>
      </c>
      <c r="C819" t="s">
        <v>104</v>
      </c>
      <c r="D819" t="s">
        <v>105</v>
      </c>
      <c r="E819" t="s">
        <v>48</v>
      </c>
      <c r="F819" t="s">
        <v>49</v>
      </c>
      <c r="G819" t="s">
        <v>165</v>
      </c>
      <c r="H819" t="s">
        <v>166</v>
      </c>
      <c r="I819">
        <v>2</v>
      </c>
      <c r="J819" s="3">
        <v>43924.3</v>
      </c>
      <c r="K819" s="3">
        <v>87848.6</v>
      </c>
      <c r="L819" t="s">
        <v>25</v>
      </c>
      <c r="M819" s="2">
        <v>46132</v>
      </c>
      <c r="N819" s="2">
        <v>46132</v>
      </c>
      <c r="O819" t="s">
        <v>76</v>
      </c>
      <c r="P819" t="s">
        <v>53</v>
      </c>
      <c r="Q819" t="s">
        <v>28</v>
      </c>
      <c r="R819" t="s">
        <v>29</v>
      </c>
      <c r="S819">
        <v>2026</v>
      </c>
      <c r="T819" t="s">
        <v>2741</v>
      </c>
      <c r="U819" t="s">
        <v>2770</v>
      </c>
      <c r="V819" s="4">
        <v>0</v>
      </c>
      <c r="W819" s="4">
        <v>1</v>
      </c>
    </row>
    <row r="820" spans="1:23">
      <c r="A820" t="s">
        <v>949</v>
      </c>
      <c r="B820" s="2">
        <v>45860</v>
      </c>
      <c r="C820" t="s">
        <v>117</v>
      </c>
      <c r="D820" t="s">
        <v>118</v>
      </c>
      <c r="E820" t="s">
        <v>31</v>
      </c>
      <c r="F820" t="s">
        <v>57</v>
      </c>
      <c r="G820" t="s">
        <v>74</v>
      </c>
      <c r="H820" t="s">
        <v>75</v>
      </c>
      <c r="I820">
        <v>2</v>
      </c>
      <c r="J820" s="3">
        <v>8594.26</v>
      </c>
      <c r="K820" s="3">
        <v>17188.52</v>
      </c>
      <c r="L820" t="s">
        <v>25</v>
      </c>
      <c r="M820" s="2">
        <v>45878</v>
      </c>
      <c r="N820" s="2">
        <v>45876</v>
      </c>
      <c r="O820" t="s">
        <v>76</v>
      </c>
      <c r="P820" t="s">
        <v>35</v>
      </c>
      <c r="Q820" t="s">
        <v>28</v>
      </c>
      <c r="R820" t="s">
        <v>29</v>
      </c>
      <c r="S820">
        <v>2025</v>
      </c>
      <c r="T820" t="s">
        <v>2759</v>
      </c>
      <c r="U820" t="s">
        <v>2760</v>
      </c>
      <c r="V820" s="4">
        <v>0</v>
      </c>
      <c r="W820" s="4">
        <v>1</v>
      </c>
    </row>
    <row r="821" spans="1:23">
      <c r="A821" t="s">
        <v>950</v>
      </c>
      <c r="B821" s="2">
        <v>46093</v>
      </c>
      <c r="C821" t="s">
        <v>142</v>
      </c>
      <c r="D821" t="s">
        <v>143</v>
      </c>
      <c r="E821" t="s">
        <v>21</v>
      </c>
      <c r="F821" t="s">
        <v>22</v>
      </c>
      <c r="G821" t="s">
        <v>32</v>
      </c>
      <c r="H821" t="s">
        <v>33</v>
      </c>
      <c r="I821">
        <v>7</v>
      </c>
      <c r="J821" s="3">
        <v>7693.85</v>
      </c>
      <c r="K821" s="3">
        <v>53856.95</v>
      </c>
      <c r="L821" t="s">
        <v>34</v>
      </c>
      <c r="M821" s="2">
        <v>46098</v>
      </c>
      <c r="N821" s="2">
        <v>46096</v>
      </c>
      <c r="O821" t="s">
        <v>43</v>
      </c>
      <c r="P821" t="s">
        <v>27</v>
      </c>
      <c r="Q821" t="s">
        <v>28</v>
      </c>
      <c r="R821" t="s">
        <v>29</v>
      </c>
      <c r="S821">
        <v>2026</v>
      </c>
      <c r="T821" t="s">
        <v>2747</v>
      </c>
      <c r="U821" t="s">
        <v>2755</v>
      </c>
      <c r="V821" s="4">
        <v>0</v>
      </c>
      <c r="W821" s="4">
        <v>1</v>
      </c>
    </row>
    <row r="822" spans="1:23">
      <c r="A822" t="s">
        <v>951</v>
      </c>
      <c r="B822" s="2">
        <v>45695</v>
      </c>
      <c r="C822" t="s">
        <v>19</v>
      </c>
      <c r="D822" t="s">
        <v>20</v>
      </c>
      <c r="E822" t="s">
        <v>73</v>
      </c>
      <c r="F822" t="s">
        <v>22</v>
      </c>
      <c r="G822" t="s">
        <v>23</v>
      </c>
      <c r="H822" t="s">
        <v>24</v>
      </c>
      <c r="I822">
        <v>14</v>
      </c>
      <c r="J822" s="3">
        <v>221.32</v>
      </c>
      <c r="K822" s="3">
        <v>3098.48</v>
      </c>
      <c r="L822" t="s">
        <v>25</v>
      </c>
      <c r="M822" s="2">
        <v>45710</v>
      </c>
      <c r="N822" s="2">
        <v>45708</v>
      </c>
      <c r="O822" t="s">
        <v>60</v>
      </c>
      <c r="P822" t="s">
        <v>77</v>
      </c>
      <c r="Q822" t="s">
        <v>28</v>
      </c>
      <c r="R822" t="s">
        <v>29</v>
      </c>
      <c r="S822">
        <v>2025</v>
      </c>
      <c r="T822" t="s">
        <v>2751</v>
      </c>
      <c r="U822" t="s">
        <v>2752</v>
      </c>
      <c r="V822" s="4">
        <v>0</v>
      </c>
      <c r="W822" s="4">
        <v>1</v>
      </c>
    </row>
    <row r="823" spans="1:23">
      <c r="A823" t="s">
        <v>952</v>
      </c>
      <c r="B823" s="2">
        <v>46194</v>
      </c>
      <c r="C823" t="s">
        <v>37</v>
      </c>
      <c r="D823" t="s">
        <v>38</v>
      </c>
      <c r="E823" t="s">
        <v>39</v>
      </c>
      <c r="F823" t="s">
        <v>40</v>
      </c>
      <c r="G823" t="s">
        <v>136</v>
      </c>
      <c r="H823" t="s">
        <v>137</v>
      </c>
      <c r="I823">
        <v>51</v>
      </c>
      <c r="J823" s="3">
        <v>1791.7</v>
      </c>
      <c r="K823" s="3">
        <v>91376.7</v>
      </c>
      <c r="L823" t="s">
        <v>52</v>
      </c>
      <c r="M823" s="2">
        <v>46209</v>
      </c>
      <c r="N823" s="2">
        <v>46209</v>
      </c>
      <c r="O823" t="s">
        <v>43</v>
      </c>
      <c r="P823" t="s">
        <v>44</v>
      </c>
      <c r="Q823" t="s">
        <v>28</v>
      </c>
      <c r="R823" t="s">
        <v>29</v>
      </c>
      <c r="S823">
        <v>2026</v>
      </c>
      <c r="T823" t="s">
        <v>2743</v>
      </c>
      <c r="U823" t="s">
        <v>2744</v>
      </c>
      <c r="V823" s="4">
        <v>0</v>
      </c>
      <c r="W823" s="4">
        <v>1</v>
      </c>
    </row>
    <row r="824" spans="1:23">
      <c r="A824" t="s">
        <v>953</v>
      </c>
      <c r="B824" s="2">
        <v>45967</v>
      </c>
      <c r="C824" t="s">
        <v>80</v>
      </c>
      <c r="D824" t="s">
        <v>81</v>
      </c>
      <c r="E824" t="s">
        <v>39</v>
      </c>
      <c r="F824" t="s">
        <v>82</v>
      </c>
      <c r="G824" t="s">
        <v>98</v>
      </c>
      <c r="H824" t="s">
        <v>99</v>
      </c>
      <c r="I824">
        <v>10</v>
      </c>
      <c r="J824" s="3">
        <v>1121.82</v>
      </c>
      <c r="K824" s="3">
        <v>11218.2</v>
      </c>
      <c r="L824" t="s">
        <v>34</v>
      </c>
      <c r="M824" s="2">
        <v>45985</v>
      </c>
      <c r="N824" s="2">
        <v>45985</v>
      </c>
      <c r="O824" t="s">
        <v>76</v>
      </c>
      <c r="P824" t="s">
        <v>44</v>
      </c>
      <c r="Q824" t="s">
        <v>28</v>
      </c>
      <c r="R824" t="s">
        <v>29</v>
      </c>
      <c r="S824">
        <v>2025</v>
      </c>
      <c r="T824" t="s">
        <v>2763</v>
      </c>
      <c r="U824" t="s">
        <v>2764</v>
      </c>
      <c r="V824" s="4">
        <v>0</v>
      </c>
      <c r="W824" s="4">
        <v>1</v>
      </c>
    </row>
    <row r="825" spans="1:23">
      <c r="A825" t="s">
        <v>954</v>
      </c>
      <c r="B825" s="2">
        <v>46184</v>
      </c>
      <c r="C825" t="s">
        <v>71</v>
      </c>
      <c r="D825" t="s">
        <v>72</v>
      </c>
      <c r="E825" t="s">
        <v>48</v>
      </c>
      <c r="F825" t="s">
        <v>57</v>
      </c>
      <c r="G825" t="s">
        <v>58</v>
      </c>
      <c r="H825" t="s">
        <v>59</v>
      </c>
      <c r="I825">
        <v>7</v>
      </c>
      <c r="J825" s="3">
        <v>52136.7</v>
      </c>
      <c r="K825" s="3">
        <v>364956.9</v>
      </c>
      <c r="L825" t="s">
        <v>25</v>
      </c>
      <c r="M825" s="2">
        <v>46193</v>
      </c>
      <c r="N825" s="2">
        <v>46192</v>
      </c>
      <c r="O825" t="s">
        <v>43</v>
      </c>
      <c r="P825" t="s">
        <v>53</v>
      </c>
      <c r="Q825" t="s">
        <v>28</v>
      </c>
      <c r="R825" t="s">
        <v>29</v>
      </c>
      <c r="S825">
        <v>2026</v>
      </c>
      <c r="T825" t="s">
        <v>2743</v>
      </c>
      <c r="U825" t="s">
        <v>2744</v>
      </c>
      <c r="V825" s="4">
        <v>0</v>
      </c>
      <c r="W825" s="4">
        <v>1</v>
      </c>
    </row>
    <row r="826" spans="1:23">
      <c r="A826" t="s">
        <v>955</v>
      </c>
      <c r="B826" s="2">
        <v>45937</v>
      </c>
      <c r="C826" t="s">
        <v>37</v>
      </c>
      <c r="D826" t="s">
        <v>38</v>
      </c>
      <c r="E826" t="s">
        <v>39</v>
      </c>
      <c r="F826" t="s">
        <v>40</v>
      </c>
      <c r="G826" t="s">
        <v>149</v>
      </c>
      <c r="H826" t="s">
        <v>150</v>
      </c>
      <c r="I826">
        <v>55</v>
      </c>
      <c r="J826" s="3">
        <v>1446.84</v>
      </c>
      <c r="K826" s="3">
        <v>79576.2</v>
      </c>
      <c r="L826" t="s">
        <v>25</v>
      </c>
      <c r="M826" s="2">
        <v>45952</v>
      </c>
      <c r="N826" s="2">
        <v>45951</v>
      </c>
      <c r="O826" t="s">
        <v>76</v>
      </c>
      <c r="P826" t="s">
        <v>64</v>
      </c>
      <c r="Q826" t="s">
        <v>28</v>
      </c>
      <c r="R826" t="s">
        <v>29</v>
      </c>
      <c r="S826">
        <v>2025</v>
      </c>
      <c r="T826" t="s">
        <v>2749</v>
      </c>
      <c r="U826" t="s">
        <v>2750</v>
      </c>
      <c r="V826" s="4">
        <v>0</v>
      </c>
      <c r="W826" s="4">
        <v>1</v>
      </c>
    </row>
    <row r="827" spans="1:23">
      <c r="A827" t="s">
        <v>956</v>
      </c>
      <c r="B827" s="2">
        <v>45723</v>
      </c>
      <c r="C827" t="s">
        <v>46</v>
      </c>
      <c r="D827" t="s">
        <v>47</v>
      </c>
      <c r="E827" t="s">
        <v>48</v>
      </c>
      <c r="F827" t="s">
        <v>49</v>
      </c>
      <c r="G827" t="s">
        <v>68</v>
      </c>
      <c r="H827" t="s">
        <v>69</v>
      </c>
      <c r="I827">
        <v>2</v>
      </c>
      <c r="J827" s="3">
        <v>50350.22</v>
      </c>
      <c r="K827" s="3">
        <v>100700.44</v>
      </c>
      <c r="L827" t="s">
        <v>25</v>
      </c>
      <c r="M827" s="2">
        <v>45735</v>
      </c>
      <c r="N827" s="2">
        <v>45735</v>
      </c>
      <c r="O827" t="s">
        <v>76</v>
      </c>
      <c r="P827" t="s">
        <v>53</v>
      </c>
      <c r="Q827" t="s">
        <v>28</v>
      </c>
      <c r="R827" t="s">
        <v>29</v>
      </c>
      <c r="S827">
        <v>2025</v>
      </c>
      <c r="T827" t="s">
        <v>2747</v>
      </c>
      <c r="U827" t="s">
        <v>2748</v>
      </c>
      <c r="V827" s="4">
        <v>0</v>
      </c>
      <c r="W827" s="4">
        <v>1</v>
      </c>
    </row>
    <row r="828" spans="1:23">
      <c r="A828" t="s">
        <v>957</v>
      </c>
      <c r="B828" s="2">
        <v>46113</v>
      </c>
      <c r="C828" t="s">
        <v>134</v>
      </c>
      <c r="D828" t="s">
        <v>135</v>
      </c>
      <c r="E828" t="s">
        <v>112</v>
      </c>
      <c r="F828" t="s">
        <v>40</v>
      </c>
      <c r="G828" t="s">
        <v>149</v>
      </c>
      <c r="H828" t="s">
        <v>150</v>
      </c>
      <c r="I828">
        <v>29</v>
      </c>
      <c r="J828" s="3">
        <v>1316.66</v>
      </c>
      <c r="K828" s="3">
        <v>38183.14</v>
      </c>
      <c r="L828" t="s">
        <v>34</v>
      </c>
      <c r="M828" s="2">
        <v>46122</v>
      </c>
      <c r="N828" s="2">
        <v>46122</v>
      </c>
      <c r="O828" t="s">
        <v>76</v>
      </c>
      <c r="P828" t="s">
        <v>115</v>
      </c>
      <c r="Q828" t="s">
        <v>28</v>
      </c>
      <c r="R828" t="s">
        <v>29</v>
      </c>
      <c r="S828">
        <v>2026</v>
      </c>
      <c r="T828" t="s">
        <v>2741</v>
      </c>
      <c r="U828" t="s">
        <v>2770</v>
      </c>
      <c r="V828" s="4">
        <v>0</v>
      </c>
      <c r="W828" s="4">
        <v>1</v>
      </c>
    </row>
    <row r="829" spans="1:23">
      <c r="A829" t="s">
        <v>958</v>
      </c>
      <c r="B829" s="2">
        <v>46200</v>
      </c>
      <c r="C829" t="s">
        <v>46</v>
      </c>
      <c r="D829" t="s">
        <v>47</v>
      </c>
      <c r="E829" t="s">
        <v>21</v>
      </c>
      <c r="F829" t="s">
        <v>49</v>
      </c>
      <c r="G829" t="s">
        <v>68</v>
      </c>
      <c r="H829" t="s">
        <v>69</v>
      </c>
      <c r="I829">
        <v>3</v>
      </c>
      <c r="J829" s="3">
        <v>48980.18</v>
      </c>
      <c r="K829" s="3">
        <v>146940.54</v>
      </c>
      <c r="L829" t="s">
        <v>25</v>
      </c>
      <c r="M829" s="2">
        <v>46214</v>
      </c>
      <c r="N829" s="2">
        <v>46212</v>
      </c>
      <c r="O829" t="s">
        <v>43</v>
      </c>
      <c r="P829" t="s">
        <v>27</v>
      </c>
      <c r="Q829" t="s">
        <v>28</v>
      </c>
      <c r="R829" t="s">
        <v>29</v>
      </c>
      <c r="S829">
        <v>2026</v>
      </c>
      <c r="T829" t="s">
        <v>2743</v>
      </c>
      <c r="U829" t="s">
        <v>2744</v>
      </c>
      <c r="V829" s="4">
        <v>0</v>
      </c>
      <c r="W829" s="4">
        <v>1</v>
      </c>
    </row>
    <row r="830" spans="1:23">
      <c r="A830" t="s">
        <v>959</v>
      </c>
      <c r="B830" s="2">
        <v>45792</v>
      </c>
      <c r="C830" t="s">
        <v>142</v>
      </c>
      <c r="D830" t="s">
        <v>143</v>
      </c>
      <c r="E830" t="s">
        <v>112</v>
      </c>
      <c r="F830" t="s">
        <v>22</v>
      </c>
      <c r="G830" t="s">
        <v>23</v>
      </c>
      <c r="H830" t="s">
        <v>24</v>
      </c>
      <c r="I830">
        <v>12</v>
      </c>
      <c r="J830" s="3">
        <v>254.25</v>
      </c>
      <c r="K830" s="3">
        <v>3051</v>
      </c>
      <c r="L830" t="s">
        <v>34</v>
      </c>
      <c r="M830" s="2">
        <v>45806</v>
      </c>
      <c r="N830" s="2">
        <v>45805</v>
      </c>
      <c r="O830" t="s">
        <v>60</v>
      </c>
      <c r="P830" t="s">
        <v>115</v>
      </c>
      <c r="Q830" t="s">
        <v>28</v>
      </c>
      <c r="R830" t="s">
        <v>29</v>
      </c>
      <c r="S830">
        <v>2025</v>
      </c>
      <c r="T830" t="s">
        <v>2766</v>
      </c>
      <c r="U830" t="s">
        <v>2767</v>
      </c>
      <c r="V830" s="4">
        <v>0</v>
      </c>
      <c r="W830" s="4">
        <v>1</v>
      </c>
    </row>
    <row r="831" spans="1:23">
      <c r="A831" t="s">
        <v>960</v>
      </c>
      <c r="B831" s="2">
        <v>45943</v>
      </c>
      <c r="C831" t="s">
        <v>37</v>
      </c>
      <c r="D831" t="s">
        <v>38</v>
      </c>
      <c r="E831" t="s">
        <v>73</v>
      </c>
      <c r="F831" t="s">
        <v>22</v>
      </c>
      <c r="G831" t="s">
        <v>32</v>
      </c>
      <c r="H831" t="s">
        <v>33</v>
      </c>
      <c r="I831">
        <v>13</v>
      </c>
      <c r="J831" s="3">
        <v>8733.43</v>
      </c>
      <c r="K831" s="3">
        <v>113534.59</v>
      </c>
      <c r="L831" t="s">
        <v>25</v>
      </c>
      <c r="M831" s="2">
        <v>45958</v>
      </c>
      <c r="N831" s="2">
        <v>45955</v>
      </c>
      <c r="O831" t="s">
        <v>60</v>
      </c>
      <c r="P831" t="s">
        <v>77</v>
      </c>
      <c r="Q831" t="s">
        <v>28</v>
      </c>
      <c r="R831" t="s">
        <v>29</v>
      </c>
      <c r="S831">
        <v>2025</v>
      </c>
      <c r="T831" t="s">
        <v>2749</v>
      </c>
      <c r="U831" t="s">
        <v>2750</v>
      </c>
      <c r="V831" s="4">
        <v>0</v>
      </c>
      <c r="W831" s="4">
        <v>1</v>
      </c>
    </row>
    <row r="832" spans="1:23">
      <c r="A832" t="s">
        <v>961</v>
      </c>
      <c r="B832" s="2">
        <v>46133</v>
      </c>
      <c r="C832" t="s">
        <v>142</v>
      </c>
      <c r="D832" t="s">
        <v>143</v>
      </c>
      <c r="E832" t="s">
        <v>112</v>
      </c>
      <c r="F832" t="s">
        <v>22</v>
      </c>
      <c r="G832" t="s">
        <v>23</v>
      </c>
      <c r="H832" t="s">
        <v>24</v>
      </c>
      <c r="I832">
        <v>58</v>
      </c>
      <c r="J832" s="3">
        <v>249.39</v>
      </c>
      <c r="K832" s="3">
        <v>14464.62</v>
      </c>
      <c r="L832" t="s">
        <v>34</v>
      </c>
      <c r="M832" s="2">
        <v>46143</v>
      </c>
      <c r="N832" s="2">
        <v>46142</v>
      </c>
      <c r="O832" t="s">
        <v>43</v>
      </c>
      <c r="P832" t="s">
        <v>115</v>
      </c>
      <c r="Q832" t="s">
        <v>28</v>
      </c>
      <c r="R832" t="s">
        <v>29</v>
      </c>
      <c r="S832">
        <v>2026</v>
      </c>
      <c r="T832" t="s">
        <v>2741</v>
      </c>
      <c r="U832" t="s">
        <v>2770</v>
      </c>
      <c r="V832" s="4">
        <v>0</v>
      </c>
      <c r="W832" s="4">
        <v>1</v>
      </c>
    </row>
    <row r="833" spans="1:23">
      <c r="A833" t="s">
        <v>962</v>
      </c>
      <c r="B833" s="2">
        <v>46078</v>
      </c>
      <c r="C833" t="s">
        <v>19</v>
      </c>
      <c r="D833" t="s">
        <v>20</v>
      </c>
      <c r="E833" t="s">
        <v>39</v>
      </c>
      <c r="F833" t="s">
        <v>22</v>
      </c>
      <c r="G833" t="s">
        <v>23</v>
      </c>
      <c r="H833" t="s">
        <v>24</v>
      </c>
      <c r="I833">
        <v>10</v>
      </c>
      <c r="J833" s="3">
        <v>229.06</v>
      </c>
      <c r="K833" s="3">
        <v>2290.6</v>
      </c>
      <c r="L833" t="s">
        <v>52</v>
      </c>
      <c r="M833" s="2">
        <v>46092</v>
      </c>
      <c r="N833" s="2">
        <v>46089</v>
      </c>
      <c r="O833" t="s">
        <v>76</v>
      </c>
      <c r="P833" t="s">
        <v>64</v>
      </c>
      <c r="Q833" t="s">
        <v>28</v>
      </c>
      <c r="R833" t="s">
        <v>29</v>
      </c>
      <c r="S833">
        <v>2026</v>
      </c>
      <c r="T833" t="s">
        <v>2751</v>
      </c>
      <c r="U833" t="s">
        <v>2765</v>
      </c>
      <c r="V833" s="4">
        <v>0</v>
      </c>
      <c r="W833" s="4">
        <v>1</v>
      </c>
    </row>
    <row r="834" spans="1:23">
      <c r="A834" t="s">
        <v>963</v>
      </c>
      <c r="B834" s="2">
        <v>45828</v>
      </c>
      <c r="C834" t="s">
        <v>89</v>
      </c>
      <c r="D834" t="s">
        <v>90</v>
      </c>
      <c r="E834" t="s">
        <v>31</v>
      </c>
      <c r="F834" t="s">
        <v>91</v>
      </c>
      <c r="G834" t="s">
        <v>109</v>
      </c>
      <c r="H834" t="s">
        <v>110</v>
      </c>
      <c r="I834">
        <v>2</v>
      </c>
      <c r="J834" s="3">
        <v>12676.51</v>
      </c>
      <c r="K834" s="3">
        <v>25353.02</v>
      </c>
      <c r="L834" t="s">
        <v>52</v>
      </c>
      <c r="M834" s="2">
        <v>45841</v>
      </c>
      <c r="N834" s="2">
        <v>45840</v>
      </c>
      <c r="O834" t="s">
        <v>26</v>
      </c>
      <c r="P834" t="s">
        <v>35</v>
      </c>
      <c r="Q834" t="s">
        <v>28</v>
      </c>
      <c r="R834" t="s">
        <v>29</v>
      </c>
      <c r="S834">
        <v>2025</v>
      </c>
      <c r="T834" t="s">
        <v>2743</v>
      </c>
      <c r="U834" t="s">
        <v>2756</v>
      </c>
      <c r="V834" s="4">
        <v>0</v>
      </c>
      <c r="W834" s="4">
        <v>1</v>
      </c>
    </row>
    <row r="835" spans="1:23">
      <c r="A835" t="s">
        <v>964</v>
      </c>
      <c r="B835" s="2">
        <v>45903</v>
      </c>
      <c r="C835" t="s">
        <v>142</v>
      </c>
      <c r="D835" t="s">
        <v>143</v>
      </c>
      <c r="E835" t="s">
        <v>112</v>
      </c>
      <c r="F835" t="s">
        <v>22</v>
      </c>
      <c r="G835" t="s">
        <v>160</v>
      </c>
      <c r="H835" t="s">
        <v>161</v>
      </c>
      <c r="I835">
        <v>1</v>
      </c>
      <c r="J835" s="3">
        <v>3224.92</v>
      </c>
      <c r="K835" s="3">
        <v>3224.92</v>
      </c>
      <c r="L835" t="s">
        <v>25</v>
      </c>
      <c r="M835" s="2">
        <v>45911</v>
      </c>
      <c r="N835" s="2">
        <v>45908</v>
      </c>
      <c r="O835" t="s">
        <v>60</v>
      </c>
      <c r="P835" t="s">
        <v>115</v>
      </c>
      <c r="Q835" t="s">
        <v>28</v>
      </c>
      <c r="R835" t="s">
        <v>29</v>
      </c>
      <c r="S835">
        <v>2025</v>
      </c>
      <c r="T835" t="s">
        <v>2753</v>
      </c>
      <c r="U835" t="s">
        <v>2754</v>
      </c>
      <c r="V835" s="4">
        <v>0</v>
      </c>
      <c r="W835" s="4">
        <v>1</v>
      </c>
    </row>
    <row r="836" spans="1:23">
      <c r="A836" t="s">
        <v>965</v>
      </c>
      <c r="B836" s="2">
        <v>45821</v>
      </c>
      <c r="C836" t="s">
        <v>71</v>
      </c>
      <c r="D836" t="s">
        <v>72</v>
      </c>
      <c r="E836" t="s">
        <v>48</v>
      </c>
      <c r="F836" t="s">
        <v>57</v>
      </c>
      <c r="G836" t="s">
        <v>101</v>
      </c>
      <c r="H836" t="s">
        <v>102</v>
      </c>
      <c r="I836">
        <v>31</v>
      </c>
      <c r="J836" s="3">
        <v>1719.5</v>
      </c>
      <c r="K836" s="3">
        <v>53304.5</v>
      </c>
      <c r="L836" t="s">
        <v>52</v>
      </c>
      <c r="M836" s="2">
        <v>45839</v>
      </c>
      <c r="N836" s="2">
        <v>45836</v>
      </c>
      <c r="O836" t="s">
        <v>43</v>
      </c>
      <c r="P836" t="s">
        <v>53</v>
      </c>
      <c r="Q836" t="s">
        <v>28</v>
      </c>
      <c r="R836" t="s">
        <v>29</v>
      </c>
      <c r="S836">
        <v>2025</v>
      </c>
      <c r="T836" t="s">
        <v>2743</v>
      </c>
      <c r="U836" t="s">
        <v>2756</v>
      </c>
      <c r="V836" s="4">
        <v>0</v>
      </c>
      <c r="W836" s="4">
        <v>1</v>
      </c>
    </row>
    <row r="837" spans="1:23">
      <c r="A837" t="s">
        <v>966</v>
      </c>
      <c r="B837" s="2">
        <v>45682</v>
      </c>
      <c r="C837" t="s">
        <v>71</v>
      </c>
      <c r="D837" t="s">
        <v>72</v>
      </c>
      <c r="E837" t="s">
        <v>48</v>
      </c>
      <c r="F837" t="s">
        <v>57</v>
      </c>
      <c r="G837" t="s">
        <v>58</v>
      </c>
      <c r="H837" t="s">
        <v>59</v>
      </c>
      <c r="I837">
        <v>1</v>
      </c>
      <c r="J837" s="3">
        <v>55074.15</v>
      </c>
      <c r="K837" s="3">
        <v>55074.15</v>
      </c>
      <c r="L837" t="s">
        <v>25</v>
      </c>
      <c r="M837" s="2">
        <v>45692</v>
      </c>
      <c r="N837" s="2">
        <v>45689</v>
      </c>
      <c r="O837" t="s">
        <v>43</v>
      </c>
      <c r="P837" t="s">
        <v>53</v>
      </c>
      <c r="Q837" t="s">
        <v>28</v>
      </c>
      <c r="R837" t="s">
        <v>29</v>
      </c>
      <c r="S837">
        <v>2025</v>
      </c>
      <c r="T837" t="s">
        <v>2757</v>
      </c>
      <c r="U837" t="s">
        <v>2768</v>
      </c>
      <c r="V837" s="4">
        <v>0</v>
      </c>
      <c r="W837" s="4">
        <v>1</v>
      </c>
    </row>
    <row r="838" spans="1:23">
      <c r="A838" t="s">
        <v>967</v>
      </c>
      <c r="B838" s="2">
        <v>46033</v>
      </c>
      <c r="C838" t="s">
        <v>142</v>
      </c>
      <c r="D838" t="s">
        <v>143</v>
      </c>
      <c r="E838" t="s">
        <v>21</v>
      </c>
      <c r="F838" t="s">
        <v>22</v>
      </c>
      <c r="G838" t="s">
        <v>160</v>
      </c>
      <c r="H838" t="s">
        <v>161</v>
      </c>
      <c r="I838">
        <v>11</v>
      </c>
      <c r="J838" s="3">
        <v>3051.54</v>
      </c>
      <c r="K838" s="3">
        <v>33566.94</v>
      </c>
      <c r="L838" t="s">
        <v>25</v>
      </c>
      <c r="M838" s="2">
        <v>46049</v>
      </c>
      <c r="N838" s="2">
        <v>46062</v>
      </c>
      <c r="O838" t="s">
        <v>26</v>
      </c>
      <c r="P838" t="s">
        <v>27</v>
      </c>
      <c r="Q838" t="s">
        <v>28</v>
      </c>
      <c r="R838" t="s">
        <v>129</v>
      </c>
      <c r="S838">
        <v>2026</v>
      </c>
      <c r="T838" t="s">
        <v>2757</v>
      </c>
      <c r="U838" t="s">
        <v>2758</v>
      </c>
      <c r="V838" s="4">
        <v>13</v>
      </c>
      <c r="W838" s="4">
        <v>0</v>
      </c>
    </row>
    <row r="839" spans="1:23">
      <c r="A839" t="s">
        <v>968</v>
      </c>
      <c r="B839" s="2">
        <v>46008</v>
      </c>
      <c r="C839" t="s">
        <v>46</v>
      </c>
      <c r="D839" t="s">
        <v>47</v>
      </c>
      <c r="E839" t="s">
        <v>73</v>
      </c>
      <c r="F839" t="s">
        <v>49</v>
      </c>
      <c r="G839" t="s">
        <v>165</v>
      </c>
      <c r="H839" t="s">
        <v>166</v>
      </c>
      <c r="I839">
        <v>1</v>
      </c>
      <c r="J839" s="3">
        <v>48343.88</v>
      </c>
      <c r="K839" s="3">
        <v>48343.88</v>
      </c>
      <c r="L839" t="s">
        <v>25</v>
      </c>
      <c r="M839" s="2">
        <v>46015</v>
      </c>
      <c r="N839" s="2">
        <v>46015</v>
      </c>
      <c r="O839" t="s">
        <v>76</v>
      </c>
      <c r="P839" t="s">
        <v>77</v>
      </c>
      <c r="Q839" t="s">
        <v>28</v>
      </c>
      <c r="R839" t="s">
        <v>29</v>
      </c>
      <c r="S839">
        <v>2025</v>
      </c>
      <c r="T839" t="s">
        <v>2745</v>
      </c>
      <c r="U839" t="s">
        <v>2746</v>
      </c>
      <c r="V839" s="4">
        <v>0</v>
      </c>
      <c r="W839" s="4">
        <v>1</v>
      </c>
    </row>
    <row r="840" spans="1:23">
      <c r="A840" t="s">
        <v>969</v>
      </c>
      <c r="B840" s="2">
        <v>45956</v>
      </c>
      <c r="C840" t="s">
        <v>46</v>
      </c>
      <c r="D840" t="s">
        <v>47</v>
      </c>
      <c r="E840" t="s">
        <v>48</v>
      </c>
      <c r="F840" t="s">
        <v>49</v>
      </c>
      <c r="G840" t="s">
        <v>68</v>
      </c>
      <c r="H840" t="s">
        <v>69</v>
      </c>
      <c r="I840">
        <v>1</v>
      </c>
      <c r="J840" s="3">
        <v>51927.88</v>
      </c>
      <c r="K840" s="3">
        <v>51927.88</v>
      </c>
      <c r="L840" t="s">
        <v>25</v>
      </c>
      <c r="M840" s="2">
        <v>45972</v>
      </c>
      <c r="N840" s="2">
        <v>45971</v>
      </c>
      <c r="O840" t="s">
        <v>76</v>
      </c>
      <c r="P840" t="s">
        <v>53</v>
      </c>
      <c r="Q840" t="s">
        <v>28</v>
      </c>
      <c r="R840" t="s">
        <v>29</v>
      </c>
      <c r="S840">
        <v>2025</v>
      </c>
      <c r="T840" t="s">
        <v>2749</v>
      </c>
      <c r="U840" t="s">
        <v>2750</v>
      </c>
      <c r="V840" s="4">
        <v>0</v>
      </c>
      <c r="W840" s="4">
        <v>1</v>
      </c>
    </row>
    <row r="841" spans="1:23">
      <c r="A841" t="s">
        <v>970</v>
      </c>
      <c r="B841" s="2">
        <v>45921</v>
      </c>
      <c r="C841" t="s">
        <v>142</v>
      </c>
      <c r="D841" t="s">
        <v>143</v>
      </c>
      <c r="E841" t="s">
        <v>39</v>
      </c>
      <c r="F841" t="s">
        <v>22</v>
      </c>
      <c r="G841" t="s">
        <v>32</v>
      </c>
      <c r="H841" t="s">
        <v>33</v>
      </c>
      <c r="I841">
        <v>5</v>
      </c>
      <c r="J841" s="3">
        <v>7898.13</v>
      </c>
      <c r="K841" s="3">
        <v>39490.65</v>
      </c>
      <c r="L841" t="s">
        <v>25</v>
      </c>
      <c r="M841" s="2">
        <v>45931</v>
      </c>
      <c r="N841" s="2">
        <v>45928</v>
      </c>
      <c r="O841" t="s">
        <v>26</v>
      </c>
      <c r="P841" t="s">
        <v>44</v>
      </c>
      <c r="Q841" t="s">
        <v>28</v>
      </c>
      <c r="R841" t="s">
        <v>29</v>
      </c>
      <c r="S841">
        <v>2025</v>
      </c>
      <c r="T841" t="s">
        <v>2753</v>
      </c>
      <c r="U841" t="s">
        <v>2754</v>
      </c>
      <c r="V841" s="4">
        <v>0</v>
      </c>
      <c r="W841" s="4">
        <v>1</v>
      </c>
    </row>
    <row r="842" spans="1:23">
      <c r="A842" t="s">
        <v>971</v>
      </c>
      <c r="B842" s="2">
        <v>45817</v>
      </c>
      <c r="C842" t="s">
        <v>142</v>
      </c>
      <c r="D842" t="s">
        <v>143</v>
      </c>
      <c r="E842" t="s">
        <v>31</v>
      </c>
      <c r="F842" t="s">
        <v>22</v>
      </c>
      <c r="G842" t="s">
        <v>160</v>
      </c>
      <c r="H842" t="s">
        <v>161</v>
      </c>
      <c r="I842">
        <v>11</v>
      </c>
      <c r="J842" s="3">
        <v>3286.54</v>
      </c>
      <c r="K842" s="3">
        <v>36151.94</v>
      </c>
      <c r="L842" t="s">
        <v>25</v>
      </c>
      <c r="M842" s="2">
        <v>45824</v>
      </c>
      <c r="N842" s="2">
        <v>45821</v>
      </c>
      <c r="O842" t="s">
        <v>60</v>
      </c>
      <c r="P842" t="s">
        <v>94</v>
      </c>
      <c r="Q842" t="s">
        <v>28</v>
      </c>
      <c r="R842" t="s">
        <v>29</v>
      </c>
      <c r="S842">
        <v>2025</v>
      </c>
      <c r="T842" t="s">
        <v>2743</v>
      </c>
      <c r="U842" t="s">
        <v>2756</v>
      </c>
      <c r="V842" s="4">
        <v>0</v>
      </c>
      <c r="W842" s="4">
        <v>1</v>
      </c>
    </row>
    <row r="843" spans="1:23">
      <c r="A843" t="s">
        <v>972</v>
      </c>
      <c r="B843" s="2">
        <v>45724</v>
      </c>
      <c r="C843" t="s">
        <v>142</v>
      </c>
      <c r="D843" t="s">
        <v>143</v>
      </c>
      <c r="E843" t="s">
        <v>21</v>
      </c>
      <c r="F843" t="s">
        <v>22</v>
      </c>
      <c r="G843" t="s">
        <v>23</v>
      </c>
      <c r="H843" t="s">
        <v>24</v>
      </c>
      <c r="I843">
        <v>55</v>
      </c>
      <c r="J843" s="3">
        <v>252.36</v>
      </c>
      <c r="K843" s="3">
        <v>13879.8</v>
      </c>
      <c r="L843" t="s">
        <v>25</v>
      </c>
      <c r="M843" s="2">
        <v>45730</v>
      </c>
      <c r="N843" s="2">
        <v>45728</v>
      </c>
      <c r="O843" t="s">
        <v>43</v>
      </c>
      <c r="P843" t="s">
        <v>27</v>
      </c>
      <c r="Q843" t="s">
        <v>28</v>
      </c>
      <c r="R843" t="s">
        <v>29</v>
      </c>
      <c r="S843">
        <v>2025</v>
      </c>
      <c r="T843" t="s">
        <v>2747</v>
      </c>
      <c r="U843" t="s">
        <v>2748</v>
      </c>
      <c r="V843" s="4">
        <v>0</v>
      </c>
      <c r="W843" s="4">
        <v>1</v>
      </c>
    </row>
    <row r="844" spans="1:23">
      <c r="A844" t="s">
        <v>973</v>
      </c>
      <c r="B844" s="2">
        <v>45865</v>
      </c>
      <c r="C844" t="s">
        <v>80</v>
      </c>
      <c r="D844" t="s">
        <v>81</v>
      </c>
      <c r="E844" t="s">
        <v>39</v>
      </c>
      <c r="F844" t="s">
        <v>82</v>
      </c>
      <c r="G844" t="s">
        <v>83</v>
      </c>
      <c r="H844" t="s">
        <v>84</v>
      </c>
      <c r="I844">
        <v>22</v>
      </c>
      <c r="J844" s="3">
        <v>687.88</v>
      </c>
      <c r="K844" s="3">
        <v>15133.36</v>
      </c>
      <c r="L844" t="s">
        <v>52</v>
      </c>
      <c r="M844" s="2">
        <v>45878</v>
      </c>
      <c r="N844" s="2">
        <v>45878</v>
      </c>
      <c r="O844" t="s">
        <v>43</v>
      </c>
      <c r="P844" t="s">
        <v>44</v>
      </c>
      <c r="Q844" t="s">
        <v>28</v>
      </c>
      <c r="R844" t="s">
        <v>29</v>
      </c>
      <c r="S844">
        <v>2025</v>
      </c>
      <c r="T844" t="s">
        <v>2759</v>
      </c>
      <c r="U844" t="s">
        <v>2760</v>
      </c>
      <c r="V844" s="4">
        <v>0</v>
      </c>
      <c r="W844" s="4">
        <v>1</v>
      </c>
    </row>
    <row r="845" spans="1:23">
      <c r="A845" t="s">
        <v>974</v>
      </c>
      <c r="B845" s="2">
        <v>46193</v>
      </c>
      <c r="C845" t="s">
        <v>71</v>
      </c>
      <c r="D845" t="s">
        <v>72</v>
      </c>
      <c r="E845" t="s">
        <v>21</v>
      </c>
      <c r="F845" t="s">
        <v>57</v>
      </c>
      <c r="G845" t="s">
        <v>86</v>
      </c>
      <c r="H845" t="s">
        <v>87</v>
      </c>
      <c r="I845">
        <v>4</v>
      </c>
      <c r="J845" s="3">
        <v>10381.290000000001</v>
      </c>
      <c r="K845" s="3">
        <v>41525.160000000003</v>
      </c>
      <c r="L845" t="s">
        <v>52</v>
      </c>
      <c r="M845" s="2">
        <v>46201</v>
      </c>
      <c r="N845" s="2"/>
      <c r="O845" t="s">
        <v>76</v>
      </c>
      <c r="P845" t="s">
        <v>27</v>
      </c>
      <c r="Q845" t="s">
        <v>167</v>
      </c>
      <c r="R845" t="s">
        <v>167</v>
      </c>
      <c r="S845">
        <v>2026</v>
      </c>
      <c r="T845" t="s">
        <v>2743</v>
      </c>
      <c r="U845" t="s">
        <v>2744</v>
      </c>
      <c r="V845" s="4"/>
      <c r="W845" s="4"/>
    </row>
    <row r="846" spans="1:23">
      <c r="A846" t="s">
        <v>975</v>
      </c>
      <c r="B846" s="2">
        <v>45793</v>
      </c>
      <c r="C846" t="s">
        <v>19</v>
      </c>
      <c r="D846" t="s">
        <v>20</v>
      </c>
      <c r="E846" t="s">
        <v>39</v>
      </c>
      <c r="F846" t="s">
        <v>22</v>
      </c>
      <c r="G846" t="s">
        <v>23</v>
      </c>
      <c r="H846" t="s">
        <v>24</v>
      </c>
      <c r="I846">
        <v>34</v>
      </c>
      <c r="J846" s="3">
        <v>230.66</v>
      </c>
      <c r="K846" s="3">
        <v>7842.44</v>
      </c>
      <c r="L846" t="s">
        <v>25</v>
      </c>
      <c r="M846" s="2">
        <v>45799</v>
      </c>
      <c r="N846" s="2">
        <v>45799</v>
      </c>
      <c r="O846" t="s">
        <v>43</v>
      </c>
      <c r="P846" t="s">
        <v>64</v>
      </c>
      <c r="Q846" t="s">
        <v>28</v>
      </c>
      <c r="R846" t="s">
        <v>29</v>
      </c>
      <c r="S846">
        <v>2025</v>
      </c>
      <c r="T846" t="s">
        <v>2766</v>
      </c>
      <c r="U846" t="s">
        <v>2767</v>
      </c>
      <c r="V846" s="4">
        <v>0</v>
      </c>
      <c r="W846" s="4">
        <v>1</v>
      </c>
    </row>
    <row r="847" spans="1:23">
      <c r="A847" t="s">
        <v>976</v>
      </c>
      <c r="B847" s="2">
        <v>46147</v>
      </c>
      <c r="C847" t="s">
        <v>19</v>
      </c>
      <c r="D847" t="s">
        <v>20</v>
      </c>
      <c r="E847" t="s">
        <v>39</v>
      </c>
      <c r="F847" t="s">
        <v>22</v>
      </c>
      <c r="G847" t="s">
        <v>23</v>
      </c>
      <c r="H847" t="s">
        <v>24</v>
      </c>
      <c r="I847">
        <v>36</v>
      </c>
      <c r="J847" s="3">
        <v>223.14</v>
      </c>
      <c r="K847" s="3">
        <v>8033.04</v>
      </c>
      <c r="L847" t="s">
        <v>52</v>
      </c>
      <c r="M847" s="2">
        <v>46156</v>
      </c>
      <c r="N847" s="2">
        <v>46153</v>
      </c>
      <c r="O847" t="s">
        <v>43</v>
      </c>
      <c r="P847" t="s">
        <v>44</v>
      </c>
      <c r="Q847" t="s">
        <v>28</v>
      </c>
      <c r="R847" t="s">
        <v>29</v>
      </c>
      <c r="S847">
        <v>2026</v>
      </c>
      <c r="T847" t="s">
        <v>2766</v>
      </c>
      <c r="U847" t="s">
        <v>2769</v>
      </c>
      <c r="V847" s="4">
        <v>0</v>
      </c>
      <c r="W847" s="4">
        <v>1</v>
      </c>
    </row>
    <row r="848" spans="1:23">
      <c r="A848" t="s">
        <v>977</v>
      </c>
      <c r="B848" s="2">
        <v>45857</v>
      </c>
      <c r="C848" t="s">
        <v>55</v>
      </c>
      <c r="D848" t="s">
        <v>56</v>
      </c>
      <c r="E848" t="s">
        <v>31</v>
      </c>
      <c r="F848" t="s">
        <v>57</v>
      </c>
      <c r="G848" t="s">
        <v>101</v>
      </c>
      <c r="H848" t="s">
        <v>102</v>
      </c>
      <c r="I848">
        <v>22</v>
      </c>
      <c r="J848" s="3">
        <v>1991.3</v>
      </c>
      <c r="K848" s="3">
        <v>43808.6</v>
      </c>
      <c r="L848" t="s">
        <v>25</v>
      </c>
      <c r="M848" s="2">
        <v>45869</v>
      </c>
      <c r="N848" s="2">
        <v>45867</v>
      </c>
      <c r="O848" t="s">
        <v>76</v>
      </c>
      <c r="P848" t="s">
        <v>35</v>
      </c>
      <c r="Q848" t="s">
        <v>28</v>
      </c>
      <c r="R848" t="s">
        <v>29</v>
      </c>
      <c r="S848">
        <v>2025</v>
      </c>
      <c r="T848" t="s">
        <v>2759</v>
      </c>
      <c r="U848" t="s">
        <v>2760</v>
      </c>
      <c r="V848" s="4">
        <v>0</v>
      </c>
      <c r="W848" s="4">
        <v>1</v>
      </c>
    </row>
    <row r="849" spans="1:23">
      <c r="A849" t="s">
        <v>978</v>
      </c>
      <c r="B849" s="2">
        <v>45912</v>
      </c>
      <c r="C849" t="s">
        <v>104</v>
      </c>
      <c r="D849" t="s">
        <v>105</v>
      </c>
      <c r="E849" t="s">
        <v>48</v>
      </c>
      <c r="F849" t="s">
        <v>49</v>
      </c>
      <c r="G849" t="s">
        <v>68</v>
      </c>
      <c r="H849" t="s">
        <v>69</v>
      </c>
      <c r="I849">
        <v>1</v>
      </c>
      <c r="J849" s="3">
        <v>49348.56</v>
      </c>
      <c r="K849" s="3">
        <v>49348.56</v>
      </c>
      <c r="L849" t="s">
        <v>25</v>
      </c>
      <c r="M849" s="2">
        <v>45924</v>
      </c>
      <c r="N849" s="2">
        <v>45934</v>
      </c>
      <c r="O849" t="s">
        <v>26</v>
      </c>
      <c r="P849" t="s">
        <v>53</v>
      </c>
      <c r="Q849" t="s">
        <v>28</v>
      </c>
      <c r="R849" t="s">
        <v>129</v>
      </c>
      <c r="S849">
        <v>2025</v>
      </c>
      <c r="T849" t="s">
        <v>2753</v>
      </c>
      <c r="U849" t="s">
        <v>2754</v>
      </c>
      <c r="V849" s="4">
        <v>10</v>
      </c>
      <c r="W849" s="4">
        <v>0</v>
      </c>
    </row>
    <row r="850" spans="1:23">
      <c r="A850" t="s">
        <v>979</v>
      </c>
      <c r="B850" s="2">
        <v>45725</v>
      </c>
      <c r="C850" t="s">
        <v>55</v>
      </c>
      <c r="D850" t="s">
        <v>56</v>
      </c>
      <c r="E850" t="s">
        <v>48</v>
      </c>
      <c r="F850" t="s">
        <v>57</v>
      </c>
      <c r="G850" t="s">
        <v>74</v>
      </c>
      <c r="H850" t="s">
        <v>75</v>
      </c>
      <c r="I850">
        <v>14</v>
      </c>
      <c r="J850" s="3">
        <v>9821.7900000000009</v>
      </c>
      <c r="K850" s="3">
        <v>137505.06</v>
      </c>
      <c r="L850" t="s">
        <v>34</v>
      </c>
      <c r="M850" s="2">
        <v>45732</v>
      </c>
      <c r="N850" s="2">
        <v>45732</v>
      </c>
      <c r="O850" t="s">
        <v>26</v>
      </c>
      <c r="P850" t="s">
        <v>53</v>
      </c>
      <c r="Q850" t="s">
        <v>28</v>
      </c>
      <c r="R850" t="s">
        <v>29</v>
      </c>
      <c r="S850">
        <v>2025</v>
      </c>
      <c r="T850" t="s">
        <v>2747</v>
      </c>
      <c r="U850" t="s">
        <v>2748</v>
      </c>
      <c r="V850" s="4">
        <v>0</v>
      </c>
      <c r="W850" s="4">
        <v>1</v>
      </c>
    </row>
    <row r="851" spans="1:23">
      <c r="A851" t="s">
        <v>980</v>
      </c>
      <c r="B851" s="2">
        <v>46171</v>
      </c>
      <c r="C851" t="s">
        <v>46</v>
      </c>
      <c r="D851" t="s">
        <v>47</v>
      </c>
      <c r="E851" t="s">
        <v>48</v>
      </c>
      <c r="F851" t="s">
        <v>49</v>
      </c>
      <c r="G851" t="s">
        <v>113</v>
      </c>
      <c r="H851" t="s">
        <v>114</v>
      </c>
      <c r="I851">
        <v>1</v>
      </c>
      <c r="J851" s="3">
        <v>42031.360000000001</v>
      </c>
      <c r="K851" s="3">
        <v>42031.360000000001</v>
      </c>
      <c r="L851" t="s">
        <v>25</v>
      </c>
      <c r="M851" s="2">
        <v>46185</v>
      </c>
      <c r="N851" s="2">
        <v>46183</v>
      </c>
      <c r="O851" t="s">
        <v>60</v>
      </c>
      <c r="P851" t="s">
        <v>53</v>
      </c>
      <c r="Q851" t="s">
        <v>28</v>
      </c>
      <c r="R851" t="s">
        <v>29</v>
      </c>
      <c r="S851">
        <v>2026</v>
      </c>
      <c r="T851" t="s">
        <v>2766</v>
      </c>
      <c r="U851" t="s">
        <v>2769</v>
      </c>
      <c r="V851" s="4">
        <v>0</v>
      </c>
      <c r="W851" s="4">
        <v>1</v>
      </c>
    </row>
    <row r="852" spans="1:23">
      <c r="A852" t="s">
        <v>981</v>
      </c>
      <c r="B852" s="2">
        <v>45819</v>
      </c>
      <c r="C852" t="s">
        <v>80</v>
      </c>
      <c r="D852" t="s">
        <v>81</v>
      </c>
      <c r="E852" t="s">
        <v>39</v>
      </c>
      <c r="F852" t="s">
        <v>82</v>
      </c>
      <c r="G852" t="s">
        <v>98</v>
      </c>
      <c r="H852" t="s">
        <v>99</v>
      </c>
      <c r="I852">
        <v>54</v>
      </c>
      <c r="J852" s="3">
        <v>1126.3499999999999</v>
      </c>
      <c r="K852" s="3">
        <v>60822.9</v>
      </c>
      <c r="L852" t="s">
        <v>25</v>
      </c>
      <c r="M852" s="2">
        <v>45835</v>
      </c>
      <c r="N852" s="2">
        <v>45833</v>
      </c>
      <c r="O852" t="s">
        <v>76</v>
      </c>
      <c r="P852" t="s">
        <v>44</v>
      </c>
      <c r="Q852" t="s">
        <v>28</v>
      </c>
      <c r="R852" t="s">
        <v>29</v>
      </c>
      <c r="S852">
        <v>2025</v>
      </c>
      <c r="T852" t="s">
        <v>2743</v>
      </c>
      <c r="U852" t="s">
        <v>2756</v>
      </c>
      <c r="V852" s="4">
        <v>0</v>
      </c>
      <c r="W852" s="4">
        <v>1</v>
      </c>
    </row>
    <row r="853" spans="1:23">
      <c r="A853" t="s">
        <v>982</v>
      </c>
      <c r="B853" s="2">
        <v>45806</v>
      </c>
      <c r="C853" t="s">
        <v>104</v>
      </c>
      <c r="D853" t="s">
        <v>105</v>
      </c>
      <c r="E853" t="s">
        <v>48</v>
      </c>
      <c r="F853" t="s">
        <v>49</v>
      </c>
      <c r="G853" t="s">
        <v>68</v>
      </c>
      <c r="H853" t="s">
        <v>69</v>
      </c>
      <c r="I853">
        <v>2</v>
      </c>
      <c r="J853" s="3">
        <v>48513.4</v>
      </c>
      <c r="K853" s="3">
        <v>97026.8</v>
      </c>
      <c r="L853" t="s">
        <v>25</v>
      </c>
      <c r="M853" s="2">
        <v>45811</v>
      </c>
      <c r="N853" s="2">
        <v>45808</v>
      </c>
      <c r="O853" t="s">
        <v>60</v>
      </c>
      <c r="P853" t="s">
        <v>53</v>
      </c>
      <c r="Q853" t="s">
        <v>28</v>
      </c>
      <c r="R853" t="s">
        <v>29</v>
      </c>
      <c r="S853">
        <v>2025</v>
      </c>
      <c r="T853" t="s">
        <v>2766</v>
      </c>
      <c r="U853" t="s">
        <v>2767</v>
      </c>
      <c r="V853" s="4">
        <v>0</v>
      </c>
      <c r="W853" s="4">
        <v>1</v>
      </c>
    </row>
    <row r="854" spans="1:23">
      <c r="A854" t="s">
        <v>983</v>
      </c>
      <c r="B854" s="2">
        <v>45938</v>
      </c>
      <c r="C854" t="s">
        <v>71</v>
      </c>
      <c r="D854" t="s">
        <v>72</v>
      </c>
      <c r="E854" t="s">
        <v>48</v>
      </c>
      <c r="F854" t="s">
        <v>57</v>
      </c>
      <c r="G854" t="s">
        <v>120</v>
      </c>
      <c r="H854" t="s">
        <v>121</v>
      </c>
      <c r="I854">
        <v>6</v>
      </c>
      <c r="J854" s="3">
        <v>20199.240000000002</v>
      </c>
      <c r="K854" s="3">
        <v>121195.44</v>
      </c>
      <c r="L854" t="s">
        <v>25</v>
      </c>
      <c r="M854" s="2">
        <v>45943</v>
      </c>
      <c r="N854" s="2">
        <v>45940</v>
      </c>
      <c r="O854" t="s">
        <v>26</v>
      </c>
      <c r="P854" t="s">
        <v>53</v>
      </c>
      <c r="Q854" t="s">
        <v>28</v>
      </c>
      <c r="R854" t="s">
        <v>29</v>
      </c>
      <c r="S854">
        <v>2025</v>
      </c>
      <c r="T854" t="s">
        <v>2749</v>
      </c>
      <c r="U854" t="s">
        <v>2750</v>
      </c>
      <c r="V854" s="4">
        <v>0</v>
      </c>
      <c r="W854" s="4">
        <v>1</v>
      </c>
    </row>
    <row r="855" spans="1:23">
      <c r="A855" t="s">
        <v>984</v>
      </c>
      <c r="B855" s="2">
        <v>46173</v>
      </c>
      <c r="C855" t="s">
        <v>142</v>
      </c>
      <c r="D855" t="s">
        <v>143</v>
      </c>
      <c r="E855" t="s">
        <v>21</v>
      </c>
      <c r="F855" t="s">
        <v>22</v>
      </c>
      <c r="G855" t="s">
        <v>23</v>
      </c>
      <c r="H855" t="s">
        <v>24</v>
      </c>
      <c r="I855">
        <v>51</v>
      </c>
      <c r="J855" s="3">
        <v>251.14</v>
      </c>
      <c r="K855" s="3">
        <v>12808.14</v>
      </c>
      <c r="L855" t="s">
        <v>34</v>
      </c>
      <c r="M855" s="2">
        <v>46187</v>
      </c>
      <c r="N855" s="2">
        <v>46187</v>
      </c>
      <c r="O855" t="s">
        <v>60</v>
      </c>
      <c r="P855" t="s">
        <v>27</v>
      </c>
      <c r="Q855" t="s">
        <v>28</v>
      </c>
      <c r="R855" t="s">
        <v>29</v>
      </c>
      <c r="S855">
        <v>2026</v>
      </c>
      <c r="T855" t="s">
        <v>2766</v>
      </c>
      <c r="U855" t="s">
        <v>2769</v>
      </c>
      <c r="V855" s="4">
        <v>0</v>
      </c>
      <c r="W855" s="4">
        <v>1</v>
      </c>
    </row>
    <row r="856" spans="1:23">
      <c r="A856" t="s">
        <v>985</v>
      </c>
      <c r="B856" s="2">
        <v>45913</v>
      </c>
      <c r="C856" t="s">
        <v>117</v>
      </c>
      <c r="D856" t="s">
        <v>118</v>
      </c>
      <c r="E856" t="s">
        <v>31</v>
      </c>
      <c r="F856" t="s">
        <v>57</v>
      </c>
      <c r="G856" t="s">
        <v>101</v>
      </c>
      <c r="H856" t="s">
        <v>102</v>
      </c>
      <c r="I856">
        <v>22</v>
      </c>
      <c r="J856" s="3">
        <v>1844.85</v>
      </c>
      <c r="K856" s="3">
        <v>40586.699999999997</v>
      </c>
      <c r="L856" t="s">
        <v>25</v>
      </c>
      <c r="M856" s="2">
        <v>45926</v>
      </c>
      <c r="N856" s="2">
        <v>45924</v>
      </c>
      <c r="O856" t="s">
        <v>26</v>
      </c>
      <c r="P856" t="s">
        <v>94</v>
      </c>
      <c r="Q856" t="s">
        <v>28</v>
      </c>
      <c r="R856" t="s">
        <v>29</v>
      </c>
      <c r="S856">
        <v>2025</v>
      </c>
      <c r="T856" t="s">
        <v>2753</v>
      </c>
      <c r="U856" t="s">
        <v>2754</v>
      </c>
      <c r="V856" s="4">
        <v>0</v>
      </c>
      <c r="W856" s="4">
        <v>1</v>
      </c>
    </row>
    <row r="857" spans="1:23">
      <c r="A857" t="s">
        <v>986</v>
      </c>
      <c r="B857" s="2">
        <v>45812</v>
      </c>
      <c r="C857" t="s">
        <v>142</v>
      </c>
      <c r="D857" t="s">
        <v>143</v>
      </c>
      <c r="E857" t="s">
        <v>31</v>
      </c>
      <c r="F857" t="s">
        <v>22</v>
      </c>
      <c r="G857" t="s">
        <v>23</v>
      </c>
      <c r="H857" t="s">
        <v>24</v>
      </c>
      <c r="I857">
        <v>39</v>
      </c>
      <c r="J857" s="3">
        <v>242.43</v>
      </c>
      <c r="K857" s="3">
        <v>9454.77</v>
      </c>
      <c r="L857" t="s">
        <v>34</v>
      </c>
      <c r="M857" s="2">
        <v>45829</v>
      </c>
      <c r="N857" s="2">
        <v>45827</v>
      </c>
      <c r="O857" t="s">
        <v>26</v>
      </c>
      <c r="P857" t="s">
        <v>94</v>
      </c>
      <c r="Q857" t="s">
        <v>28</v>
      </c>
      <c r="R857" t="s">
        <v>29</v>
      </c>
      <c r="S857">
        <v>2025</v>
      </c>
      <c r="T857" t="s">
        <v>2743</v>
      </c>
      <c r="U857" t="s">
        <v>2756</v>
      </c>
      <c r="V857" s="4">
        <v>0</v>
      </c>
      <c r="W857" s="4">
        <v>1</v>
      </c>
    </row>
    <row r="858" spans="1:23">
      <c r="A858" t="s">
        <v>987</v>
      </c>
      <c r="B858" s="2">
        <v>45877</v>
      </c>
      <c r="C858" t="s">
        <v>104</v>
      </c>
      <c r="D858" t="s">
        <v>105</v>
      </c>
      <c r="E858" t="s">
        <v>73</v>
      </c>
      <c r="F858" t="s">
        <v>49</v>
      </c>
      <c r="G858" t="s">
        <v>165</v>
      </c>
      <c r="H858" t="s">
        <v>166</v>
      </c>
      <c r="I858">
        <v>1</v>
      </c>
      <c r="J858" s="3">
        <v>45944.56</v>
      </c>
      <c r="K858" s="3">
        <v>45944.56</v>
      </c>
      <c r="L858" t="s">
        <v>25</v>
      </c>
      <c r="M858" s="2">
        <v>45886</v>
      </c>
      <c r="N858" s="2">
        <v>45886</v>
      </c>
      <c r="O858" t="s">
        <v>60</v>
      </c>
      <c r="P858" t="s">
        <v>77</v>
      </c>
      <c r="Q858" t="s">
        <v>28</v>
      </c>
      <c r="R858" t="s">
        <v>29</v>
      </c>
      <c r="S858">
        <v>2025</v>
      </c>
      <c r="T858" t="s">
        <v>2761</v>
      </c>
      <c r="U858" t="s">
        <v>2762</v>
      </c>
      <c r="V858" s="4">
        <v>0</v>
      </c>
      <c r="W858" s="4">
        <v>1</v>
      </c>
    </row>
    <row r="859" spans="1:23">
      <c r="A859" t="s">
        <v>988</v>
      </c>
      <c r="B859" s="2">
        <v>46182</v>
      </c>
      <c r="C859" t="s">
        <v>107</v>
      </c>
      <c r="D859" t="s">
        <v>108</v>
      </c>
      <c r="E859" t="s">
        <v>31</v>
      </c>
      <c r="F859" t="s">
        <v>91</v>
      </c>
      <c r="G859" t="s">
        <v>109</v>
      </c>
      <c r="H859" t="s">
        <v>110</v>
      </c>
      <c r="I859">
        <v>3</v>
      </c>
      <c r="J859" s="3">
        <v>13808.86</v>
      </c>
      <c r="K859" s="3">
        <v>41426.58</v>
      </c>
      <c r="L859" t="s">
        <v>34</v>
      </c>
      <c r="M859" s="2">
        <v>46192</v>
      </c>
      <c r="N859" s="2">
        <v>46192</v>
      </c>
      <c r="O859" t="s">
        <v>43</v>
      </c>
      <c r="P859" t="s">
        <v>94</v>
      </c>
      <c r="Q859" t="s">
        <v>28</v>
      </c>
      <c r="R859" t="s">
        <v>29</v>
      </c>
      <c r="S859">
        <v>2026</v>
      </c>
      <c r="T859" t="s">
        <v>2743</v>
      </c>
      <c r="U859" t="s">
        <v>2744</v>
      </c>
      <c r="V859" s="4">
        <v>0</v>
      </c>
      <c r="W859" s="4">
        <v>1</v>
      </c>
    </row>
    <row r="860" spans="1:23">
      <c r="A860" t="s">
        <v>989</v>
      </c>
      <c r="B860" s="2">
        <v>45747</v>
      </c>
      <c r="C860" t="s">
        <v>71</v>
      </c>
      <c r="D860" t="s">
        <v>72</v>
      </c>
      <c r="E860" t="s">
        <v>73</v>
      </c>
      <c r="F860" t="s">
        <v>57</v>
      </c>
      <c r="G860" t="s">
        <v>86</v>
      </c>
      <c r="H860" t="s">
        <v>87</v>
      </c>
      <c r="I860">
        <v>7</v>
      </c>
      <c r="J860" s="3">
        <v>10487.98</v>
      </c>
      <c r="K860" s="3">
        <v>73415.86</v>
      </c>
      <c r="L860" t="s">
        <v>52</v>
      </c>
      <c r="M860" s="2">
        <v>45765</v>
      </c>
      <c r="N860" s="2">
        <v>45762</v>
      </c>
      <c r="O860" t="s">
        <v>26</v>
      </c>
      <c r="P860" t="s">
        <v>77</v>
      </c>
      <c r="Q860" t="s">
        <v>28</v>
      </c>
      <c r="R860" t="s">
        <v>29</v>
      </c>
      <c r="S860">
        <v>2025</v>
      </c>
      <c r="T860" t="s">
        <v>2747</v>
      </c>
      <c r="U860" t="s">
        <v>2748</v>
      </c>
      <c r="V860" s="4">
        <v>0</v>
      </c>
      <c r="W860" s="4">
        <v>1</v>
      </c>
    </row>
    <row r="861" spans="1:23">
      <c r="A861" t="s">
        <v>990</v>
      </c>
      <c r="B861" s="2">
        <v>45732</v>
      </c>
      <c r="C861" t="s">
        <v>71</v>
      </c>
      <c r="D861" t="s">
        <v>72</v>
      </c>
      <c r="E861" t="s">
        <v>31</v>
      </c>
      <c r="F861" t="s">
        <v>57</v>
      </c>
      <c r="G861" t="s">
        <v>127</v>
      </c>
      <c r="H861" t="s">
        <v>128</v>
      </c>
      <c r="I861">
        <v>7</v>
      </c>
      <c r="J861" s="3">
        <v>15693.92</v>
      </c>
      <c r="K861" s="3">
        <v>109857.44</v>
      </c>
      <c r="L861" t="s">
        <v>25</v>
      </c>
      <c r="M861" s="2">
        <v>45737</v>
      </c>
      <c r="N861" s="2">
        <v>45735</v>
      </c>
      <c r="O861" t="s">
        <v>60</v>
      </c>
      <c r="P861" t="s">
        <v>94</v>
      </c>
      <c r="Q861" t="s">
        <v>28</v>
      </c>
      <c r="R861" t="s">
        <v>29</v>
      </c>
      <c r="S861">
        <v>2025</v>
      </c>
      <c r="T861" t="s">
        <v>2747</v>
      </c>
      <c r="U861" t="s">
        <v>2748</v>
      </c>
      <c r="V861" s="4">
        <v>0</v>
      </c>
      <c r="W861" s="4">
        <v>1</v>
      </c>
    </row>
    <row r="862" spans="1:23">
      <c r="A862" t="s">
        <v>991</v>
      </c>
      <c r="B862" s="2">
        <v>45666</v>
      </c>
      <c r="C862" t="s">
        <v>46</v>
      </c>
      <c r="D862" t="s">
        <v>47</v>
      </c>
      <c r="E862" t="s">
        <v>73</v>
      </c>
      <c r="F862" t="s">
        <v>49</v>
      </c>
      <c r="G862" t="s">
        <v>50</v>
      </c>
      <c r="H862" t="s">
        <v>51</v>
      </c>
      <c r="I862">
        <v>3</v>
      </c>
      <c r="J862" s="3">
        <v>56724</v>
      </c>
      <c r="K862" s="3">
        <v>170172</v>
      </c>
      <c r="L862" t="s">
        <v>34</v>
      </c>
      <c r="M862" s="2">
        <v>45678</v>
      </c>
      <c r="N862" s="2">
        <v>45677</v>
      </c>
      <c r="O862" t="s">
        <v>76</v>
      </c>
      <c r="P862" t="s">
        <v>77</v>
      </c>
      <c r="Q862" t="s">
        <v>28</v>
      </c>
      <c r="R862" t="s">
        <v>29</v>
      </c>
      <c r="S862">
        <v>2025</v>
      </c>
      <c r="T862" t="s">
        <v>2757</v>
      </c>
      <c r="U862" t="s">
        <v>2768</v>
      </c>
      <c r="V862" s="4">
        <v>0</v>
      </c>
      <c r="W862" s="4">
        <v>1</v>
      </c>
    </row>
    <row r="863" spans="1:23">
      <c r="A863" t="s">
        <v>992</v>
      </c>
      <c r="B863" s="2">
        <v>45869</v>
      </c>
      <c r="C863" t="s">
        <v>80</v>
      </c>
      <c r="D863" t="s">
        <v>81</v>
      </c>
      <c r="E863" t="s">
        <v>39</v>
      </c>
      <c r="F863" t="s">
        <v>82</v>
      </c>
      <c r="G863" t="s">
        <v>197</v>
      </c>
      <c r="H863" t="s">
        <v>198</v>
      </c>
      <c r="I863">
        <v>13</v>
      </c>
      <c r="J863" s="3">
        <v>1922.28</v>
      </c>
      <c r="K863" s="3">
        <v>24989.64</v>
      </c>
      <c r="L863" t="s">
        <v>25</v>
      </c>
      <c r="M863" s="2">
        <v>45882</v>
      </c>
      <c r="N863" s="2">
        <v>45882</v>
      </c>
      <c r="O863" t="s">
        <v>76</v>
      </c>
      <c r="P863" t="s">
        <v>64</v>
      </c>
      <c r="Q863" t="s">
        <v>28</v>
      </c>
      <c r="R863" t="s">
        <v>29</v>
      </c>
      <c r="S863">
        <v>2025</v>
      </c>
      <c r="T863" t="s">
        <v>2759</v>
      </c>
      <c r="U863" t="s">
        <v>2760</v>
      </c>
      <c r="V863" s="4">
        <v>0</v>
      </c>
      <c r="W863" s="4">
        <v>1</v>
      </c>
    </row>
    <row r="864" spans="1:23">
      <c r="A864" t="s">
        <v>993</v>
      </c>
      <c r="B864" s="2">
        <v>45871</v>
      </c>
      <c r="C864" t="s">
        <v>147</v>
      </c>
      <c r="D864" t="s">
        <v>148</v>
      </c>
      <c r="E864" t="s">
        <v>39</v>
      </c>
      <c r="F864" t="s">
        <v>40</v>
      </c>
      <c r="G864" t="s">
        <v>149</v>
      </c>
      <c r="H864" t="s">
        <v>150</v>
      </c>
      <c r="I864">
        <v>27</v>
      </c>
      <c r="J864" s="3">
        <v>1269.5</v>
      </c>
      <c r="K864" s="3">
        <v>34276.5</v>
      </c>
      <c r="L864" t="s">
        <v>25</v>
      </c>
      <c r="M864" s="2">
        <v>45876</v>
      </c>
      <c r="N864" s="2">
        <v>45885</v>
      </c>
      <c r="O864" t="s">
        <v>60</v>
      </c>
      <c r="P864" t="s">
        <v>64</v>
      </c>
      <c r="Q864" t="s">
        <v>28</v>
      </c>
      <c r="R864" t="s">
        <v>129</v>
      </c>
      <c r="S864">
        <v>2025</v>
      </c>
      <c r="T864" t="s">
        <v>2761</v>
      </c>
      <c r="U864" t="s">
        <v>2762</v>
      </c>
      <c r="V864" s="4">
        <v>9</v>
      </c>
      <c r="W864" s="4">
        <v>0</v>
      </c>
    </row>
    <row r="865" spans="1:23">
      <c r="A865" t="s">
        <v>994</v>
      </c>
      <c r="B865" s="2">
        <v>45871</v>
      </c>
      <c r="C865" t="s">
        <v>104</v>
      </c>
      <c r="D865" t="s">
        <v>105</v>
      </c>
      <c r="E865" t="s">
        <v>73</v>
      </c>
      <c r="F865" t="s">
        <v>49</v>
      </c>
      <c r="G865" t="s">
        <v>50</v>
      </c>
      <c r="H865" t="s">
        <v>51</v>
      </c>
      <c r="I865">
        <v>1</v>
      </c>
      <c r="J865" s="3">
        <v>51700.76</v>
      </c>
      <c r="K865" s="3">
        <v>51700.76</v>
      </c>
      <c r="L865" t="s">
        <v>25</v>
      </c>
      <c r="M865" s="2">
        <v>45877</v>
      </c>
      <c r="N865" s="2">
        <v>45877</v>
      </c>
      <c r="O865" t="s">
        <v>26</v>
      </c>
      <c r="P865" t="s">
        <v>77</v>
      </c>
      <c r="Q865" t="s">
        <v>28</v>
      </c>
      <c r="R865" t="s">
        <v>29</v>
      </c>
      <c r="S865">
        <v>2025</v>
      </c>
      <c r="T865" t="s">
        <v>2761</v>
      </c>
      <c r="U865" t="s">
        <v>2762</v>
      </c>
      <c r="V865" s="4">
        <v>0</v>
      </c>
      <c r="W865" s="4">
        <v>1</v>
      </c>
    </row>
    <row r="866" spans="1:23">
      <c r="A866" t="s">
        <v>995</v>
      </c>
      <c r="B866" s="2">
        <v>45982</v>
      </c>
      <c r="C866" t="s">
        <v>142</v>
      </c>
      <c r="D866" t="s">
        <v>143</v>
      </c>
      <c r="E866" t="s">
        <v>39</v>
      </c>
      <c r="F866" t="s">
        <v>22</v>
      </c>
      <c r="G866" t="s">
        <v>32</v>
      </c>
      <c r="H866" t="s">
        <v>33</v>
      </c>
      <c r="I866">
        <v>2</v>
      </c>
      <c r="J866" s="3">
        <v>7667.21</v>
      </c>
      <c r="K866" s="3">
        <v>15334.42</v>
      </c>
      <c r="L866" t="s">
        <v>34</v>
      </c>
      <c r="M866" s="2">
        <v>45994</v>
      </c>
      <c r="N866" s="2">
        <v>46002</v>
      </c>
      <c r="O866" t="s">
        <v>60</v>
      </c>
      <c r="P866" t="s">
        <v>64</v>
      </c>
      <c r="Q866" t="s">
        <v>28</v>
      </c>
      <c r="R866" t="s">
        <v>129</v>
      </c>
      <c r="S866">
        <v>2025</v>
      </c>
      <c r="T866" t="s">
        <v>2763</v>
      </c>
      <c r="U866" t="s">
        <v>2764</v>
      </c>
      <c r="V866" s="4">
        <v>8</v>
      </c>
      <c r="W866" s="4">
        <v>0</v>
      </c>
    </row>
    <row r="867" spans="1:23">
      <c r="A867" t="s">
        <v>996</v>
      </c>
      <c r="B867" s="2">
        <v>46021</v>
      </c>
      <c r="C867" t="s">
        <v>37</v>
      </c>
      <c r="D867" t="s">
        <v>38</v>
      </c>
      <c r="E867" t="s">
        <v>21</v>
      </c>
      <c r="F867" t="s">
        <v>22</v>
      </c>
      <c r="G867" t="s">
        <v>160</v>
      </c>
      <c r="H867" t="s">
        <v>161</v>
      </c>
      <c r="I867">
        <v>4</v>
      </c>
      <c r="J867" s="3">
        <v>3433.46</v>
      </c>
      <c r="K867" s="3">
        <v>13733.84</v>
      </c>
      <c r="L867" t="s">
        <v>52</v>
      </c>
      <c r="M867" s="2">
        <v>46037</v>
      </c>
      <c r="N867" s="2">
        <v>46034</v>
      </c>
      <c r="O867" t="s">
        <v>43</v>
      </c>
      <c r="P867" t="s">
        <v>27</v>
      </c>
      <c r="Q867" t="s">
        <v>28</v>
      </c>
      <c r="R867" t="s">
        <v>29</v>
      </c>
      <c r="S867">
        <v>2025</v>
      </c>
      <c r="T867" t="s">
        <v>2745</v>
      </c>
      <c r="U867" t="s">
        <v>2746</v>
      </c>
      <c r="V867" s="4">
        <v>0</v>
      </c>
      <c r="W867" s="4">
        <v>1</v>
      </c>
    </row>
    <row r="868" spans="1:23">
      <c r="A868" t="s">
        <v>997</v>
      </c>
      <c r="B868" s="2">
        <v>45989</v>
      </c>
      <c r="C868" t="s">
        <v>117</v>
      </c>
      <c r="D868" t="s">
        <v>118</v>
      </c>
      <c r="E868" t="s">
        <v>48</v>
      </c>
      <c r="F868" t="s">
        <v>57</v>
      </c>
      <c r="G868" t="s">
        <v>127</v>
      </c>
      <c r="H868" t="s">
        <v>128</v>
      </c>
      <c r="I868">
        <v>3</v>
      </c>
      <c r="J868" s="3">
        <v>16573.91</v>
      </c>
      <c r="K868" s="3">
        <v>49721.73</v>
      </c>
      <c r="L868" t="s">
        <v>25</v>
      </c>
      <c r="M868" s="2">
        <v>46005</v>
      </c>
      <c r="N868" s="2">
        <v>46005</v>
      </c>
      <c r="O868" t="s">
        <v>26</v>
      </c>
      <c r="P868" t="s">
        <v>53</v>
      </c>
      <c r="Q868" t="s">
        <v>28</v>
      </c>
      <c r="R868" t="s">
        <v>29</v>
      </c>
      <c r="S868">
        <v>2025</v>
      </c>
      <c r="T868" t="s">
        <v>2763</v>
      </c>
      <c r="U868" t="s">
        <v>2764</v>
      </c>
      <c r="V868" s="4">
        <v>0</v>
      </c>
      <c r="W868" s="4">
        <v>1</v>
      </c>
    </row>
    <row r="869" spans="1:23">
      <c r="A869" t="s">
        <v>998</v>
      </c>
      <c r="B869" s="2">
        <v>46038</v>
      </c>
      <c r="C869" t="s">
        <v>104</v>
      </c>
      <c r="D869" t="s">
        <v>105</v>
      </c>
      <c r="E869" t="s">
        <v>48</v>
      </c>
      <c r="F869" t="s">
        <v>49</v>
      </c>
      <c r="G869" t="s">
        <v>50</v>
      </c>
      <c r="H869" t="s">
        <v>51</v>
      </c>
      <c r="I869">
        <v>1</v>
      </c>
      <c r="J869" s="3">
        <v>52347.05</v>
      </c>
      <c r="K869" s="3">
        <v>52347.05</v>
      </c>
      <c r="L869" t="s">
        <v>25</v>
      </c>
      <c r="M869" s="2">
        <v>46054</v>
      </c>
      <c r="N869" s="2">
        <v>46053</v>
      </c>
      <c r="O869" t="s">
        <v>43</v>
      </c>
      <c r="P869" t="s">
        <v>53</v>
      </c>
      <c r="Q869" t="s">
        <v>28</v>
      </c>
      <c r="R869" t="s">
        <v>29</v>
      </c>
      <c r="S869">
        <v>2026</v>
      </c>
      <c r="T869" t="s">
        <v>2757</v>
      </c>
      <c r="U869" t="s">
        <v>2758</v>
      </c>
      <c r="V869" s="4">
        <v>0</v>
      </c>
      <c r="W869" s="4">
        <v>1</v>
      </c>
    </row>
    <row r="870" spans="1:23">
      <c r="A870" t="s">
        <v>999</v>
      </c>
      <c r="B870" s="2">
        <v>45688</v>
      </c>
      <c r="C870" t="s">
        <v>131</v>
      </c>
      <c r="D870" t="s">
        <v>132</v>
      </c>
      <c r="E870" t="s">
        <v>21</v>
      </c>
      <c r="F870" t="s">
        <v>57</v>
      </c>
      <c r="G870" t="s">
        <v>58</v>
      </c>
      <c r="H870" t="s">
        <v>59</v>
      </c>
      <c r="I870">
        <v>6</v>
      </c>
      <c r="J870" s="3">
        <v>58707.3</v>
      </c>
      <c r="K870" s="3">
        <v>352243.8</v>
      </c>
      <c r="L870" t="s">
        <v>25</v>
      </c>
      <c r="M870" s="2">
        <v>45693</v>
      </c>
      <c r="N870" s="2">
        <v>45691</v>
      </c>
      <c r="O870" t="s">
        <v>60</v>
      </c>
      <c r="P870" t="s">
        <v>27</v>
      </c>
      <c r="Q870" t="s">
        <v>28</v>
      </c>
      <c r="R870" t="s">
        <v>29</v>
      </c>
      <c r="S870">
        <v>2025</v>
      </c>
      <c r="T870" t="s">
        <v>2757</v>
      </c>
      <c r="U870" t="s">
        <v>2768</v>
      </c>
      <c r="V870" s="4">
        <v>0</v>
      </c>
      <c r="W870" s="4">
        <v>1</v>
      </c>
    </row>
    <row r="871" spans="1:23">
      <c r="A871" t="s">
        <v>1000</v>
      </c>
      <c r="B871" s="2">
        <v>45705</v>
      </c>
      <c r="C871" t="s">
        <v>117</v>
      </c>
      <c r="D871" t="s">
        <v>118</v>
      </c>
      <c r="E871" t="s">
        <v>48</v>
      </c>
      <c r="F871" t="s">
        <v>57</v>
      </c>
      <c r="G871" t="s">
        <v>86</v>
      </c>
      <c r="H871" t="s">
        <v>87</v>
      </c>
      <c r="I871">
        <v>4</v>
      </c>
      <c r="J871" s="3">
        <v>10881.39</v>
      </c>
      <c r="K871" s="3">
        <v>43525.56</v>
      </c>
      <c r="L871" t="s">
        <v>25</v>
      </c>
      <c r="M871" s="2">
        <v>45711</v>
      </c>
      <c r="N871" s="2">
        <v>45711</v>
      </c>
      <c r="O871" t="s">
        <v>60</v>
      </c>
      <c r="P871" t="s">
        <v>53</v>
      </c>
      <c r="Q871" t="s">
        <v>28</v>
      </c>
      <c r="R871" t="s">
        <v>29</v>
      </c>
      <c r="S871">
        <v>2025</v>
      </c>
      <c r="T871" t="s">
        <v>2751</v>
      </c>
      <c r="U871" t="s">
        <v>2752</v>
      </c>
      <c r="V871" s="4">
        <v>0</v>
      </c>
      <c r="W871" s="4">
        <v>1</v>
      </c>
    </row>
    <row r="872" spans="1:23">
      <c r="A872" t="s">
        <v>1001</v>
      </c>
      <c r="B872" s="2">
        <v>46108</v>
      </c>
      <c r="C872" t="s">
        <v>142</v>
      </c>
      <c r="D872" t="s">
        <v>143</v>
      </c>
      <c r="E872" t="s">
        <v>31</v>
      </c>
      <c r="F872" t="s">
        <v>22</v>
      </c>
      <c r="G872" t="s">
        <v>23</v>
      </c>
      <c r="H872" t="s">
        <v>24</v>
      </c>
      <c r="I872">
        <v>21</v>
      </c>
      <c r="J872" s="3">
        <v>245.55</v>
      </c>
      <c r="K872" s="3">
        <v>5156.55</v>
      </c>
      <c r="L872" t="s">
        <v>52</v>
      </c>
      <c r="M872" s="2">
        <v>46115</v>
      </c>
      <c r="N872" s="2">
        <v>46113</v>
      </c>
      <c r="O872" t="s">
        <v>43</v>
      </c>
      <c r="P872" t="s">
        <v>35</v>
      </c>
      <c r="Q872" t="s">
        <v>28</v>
      </c>
      <c r="R872" t="s">
        <v>29</v>
      </c>
      <c r="S872">
        <v>2026</v>
      </c>
      <c r="T872" t="s">
        <v>2747</v>
      </c>
      <c r="U872" t="s">
        <v>2755</v>
      </c>
      <c r="V872" s="4">
        <v>0</v>
      </c>
      <c r="W872" s="4">
        <v>1</v>
      </c>
    </row>
    <row r="873" spans="1:23">
      <c r="A873" t="s">
        <v>1002</v>
      </c>
      <c r="B873" s="2">
        <v>45858</v>
      </c>
      <c r="C873" t="s">
        <v>107</v>
      </c>
      <c r="D873" t="s">
        <v>108</v>
      </c>
      <c r="E873" t="s">
        <v>31</v>
      </c>
      <c r="F873" t="s">
        <v>91</v>
      </c>
      <c r="G873" t="s">
        <v>92</v>
      </c>
      <c r="H873" t="s">
        <v>93</v>
      </c>
      <c r="I873">
        <v>2</v>
      </c>
      <c r="J873" s="3">
        <v>47442.16</v>
      </c>
      <c r="K873" s="3">
        <v>94884.32</v>
      </c>
      <c r="L873" t="s">
        <v>25</v>
      </c>
      <c r="M873" s="2">
        <v>45867</v>
      </c>
      <c r="N873" s="2">
        <v>45867</v>
      </c>
      <c r="O873" t="s">
        <v>76</v>
      </c>
      <c r="P873" t="s">
        <v>94</v>
      </c>
      <c r="Q873" t="s">
        <v>28</v>
      </c>
      <c r="R873" t="s">
        <v>29</v>
      </c>
      <c r="S873">
        <v>2025</v>
      </c>
      <c r="T873" t="s">
        <v>2759</v>
      </c>
      <c r="U873" t="s">
        <v>2760</v>
      </c>
      <c r="V873" s="4">
        <v>0</v>
      </c>
      <c r="W873" s="4">
        <v>1</v>
      </c>
    </row>
    <row r="874" spans="1:23">
      <c r="A874" t="s">
        <v>1003</v>
      </c>
      <c r="B874" s="2">
        <v>45966</v>
      </c>
      <c r="C874" t="s">
        <v>66</v>
      </c>
      <c r="D874" t="s">
        <v>67</v>
      </c>
      <c r="E874" t="s">
        <v>112</v>
      </c>
      <c r="F874" t="s">
        <v>49</v>
      </c>
      <c r="G874" t="s">
        <v>165</v>
      </c>
      <c r="H874" t="s">
        <v>166</v>
      </c>
      <c r="I874">
        <v>2</v>
      </c>
      <c r="J874" s="3">
        <v>42421.41</v>
      </c>
      <c r="K874" s="3">
        <v>84842.82</v>
      </c>
      <c r="L874" t="s">
        <v>34</v>
      </c>
      <c r="M874" s="2">
        <v>45976</v>
      </c>
      <c r="N874" s="2">
        <v>45976</v>
      </c>
      <c r="O874" t="s">
        <v>60</v>
      </c>
      <c r="P874" t="s">
        <v>115</v>
      </c>
      <c r="Q874" t="s">
        <v>28</v>
      </c>
      <c r="R874" t="s">
        <v>29</v>
      </c>
      <c r="S874">
        <v>2025</v>
      </c>
      <c r="T874" t="s">
        <v>2763</v>
      </c>
      <c r="U874" t="s">
        <v>2764</v>
      </c>
      <c r="V874" s="4">
        <v>0</v>
      </c>
      <c r="W874" s="4">
        <v>1</v>
      </c>
    </row>
    <row r="875" spans="1:23">
      <c r="A875" t="s">
        <v>1004</v>
      </c>
      <c r="B875" s="2">
        <v>45672</v>
      </c>
      <c r="C875" t="s">
        <v>142</v>
      </c>
      <c r="D875" t="s">
        <v>143</v>
      </c>
      <c r="E875" t="s">
        <v>39</v>
      </c>
      <c r="F875" t="s">
        <v>22</v>
      </c>
      <c r="G875" t="s">
        <v>23</v>
      </c>
      <c r="H875" t="s">
        <v>24</v>
      </c>
      <c r="I875">
        <v>35</v>
      </c>
      <c r="J875" s="3">
        <v>235.46</v>
      </c>
      <c r="K875" s="3">
        <v>8241.1</v>
      </c>
      <c r="L875" t="s">
        <v>34</v>
      </c>
      <c r="M875" s="2">
        <v>45684</v>
      </c>
      <c r="N875" s="2">
        <v>45683</v>
      </c>
      <c r="O875" t="s">
        <v>60</v>
      </c>
      <c r="P875" t="s">
        <v>44</v>
      </c>
      <c r="Q875" t="s">
        <v>28</v>
      </c>
      <c r="R875" t="s">
        <v>29</v>
      </c>
      <c r="S875">
        <v>2025</v>
      </c>
      <c r="T875" t="s">
        <v>2757</v>
      </c>
      <c r="U875" t="s">
        <v>2768</v>
      </c>
      <c r="V875" s="4">
        <v>0</v>
      </c>
      <c r="W875" s="4">
        <v>1</v>
      </c>
    </row>
    <row r="876" spans="1:23">
      <c r="A876" t="s">
        <v>1005</v>
      </c>
      <c r="B876" s="2">
        <v>45877</v>
      </c>
      <c r="C876" t="s">
        <v>46</v>
      </c>
      <c r="D876" t="s">
        <v>47</v>
      </c>
      <c r="E876" t="s">
        <v>21</v>
      </c>
      <c r="F876" t="s">
        <v>49</v>
      </c>
      <c r="G876" t="s">
        <v>113</v>
      </c>
      <c r="H876" t="s">
        <v>114</v>
      </c>
      <c r="I876">
        <v>3</v>
      </c>
      <c r="J876" s="3">
        <v>41044.980000000003</v>
      </c>
      <c r="K876" s="3">
        <v>123134.94</v>
      </c>
      <c r="L876" t="s">
        <v>25</v>
      </c>
      <c r="M876" s="2">
        <v>45887</v>
      </c>
      <c r="N876" s="2">
        <v>45886</v>
      </c>
      <c r="O876" t="s">
        <v>60</v>
      </c>
      <c r="P876" t="s">
        <v>27</v>
      </c>
      <c r="Q876" t="s">
        <v>28</v>
      </c>
      <c r="R876" t="s">
        <v>29</v>
      </c>
      <c r="S876">
        <v>2025</v>
      </c>
      <c r="T876" t="s">
        <v>2761</v>
      </c>
      <c r="U876" t="s">
        <v>2762</v>
      </c>
      <c r="V876" s="4">
        <v>0</v>
      </c>
      <c r="W876" s="4">
        <v>1</v>
      </c>
    </row>
    <row r="877" spans="1:23">
      <c r="A877" t="s">
        <v>1006</v>
      </c>
      <c r="B877" s="2">
        <v>45927</v>
      </c>
      <c r="C877" t="s">
        <v>131</v>
      </c>
      <c r="D877" t="s">
        <v>132</v>
      </c>
      <c r="E877" t="s">
        <v>73</v>
      </c>
      <c r="F877" t="s">
        <v>57</v>
      </c>
      <c r="G877" t="s">
        <v>101</v>
      </c>
      <c r="H877" t="s">
        <v>102</v>
      </c>
      <c r="I877">
        <v>19</v>
      </c>
      <c r="J877" s="3">
        <v>1832.96</v>
      </c>
      <c r="K877" s="3">
        <v>34826.239999999998</v>
      </c>
      <c r="L877" t="s">
        <v>34</v>
      </c>
      <c r="M877" s="2">
        <v>45939</v>
      </c>
      <c r="N877" s="2">
        <v>45939</v>
      </c>
      <c r="O877" t="s">
        <v>76</v>
      </c>
      <c r="P877" t="s">
        <v>77</v>
      </c>
      <c r="Q877" t="s">
        <v>28</v>
      </c>
      <c r="R877" t="s">
        <v>29</v>
      </c>
      <c r="S877">
        <v>2025</v>
      </c>
      <c r="T877" t="s">
        <v>2753</v>
      </c>
      <c r="U877" t="s">
        <v>2754</v>
      </c>
      <c r="V877" s="4">
        <v>0</v>
      </c>
      <c r="W877" s="4">
        <v>1</v>
      </c>
    </row>
    <row r="878" spans="1:23">
      <c r="A878" t="s">
        <v>1007</v>
      </c>
      <c r="B878" s="2">
        <v>46013</v>
      </c>
      <c r="C878" t="s">
        <v>142</v>
      </c>
      <c r="D878" t="s">
        <v>143</v>
      </c>
      <c r="E878" t="s">
        <v>73</v>
      </c>
      <c r="F878" t="s">
        <v>22</v>
      </c>
      <c r="G878" t="s">
        <v>32</v>
      </c>
      <c r="H878" t="s">
        <v>33</v>
      </c>
      <c r="I878">
        <v>15</v>
      </c>
      <c r="J878" s="3">
        <v>8063.66</v>
      </c>
      <c r="K878" s="3">
        <v>120954.9</v>
      </c>
      <c r="L878" t="s">
        <v>34</v>
      </c>
      <c r="M878" s="2">
        <v>46026</v>
      </c>
      <c r="N878" s="2">
        <v>46025</v>
      </c>
      <c r="O878" t="s">
        <v>26</v>
      </c>
      <c r="P878" t="s">
        <v>77</v>
      </c>
      <c r="Q878" t="s">
        <v>28</v>
      </c>
      <c r="R878" t="s">
        <v>29</v>
      </c>
      <c r="S878">
        <v>2025</v>
      </c>
      <c r="T878" t="s">
        <v>2745</v>
      </c>
      <c r="U878" t="s">
        <v>2746</v>
      </c>
      <c r="V878" s="4">
        <v>0</v>
      </c>
      <c r="W878" s="4">
        <v>1</v>
      </c>
    </row>
    <row r="879" spans="1:23">
      <c r="A879" t="s">
        <v>1008</v>
      </c>
      <c r="B879" s="2">
        <v>46196</v>
      </c>
      <c r="C879" t="s">
        <v>96</v>
      </c>
      <c r="D879" t="s">
        <v>97</v>
      </c>
      <c r="E879" t="s">
        <v>39</v>
      </c>
      <c r="F879" t="s">
        <v>82</v>
      </c>
      <c r="G879" t="s">
        <v>197</v>
      </c>
      <c r="H879" t="s">
        <v>198</v>
      </c>
      <c r="I879">
        <v>39</v>
      </c>
      <c r="J879" s="3">
        <v>2137.9299999999998</v>
      </c>
      <c r="K879" s="3">
        <v>83379.27</v>
      </c>
      <c r="L879" t="s">
        <v>25</v>
      </c>
      <c r="M879" s="2">
        <v>46204</v>
      </c>
      <c r="N879" s="2">
        <v>46203</v>
      </c>
      <c r="O879" t="s">
        <v>26</v>
      </c>
      <c r="P879" t="s">
        <v>64</v>
      </c>
      <c r="Q879" t="s">
        <v>28</v>
      </c>
      <c r="R879" t="s">
        <v>29</v>
      </c>
      <c r="S879">
        <v>2026</v>
      </c>
      <c r="T879" t="s">
        <v>2743</v>
      </c>
      <c r="U879" t="s">
        <v>2744</v>
      </c>
      <c r="V879" s="4">
        <v>0</v>
      </c>
      <c r="W879" s="4">
        <v>1</v>
      </c>
    </row>
    <row r="880" spans="1:23">
      <c r="A880" t="s">
        <v>1009</v>
      </c>
      <c r="B880" s="2">
        <v>45813</v>
      </c>
      <c r="C880" t="s">
        <v>37</v>
      </c>
      <c r="D880" t="s">
        <v>38</v>
      </c>
      <c r="E880" t="s">
        <v>112</v>
      </c>
      <c r="F880" t="s">
        <v>40</v>
      </c>
      <c r="G880" t="s">
        <v>149</v>
      </c>
      <c r="H880" t="s">
        <v>150</v>
      </c>
      <c r="I880">
        <v>30</v>
      </c>
      <c r="J880" s="3">
        <v>1511.4</v>
      </c>
      <c r="K880" s="3">
        <v>45342</v>
      </c>
      <c r="L880" t="s">
        <v>52</v>
      </c>
      <c r="M880" s="2">
        <v>45822</v>
      </c>
      <c r="N880" s="2">
        <v>45819</v>
      </c>
      <c r="O880" t="s">
        <v>60</v>
      </c>
      <c r="P880" t="s">
        <v>115</v>
      </c>
      <c r="Q880" t="s">
        <v>28</v>
      </c>
      <c r="R880" t="s">
        <v>29</v>
      </c>
      <c r="S880">
        <v>2025</v>
      </c>
      <c r="T880" t="s">
        <v>2743</v>
      </c>
      <c r="U880" t="s">
        <v>2756</v>
      </c>
      <c r="V880" s="4">
        <v>0</v>
      </c>
      <c r="W880" s="4">
        <v>1</v>
      </c>
    </row>
    <row r="881" spans="1:23">
      <c r="A881" t="s">
        <v>1010</v>
      </c>
      <c r="B881" s="2">
        <v>45965</v>
      </c>
      <c r="C881" t="s">
        <v>55</v>
      </c>
      <c r="D881" t="s">
        <v>56</v>
      </c>
      <c r="E881" t="s">
        <v>21</v>
      </c>
      <c r="F881" t="s">
        <v>57</v>
      </c>
      <c r="G881" t="s">
        <v>120</v>
      </c>
      <c r="H881" t="s">
        <v>121</v>
      </c>
      <c r="I881">
        <v>2</v>
      </c>
      <c r="J881" s="3">
        <v>25346.720000000001</v>
      </c>
      <c r="K881" s="3">
        <v>50693.440000000002</v>
      </c>
      <c r="L881" t="s">
        <v>25</v>
      </c>
      <c r="M881" s="2">
        <v>45970</v>
      </c>
      <c r="N881" s="2">
        <v>45969</v>
      </c>
      <c r="O881" t="s">
        <v>26</v>
      </c>
      <c r="P881" t="s">
        <v>27</v>
      </c>
      <c r="Q881" t="s">
        <v>28</v>
      </c>
      <c r="R881" t="s">
        <v>29</v>
      </c>
      <c r="S881">
        <v>2025</v>
      </c>
      <c r="T881" t="s">
        <v>2763</v>
      </c>
      <c r="U881" t="s">
        <v>2764</v>
      </c>
      <c r="V881" s="4">
        <v>0</v>
      </c>
      <c r="W881" s="4">
        <v>1</v>
      </c>
    </row>
    <row r="882" spans="1:23">
      <c r="A882" t="s">
        <v>1011</v>
      </c>
      <c r="B882" s="2">
        <v>46087</v>
      </c>
      <c r="C882" t="s">
        <v>37</v>
      </c>
      <c r="D882" t="s">
        <v>38</v>
      </c>
      <c r="E882" t="s">
        <v>39</v>
      </c>
      <c r="F882" t="s">
        <v>40</v>
      </c>
      <c r="G882" t="s">
        <v>41</v>
      </c>
      <c r="H882" t="s">
        <v>42</v>
      </c>
      <c r="I882">
        <v>3</v>
      </c>
      <c r="J882" s="3">
        <v>6040.41</v>
      </c>
      <c r="K882" s="3">
        <v>18121.23</v>
      </c>
      <c r="L882" t="s">
        <v>25</v>
      </c>
      <c r="M882" s="2">
        <v>46098</v>
      </c>
      <c r="N882" s="2">
        <v>46097</v>
      </c>
      <c r="O882" t="s">
        <v>26</v>
      </c>
      <c r="P882" t="s">
        <v>44</v>
      </c>
      <c r="Q882" t="s">
        <v>28</v>
      </c>
      <c r="R882" t="s">
        <v>29</v>
      </c>
      <c r="S882">
        <v>2026</v>
      </c>
      <c r="T882" t="s">
        <v>2747</v>
      </c>
      <c r="U882" t="s">
        <v>2755</v>
      </c>
      <c r="V882" s="4">
        <v>0</v>
      </c>
      <c r="W882" s="4">
        <v>1</v>
      </c>
    </row>
    <row r="883" spans="1:23">
      <c r="A883" t="s">
        <v>1012</v>
      </c>
      <c r="B883" s="2">
        <v>45993</v>
      </c>
      <c r="C883" t="s">
        <v>147</v>
      </c>
      <c r="D883" t="s">
        <v>148</v>
      </c>
      <c r="E883" t="s">
        <v>39</v>
      </c>
      <c r="F883" t="s">
        <v>40</v>
      </c>
      <c r="G883" t="s">
        <v>41</v>
      </c>
      <c r="H883" t="s">
        <v>42</v>
      </c>
      <c r="I883">
        <v>4</v>
      </c>
      <c r="J883" s="3">
        <v>5255.85</v>
      </c>
      <c r="K883" s="3">
        <v>21023.4</v>
      </c>
      <c r="L883" t="s">
        <v>25</v>
      </c>
      <c r="M883" s="2">
        <v>46008</v>
      </c>
      <c r="N883" s="2">
        <v>46008</v>
      </c>
      <c r="O883" t="s">
        <v>60</v>
      </c>
      <c r="P883" t="s">
        <v>64</v>
      </c>
      <c r="Q883" t="s">
        <v>28</v>
      </c>
      <c r="R883" t="s">
        <v>29</v>
      </c>
      <c r="S883">
        <v>2025</v>
      </c>
      <c r="T883" t="s">
        <v>2745</v>
      </c>
      <c r="U883" t="s">
        <v>2746</v>
      </c>
      <c r="V883" s="4">
        <v>0</v>
      </c>
      <c r="W883" s="4">
        <v>1</v>
      </c>
    </row>
    <row r="884" spans="1:23">
      <c r="A884" t="s">
        <v>1013</v>
      </c>
      <c r="B884" s="2">
        <v>45699</v>
      </c>
      <c r="C884" t="s">
        <v>142</v>
      </c>
      <c r="D884" t="s">
        <v>143</v>
      </c>
      <c r="E884" t="s">
        <v>112</v>
      </c>
      <c r="F884" t="s">
        <v>22</v>
      </c>
      <c r="G884" t="s">
        <v>32</v>
      </c>
      <c r="H884" t="s">
        <v>33</v>
      </c>
      <c r="I884">
        <v>15</v>
      </c>
      <c r="J884" s="3">
        <v>8372.57</v>
      </c>
      <c r="K884" s="3">
        <v>125588.55</v>
      </c>
      <c r="L884" t="s">
        <v>34</v>
      </c>
      <c r="M884" s="2">
        <v>45715</v>
      </c>
      <c r="N884" s="2">
        <v>45712</v>
      </c>
      <c r="O884" t="s">
        <v>26</v>
      </c>
      <c r="P884" t="s">
        <v>115</v>
      </c>
      <c r="Q884" t="s">
        <v>28</v>
      </c>
      <c r="R884" t="s">
        <v>29</v>
      </c>
      <c r="S884">
        <v>2025</v>
      </c>
      <c r="T884" t="s">
        <v>2751</v>
      </c>
      <c r="U884" t="s">
        <v>2752</v>
      </c>
      <c r="V884" s="4">
        <v>0</v>
      </c>
      <c r="W884" s="4">
        <v>1</v>
      </c>
    </row>
    <row r="885" spans="1:23">
      <c r="A885" t="s">
        <v>1014</v>
      </c>
      <c r="B885" s="2">
        <v>46029</v>
      </c>
      <c r="C885" t="s">
        <v>104</v>
      </c>
      <c r="D885" t="s">
        <v>105</v>
      </c>
      <c r="E885" t="s">
        <v>48</v>
      </c>
      <c r="F885" t="s">
        <v>49</v>
      </c>
      <c r="G885" t="s">
        <v>68</v>
      </c>
      <c r="H885" t="s">
        <v>69</v>
      </c>
      <c r="I885">
        <v>1</v>
      </c>
      <c r="J885" s="3">
        <v>48836.42</v>
      </c>
      <c r="K885" s="3">
        <v>48836.42</v>
      </c>
      <c r="L885" t="s">
        <v>52</v>
      </c>
      <c r="M885" s="2">
        <v>46047</v>
      </c>
      <c r="N885" s="2">
        <v>46045</v>
      </c>
      <c r="O885" t="s">
        <v>76</v>
      </c>
      <c r="P885" t="s">
        <v>53</v>
      </c>
      <c r="Q885" t="s">
        <v>28</v>
      </c>
      <c r="R885" t="s">
        <v>29</v>
      </c>
      <c r="S885">
        <v>2026</v>
      </c>
      <c r="T885" t="s">
        <v>2757</v>
      </c>
      <c r="U885" t="s">
        <v>2758</v>
      </c>
      <c r="V885" s="4">
        <v>0</v>
      </c>
      <c r="W885" s="4">
        <v>1</v>
      </c>
    </row>
    <row r="886" spans="1:23">
      <c r="A886" t="s">
        <v>1015</v>
      </c>
      <c r="B886" s="2">
        <v>45743</v>
      </c>
      <c r="C886" t="s">
        <v>46</v>
      </c>
      <c r="D886" t="s">
        <v>47</v>
      </c>
      <c r="E886" t="s">
        <v>48</v>
      </c>
      <c r="F886" t="s">
        <v>49</v>
      </c>
      <c r="G886" t="s">
        <v>50</v>
      </c>
      <c r="H886" t="s">
        <v>51</v>
      </c>
      <c r="I886">
        <v>2</v>
      </c>
      <c r="J886" s="3">
        <v>54013.46</v>
      </c>
      <c r="K886" s="3">
        <v>108026.92</v>
      </c>
      <c r="L886" t="s">
        <v>34</v>
      </c>
      <c r="M886" s="2">
        <v>45758</v>
      </c>
      <c r="N886" s="2">
        <v>45755</v>
      </c>
      <c r="O886" t="s">
        <v>60</v>
      </c>
      <c r="P886" t="s">
        <v>53</v>
      </c>
      <c r="Q886" t="s">
        <v>28</v>
      </c>
      <c r="R886" t="s">
        <v>29</v>
      </c>
      <c r="S886">
        <v>2025</v>
      </c>
      <c r="T886" t="s">
        <v>2747</v>
      </c>
      <c r="U886" t="s">
        <v>2748</v>
      </c>
      <c r="V886" s="4">
        <v>0</v>
      </c>
      <c r="W886" s="4">
        <v>1</v>
      </c>
    </row>
    <row r="887" spans="1:23">
      <c r="A887" t="s">
        <v>1016</v>
      </c>
      <c r="B887" s="2">
        <v>45701</v>
      </c>
      <c r="C887" t="s">
        <v>19</v>
      </c>
      <c r="D887" t="s">
        <v>20</v>
      </c>
      <c r="E887" t="s">
        <v>31</v>
      </c>
      <c r="F887" t="s">
        <v>22</v>
      </c>
      <c r="G887" t="s">
        <v>23</v>
      </c>
      <c r="H887" t="s">
        <v>24</v>
      </c>
      <c r="I887">
        <v>53</v>
      </c>
      <c r="J887" s="3">
        <v>221.14</v>
      </c>
      <c r="K887" s="3">
        <v>11720.42</v>
      </c>
      <c r="L887" t="s">
        <v>34</v>
      </c>
      <c r="M887" s="2">
        <v>45709</v>
      </c>
      <c r="N887" s="2">
        <v>45706</v>
      </c>
      <c r="O887" t="s">
        <v>43</v>
      </c>
      <c r="P887" t="s">
        <v>35</v>
      </c>
      <c r="Q887" t="s">
        <v>28</v>
      </c>
      <c r="R887" t="s">
        <v>29</v>
      </c>
      <c r="S887">
        <v>2025</v>
      </c>
      <c r="T887" t="s">
        <v>2751</v>
      </c>
      <c r="U887" t="s">
        <v>2752</v>
      </c>
      <c r="V887" s="4">
        <v>0</v>
      </c>
      <c r="W887" s="4">
        <v>1</v>
      </c>
    </row>
    <row r="888" spans="1:23">
      <c r="A888" t="s">
        <v>1017</v>
      </c>
      <c r="B888" s="2">
        <v>46193</v>
      </c>
      <c r="C888" t="s">
        <v>71</v>
      </c>
      <c r="D888" t="s">
        <v>72</v>
      </c>
      <c r="E888" t="s">
        <v>73</v>
      </c>
      <c r="F888" t="s">
        <v>57</v>
      </c>
      <c r="G888" t="s">
        <v>120</v>
      </c>
      <c r="H888" t="s">
        <v>121</v>
      </c>
      <c r="I888">
        <v>1</v>
      </c>
      <c r="J888" s="3">
        <v>20888.93</v>
      </c>
      <c r="K888" s="3">
        <v>20888.93</v>
      </c>
      <c r="L888" t="s">
        <v>25</v>
      </c>
      <c r="M888" s="2">
        <v>46201</v>
      </c>
      <c r="N888" s="2">
        <v>46201</v>
      </c>
      <c r="O888" t="s">
        <v>76</v>
      </c>
      <c r="P888" t="s">
        <v>77</v>
      </c>
      <c r="Q888" t="s">
        <v>28</v>
      </c>
      <c r="R888" t="s">
        <v>29</v>
      </c>
      <c r="S888">
        <v>2026</v>
      </c>
      <c r="T888" t="s">
        <v>2743</v>
      </c>
      <c r="U888" t="s">
        <v>2744</v>
      </c>
      <c r="V888" s="4">
        <v>0</v>
      </c>
      <c r="W888" s="4">
        <v>1</v>
      </c>
    </row>
    <row r="889" spans="1:23">
      <c r="A889" t="s">
        <v>1018</v>
      </c>
      <c r="B889" s="2">
        <v>45917</v>
      </c>
      <c r="C889" t="s">
        <v>104</v>
      </c>
      <c r="D889" t="s">
        <v>105</v>
      </c>
      <c r="E889" t="s">
        <v>48</v>
      </c>
      <c r="F889" t="s">
        <v>49</v>
      </c>
      <c r="G889" t="s">
        <v>50</v>
      </c>
      <c r="H889" t="s">
        <v>51</v>
      </c>
      <c r="I889">
        <v>1</v>
      </c>
      <c r="J889" s="3">
        <v>53587.76</v>
      </c>
      <c r="K889" s="3">
        <v>53587.76</v>
      </c>
      <c r="L889" t="s">
        <v>34</v>
      </c>
      <c r="M889" s="2">
        <v>45929</v>
      </c>
      <c r="N889" s="2">
        <v>45927</v>
      </c>
      <c r="O889" t="s">
        <v>26</v>
      </c>
      <c r="P889" t="s">
        <v>53</v>
      </c>
      <c r="Q889" t="s">
        <v>28</v>
      </c>
      <c r="R889" t="s">
        <v>29</v>
      </c>
      <c r="S889">
        <v>2025</v>
      </c>
      <c r="T889" t="s">
        <v>2753</v>
      </c>
      <c r="U889" t="s">
        <v>2754</v>
      </c>
      <c r="V889" s="4">
        <v>0</v>
      </c>
      <c r="W889" s="4">
        <v>1</v>
      </c>
    </row>
    <row r="890" spans="1:23">
      <c r="A890" t="s">
        <v>1019</v>
      </c>
      <c r="B890" s="2">
        <v>45987</v>
      </c>
      <c r="C890" t="s">
        <v>131</v>
      </c>
      <c r="D890" t="s">
        <v>132</v>
      </c>
      <c r="E890" t="s">
        <v>48</v>
      </c>
      <c r="F890" t="s">
        <v>57</v>
      </c>
      <c r="G890" t="s">
        <v>74</v>
      </c>
      <c r="H890" t="s">
        <v>75</v>
      </c>
      <c r="I890">
        <v>10</v>
      </c>
      <c r="J890" s="3">
        <v>8987.57</v>
      </c>
      <c r="K890" s="3">
        <v>89875.7</v>
      </c>
      <c r="L890" t="s">
        <v>25</v>
      </c>
      <c r="M890" s="2">
        <v>46000</v>
      </c>
      <c r="N890" s="2">
        <v>45999</v>
      </c>
      <c r="O890" t="s">
        <v>76</v>
      </c>
      <c r="P890" t="s">
        <v>53</v>
      </c>
      <c r="Q890" t="s">
        <v>28</v>
      </c>
      <c r="R890" t="s">
        <v>29</v>
      </c>
      <c r="S890">
        <v>2025</v>
      </c>
      <c r="T890" t="s">
        <v>2763</v>
      </c>
      <c r="U890" t="s">
        <v>2764</v>
      </c>
      <c r="V890" s="4">
        <v>0</v>
      </c>
      <c r="W890" s="4">
        <v>1</v>
      </c>
    </row>
    <row r="891" spans="1:23">
      <c r="A891" t="s">
        <v>1020</v>
      </c>
      <c r="B891" s="2">
        <v>45750</v>
      </c>
      <c r="C891" t="s">
        <v>66</v>
      </c>
      <c r="D891" t="s">
        <v>67</v>
      </c>
      <c r="E891" t="s">
        <v>21</v>
      </c>
      <c r="F891" t="s">
        <v>49</v>
      </c>
      <c r="G891" t="s">
        <v>50</v>
      </c>
      <c r="H891" t="s">
        <v>51</v>
      </c>
      <c r="I891">
        <v>2</v>
      </c>
      <c r="J891" s="3">
        <v>49340.08</v>
      </c>
      <c r="K891" s="3">
        <v>98680.16</v>
      </c>
      <c r="L891" t="s">
        <v>52</v>
      </c>
      <c r="M891" s="2">
        <v>45760</v>
      </c>
      <c r="N891" s="2">
        <v>45757</v>
      </c>
      <c r="O891" t="s">
        <v>26</v>
      </c>
      <c r="P891" t="s">
        <v>27</v>
      </c>
      <c r="Q891" t="s">
        <v>28</v>
      </c>
      <c r="R891" t="s">
        <v>29</v>
      </c>
      <c r="S891">
        <v>2025</v>
      </c>
      <c r="T891" t="s">
        <v>2741</v>
      </c>
      <c r="U891" t="s">
        <v>2742</v>
      </c>
      <c r="V891" s="4">
        <v>0</v>
      </c>
      <c r="W891" s="4">
        <v>1</v>
      </c>
    </row>
    <row r="892" spans="1:23">
      <c r="A892" t="s">
        <v>1021</v>
      </c>
      <c r="B892" s="2">
        <v>45988</v>
      </c>
      <c r="C892" t="s">
        <v>147</v>
      </c>
      <c r="D892" t="s">
        <v>148</v>
      </c>
      <c r="E892" t="s">
        <v>39</v>
      </c>
      <c r="F892" t="s">
        <v>40</v>
      </c>
      <c r="G892" t="s">
        <v>136</v>
      </c>
      <c r="H892" t="s">
        <v>137</v>
      </c>
      <c r="I892">
        <v>30</v>
      </c>
      <c r="J892" s="3">
        <v>1597.37</v>
      </c>
      <c r="K892" s="3">
        <v>47921.1</v>
      </c>
      <c r="L892" t="s">
        <v>25</v>
      </c>
      <c r="M892" s="2">
        <v>46002</v>
      </c>
      <c r="N892" s="2">
        <v>46001</v>
      </c>
      <c r="O892" t="s">
        <v>60</v>
      </c>
      <c r="P892" t="s">
        <v>44</v>
      </c>
      <c r="Q892" t="s">
        <v>28</v>
      </c>
      <c r="R892" t="s">
        <v>29</v>
      </c>
      <c r="S892">
        <v>2025</v>
      </c>
      <c r="T892" t="s">
        <v>2763</v>
      </c>
      <c r="U892" t="s">
        <v>2764</v>
      </c>
      <c r="V892" s="4">
        <v>0</v>
      </c>
      <c r="W892" s="4">
        <v>1</v>
      </c>
    </row>
    <row r="893" spans="1:23">
      <c r="A893" t="s">
        <v>1022</v>
      </c>
      <c r="B893" s="2">
        <v>46203</v>
      </c>
      <c r="C893" t="s">
        <v>147</v>
      </c>
      <c r="D893" t="s">
        <v>148</v>
      </c>
      <c r="E893" t="s">
        <v>39</v>
      </c>
      <c r="F893" t="s">
        <v>40</v>
      </c>
      <c r="G893" t="s">
        <v>41</v>
      </c>
      <c r="H893" t="s">
        <v>42</v>
      </c>
      <c r="I893">
        <v>15</v>
      </c>
      <c r="J893" s="3">
        <v>5320.16</v>
      </c>
      <c r="K893" s="3">
        <v>79802.399999999994</v>
      </c>
      <c r="L893" t="s">
        <v>25</v>
      </c>
      <c r="M893" s="2">
        <v>46220</v>
      </c>
      <c r="N893" s="2"/>
      <c r="O893" t="s">
        <v>43</v>
      </c>
      <c r="P893" t="s">
        <v>64</v>
      </c>
      <c r="Q893" t="s">
        <v>167</v>
      </c>
      <c r="R893" t="s">
        <v>167</v>
      </c>
      <c r="S893">
        <v>2026</v>
      </c>
      <c r="T893" t="s">
        <v>2743</v>
      </c>
      <c r="U893" t="s">
        <v>2744</v>
      </c>
      <c r="V893" s="4"/>
      <c r="W893" s="4"/>
    </row>
    <row r="894" spans="1:23">
      <c r="A894" t="s">
        <v>1023</v>
      </c>
      <c r="B894" s="2">
        <v>45938</v>
      </c>
      <c r="C894" t="s">
        <v>96</v>
      </c>
      <c r="D894" t="s">
        <v>97</v>
      </c>
      <c r="E894" t="s">
        <v>39</v>
      </c>
      <c r="F894" t="s">
        <v>82</v>
      </c>
      <c r="G894" t="s">
        <v>83</v>
      </c>
      <c r="H894" t="s">
        <v>84</v>
      </c>
      <c r="I894">
        <v>46</v>
      </c>
      <c r="J894" s="3">
        <v>712.89</v>
      </c>
      <c r="K894" s="3">
        <v>32792.94</v>
      </c>
      <c r="L894" t="s">
        <v>25</v>
      </c>
      <c r="M894" s="2">
        <v>45955</v>
      </c>
      <c r="N894" s="2">
        <v>45955</v>
      </c>
      <c r="O894" t="s">
        <v>43</v>
      </c>
      <c r="P894" t="s">
        <v>44</v>
      </c>
      <c r="Q894" t="s">
        <v>28</v>
      </c>
      <c r="R894" t="s">
        <v>29</v>
      </c>
      <c r="S894">
        <v>2025</v>
      </c>
      <c r="T894" t="s">
        <v>2749</v>
      </c>
      <c r="U894" t="s">
        <v>2750</v>
      </c>
      <c r="V894" s="4">
        <v>0</v>
      </c>
      <c r="W894" s="4">
        <v>1</v>
      </c>
    </row>
    <row r="895" spans="1:23">
      <c r="A895" t="s">
        <v>1024</v>
      </c>
      <c r="B895" s="2">
        <v>46107</v>
      </c>
      <c r="C895" t="s">
        <v>142</v>
      </c>
      <c r="D895" t="s">
        <v>143</v>
      </c>
      <c r="E895" t="s">
        <v>31</v>
      </c>
      <c r="F895" t="s">
        <v>22</v>
      </c>
      <c r="G895" t="s">
        <v>23</v>
      </c>
      <c r="H895" t="s">
        <v>24</v>
      </c>
      <c r="I895">
        <v>42</v>
      </c>
      <c r="J895" s="3">
        <v>253.9</v>
      </c>
      <c r="K895" s="3">
        <v>10663.8</v>
      </c>
      <c r="L895" t="s">
        <v>34</v>
      </c>
      <c r="M895" s="2">
        <v>46118</v>
      </c>
      <c r="N895" s="2">
        <v>46115</v>
      </c>
      <c r="O895" t="s">
        <v>76</v>
      </c>
      <c r="P895" t="s">
        <v>35</v>
      </c>
      <c r="Q895" t="s">
        <v>28</v>
      </c>
      <c r="R895" t="s">
        <v>29</v>
      </c>
      <c r="S895">
        <v>2026</v>
      </c>
      <c r="T895" t="s">
        <v>2747</v>
      </c>
      <c r="U895" t="s">
        <v>2755</v>
      </c>
      <c r="V895" s="4">
        <v>0</v>
      </c>
      <c r="W895" s="4">
        <v>1</v>
      </c>
    </row>
    <row r="896" spans="1:23">
      <c r="A896" t="s">
        <v>1025</v>
      </c>
      <c r="B896" s="2">
        <v>46099</v>
      </c>
      <c r="C896" t="s">
        <v>19</v>
      </c>
      <c r="D896" t="s">
        <v>20</v>
      </c>
      <c r="E896" t="s">
        <v>112</v>
      </c>
      <c r="F896" t="s">
        <v>22</v>
      </c>
      <c r="G896" t="s">
        <v>160</v>
      </c>
      <c r="H896" t="s">
        <v>161</v>
      </c>
      <c r="I896">
        <v>12</v>
      </c>
      <c r="J896" s="3">
        <v>3002.59</v>
      </c>
      <c r="K896" s="3">
        <v>36031.08</v>
      </c>
      <c r="L896" t="s">
        <v>34</v>
      </c>
      <c r="M896" s="2">
        <v>46106</v>
      </c>
      <c r="N896" s="2">
        <v>46105</v>
      </c>
      <c r="O896" t="s">
        <v>26</v>
      </c>
      <c r="P896" t="s">
        <v>115</v>
      </c>
      <c r="Q896" t="s">
        <v>28</v>
      </c>
      <c r="R896" t="s">
        <v>29</v>
      </c>
      <c r="S896">
        <v>2026</v>
      </c>
      <c r="T896" t="s">
        <v>2747</v>
      </c>
      <c r="U896" t="s">
        <v>2755</v>
      </c>
      <c r="V896" s="4">
        <v>0</v>
      </c>
      <c r="W896" s="4">
        <v>1</v>
      </c>
    </row>
    <row r="897" spans="1:23">
      <c r="A897" t="s">
        <v>1026</v>
      </c>
      <c r="B897" s="2">
        <v>45979</v>
      </c>
      <c r="C897" t="s">
        <v>55</v>
      </c>
      <c r="D897" t="s">
        <v>56</v>
      </c>
      <c r="E897" t="s">
        <v>48</v>
      </c>
      <c r="F897" t="s">
        <v>57</v>
      </c>
      <c r="G897" t="s">
        <v>120</v>
      </c>
      <c r="H897" t="s">
        <v>121</v>
      </c>
      <c r="I897">
        <v>4</v>
      </c>
      <c r="J897" s="3">
        <v>24863.59</v>
      </c>
      <c r="K897" s="3">
        <v>99454.36</v>
      </c>
      <c r="L897" t="s">
        <v>25</v>
      </c>
      <c r="M897" s="2">
        <v>45991</v>
      </c>
      <c r="N897" s="2">
        <v>45991</v>
      </c>
      <c r="O897" t="s">
        <v>60</v>
      </c>
      <c r="P897" t="s">
        <v>53</v>
      </c>
      <c r="Q897" t="s">
        <v>28</v>
      </c>
      <c r="R897" t="s">
        <v>29</v>
      </c>
      <c r="S897">
        <v>2025</v>
      </c>
      <c r="T897" t="s">
        <v>2763</v>
      </c>
      <c r="U897" t="s">
        <v>2764</v>
      </c>
      <c r="V897" s="4">
        <v>0</v>
      </c>
      <c r="W897" s="4">
        <v>1</v>
      </c>
    </row>
    <row r="898" spans="1:23">
      <c r="A898" t="s">
        <v>1027</v>
      </c>
      <c r="B898" s="2">
        <v>46104</v>
      </c>
      <c r="C898" t="s">
        <v>142</v>
      </c>
      <c r="D898" t="s">
        <v>143</v>
      </c>
      <c r="E898" t="s">
        <v>112</v>
      </c>
      <c r="F898" t="s">
        <v>22</v>
      </c>
      <c r="G898" t="s">
        <v>32</v>
      </c>
      <c r="H898" t="s">
        <v>33</v>
      </c>
      <c r="I898">
        <v>15</v>
      </c>
      <c r="J898" s="3">
        <v>8421.16</v>
      </c>
      <c r="K898" s="3">
        <v>126317.4</v>
      </c>
      <c r="L898" t="s">
        <v>25</v>
      </c>
      <c r="M898" s="2">
        <v>46114</v>
      </c>
      <c r="N898" s="2">
        <v>46113</v>
      </c>
      <c r="O898" t="s">
        <v>76</v>
      </c>
      <c r="P898" t="s">
        <v>115</v>
      </c>
      <c r="Q898" t="s">
        <v>28</v>
      </c>
      <c r="R898" t="s">
        <v>29</v>
      </c>
      <c r="S898">
        <v>2026</v>
      </c>
      <c r="T898" t="s">
        <v>2747</v>
      </c>
      <c r="U898" t="s">
        <v>2755</v>
      </c>
      <c r="V898" s="4">
        <v>0</v>
      </c>
      <c r="W898" s="4">
        <v>1</v>
      </c>
    </row>
    <row r="899" spans="1:23">
      <c r="A899" t="s">
        <v>1028</v>
      </c>
      <c r="B899" s="2">
        <v>45940</v>
      </c>
      <c r="C899" t="s">
        <v>46</v>
      </c>
      <c r="D899" t="s">
        <v>47</v>
      </c>
      <c r="E899" t="s">
        <v>112</v>
      </c>
      <c r="F899" t="s">
        <v>49</v>
      </c>
      <c r="G899" t="s">
        <v>113</v>
      </c>
      <c r="H899" t="s">
        <v>114</v>
      </c>
      <c r="I899">
        <v>1</v>
      </c>
      <c r="J899" s="3">
        <v>40448.080000000002</v>
      </c>
      <c r="K899" s="3">
        <v>40448.080000000002</v>
      </c>
      <c r="L899" t="s">
        <v>25</v>
      </c>
      <c r="M899" s="2">
        <v>45951</v>
      </c>
      <c r="N899" s="2">
        <v>45948</v>
      </c>
      <c r="O899" t="s">
        <v>76</v>
      </c>
      <c r="P899" t="s">
        <v>115</v>
      </c>
      <c r="Q899" t="s">
        <v>28</v>
      </c>
      <c r="R899" t="s">
        <v>29</v>
      </c>
      <c r="S899">
        <v>2025</v>
      </c>
      <c r="T899" t="s">
        <v>2749</v>
      </c>
      <c r="U899" t="s">
        <v>2750</v>
      </c>
      <c r="V899" s="4">
        <v>0</v>
      </c>
      <c r="W899" s="4">
        <v>1</v>
      </c>
    </row>
    <row r="900" spans="1:23">
      <c r="A900" t="s">
        <v>1029</v>
      </c>
      <c r="B900" s="2">
        <v>45896</v>
      </c>
      <c r="C900" t="s">
        <v>147</v>
      </c>
      <c r="D900" t="s">
        <v>148</v>
      </c>
      <c r="E900" t="s">
        <v>112</v>
      </c>
      <c r="F900" t="s">
        <v>40</v>
      </c>
      <c r="G900" t="s">
        <v>149</v>
      </c>
      <c r="H900" t="s">
        <v>150</v>
      </c>
      <c r="I900">
        <v>42</v>
      </c>
      <c r="J900" s="3">
        <v>1358.49</v>
      </c>
      <c r="K900" s="3">
        <v>57056.58</v>
      </c>
      <c r="L900" t="s">
        <v>34</v>
      </c>
      <c r="M900" s="2">
        <v>45906</v>
      </c>
      <c r="N900" s="2">
        <v>45906</v>
      </c>
      <c r="O900" t="s">
        <v>76</v>
      </c>
      <c r="P900" t="s">
        <v>115</v>
      </c>
      <c r="Q900" t="s">
        <v>28</v>
      </c>
      <c r="R900" t="s">
        <v>29</v>
      </c>
      <c r="S900">
        <v>2025</v>
      </c>
      <c r="T900" t="s">
        <v>2761</v>
      </c>
      <c r="U900" t="s">
        <v>2762</v>
      </c>
      <c r="V900" s="4">
        <v>0</v>
      </c>
      <c r="W900" s="4">
        <v>1</v>
      </c>
    </row>
    <row r="901" spans="1:23">
      <c r="A901" t="s">
        <v>1030</v>
      </c>
      <c r="B901" s="2">
        <v>45730</v>
      </c>
      <c r="C901" t="s">
        <v>19</v>
      </c>
      <c r="D901" t="s">
        <v>20</v>
      </c>
      <c r="E901" t="s">
        <v>31</v>
      </c>
      <c r="F901" t="s">
        <v>22</v>
      </c>
      <c r="G901" t="s">
        <v>23</v>
      </c>
      <c r="H901" t="s">
        <v>24</v>
      </c>
      <c r="I901">
        <v>43</v>
      </c>
      <c r="J901" s="3">
        <v>223.84</v>
      </c>
      <c r="K901" s="3">
        <v>9625.1200000000008</v>
      </c>
      <c r="L901" t="s">
        <v>34</v>
      </c>
      <c r="M901" s="2">
        <v>45747</v>
      </c>
      <c r="N901" s="2">
        <v>45746</v>
      </c>
      <c r="O901" t="s">
        <v>43</v>
      </c>
      <c r="P901" t="s">
        <v>35</v>
      </c>
      <c r="Q901" t="s">
        <v>28</v>
      </c>
      <c r="R901" t="s">
        <v>29</v>
      </c>
      <c r="S901">
        <v>2025</v>
      </c>
      <c r="T901" t="s">
        <v>2747</v>
      </c>
      <c r="U901" t="s">
        <v>2748</v>
      </c>
      <c r="V901" s="4">
        <v>0</v>
      </c>
      <c r="W901" s="4">
        <v>1</v>
      </c>
    </row>
    <row r="902" spans="1:23">
      <c r="A902" t="s">
        <v>1031</v>
      </c>
      <c r="B902" s="2">
        <v>45780</v>
      </c>
      <c r="C902" t="s">
        <v>147</v>
      </c>
      <c r="D902" t="s">
        <v>148</v>
      </c>
      <c r="E902" t="s">
        <v>39</v>
      </c>
      <c r="F902" t="s">
        <v>40</v>
      </c>
      <c r="G902" t="s">
        <v>62</v>
      </c>
      <c r="H902" t="s">
        <v>63</v>
      </c>
      <c r="I902">
        <v>8</v>
      </c>
      <c r="J902" s="3">
        <v>17659.060000000001</v>
      </c>
      <c r="K902" s="3">
        <v>141272.48000000001</v>
      </c>
      <c r="L902" t="s">
        <v>25</v>
      </c>
      <c r="M902" s="2">
        <v>45787</v>
      </c>
      <c r="N902" s="2">
        <v>45786</v>
      </c>
      <c r="O902" t="s">
        <v>76</v>
      </c>
      <c r="P902" t="s">
        <v>64</v>
      </c>
      <c r="Q902" t="s">
        <v>28</v>
      </c>
      <c r="R902" t="s">
        <v>29</v>
      </c>
      <c r="S902">
        <v>2025</v>
      </c>
      <c r="T902" t="s">
        <v>2766</v>
      </c>
      <c r="U902" t="s">
        <v>2767</v>
      </c>
      <c r="V902" s="4">
        <v>0</v>
      </c>
      <c r="W902" s="4">
        <v>1</v>
      </c>
    </row>
    <row r="903" spans="1:23">
      <c r="A903" t="s">
        <v>1032</v>
      </c>
      <c r="B903" s="2">
        <v>46169</v>
      </c>
      <c r="C903" t="s">
        <v>142</v>
      </c>
      <c r="D903" t="s">
        <v>143</v>
      </c>
      <c r="E903" t="s">
        <v>21</v>
      </c>
      <c r="F903" t="s">
        <v>22</v>
      </c>
      <c r="G903" t="s">
        <v>23</v>
      </c>
      <c r="H903" t="s">
        <v>24</v>
      </c>
      <c r="I903">
        <v>10</v>
      </c>
      <c r="J903" s="3">
        <v>249.47</v>
      </c>
      <c r="K903" s="3">
        <v>2494.6999999999998</v>
      </c>
      <c r="L903" t="s">
        <v>25</v>
      </c>
      <c r="M903" s="2">
        <v>46179</v>
      </c>
      <c r="N903" s="2">
        <v>46179</v>
      </c>
      <c r="O903" t="s">
        <v>43</v>
      </c>
      <c r="P903" t="s">
        <v>27</v>
      </c>
      <c r="Q903" t="s">
        <v>28</v>
      </c>
      <c r="R903" t="s">
        <v>29</v>
      </c>
      <c r="S903">
        <v>2026</v>
      </c>
      <c r="T903" t="s">
        <v>2766</v>
      </c>
      <c r="U903" t="s">
        <v>2769</v>
      </c>
      <c r="V903" s="4">
        <v>0</v>
      </c>
      <c r="W903" s="4">
        <v>1</v>
      </c>
    </row>
    <row r="904" spans="1:23">
      <c r="A904" t="s">
        <v>1033</v>
      </c>
      <c r="B904" s="2">
        <v>45718</v>
      </c>
      <c r="C904" t="s">
        <v>142</v>
      </c>
      <c r="D904" t="s">
        <v>143</v>
      </c>
      <c r="E904" t="s">
        <v>39</v>
      </c>
      <c r="F904" t="s">
        <v>22</v>
      </c>
      <c r="G904" t="s">
        <v>32</v>
      </c>
      <c r="H904" t="s">
        <v>33</v>
      </c>
      <c r="I904">
        <v>5</v>
      </c>
      <c r="J904" s="3">
        <v>7717.46</v>
      </c>
      <c r="K904" s="3">
        <v>38587.300000000003</v>
      </c>
      <c r="L904" t="s">
        <v>52</v>
      </c>
      <c r="M904" s="2">
        <v>45723</v>
      </c>
      <c r="N904" s="2">
        <v>45721</v>
      </c>
      <c r="O904" t="s">
        <v>26</v>
      </c>
      <c r="P904" t="s">
        <v>64</v>
      </c>
      <c r="Q904" t="s">
        <v>28</v>
      </c>
      <c r="R904" t="s">
        <v>29</v>
      </c>
      <c r="S904">
        <v>2025</v>
      </c>
      <c r="T904" t="s">
        <v>2747</v>
      </c>
      <c r="U904" t="s">
        <v>2748</v>
      </c>
      <c r="V904" s="4">
        <v>0</v>
      </c>
      <c r="W904" s="4">
        <v>1</v>
      </c>
    </row>
    <row r="905" spans="1:23">
      <c r="A905" t="s">
        <v>1034</v>
      </c>
      <c r="B905" s="2">
        <v>46168</v>
      </c>
      <c r="C905" t="s">
        <v>147</v>
      </c>
      <c r="D905" t="s">
        <v>148</v>
      </c>
      <c r="E905" t="s">
        <v>39</v>
      </c>
      <c r="F905" t="s">
        <v>40</v>
      </c>
      <c r="G905" t="s">
        <v>41</v>
      </c>
      <c r="H905" t="s">
        <v>42</v>
      </c>
      <c r="I905">
        <v>10</v>
      </c>
      <c r="J905" s="3">
        <v>5402.43</v>
      </c>
      <c r="K905" s="3">
        <v>54024.3</v>
      </c>
      <c r="L905" t="s">
        <v>34</v>
      </c>
      <c r="M905" s="2">
        <v>46178</v>
      </c>
      <c r="N905" s="2">
        <v>46175</v>
      </c>
      <c r="O905" t="s">
        <v>26</v>
      </c>
      <c r="P905" t="s">
        <v>64</v>
      </c>
      <c r="Q905" t="s">
        <v>28</v>
      </c>
      <c r="R905" t="s">
        <v>29</v>
      </c>
      <c r="S905">
        <v>2026</v>
      </c>
      <c r="T905" t="s">
        <v>2766</v>
      </c>
      <c r="U905" t="s">
        <v>2769</v>
      </c>
      <c r="V905" s="4">
        <v>0</v>
      </c>
      <c r="W905" s="4">
        <v>1</v>
      </c>
    </row>
    <row r="906" spans="1:23">
      <c r="A906" t="s">
        <v>1035</v>
      </c>
      <c r="B906" s="2">
        <v>46113</v>
      </c>
      <c r="C906" t="s">
        <v>80</v>
      </c>
      <c r="D906" t="s">
        <v>81</v>
      </c>
      <c r="E906" t="s">
        <v>39</v>
      </c>
      <c r="F906" t="s">
        <v>82</v>
      </c>
      <c r="G906" t="s">
        <v>83</v>
      </c>
      <c r="H906" t="s">
        <v>84</v>
      </c>
      <c r="I906">
        <v>23</v>
      </c>
      <c r="J906" s="3">
        <v>675.83</v>
      </c>
      <c r="K906" s="3">
        <v>15544.09</v>
      </c>
      <c r="L906" t="s">
        <v>34</v>
      </c>
      <c r="M906" s="2">
        <v>46119</v>
      </c>
      <c r="N906" s="2">
        <v>46118</v>
      </c>
      <c r="O906" t="s">
        <v>26</v>
      </c>
      <c r="P906" t="s">
        <v>64</v>
      </c>
      <c r="Q906" t="s">
        <v>28</v>
      </c>
      <c r="R906" t="s">
        <v>29</v>
      </c>
      <c r="S906">
        <v>2026</v>
      </c>
      <c r="T906" t="s">
        <v>2741</v>
      </c>
      <c r="U906" t="s">
        <v>2770</v>
      </c>
      <c r="V906" s="4">
        <v>0</v>
      </c>
      <c r="W906" s="4">
        <v>1</v>
      </c>
    </row>
    <row r="907" spans="1:23">
      <c r="A907" t="s">
        <v>1036</v>
      </c>
      <c r="B907" s="2">
        <v>46167</v>
      </c>
      <c r="C907" t="s">
        <v>80</v>
      </c>
      <c r="D907" t="s">
        <v>81</v>
      </c>
      <c r="E907" t="s">
        <v>39</v>
      </c>
      <c r="F907" t="s">
        <v>82</v>
      </c>
      <c r="G907" t="s">
        <v>98</v>
      </c>
      <c r="H907" t="s">
        <v>99</v>
      </c>
      <c r="I907">
        <v>40</v>
      </c>
      <c r="J907" s="3">
        <v>1140.1099999999999</v>
      </c>
      <c r="K907" s="3">
        <v>45604.4</v>
      </c>
      <c r="L907" t="s">
        <v>52</v>
      </c>
      <c r="M907" s="2">
        <v>46185</v>
      </c>
      <c r="N907" s="2">
        <v>46182</v>
      </c>
      <c r="O907" t="s">
        <v>43</v>
      </c>
      <c r="P907" t="s">
        <v>44</v>
      </c>
      <c r="Q907" t="s">
        <v>28</v>
      </c>
      <c r="R907" t="s">
        <v>29</v>
      </c>
      <c r="S907">
        <v>2026</v>
      </c>
      <c r="T907" t="s">
        <v>2766</v>
      </c>
      <c r="U907" t="s">
        <v>2769</v>
      </c>
      <c r="V907" s="4">
        <v>0</v>
      </c>
      <c r="W907" s="4">
        <v>1</v>
      </c>
    </row>
    <row r="908" spans="1:23">
      <c r="A908" t="s">
        <v>1037</v>
      </c>
      <c r="B908" s="2">
        <v>45910</v>
      </c>
      <c r="C908" t="s">
        <v>147</v>
      </c>
      <c r="D908" t="s">
        <v>148</v>
      </c>
      <c r="E908" t="s">
        <v>39</v>
      </c>
      <c r="F908" t="s">
        <v>40</v>
      </c>
      <c r="G908" t="s">
        <v>149</v>
      </c>
      <c r="H908" t="s">
        <v>150</v>
      </c>
      <c r="I908">
        <v>8</v>
      </c>
      <c r="J908" s="3">
        <v>1249.01</v>
      </c>
      <c r="K908" s="3">
        <v>9992.08</v>
      </c>
      <c r="L908" t="s">
        <v>34</v>
      </c>
      <c r="M908" s="2">
        <v>45922</v>
      </c>
      <c r="N908" s="2">
        <v>45922</v>
      </c>
      <c r="O908" t="s">
        <v>43</v>
      </c>
      <c r="P908" t="s">
        <v>44</v>
      </c>
      <c r="Q908" t="s">
        <v>28</v>
      </c>
      <c r="R908" t="s">
        <v>29</v>
      </c>
      <c r="S908">
        <v>2025</v>
      </c>
      <c r="T908" t="s">
        <v>2753</v>
      </c>
      <c r="U908" t="s">
        <v>2754</v>
      </c>
      <c r="V908" s="4">
        <v>0</v>
      </c>
      <c r="W908" s="4">
        <v>1</v>
      </c>
    </row>
    <row r="909" spans="1:23">
      <c r="A909" t="s">
        <v>1038</v>
      </c>
      <c r="B909" s="2">
        <v>46197</v>
      </c>
      <c r="C909" t="s">
        <v>104</v>
      </c>
      <c r="D909" t="s">
        <v>105</v>
      </c>
      <c r="E909" t="s">
        <v>48</v>
      </c>
      <c r="F909" t="s">
        <v>49</v>
      </c>
      <c r="G909" t="s">
        <v>50</v>
      </c>
      <c r="H909" t="s">
        <v>51</v>
      </c>
      <c r="I909">
        <v>1</v>
      </c>
      <c r="J909" s="3">
        <v>50554.03</v>
      </c>
      <c r="K909" s="3">
        <v>50554.03</v>
      </c>
      <c r="L909" t="s">
        <v>25</v>
      </c>
      <c r="M909" s="2">
        <v>46206</v>
      </c>
      <c r="N909" s="2">
        <v>46203</v>
      </c>
      <c r="O909" t="s">
        <v>60</v>
      </c>
      <c r="P909" t="s">
        <v>53</v>
      </c>
      <c r="Q909" t="s">
        <v>28</v>
      </c>
      <c r="R909" t="s">
        <v>29</v>
      </c>
      <c r="S909">
        <v>2026</v>
      </c>
      <c r="T909" t="s">
        <v>2743</v>
      </c>
      <c r="U909" t="s">
        <v>2744</v>
      </c>
      <c r="V909" s="4">
        <v>0</v>
      </c>
      <c r="W909" s="4">
        <v>1</v>
      </c>
    </row>
    <row r="910" spans="1:23">
      <c r="A910" t="s">
        <v>1039</v>
      </c>
      <c r="B910" s="2">
        <v>46161</v>
      </c>
      <c r="C910" t="s">
        <v>142</v>
      </c>
      <c r="D910" t="s">
        <v>143</v>
      </c>
      <c r="E910" t="s">
        <v>31</v>
      </c>
      <c r="F910" t="s">
        <v>22</v>
      </c>
      <c r="G910" t="s">
        <v>160</v>
      </c>
      <c r="H910" t="s">
        <v>161</v>
      </c>
      <c r="I910">
        <v>13</v>
      </c>
      <c r="J910" s="3">
        <v>3305.31</v>
      </c>
      <c r="K910" s="3">
        <v>42969.03</v>
      </c>
      <c r="L910" t="s">
        <v>25</v>
      </c>
      <c r="M910" s="2">
        <v>46170</v>
      </c>
      <c r="N910" s="2">
        <v>46170</v>
      </c>
      <c r="O910" t="s">
        <v>43</v>
      </c>
      <c r="P910" t="s">
        <v>94</v>
      </c>
      <c r="Q910" t="s">
        <v>28</v>
      </c>
      <c r="R910" t="s">
        <v>29</v>
      </c>
      <c r="S910">
        <v>2026</v>
      </c>
      <c r="T910" t="s">
        <v>2766</v>
      </c>
      <c r="U910" t="s">
        <v>2769</v>
      </c>
      <c r="V910" s="4">
        <v>0</v>
      </c>
      <c r="W910" s="4">
        <v>1</v>
      </c>
    </row>
    <row r="911" spans="1:23">
      <c r="A911" t="s">
        <v>1040</v>
      </c>
      <c r="B911" s="2">
        <v>45749</v>
      </c>
      <c r="C911" t="s">
        <v>142</v>
      </c>
      <c r="D911" t="s">
        <v>143</v>
      </c>
      <c r="E911" t="s">
        <v>31</v>
      </c>
      <c r="F911" t="s">
        <v>22</v>
      </c>
      <c r="G911" t="s">
        <v>32</v>
      </c>
      <c r="H911" t="s">
        <v>33</v>
      </c>
      <c r="I911">
        <v>1</v>
      </c>
      <c r="J911" s="3">
        <v>7708.18</v>
      </c>
      <c r="K911" s="3">
        <v>7708.18</v>
      </c>
      <c r="L911" t="s">
        <v>25</v>
      </c>
      <c r="M911" s="2">
        <v>45762</v>
      </c>
      <c r="N911" s="2">
        <v>45768</v>
      </c>
      <c r="O911" t="s">
        <v>76</v>
      </c>
      <c r="P911" t="s">
        <v>94</v>
      </c>
      <c r="Q911" t="s">
        <v>28</v>
      </c>
      <c r="R911" t="s">
        <v>129</v>
      </c>
      <c r="S911">
        <v>2025</v>
      </c>
      <c r="T911" t="s">
        <v>2741</v>
      </c>
      <c r="U911" t="s">
        <v>2742</v>
      </c>
      <c r="V911" s="4">
        <v>6</v>
      </c>
      <c r="W911" s="4">
        <v>0</v>
      </c>
    </row>
    <row r="912" spans="1:23">
      <c r="A912" t="s">
        <v>1041</v>
      </c>
      <c r="B912" s="2">
        <v>46102</v>
      </c>
      <c r="C912" t="s">
        <v>107</v>
      </c>
      <c r="D912" t="s">
        <v>108</v>
      </c>
      <c r="E912" t="s">
        <v>31</v>
      </c>
      <c r="F912" t="s">
        <v>91</v>
      </c>
      <c r="G912" t="s">
        <v>109</v>
      </c>
      <c r="H912" t="s">
        <v>110</v>
      </c>
      <c r="I912">
        <v>1</v>
      </c>
      <c r="J912" s="3">
        <v>13255.34</v>
      </c>
      <c r="K912" s="3">
        <v>13255.34</v>
      </c>
      <c r="L912" t="s">
        <v>52</v>
      </c>
      <c r="M912" s="2">
        <v>46108</v>
      </c>
      <c r="N912" s="2">
        <v>46107</v>
      </c>
      <c r="O912" t="s">
        <v>76</v>
      </c>
      <c r="P912" t="s">
        <v>94</v>
      </c>
      <c r="Q912" t="s">
        <v>28</v>
      </c>
      <c r="R912" t="s">
        <v>29</v>
      </c>
      <c r="S912">
        <v>2026</v>
      </c>
      <c r="T912" t="s">
        <v>2747</v>
      </c>
      <c r="U912" t="s">
        <v>2755</v>
      </c>
      <c r="V912" s="4">
        <v>0</v>
      </c>
      <c r="W912" s="4">
        <v>1</v>
      </c>
    </row>
    <row r="913" spans="1:23">
      <c r="A913" t="s">
        <v>1042</v>
      </c>
      <c r="B913" s="2">
        <v>45866</v>
      </c>
      <c r="C913" t="s">
        <v>142</v>
      </c>
      <c r="D913" t="s">
        <v>143</v>
      </c>
      <c r="E913" t="s">
        <v>31</v>
      </c>
      <c r="F913" t="s">
        <v>22</v>
      </c>
      <c r="G913" t="s">
        <v>23</v>
      </c>
      <c r="H913" t="s">
        <v>24</v>
      </c>
      <c r="I913">
        <v>49</v>
      </c>
      <c r="J913" s="3">
        <v>243.61</v>
      </c>
      <c r="K913" s="3">
        <v>11936.89</v>
      </c>
      <c r="L913" t="s">
        <v>52</v>
      </c>
      <c r="M913" s="2">
        <v>45872</v>
      </c>
      <c r="N913" s="2">
        <v>45872</v>
      </c>
      <c r="O913" t="s">
        <v>76</v>
      </c>
      <c r="P913" t="s">
        <v>94</v>
      </c>
      <c r="Q913" t="s">
        <v>28</v>
      </c>
      <c r="R913" t="s">
        <v>29</v>
      </c>
      <c r="S913">
        <v>2025</v>
      </c>
      <c r="T913" t="s">
        <v>2759</v>
      </c>
      <c r="U913" t="s">
        <v>2760</v>
      </c>
      <c r="V913" s="4">
        <v>0</v>
      </c>
      <c r="W913" s="4">
        <v>1</v>
      </c>
    </row>
    <row r="914" spans="1:23">
      <c r="A914" t="s">
        <v>1044</v>
      </c>
      <c r="B914" s="2">
        <v>46069</v>
      </c>
      <c r="C914" t="s">
        <v>19</v>
      </c>
      <c r="D914" t="s">
        <v>20</v>
      </c>
      <c r="E914" t="s">
        <v>39</v>
      </c>
      <c r="F914" t="s">
        <v>22</v>
      </c>
      <c r="G914" t="s">
        <v>32</v>
      </c>
      <c r="H914" t="s">
        <v>33</v>
      </c>
      <c r="I914">
        <v>7</v>
      </c>
      <c r="J914" s="3">
        <v>7539.63</v>
      </c>
      <c r="K914" s="3">
        <v>52777.41</v>
      </c>
      <c r="L914" t="s">
        <v>25</v>
      </c>
      <c r="M914" s="2">
        <v>46084</v>
      </c>
      <c r="N914" s="2">
        <v>46082</v>
      </c>
      <c r="O914" t="s">
        <v>76</v>
      </c>
      <c r="P914" t="s">
        <v>44</v>
      </c>
      <c r="Q914" t="s">
        <v>28</v>
      </c>
      <c r="R914" t="s">
        <v>29</v>
      </c>
      <c r="S914">
        <v>2026</v>
      </c>
      <c r="T914" t="s">
        <v>2751</v>
      </c>
      <c r="U914" t="s">
        <v>2765</v>
      </c>
      <c r="V914" s="4">
        <v>0</v>
      </c>
      <c r="W914" s="4">
        <v>1</v>
      </c>
    </row>
    <row r="915" spans="1:23">
      <c r="A915" t="s">
        <v>1045</v>
      </c>
      <c r="B915" s="2">
        <v>45668</v>
      </c>
      <c r="C915" t="s">
        <v>66</v>
      </c>
      <c r="D915" t="s">
        <v>67</v>
      </c>
      <c r="E915" t="s">
        <v>73</v>
      </c>
      <c r="F915" t="s">
        <v>49</v>
      </c>
      <c r="G915" t="s">
        <v>50</v>
      </c>
      <c r="H915" t="s">
        <v>51</v>
      </c>
      <c r="I915">
        <v>3</v>
      </c>
      <c r="J915" s="3">
        <v>50638.71</v>
      </c>
      <c r="K915" s="3">
        <v>151916.13</v>
      </c>
      <c r="L915" t="s">
        <v>25</v>
      </c>
      <c r="M915" s="2">
        <v>45673</v>
      </c>
      <c r="N915" s="2">
        <v>45670</v>
      </c>
      <c r="O915" t="s">
        <v>60</v>
      </c>
      <c r="P915" t="s">
        <v>77</v>
      </c>
      <c r="Q915" t="s">
        <v>28</v>
      </c>
      <c r="R915" t="s">
        <v>29</v>
      </c>
      <c r="S915">
        <v>2025</v>
      </c>
      <c r="T915" t="s">
        <v>2757</v>
      </c>
      <c r="U915" t="s">
        <v>2768</v>
      </c>
      <c r="V915" s="4">
        <v>0</v>
      </c>
      <c r="W915" s="4">
        <v>1</v>
      </c>
    </row>
    <row r="916" spans="1:23">
      <c r="A916" t="s">
        <v>1046</v>
      </c>
      <c r="B916" s="2">
        <v>45886</v>
      </c>
      <c r="C916" t="s">
        <v>142</v>
      </c>
      <c r="D916" t="s">
        <v>143</v>
      </c>
      <c r="E916" t="s">
        <v>39</v>
      </c>
      <c r="F916" t="s">
        <v>22</v>
      </c>
      <c r="G916" t="s">
        <v>160</v>
      </c>
      <c r="H916" t="s">
        <v>161</v>
      </c>
      <c r="I916">
        <v>3</v>
      </c>
      <c r="J916" s="3">
        <v>3176.22</v>
      </c>
      <c r="K916" s="3">
        <v>9528.66</v>
      </c>
      <c r="L916" t="s">
        <v>25</v>
      </c>
      <c r="M916" s="2">
        <v>45902</v>
      </c>
      <c r="N916" s="2">
        <v>45899</v>
      </c>
      <c r="O916" t="s">
        <v>76</v>
      </c>
      <c r="P916" t="s">
        <v>44</v>
      </c>
      <c r="Q916" t="s">
        <v>28</v>
      </c>
      <c r="R916" t="s">
        <v>29</v>
      </c>
      <c r="S916">
        <v>2025</v>
      </c>
      <c r="T916" t="s">
        <v>2761</v>
      </c>
      <c r="U916" t="s">
        <v>2762</v>
      </c>
      <c r="V916" s="4">
        <v>0</v>
      </c>
      <c r="W916" s="4">
        <v>1</v>
      </c>
    </row>
    <row r="917" spans="1:23">
      <c r="A917" t="s">
        <v>1047</v>
      </c>
      <c r="B917" s="2">
        <v>45925</v>
      </c>
      <c r="C917" t="s">
        <v>19</v>
      </c>
      <c r="D917" t="s">
        <v>20</v>
      </c>
      <c r="E917" t="s">
        <v>39</v>
      </c>
      <c r="F917" t="s">
        <v>22</v>
      </c>
      <c r="G917" t="s">
        <v>23</v>
      </c>
      <c r="H917" t="s">
        <v>24</v>
      </c>
      <c r="I917">
        <v>13</v>
      </c>
      <c r="J917" s="3">
        <v>228.95</v>
      </c>
      <c r="K917" s="3">
        <v>2976.35</v>
      </c>
      <c r="L917" t="s">
        <v>25</v>
      </c>
      <c r="M917" s="2">
        <v>45938</v>
      </c>
      <c r="N917" s="2">
        <v>45935</v>
      </c>
      <c r="O917" t="s">
        <v>43</v>
      </c>
      <c r="P917" t="s">
        <v>64</v>
      </c>
      <c r="Q917" t="s">
        <v>28</v>
      </c>
      <c r="R917" t="s">
        <v>29</v>
      </c>
      <c r="S917">
        <v>2025</v>
      </c>
      <c r="T917" t="s">
        <v>2753</v>
      </c>
      <c r="U917" t="s">
        <v>2754</v>
      </c>
      <c r="V917" s="4">
        <v>0</v>
      </c>
      <c r="W917" s="4">
        <v>1</v>
      </c>
    </row>
    <row r="918" spans="1:23">
      <c r="A918" t="s">
        <v>1048</v>
      </c>
      <c r="B918" s="2">
        <v>45846</v>
      </c>
      <c r="C918" t="s">
        <v>71</v>
      </c>
      <c r="D918" t="s">
        <v>72</v>
      </c>
      <c r="E918" t="s">
        <v>48</v>
      </c>
      <c r="F918" t="s">
        <v>57</v>
      </c>
      <c r="G918" t="s">
        <v>86</v>
      </c>
      <c r="H918" t="s">
        <v>87</v>
      </c>
      <c r="I918">
        <v>3</v>
      </c>
      <c r="J918" s="3">
        <v>10124.540000000001</v>
      </c>
      <c r="K918" s="3">
        <v>30373.62</v>
      </c>
      <c r="L918" t="s">
        <v>34</v>
      </c>
      <c r="M918" s="2">
        <v>45858</v>
      </c>
      <c r="N918" s="2">
        <v>45858</v>
      </c>
      <c r="O918" t="s">
        <v>26</v>
      </c>
      <c r="P918" t="s">
        <v>53</v>
      </c>
      <c r="Q918" t="s">
        <v>28</v>
      </c>
      <c r="R918" t="s">
        <v>29</v>
      </c>
      <c r="S918">
        <v>2025</v>
      </c>
      <c r="T918" t="s">
        <v>2759</v>
      </c>
      <c r="U918" t="s">
        <v>2760</v>
      </c>
      <c r="V918" s="4">
        <v>0</v>
      </c>
      <c r="W918" s="4">
        <v>1</v>
      </c>
    </row>
    <row r="919" spans="1:23">
      <c r="A919" t="s">
        <v>1049</v>
      </c>
      <c r="B919" s="2">
        <v>45983</v>
      </c>
      <c r="C919" t="s">
        <v>37</v>
      </c>
      <c r="D919" t="s">
        <v>38</v>
      </c>
      <c r="E919" t="s">
        <v>39</v>
      </c>
      <c r="F919" t="s">
        <v>22</v>
      </c>
      <c r="G919" t="s">
        <v>160</v>
      </c>
      <c r="H919" t="s">
        <v>161</v>
      </c>
      <c r="I919">
        <v>3</v>
      </c>
      <c r="J919" s="3">
        <v>3311.76</v>
      </c>
      <c r="K919" s="3">
        <v>9935.2800000000007</v>
      </c>
      <c r="L919" t="s">
        <v>25</v>
      </c>
      <c r="M919" s="2">
        <v>45993</v>
      </c>
      <c r="N919" s="2">
        <v>45993</v>
      </c>
      <c r="O919" t="s">
        <v>26</v>
      </c>
      <c r="P919" t="s">
        <v>44</v>
      </c>
      <c r="Q919" t="s">
        <v>28</v>
      </c>
      <c r="R919" t="s">
        <v>29</v>
      </c>
      <c r="S919">
        <v>2025</v>
      </c>
      <c r="T919" t="s">
        <v>2763</v>
      </c>
      <c r="U919" t="s">
        <v>2764</v>
      </c>
      <c r="V919" s="4">
        <v>0</v>
      </c>
      <c r="W919" s="4">
        <v>1</v>
      </c>
    </row>
    <row r="920" spans="1:23">
      <c r="A920" t="s">
        <v>1050</v>
      </c>
      <c r="B920" s="2">
        <v>46175</v>
      </c>
      <c r="C920" t="s">
        <v>19</v>
      </c>
      <c r="D920" t="s">
        <v>20</v>
      </c>
      <c r="E920" t="s">
        <v>39</v>
      </c>
      <c r="F920" t="s">
        <v>22</v>
      </c>
      <c r="G920" t="s">
        <v>160</v>
      </c>
      <c r="H920" t="s">
        <v>161</v>
      </c>
      <c r="I920">
        <v>14</v>
      </c>
      <c r="J920" s="3">
        <v>2928.03</v>
      </c>
      <c r="K920" s="3">
        <v>40992.42</v>
      </c>
      <c r="L920" t="s">
        <v>34</v>
      </c>
      <c r="M920" s="2">
        <v>46187</v>
      </c>
      <c r="N920" s="2">
        <v>46192</v>
      </c>
      <c r="O920" t="s">
        <v>76</v>
      </c>
      <c r="P920" t="s">
        <v>64</v>
      </c>
      <c r="Q920" t="s">
        <v>28</v>
      </c>
      <c r="R920" t="s">
        <v>129</v>
      </c>
      <c r="S920">
        <v>2026</v>
      </c>
      <c r="T920" t="s">
        <v>2743</v>
      </c>
      <c r="U920" t="s">
        <v>2744</v>
      </c>
      <c r="V920" s="4">
        <v>5</v>
      </c>
      <c r="W920" s="4">
        <v>0</v>
      </c>
    </row>
    <row r="921" spans="1:23">
      <c r="A921" t="s">
        <v>1051</v>
      </c>
      <c r="B921" s="2">
        <v>45804</v>
      </c>
      <c r="C921" t="s">
        <v>142</v>
      </c>
      <c r="D921" t="s">
        <v>143</v>
      </c>
      <c r="E921" t="s">
        <v>21</v>
      </c>
      <c r="F921" t="s">
        <v>22</v>
      </c>
      <c r="G921" t="s">
        <v>32</v>
      </c>
      <c r="H921" t="s">
        <v>33</v>
      </c>
      <c r="I921">
        <v>1</v>
      </c>
      <c r="J921" s="3">
        <v>7851.67</v>
      </c>
      <c r="K921" s="3">
        <v>7851.67</v>
      </c>
      <c r="L921" t="s">
        <v>25</v>
      </c>
      <c r="M921" s="2">
        <v>45818</v>
      </c>
      <c r="N921" s="2">
        <v>45816</v>
      </c>
      <c r="O921" t="s">
        <v>26</v>
      </c>
      <c r="P921" t="s">
        <v>27</v>
      </c>
      <c r="Q921" t="s">
        <v>28</v>
      </c>
      <c r="R921" t="s">
        <v>29</v>
      </c>
      <c r="S921">
        <v>2025</v>
      </c>
      <c r="T921" t="s">
        <v>2766</v>
      </c>
      <c r="U921" t="s">
        <v>2767</v>
      </c>
      <c r="V921" s="4">
        <v>0</v>
      </c>
      <c r="W921" s="4">
        <v>1</v>
      </c>
    </row>
    <row r="922" spans="1:23">
      <c r="A922" t="s">
        <v>1052</v>
      </c>
      <c r="B922" s="2">
        <v>45897</v>
      </c>
      <c r="C922" t="s">
        <v>19</v>
      </c>
      <c r="D922" t="s">
        <v>20</v>
      </c>
      <c r="E922" t="s">
        <v>39</v>
      </c>
      <c r="F922" t="s">
        <v>22</v>
      </c>
      <c r="G922" t="s">
        <v>160</v>
      </c>
      <c r="H922" t="s">
        <v>161</v>
      </c>
      <c r="I922">
        <v>4</v>
      </c>
      <c r="J922" s="3">
        <v>2843.86</v>
      </c>
      <c r="K922" s="3">
        <v>11375.44</v>
      </c>
      <c r="L922" t="s">
        <v>25</v>
      </c>
      <c r="M922" s="2">
        <v>45914</v>
      </c>
      <c r="N922" s="2">
        <v>45914</v>
      </c>
      <c r="O922" t="s">
        <v>60</v>
      </c>
      <c r="P922" t="s">
        <v>44</v>
      </c>
      <c r="Q922" t="s">
        <v>28</v>
      </c>
      <c r="R922" t="s">
        <v>29</v>
      </c>
      <c r="S922">
        <v>2025</v>
      </c>
      <c r="T922" t="s">
        <v>2761</v>
      </c>
      <c r="U922" t="s">
        <v>2762</v>
      </c>
      <c r="V922" s="4">
        <v>0</v>
      </c>
      <c r="W922" s="4">
        <v>1</v>
      </c>
    </row>
    <row r="923" spans="1:23">
      <c r="A923" t="s">
        <v>1053</v>
      </c>
      <c r="B923" s="2">
        <v>45947</v>
      </c>
      <c r="C923" t="s">
        <v>71</v>
      </c>
      <c r="D923" t="s">
        <v>72</v>
      </c>
      <c r="E923" t="s">
        <v>73</v>
      </c>
      <c r="F923" t="s">
        <v>57</v>
      </c>
      <c r="G923" t="s">
        <v>86</v>
      </c>
      <c r="H923" t="s">
        <v>87</v>
      </c>
      <c r="I923">
        <v>6</v>
      </c>
      <c r="J923" s="3">
        <v>10346.25</v>
      </c>
      <c r="K923" s="3">
        <v>62077.5</v>
      </c>
      <c r="L923" t="s">
        <v>25</v>
      </c>
      <c r="M923" s="2">
        <v>45962</v>
      </c>
      <c r="N923" s="2">
        <v>45961</v>
      </c>
      <c r="O923" t="s">
        <v>76</v>
      </c>
      <c r="P923" t="s">
        <v>77</v>
      </c>
      <c r="Q923" t="s">
        <v>28</v>
      </c>
      <c r="R923" t="s">
        <v>29</v>
      </c>
      <c r="S923">
        <v>2025</v>
      </c>
      <c r="T923" t="s">
        <v>2749</v>
      </c>
      <c r="U923" t="s">
        <v>2750</v>
      </c>
      <c r="V923" s="4">
        <v>0</v>
      </c>
      <c r="W923" s="4">
        <v>1</v>
      </c>
    </row>
    <row r="924" spans="1:23">
      <c r="A924" t="s">
        <v>1054</v>
      </c>
      <c r="B924" s="2">
        <v>45805</v>
      </c>
      <c r="C924" t="s">
        <v>66</v>
      </c>
      <c r="D924" t="s">
        <v>67</v>
      </c>
      <c r="E924" t="s">
        <v>48</v>
      </c>
      <c r="F924" t="s">
        <v>49</v>
      </c>
      <c r="G924" t="s">
        <v>165</v>
      </c>
      <c r="H924" t="s">
        <v>166</v>
      </c>
      <c r="I924">
        <v>1</v>
      </c>
      <c r="J924" s="3">
        <v>43349.99</v>
      </c>
      <c r="K924" s="3">
        <v>43349.99</v>
      </c>
      <c r="L924" t="s">
        <v>25</v>
      </c>
      <c r="M924" s="2">
        <v>45816</v>
      </c>
      <c r="N924" s="2">
        <v>45815</v>
      </c>
      <c r="O924" t="s">
        <v>60</v>
      </c>
      <c r="P924" t="s">
        <v>53</v>
      </c>
      <c r="Q924" t="s">
        <v>28</v>
      </c>
      <c r="R924" t="s">
        <v>29</v>
      </c>
      <c r="S924">
        <v>2025</v>
      </c>
      <c r="T924" t="s">
        <v>2766</v>
      </c>
      <c r="U924" t="s">
        <v>2767</v>
      </c>
      <c r="V924" s="4">
        <v>0</v>
      </c>
      <c r="W924" s="4">
        <v>1</v>
      </c>
    </row>
    <row r="925" spans="1:23">
      <c r="A925" t="s">
        <v>1055</v>
      </c>
      <c r="B925" s="2">
        <v>46069</v>
      </c>
      <c r="C925" t="s">
        <v>89</v>
      </c>
      <c r="D925" t="s">
        <v>90</v>
      </c>
      <c r="E925" t="s">
        <v>31</v>
      </c>
      <c r="F925" t="s">
        <v>91</v>
      </c>
      <c r="G925" t="s">
        <v>109</v>
      </c>
      <c r="H925" t="s">
        <v>110</v>
      </c>
      <c r="I925">
        <v>2</v>
      </c>
      <c r="J925" s="3">
        <v>12469.94</v>
      </c>
      <c r="K925" s="3">
        <v>24939.88</v>
      </c>
      <c r="L925" t="s">
        <v>25</v>
      </c>
      <c r="M925" s="2">
        <v>46081</v>
      </c>
      <c r="N925" s="2">
        <v>46078</v>
      </c>
      <c r="O925" t="s">
        <v>76</v>
      </c>
      <c r="P925" t="s">
        <v>35</v>
      </c>
      <c r="Q925" t="s">
        <v>28</v>
      </c>
      <c r="R925" t="s">
        <v>29</v>
      </c>
      <c r="S925">
        <v>2026</v>
      </c>
      <c r="T925" t="s">
        <v>2751</v>
      </c>
      <c r="U925" t="s">
        <v>2765</v>
      </c>
      <c r="V925" s="4">
        <v>0</v>
      </c>
      <c r="W925" s="4">
        <v>1</v>
      </c>
    </row>
    <row r="926" spans="1:23">
      <c r="A926" t="s">
        <v>1056</v>
      </c>
      <c r="B926" s="2">
        <v>45868</v>
      </c>
      <c r="C926" t="s">
        <v>71</v>
      </c>
      <c r="D926" t="s">
        <v>72</v>
      </c>
      <c r="E926" t="s">
        <v>48</v>
      </c>
      <c r="F926" t="s">
        <v>57</v>
      </c>
      <c r="G926" t="s">
        <v>120</v>
      </c>
      <c r="H926" t="s">
        <v>121</v>
      </c>
      <c r="I926">
        <v>8</v>
      </c>
      <c r="J926" s="3">
        <v>20796.43</v>
      </c>
      <c r="K926" s="3">
        <v>166371.44</v>
      </c>
      <c r="L926" t="s">
        <v>25</v>
      </c>
      <c r="M926" s="2">
        <v>45881</v>
      </c>
      <c r="N926" s="2">
        <v>45878</v>
      </c>
      <c r="O926" t="s">
        <v>76</v>
      </c>
      <c r="P926" t="s">
        <v>53</v>
      </c>
      <c r="Q926" t="s">
        <v>28</v>
      </c>
      <c r="R926" t="s">
        <v>29</v>
      </c>
      <c r="S926">
        <v>2025</v>
      </c>
      <c r="T926" t="s">
        <v>2759</v>
      </c>
      <c r="U926" t="s">
        <v>2760</v>
      </c>
      <c r="V926" s="4">
        <v>0</v>
      </c>
      <c r="W926" s="4">
        <v>1</v>
      </c>
    </row>
    <row r="927" spans="1:23">
      <c r="A927" t="s">
        <v>1057</v>
      </c>
      <c r="B927" s="2">
        <v>46060</v>
      </c>
      <c r="C927" t="s">
        <v>96</v>
      </c>
      <c r="D927" t="s">
        <v>97</v>
      </c>
      <c r="E927" t="s">
        <v>39</v>
      </c>
      <c r="F927" t="s">
        <v>82</v>
      </c>
      <c r="G927" t="s">
        <v>98</v>
      </c>
      <c r="H927" t="s">
        <v>99</v>
      </c>
      <c r="I927">
        <v>54</v>
      </c>
      <c r="J927" s="3">
        <v>1202.1099999999999</v>
      </c>
      <c r="K927" s="3">
        <v>64913.94</v>
      </c>
      <c r="L927" t="s">
        <v>25</v>
      </c>
      <c r="M927" s="2">
        <v>46078</v>
      </c>
      <c r="N927" s="2">
        <v>46078</v>
      </c>
      <c r="O927" t="s">
        <v>76</v>
      </c>
      <c r="P927" t="s">
        <v>64</v>
      </c>
      <c r="Q927" t="s">
        <v>28</v>
      </c>
      <c r="R927" t="s">
        <v>29</v>
      </c>
      <c r="S927">
        <v>2026</v>
      </c>
      <c r="T927" t="s">
        <v>2751</v>
      </c>
      <c r="U927" t="s">
        <v>2765</v>
      </c>
      <c r="V927" s="4">
        <v>0</v>
      </c>
      <c r="W927" s="4">
        <v>1</v>
      </c>
    </row>
    <row r="928" spans="1:23">
      <c r="A928" t="s">
        <v>1058</v>
      </c>
      <c r="B928" s="2">
        <v>46100</v>
      </c>
      <c r="C928" t="s">
        <v>71</v>
      </c>
      <c r="D928" t="s">
        <v>72</v>
      </c>
      <c r="E928" t="s">
        <v>73</v>
      </c>
      <c r="F928" t="s">
        <v>57</v>
      </c>
      <c r="G928" t="s">
        <v>86</v>
      </c>
      <c r="H928" t="s">
        <v>87</v>
      </c>
      <c r="I928">
        <v>5</v>
      </c>
      <c r="J928" s="3">
        <v>10396.14</v>
      </c>
      <c r="K928" s="3">
        <v>51980.7</v>
      </c>
      <c r="L928" t="s">
        <v>34</v>
      </c>
      <c r="M928" s="2">
        <v>46116</v>
      </c>
      <c r="N928" s="2">
        <v>46115</v>
      </c>
      <c r="O928" t="s">
        <v>26</v>
      </c>
      <c r="P928" t="s">
        <v>77</v>
      </c>
      <c r="Q928" t="s">
        <v>28</v>
      </c>
      <c r="R928" t="s">
        <v>29</v>
      </c>
      <c r="S928">
        <v>2026</v>
      </c>
      <c r="T928" t="s">
        <v>2747</v>
      </c>
      <c r="U928" t="s">
        <v>2755</v>
      </c>
      <c r="V928" s="4">
        <v>0</v>
      </c>
      <c r="W928" s="4">
        <v>1</v>
      </c>
    </row>
    <row r="929" spans="1:23">
      <c r="A929" t="s">
        <v>1059</v>
      </c>
      <c r="B929" s="2">
        <v>46079</v>
      </c>
      <c r="C929" t="s">
        <v>71</v>
      </c>
      <c r="D929" t="s">
        <v>72</v>
      </c>
      <c r="E929" t="s">
        <v>21</v>
      </c>
      <c r="F929" t="s">
        <v>57</v>
      </c>
      <c r="G929" t="s">
        <v>86</v>
      </c>
      <c r="H929" t="s">
        <v>87</v>
      </c>
      <c r="I929">
        <v>1</v>
      </c>
      <c r="J929" s="3">
        <v>10230.75</v>
      </c>
      <c r="K929" s="3">
        <v>10230.75</v>
      </c>
      <c r="L929" t="s">
        <v>25</v>
      </c>
      <c r="M929" s="2">
        <v>46094</v>
      </c>
      <c r="N929" s="2">
        <v>46097</v>
      </c>
      <c r="O929" t="s">
        <v>43</v>
      </c>
      <c r="P929" t="s">
        <v>27</v>
      </c>
      <c r="Q929" t="s">
        <v>28</v>
      </c>
      <c r="R929" t="s">
        <v>129</v>
      </c>
      <c r="S929">
        <v>2026</v>
      </c>
      <c r="T929" t="s">
        <v>2751</v>
      </c>
      <c r="U929" t="s">
        <v>2765</v>
      </c>
      <c r="V929" s="4">
        <v>3</v>
      </c>
      <c r="W929" s="4">
        <v>0</v>
      </c>
    </row>
    <row r="930" spans="1:23">
      <c r="A930" t="s">
        <v>1060</v>
      </c>
      <c r="B930" s="2">
        <v>46023</v>
      </c>
      <c r="C930" t="s">
        <v>37</v>
      </c>
      <c r="D930" t="s">
        <v>38</v>
      </c>
      <c r="E930" t="s">
        <v>39</v>
      </c>
      <c r="F930" t="s">
        <v>22</v>
      </c>
      <c r="G930" t="s">
        <v>160</v>
      </c>
      <c r="H930" t="s">
        <v>161</v>
      </c>
      <c r="I930">
        <v>15</v>
      </c>
      <c r="J930" s="3">
        <v>3345.78</v>
      </c>
      <c r="K930" s="3">
        <v>50186.7</v>
      </c>
      <c r="L930" t="s">
        <v>25</v>
      </c>
      <c r="M930" s="2">
        <v>46033</v>
      </c>
      <c r="N930" s="2">
        <v>46030</v>
      </c>
      <c r="O930" t="s">
        <v>26</v>
      </c>
      <c r="P930" t="s">
        <v>44</v>
      </c>
      <c r="Q930" t="s">
        <v>28</v>
      </c>
      <c r="R930" t="s">
        <v>29</v>
      </c>
      <c r="S930">
        <v>2026</v>
      </c>
      <c r="T930" t="s">
        <v>2757</v>
      </c>
      <c r="U930" t="s">
        <v>2758</v>
      </c>
      <c r="V930" s="4">
        <v>0</v>
      </c>
      <c r="W930" s="4">
        <v>1</v>
      </c>
    </row>
    <row r="931" spans="1:23">
      <c r="A931" t="s">
        <v>1061</v>
      </c>
      <c r="B931" s="2">
        <v>45968</v>
      </c>
      <c r="C931" t="s">
        <v>89</v>
      </c>
      <c r="D931" t="s">
        <v>90</v>
      </c>
      <c r="E931" t="s">
        <v>31</v>
      </c>
      <c r="F931" t="s">
        <v>91</v>
      </c>
      <c r="G931" t="s">
        <v>92</v>
      </c>
      <c r="H931" t="s">
        <v>93</v>
      </c>
      <c r="I931">
        <v>3</v>
      </c>
      <c r="J931" s="3">
        <v>42332.11</v>
      </c>
      <c r="K931" s="3">
        <v>126996.33</v>
      </c>
      <c r="L931" t="s">
        <v>34</v>
      </c>
      <c r="M931" s="2">
        <v>45979</v>
      </c>
      <c r="N931" s="2">
        <v>45976</v>
      </c>
      <c r="O931" t="s">
        <v>76</v>
      </c>
      <c r="P931" t="s">
        <v>94</v>
      </c>
      <c r="Q931" t="s">
        <v>28</v>
      </c>
      <c r="R931" t="s">
        <v>29</v>
      </c>
      <c r="S931">
        <v>2025</v>
      </c>
      <c r="T931" t="s">
        <v>2763</v>
      </c>
      <c r="U931" t="s">
        <v>2764</v>
      </c>
      <c r="V931" s="4">
        <v>0</v>
      </c>
      <c r="W931" s="4">
        <v>1</v>
      </c>
    </row>
    <row r="932" spans="1:23">
      <c r="A932" t="s">
        <v>1062</v>
      </c>
      <c r="B932" s="2">
        <v>46142</v>
      </c>
      <c r="C932" t="s">
        <v>19</v>
      </c>
      <c r="D932" t="s">
        <v>20</v>
      </c>
      <c r="E932" t="s">
        <v>39</v>
      </c>
      <c r="F932" t="s">
        <v>22</v>
      </c>
      <c r="G932" t="s">
        <v>32</v>
      </c>
      <c r="H932" t="s">
        <v>33</v>
      </c>
      <c r="I932">
        <v>15</v>
      </c>
      <c r="J932" s="3">
        <v>7497.85</v>
      </c>
      <c r="K932" s="3">
        <v>112467.75</v>
      </c>
      <c r="L932" t="s">
        <v>25</v>
      </c>
      <c r="M932" s="2">
        <v>46154</v>
      </c>
      <c r="N932" s="2">
        <v>46153</v>
      </c>
      <c r="O932" t="s">
        <v>43</v>
      </c>
      <c r="P932" t="s">
        <v>44</v>
      </c>
      <c r="Q932" t="s">
        <v>28</v>
      </c>
      <c r="R932" t="s">
        <v>29</v>
      </c>
      <c r="S932">
        <v>2026</v>
      </c>
      <c r="T932" t="s">
        <v>2741</v>
      </c>
      <c r="U932" t="s">
        <v>2770</v>
      </c>
      <c r="V932" s="4">
        <v>0</v>
      </c>
      <c r="W932" s="4">
        <v>1</v>
      </c>
    </row>
    <row r="933" spans="1:23">
      <c r="A933" t="s">
        <v>1063</v>
      </c>
      <c r="B933" s="2">
        <v>45728</v>
      </c>
      <c r="C933" t="s">
        <v>37</v>
      </c>
      <c r="D933" t="s">
        <v>38</v>
      </c>
      <c r="E933" t="s">
        <v>31</v>
      </c>
      <c r="F933" t="s">
        <v>22</v>
      </c>
      <c r="G933" t="s">
        <v>160</v>
      </c>
      <c r="H933" t="s">
        <v>161</v>
      </c>
      <c r="I933">
        <v>15</v>
      </c>
      <c r="J933" s="3">
        <v>3269.34</v>
      </c>
      <c r="K933" s="3">
        <v>49040.1</v>
      </c>
      <c r="L933" t="s">
        <v>52</v>
      </c>
      <c r="M933" s="2">
        <v>45745</v>
      </c>
      <c r="N933" s="2">
        <v>45744</v>
      </c>
      <c r="O933" t="s">
        <v>76</v>
      </c>
      <c r="P933" t="s">
        <v>35</v>
      </c>
      <c r="Q933" t="s">
        <v>28</v>
      </c>
      <c r="R933" t="s">
        <v>29</v>
      </c>
      <c r="S933">
        <v>2025</v>
      </c>
      <c r="T933" t="s">
        <v>2747</v>
      </c>
      <c r="U933" t="s">
        <v>2748</v>
      </c>
      <c r="V933" s="4">
        <v>0</v>
      </c>
      <c r="W933" s="4">
        <v>1</v>
      </c>
    </row>
    <row r="934" spans="1:23">
      <c r="A934" t="s">
        <v>1064</v>
      </c>
      <c r="B934" s="2">
        <v>45743</v>
      </c>
      <c r="C934" t="s">
        <v>134</v>
      </c>
      <c r="D934" t="s">
        <v>135</v>
      </c>
      <c r="E934" t="s">
        <v>112</v>
      </c>
      <c r="F934" t="s">
        <v>40</v>
      </c>
      <c r="G934" t="s">
        <v>41</v>
      </c>
      <c r="H934" t="s">
        <v>42</v>
      </c>
      <c r="I934">
        <v>3</v>
      </c>
      <c r="J934" s="3">
        <v>5470.9</v>
      </c>
      <c r="K934" s="3">
        <v>16412.7</v>
      </c>
      <c r="L934" t="s">
        <v>25</v>
      </c>
      <c r="M934" s="2">
        <v>45753</v>
      </c>
      <c r="N934" s="2">
        <v>45752</v>
      </c>
      <c r="O934" t="s">
        <v>43</v>
      </c>
      <c r="P934" t="s">
        <v>115</v>
      </c>
      <c r="Q934" t="s">
        <v>28</v>
      </c>
      <c r="R934" t="s">
        <v>29</v>
      </c>
      <c r="S934">
        <v>2025</v>
      </c>
      <c r="T934" t="s">
        <v>2747</v>
      </c>
      <c r="U934" t="s">
        <v>2748</v>
      </c>
      <c r="V934" s="4">
        <v>0</v>
      </c>
      <c r="W934" s="4">
        <v>1</v>
      </c>
    </row>
    <row r="935" spans="1:23">
      <c r="A935" t="s">
        <v>1065</v>
      </c>
      <c r="B935" s="2">
        <v>45971</v>
      </c>
      <c r="C935" t="s">
        <v>37</v>
      </c>
      <c r="D935" t="s">
        <v>38</v>
      </c>
      <c r="E935" t="s">
        <v>112</v>
      </c>
      <c r="F935" t="s">
        <v>40</v>
      </c>
      <c r="G935" t="s">
        <v>41</v>
      </c>
      <c r="H935" t="s">
        <v>42</v>
      </c>
      <c r="I935">
        <v>11</v>
      </c>
      <c r="J935" s="3">
        <v>6064.35</v>
      </c>
      <c r="K935" s="3">
        <v>66707.850000000006</v>
      </c>
      <c r="L935" t="s">
        <v>34</v>
      </c>
      <c r="M935" s="2">
        <v>45983</v>
      </c>
      <c r="N935" s="2">
        <v>45981</v>
      </c>
      <c r="O935" t="s">
        <v>26</v>
      </c>
      <c r="P935" t="s">
        <v>115</v>
      </c>
      <c r="Q935" t="s">
        <v>28</v>
      </c>
      <c r="R935" t="s">
        <v>29</v>
      </c>
      <c r="S935">
        <v>2025</v>
      </c>
      <c r="T935" t="s">
        <v>2763</v>
      </c>
      <c r="U935" t="s">
        <v>2764</v>
      </c>
      <c r="V935" s="4">
        <v>0</v>
      </c>
      <c r="W935" s="4">
        <v>1</v>
      </c>
    </row>
    <row r="936" spans="1:23">
      <c r="A936" t="s">
        <v>1066</v>
      </c>
      <c r="B936" s="2">
        <v>45677</v>
      </c>
      <c r="C936" t="s">
        <v>134</v>
      </c>
      <c r="D936" t="s">
        <v>135</v>
      </c>
      <c r="E936" t="s">
        <v>39</v>
      </c>
      <c r="F936" t="s">
        <v>40</v>
      </c>
      <c r="G936" t="s">
        <v>62</v>
      </c>
      <c r="H936" t="s">
        <v>63</v>
      </c>
      <c r="I936">
        <v>5</v>
      </c>
      <c r="J936" s="3">
        <v>18917.650000000001</v>
      </c>
      <c r="K936" s="3">
        <v>94588.25</v>
      </c>
      <c r="L936" t="s">
        <v>34</v>
      </c>
      <c r="M936" s="2">
        <v>45693</v>
      </c>
      <c r="N936" s="2">
        <v>45691</v>
      </c>
      <c r="O936" t="s">
        <v>60</v>
      </c>
      <c r="P936" t="s">
        <v>44</v>
      </c>
      <c r="Q936" t="s">
        <v>28</v>
      </c>
      <c r="R936" t="s">
        <v>29</v>
      </c>
      <c r="S936">
        <v>2025</v>
      </c>
      <c r="T936" t="s">
        <v>2757</v>
      </c>
      <c r="U936" t="s">
        <v>2768</v>
      </c>
      <c r="V936" s="4">
        <v>0</v>
      </c>
      <c r="W936" s="4">
        <v>1</v>
      </c>
    </row>
    <row r="937" spans="1:23">
      <c r="A937" t="s">
        <v>1067</v>
      </c>
      <c r="B937" s="2">
        <v>46008</v>
      </c>
      <c r="C937" t="s">
        <v>104</v>
      </c>
      <c r="D937" t="s">
        <v>105</v>
      </c>
      <c r="E937" t="s">
        <v>21</v>
      </c>
      <c r="F937" t="s">
        <v>49</v>
      </c>
      <c r="G937" t="s">
        <v>50</v>
      </c>
      <c r="H937" t="s">
        <v>51</v>
      </c>
      <c r="I937">
        <v>2</v>
      </c>
      <c r="J937" s="3">
        <v>51168.03</v>
      </c>
      <c r="K937" s="3">
        <v>102336.06</v>
      </c>
      <c r="L937" t="s">
        <v>52</v>
      </c>
      <c r="M937" s="2">
        <v>46023</v>
      </c>
      <c r="N937" s="2">
        <v>46021</v>
      </c>
      <c r="O937" t="s">
        <v>43</v>
      </c>
      <c r="P937" t="s">
        <v>27</v>
      </c>
      <c r="Q937" t="s">
        <v>28</v>
      </c>
      <c r="R937" t="s">
        <v>29</v>
      </c>
      <c r="S937">
        <v>2025</v>
      </c>
      <c r="T937" t="s">
        <v>2745</v>
      </c>
      <c r="U937" t="s">
        <v>2746</v>
      </c>
      <c r="V937" s="4">
        <v>0</v>
      </c>
      <c r="W937" s="4">
        <v>1</v>
      </c>
    </row>
    <row r="938" spans="1:23">
      <c r="A938" t="s">
        <v>1068</v>
      </c>
      <c r="B938" s="2">
        <v>45767</v>
      </c>
      <c r="C938" t="s">
        <v>19</v>
      </c>
      <c r="D938" t="s">
        <v>20</v>
      </c>
      <c r="E938" t="s">
        <v>39</v>
      </c>
      <c r="F938" t="s">
        <v>22</v>
      </c>
      <c r="G938" t="s">
        <v>23</v>
      </c>
      <c r="H938" t="s">
        <v>24</v>
      </c>
      <c r="I938">
        <v>10</v>
      </c>
      <c r="J938" s="3">
        <v>223.59</v>
      </c>
      <c r="K938" s="3">
        <v>2235.9</v>
      </c>
      <c r="L938" t="s">
        <v>25</v>
      </c>
      <c r="M938" s="2">
        <v>45785</v>
      </c>
      <c r="N938" s="2">
        <v>45798</v>
      </c>
      <c r="O938" t="s">
        <v>76</v>
      </c>
      <c r="P938" t="s">
        <v>64</v>
      </c>
      <c r="Q938" t="s">
        <v>28</v>
      </c>
      <c r="R938" t="s">
        <v>129</v>
      </c>
      <c r="S938">
        <v>2025</v>
      </c>
      <c r="T938" t="s">
        <v>2741</v>
      </c>
      <c r="U938" t="s">
        <v>2742</v>
      </c>
      <c r="V938" s="4">
        <v>13</v>
      </c>
      <c r="W938" s="4">
        <v>0</v>
      </c>
    </row>
    <row r="939" spans="1:23">
      <c r="A939" t="s">
        <v>1069</v>
      </c>
      <c r="B939" s="2">
        <v>45817</v>
      </c>
      <c r="C939" t="s">
        <v>147</v>
      </c>
      <c r="D939" t="s">
        <v>148</v>
      </c>
      <c r="E939" t="s">
        <v>112</v>
      </c>
      <c r="F939" t="s">
        <v>40</v>
      </c>
      <c r="G939" t="s">
        <v>136</v>
      </c>
      <c r="H939" t="s">
        <v>137</v>
      </c>
      <c r="I939">
        <v>12</v>
      </c>
      <c r="J939" s="3">
        <v>1535.73</v>
      </c>
      <c r="K939" s="3">
        <v>18428.759999999998</v>
      </c>
      <c r="L939" t="s">
        <v>52</v>
      </c>
      <c r="M939" s="2">
        <v>45822</v>
      </c>
      <c r="N939" s="2">
        <v>45821</v>
      </c>
      <c r="O939" t="s">
        <v>43</v>
      </c>
      <c r="P939" t="s">
        <v>115</v>
      </c>
      <c r="Q939" t="s">
        <v>28</v>
      </c>
      <c r="R939" t="s">
        <v>29</v>
      </c>
      <c r="S939">
        <v>2025</v>
      </c>
      <c r="T939" t="s">
        <v>2743</v>
      </c>
      <c r="U939" t="s">
        <v>2756</v>
      </c>
      <c r="V939" s="4">
        <v>0</v>
      </c>
      <c r="W939" s="4">
        <v>1</v>
      </c>
    </row>
    <row r="940" spans="1:23">
      <c r="A940" t="s">
        <v>1070</v>
      </c>
      <c r="B940" s="2">
        <v>45751</v>
      </c>
      <c r="C940" t="s">
        <v>117</v>
      </c>
      <c r="D940" t="s">
        <v>118</v>
      </c>
      <c r="E940" t="s">
        <v>48</v>
      </c>
      <c r="F940" t="s">
        <v>57</v>
      </c>
      <c r="G940" t="s">
        <v>86</v>
      </c>
      <c r="H940" t="s">
        <v>87</v>
      </c>
      <c r="I940">
        <v>6</v>
      </c>
      <c r="J940" s="3">
        <v>10615.41</v>
      </c>
      <c r="K940" s="3">
        <v>63692.46</v>
      </c>
      <c r="L940" t="s">
        <v>34</v>
      </c>
      <c r="M940" s="2">
        <v>45766</v>
      </c>
      <c r="N940" s="2">
        <v>45763</v>
      </c>
      <c r="O940" t="s">
        <v>60</v>
      </c>
      <c r="P940" t="s">
        <v>53</v>
      </c>
      <c r="Q940" t="s">
        <v>28</v>
      </c>
      <c r="R940" t="s">
        <v>29</v>
      </c>
      <c r="S940">
        <v>2025</v>
      </c>
      <c r="T940" t="s">
        <v>2741</v>
      </c>
      <c r="U940" t="s">
        <v>2742</v>
      </c>
      <c r="V940" s="4">
        <v>0</v>
      </c>
      <c r="W940" s="4">
        <v>1</v>
      </c>
    </row>
    <row r="941" spans="1:23">
      <c r="A941" t="s">
        <v>1071</v>
      </c>
      <c r="B941" s="2">
        <v>46138</v>
      </c>
      <c r="C941" t="s">
        <v>117</v>
      </c>
      <c r="D941" t="s">
        <v>118</v>
      </c>
      <c r="E941" t="s">
        <v>48</v>
      </c>
      <c r="F941" t="s">
        <v>57</v>
      </c>
      <c r="G941" t="s">
        <v>74</v>
      </c>
      <c r="H941" t="s">
        <v>75</v>
      </c>
      <c r="I941">
        <v>3</v>
      </c>
      <c r="J941" s="3">
        <v>8378.08</v>
      </c>
      <c r="K941" s="3">
        <v>25134.240000000002</v>
      </c>
      <c r="L941" t="s">
        <v>34</v>
      </c>
      <c r="M941" s="2">
        <v>46146</v>
      </c>
      <c r="N941" s="2">
        <v>46145</v>
      </c>
      <c r="O941" t="s">
        <v>43</v>
      </c>
      <c r="P941" t="s">
        <v>53</v>
      </c>
      <c r="Q941" t="s">
        <v>28</v>
      </c>
      <c r="R941" t="s">
        <v>29</v>
      </c>
      <c r="S941">
        <v>2026</v>
      </c>
      <c r="T941" t="s">
        <v>2741</v>
      </c>
      <c r="U941" t="s">
        <v>2770</v>
      </c>
      <c r="V941" s="4">
        <v>0</v>
      </c>
      <c r="W941" s="4">
        <v>1</v>
      </c>
    </row>
    <row r="942" spans="1:23">
      <c r="A942" t="s">
        <v>1072</v>
      </c>
      <c r="B942" s="2">
        <v>45891</v>
      </c>
      <c r="C942" t="s">
        <v>19</v>
      </c>
      <c r="D942" t="s">
        <v>20</v>
      </c>
      <c r="E942" t="s">
        <v>31</v>
      </c>
      <c r="F942" t="s">
        <v>22</v>
      </c>
      <c r="G942" t="s">
        <v>160</v>
      </c>
      <c r="H942" t="s">
        <v>161</v>
      </c>
      <c r="I942">
        <v>5</v>
      </c>
      <c r="J942" s="3">
        <v>2945.9</v>
      </c>
      <c r="K942" s="3">
        <v>14729.5</v>
      </c>
      <c r="L942" t="s">
        <v>34</v>
      </c>
      <c r="M942" s="2">
        <v>45899</v>
      </c>
      <c r="N942" s="2">
        <v>45897</v>
      </c>
      <c r="O942" t="s">
        <v>43</v>
      </c>
      <c r="P942" t="s">
        <v>35</v>
      </c>
      <c r="Q942" t="s">
        <v>28</v>
      </c>
      <c r="R942" t="s">
        <v>29</v>
      </c>
      <c r="S942">
        <v>2025</v>
      </c>
      <c r="T942" t="s">
        <v>2761</v>
      </c>
      <c r="U942" t="s">
        <v>2762</v>
      </c>
      <c r="V942" s="4">
        <v>0</v>
      </c>
      <c r="W942" s="4">
        <v>1</v>
      </c>
    </row>
    <row r="943" spans="1:23">
      <c r="A943" t="s">
        <v>1073</v>
      </c>
      <c r="B943" s="2">
        <v>45946</v>
      </c>
      <c r="C943" t="s">
        <v>142</v>
      </c>
      <c r="D943" t="s">
        <v>143</v>
      </c>
      <c r="E943" t="s">
        <v>39</v>
      </c>
      <c r="F943" t="s">
        <v>22</v>
      </c>
      <c r="G943" t="s">
        <v>160</v>
      </c>
      <c r="H943" t="s">
        <v>161</v>
      </c>
      <c r="I943">
        <v>10</v>
      </c>
      <c r="J943" s="3">
        <v>3231.78</v>
      </c>
      <c r="K943" s="3">
        <v>32317.8</v>
      </c>
      <c r="L943" t="s">
        <v>34</v>
      </c>
      <c r="M943" s="2">
        <v>45963</v>
      </c>
      <c r="N943" s="2">
        <v>45963</v>
      </c>
      <c r="O943" t="s">
        <v>60</v>
      </c>
      <c r="P943" t="s">
        <v>64</v>
      </c>
      <c r="Q943" t="s">
        <v>28</v>
      </c>
      <c r="R943" t="s">
        <v>29</v>
      </c>
      <c r="S943">
        <v>2025</v>
      </c>
      <c r="T943" t="s">
        <v>2749</v>
      </c>
      <c r="U943" t="s">
        <v>2750</v>
      </c>
      <c r="V943" s="4">
        <v>0</v>
      </c>
      <c r="W943" s="4">
        <v>1</v>
      </c>
    </row>
    <row r="944" spans="1:23">
      <c r="A944" t="s">
        <v>1074</v>
      </c>
      <c r="B944" s="2">
        <v>45748</v>
      </c>
      <c r="C944" t="s">
        <v>46</v>
      </c>
      <c r="D944" t="s">
        <v>47</v>
      </c>
      <c r="E944" t="s">
        <v>48</v>
      </c>
      <c r="F944" t="s">
        <v>49</v>
      </c>
      <c r="G944" t="s">
        <v>113</v>
      </c>
      <c r="H944" t="s">
        <v>114</v>
      </c>
      <c r="I944">
        <v>1</v>
      </c>
      <c r="J944" s="3">
        <v>41304.86</v>
      </c>
      <c r="K944" s="3">
        <v>41304.86</v>
      </c>
      <c r="L944" t="s">
        <v>25</v>
      </c>
      <c r="M944" s="2">
        <v>45760</v>
      </c>
      <c r="N944" s="2">
        <v>45757</v>
      </c>
      <c r="O944" t="s">
        <v>76</v>
      </c>
      <c r="P944" t="s">
        <v>53</v>
      </c>
      <c r="Q944" t="s">
        <v>28</v>
      </c>
      <c r="R944" t="s">
        <v>29</v>
      </c>
      <c r="S944">
        <v>2025</v>
      </c>
      <c r="T944" t="s">
        <v>2741</v>
      </c>
      <c r="U944" t="s">
        <v>2742</v>
      </c>
      <c r="V944" s="4">
        <v>0</v>
      </c>
      <c r="W944" s="4">
        <v>1</v>
      </c>
    </row>
    <row r="945" spans="1:23">
      <c r="A945" t="s">
        <v>1075</v>
      </c>
      <c r="B945" s="2">
        <v>45978</v>
      </c>
      <c r="C945" t="s">
        <v>117</v>
      </c>
      <c r="D945" t="s">
        <v>118</v>
      </c>
      <c r="E945" t="s">
        <v>48</v>
      </c>
      <c r="F945" t="s">
        <v>57</v>
      </c>
      <c r="G945" t="s">
        <v>127</v>
      </c>
      <c r="H945" t="s">
        <v>128</v>
      </c>
      <c r="I945">
        <v>7</v>
      </c>
      <c r="J945" s="3">
        <v>16829.14</v>
      </c>
      <c r="K945" s="3">
        <v>117803.98</v>
      </c>
      <c r="L945" t="s">
        <v>52</v>
      </c>
      <c r="M945" s="2">
        <v>45990</v>
      </c>
      <c r="N945" s="2">
        <v>45988</v>
      </c>
      <c r="O945" t="s">
        <v>60</v>
      </c>
      <c r="P945" t="s">
        <v>53</v>
      </c>
      <c r="Q945" t="s">
        <v>28</v>
      </c>
      <c r="R945" t="s">
        <v>29</v>
      </c>
      <c r="S945">
        <v>2025</v>
      </c>
      <c r="T945" t="s">
        <v>2763</v>
      </c>
      <c r="U945" t="s">
        <v>2764</v>
      </c>
      <c r="V945" s="4">
        <v>0</v>
      </c>
      <c r="W945" s="4">
        <v>1</v>
      </c>
    </row>
    <row r="946" spans="1:23">
      <c r="A946" t="s">
        <v>1076</v>
      </c>
      <c r="B946" s="2">
        <v>46133</v>
      </c>
      <c r="C946" t="s">
        <v>147</v>
      </c>
      <c r="D946" t="s">
        <v>148</v>
      </c>
      <c r="E946" t="s">
        <v>39</v>
      </c>
      <c r="F946" t="s">
        <v>40</v>
      </c>
      <c r="G946" t="s">
        <v>62</v>
      </c>
      <c r="H946" t="s">
        <v>63</v>
      </c>
      <c r="I946">
        <v>6</v>
      </c>
      <c r="J946" s="3">
        <v>18445.580000000002</v>
      </c>
      <c r="K946" s="3">
        <v>110673.48</v>
      </c>
      <c r="L946" t="s">
        <v>25</v>
      </c>
      <c r="M946" s="2">
        <v>46144</v>
      </c>
      <c r="N946" s="2">
        <v>46143</v>
      </c>
      <c r="O946" t="s">
        <v>43</v>
      </c>
      <c r="P946" t="s">
        <v>44</v>
      </c>
      <c r="Q946" t="s">
        <v>28</v>
      </c>
      <c r="R946" t="s">
        <v>29</v>
      </c>
      <c r="S946">
        <v>2026</v>
      </c>
      <c r="T946" t="s">
        <v>2741</v>
      </c>
      <c r="U946" t="s">
        <v>2770</v>
      </c>
      <c r="V946" s="4">
        <v>0</v>
      </c>
      <c r="W946" s="4">
        <v>1</v>
      </c>
    </row>
    <row r="947" spans="1:23">
      <c r="A947" t="s">
        <v>1077</v>
      </c>
      <c r="B947" s="2">
        <v>45834</v>
      </c>
      <c r="C947" t="s">
        <v>142</v>
      </c>
      <c r="D947" t="s">
        <v>143</v>
      </c>
      <c r="E947" t="s">
        <v>112</v>
      </c>
      <c r="F947" t="s">
        <v>22</v>
      </c>
      <c r="G947" t="s">
        <v>23</v>
      </c>
      <c r="H947" t="s">
        <v>24</v>
      </c>
      <c r="I947">
        <v>22</v>
      </c>
      <c r="J947" s="3">
        <v>260.35000000000002</v>
      </c>
      <c r="K947" s="3">
        <v>5727.7</v>
      </c>
      <c r="L947" t="s">
        <v>25</v>
      </c>
      <c r="M947" s="2">
        <v>45844</v>
      </c>
      <c r="N947" s="2">
        <v>45841</v>
      </c>
      <c r="O947" t="s">
        <v>76</v>
      </c>
      <c r="P947" t="s">
        <v>115</v>
      </c>
      <c r="Q947" t="s">
        <v>28</v>
      </c>
      <c r="R947" t="s">
        <v>29</v>
      </c>
      <c r="S947">
        <v>2025</v>
      </c>
      <c r="T947" t="s">
        <v>2743</v>
      </c>
      <c r="U947" t="s">
        <v>2756</v>
      </c>
      <c r="V947" s="4">
        <v>0</v>
      </c>
      <c r="W947" s="4">
        <v>1</v>
      </c>
    </row>
    <row r="948" spans="1:23">
      <c r="A948" t="s">
        <v>1078</v>
      </c>
      <c r="B948" s="2">
        <v>45891</v>
      </c>
      <c r="C948" t="s">
        <v>71</v>
      </c>
      <c r="D948" t="s">
        <v>72</v>
      </c>
      <c r="E948" t="s">
        <v>31</v>
      </c>
      <c r="F948" t="s">
        <v>57</v>
      </c>
      <c r="G948" t="s">
        <v>74</v>
      </c>
      <c r="H948" t="s">
        <v>75</v>
      </c>
      <c r="I948">
        <v>8</v>
      </c>
      <c r="J948" s="3">
        <v>8395.7800000000007</v>
      </c>
      <c r="K948" s="3">
        <v>67166.240000000005</v>
      </c>
      <c r="L948" t="s">
        <v>25</v>
      </c>
      <c r="M948" s="2">
        <v>45906</v>
      </c>
      <c r="N948" s="2">
        <v>45909</v>
      </c>
      <c r="O948" t="s">
        <v>76</v>
      </c>
      <c r="P948" t="s">
        <v>35</v>
      </c>
      <c r="Q948" t="s">
        <v>28</v>
      </c>
      <c r="R948" t="s">
        <v>129</v>
      </c>
      <c r="S948">
        <v>2025</v>
      </c>
      <c r="T948" t="s">
        <v>2761</v>
      </c>
      <c r="U948" t="s">
        <v>2762</v>
      </c>
      <c r="V948" s="4">
        <v>3</v>
      </c>
      <c r="W948" s="4">
        <v>0</v>
      </c>
    </row>
    <row r="949" spans="1:23">
      <c r="A949" t="s">
        <v>1079</v>
      </c>
      <c r="B949" s="2">
        <v>45954</v>
      </c>
      <c r="C949" t="s">
        <v>71</v>
      </c>
      <c r="D949" t="s">
        <v>72</v>
      </c>
      <c r="E949" t="s">
        <v>31</v>
      </c>
      <c r="F949" t="s">
        <v>57</v>
      </c>
      <c r="G949" t="s">
        <v>86</v>
      </c>
      <c r="H949" t="s">
        <v>87</v>
      </c>
      <c r="I949">
        <v>5</v>
      </c>
      <c r="J949" s="3">
        <v>9796.2099999999991</v>
      </c>
      <c r="K949" s="3">
        <v>48981.05</v>
      </c>
      <c r="L949" t="s">
        <v>25</v>
      </c>
      <c r="M949" s="2">
        <v>45969</v>
      </c>
      <c r="N949" s="2">
        <v>45981</v>
      </c>
      <c r="O949" t="s">
        <v>60</v>
      </c>
      <c r="P949" t="s">
        <v>94</v>
      </c>
      <c r="Q949" t="s">
        <v>28</v>
      </c>
      <c r="R949" t="s">
        <v>129</v>
      </c>
      <c r="S949">
        <v>2025</v>
      </c>
      <c r="T949" t="s">
        <v>2749</v>
      </c>
      <c r="U949" t="s">
        <v>2750</v>
      </c>
      <c r="V949" s="4">
        <v>12</v>
      </c>
      <c r="W949" s="4">
        <v>0</v>
      </c>
    </row>
    <row r="950" spans="1:23">
      <c r="A950" t="s">
        <v>1080</v>
      </c>
      <c r="B950" s="2">
        <v>45790</v>
      </c>
      <c r="C950" t="s">
        <v>104</v>
      </c>
      <c r="D950" t="s">
        <v>105</v>
      </c>
      <c r="E950" t="s">
        <v>21</v>
      </c>
      <c r="F950" t="s">
        <v>49</v>
      </c>
      <c r="G950" t="s">
        <v>50</v>
      </c>
      <c r="H950" t="s">
        <v>51</v>
      </c>
      <c r="I950">
        <v>1</v>
      </c>
      <c r="J950" s="3">
        <v>54461.62</v>
      </c>
      <c r="K950" s="3">
        <v>54461.62</v>
      </c>
      <c r="L950" t="s">
        <v>25</v>
      </c>
      <c r="M950" s="2">
        <v>45795</v>
      </c>
      <c r="N950" s="2">
        <v>45792</v>
      </c>
      <c r="O950" t="s">
        <v>76</v>
      </c>
      <c r="P950" t="s">
        <v>27</v>
      </c>
      <c r="Q950" t="s">
        <v>28</v>
      </c>
      <c r="R950" t="s">
        <v>29</v>
      </c>
      <c r="S950">
        <v>2025</v>
      </c>
      <c r="T950" t="s">
        <v>2766</v>
      </c>
      <c r="U950" t="s">
        <v>2767</v>
      </c>
      <c r="V950" s="4">
        <v>0</v>
      </c>
      <c r="W950" s="4">
        <v>1</v>
      </c>
    </row>
    <row r="951" spans="1:23">
      <c r="A951" t="s">
        <v>1081</v>
      </c>
      <c r="B951" s="2">
        <v>45978</v>
      </c>
      <c r="C951" t="s">
        <v>134</v>
      </c>
      <c r="D951" t="s">
        <v>135</v>
      </c>
      <c r="E951" t="s">
        <v>112</v>
      </c>
      <c r="F951" t="s">
        <v>40</v>
      </c>
      <c r="G951" t="s">
        <v>136</v>
      </c>
      <c r="H951" t="s">
        <v>137</v>
      </c>
      <c r="I951">
        <v>26</v>
      </c>
      <c r="J951" s="3">
        <v>1669.72</v>
      </c>
      <c r="K951" s="3">
        <v>43412.72</v>
      </c>
      <c r="L951" t="s">
        <v>52</v>
      </c>
      <c r="M951" s="2">
        <v>45994</v>
      </c>
      <c r="N951" s="2">
        <v>45993</v>
      </c>
      <c r="O951" t="s">
        <v>26</v>
      </c>
      <c r="P951" t="s">
        <v>115</v>
      </c>
      <c r="Q951" t="s">
        <v>28</v>
      </c>
      <c r="R951" t="s">
        <v>29</v>
      </c>
      <c r="S951">
        <v>2025</v>
      </c>
      <c r="T951" t="s">
        <v>2763</v>
      </c>
      <c r="U951" t="s">
        <v>2764</v>
      </c>
      <c r="V951" s="4">
        <v>0</v>
      </c>
      <c r="W951" s="4">
        <v>1</v>
      </c>
    </row>
    <row r="952" spans="1:23">
      <c r="A952" t="s">
        <v>1082</v>
      </c>
      <c r="B952" s="2">
        <v>45913</v>
      </c>
      <c r="C952" t="s">
        <v>19</v>
      </c>
      <c r="D952" t="s">
        <v>20</v>
      </c>
      <c r="E952" t="s">
        <v>73</v>
      </c>
      <c r="F952" t="s">
        <v>22</v>
      </c>
      <c r="G952" t="s">
        <v>160</v>
      </c>
      <c r="H952" t="s">
        <v>161</v>
      </c>
      <c r="I952">
        <v>13</v>
      </c>
      <c r="J952" s="3">
        <v>2837.52</v>
      </c>
      <c r="K952" s="3">
        <v>36887.760000000002</v>
      </c>
      <c r="L952" t="s">
        <v>25</v>
      </c>
      <c r="M952" s="2">
        <v>45920</v>
      </c>
      <c r="N952" s="2">
        <v>45920</v>
      </c>
      <c r="O952" t="s">
        <v>60</v>
      </c>
      <c r="P952" t="s">
        <v>77</v>
      </c>
      <c r="Q952" t="s">
        <v>28</v>
      </c>
      <c r="R952" t="s">
        <v>29</v>
      </c>
      <c r="S952">
        <v>2025</v>
      </c>
      <c r="T952" t="s">
        <v>2753</v>
      </c>
      <c r="U952" t="s">
        <v>2754</v>
      </c>
      <c r="V952" s="4">
        <v>0</v>
      </c>
      <c r="W952" s="4">
        <v>1</v>
      </c>
    </row>
    <row r="953" spans="1:23">
      <c r="A953" t="s">
        <v>1083</v>
      </c>
      <c r="B953" s="2">
        <v>45726</v>
      </c>
      <c r="C953" t="s">
        <v>104</v>
      </c>
      <c r="D953" t="s">
        <v>105</v>
      </c>
      <c r="E953" t="s">
        <v>48</v>
      </c>
      <c r="F953" t="s">
        <v>49</v>
      </c>
      <c r="G953" t="s">
        <v>50</v>
      </c>
      <c r="H953" t="s">
        <v>51</v>
      </c>
      <c r="I953">
        <v>2</v>
      </c>
      <c r="J953" s="3">
        <v>53559.91</v>
      </c>
      <c r="K953" s="3">
        <v>107119.82</v>
      </c>
      <c r="L953" t="s">
        <v>25</v>
      </c>
      <c r="M953" s="2">
        <v>45734</v>
      </c>
      <c r="N953" s="2">
        <v>45734</v>
      </c>
      <c r="O953" t="s">
        <v>60</v>
      </c>
      <c r="P953" t="s">
        <v>53</v>
      </c>
      <c r="Q953" t="s">
        <v>28</v>
      </c>
      <c r="R953" t="s">
        <v>29</v>
      </c>
      <c r="S953">
        <v>2025</v>
      </c>
      <c r="T953" t="s">
        <v>2747</v>
      </c>
      <c r="U953" t="s">
        <v>2748</v>
      </c>
      <c r="V953" s="4">
        <v>0</v>
      </c>
      <c r="W953" s="4">
        <v>1</v>
      </c>
    </row>
    <row r="954" spans="1:23">
      <c r="A954" t="s">
        <v>1084</v>
      </c>
      <c r="B954" s="2">
        <v>45781</v>
      </c>
      <c r="C954" t="s">
        <v>37</v>
      </c>
      <c r="D954" t="s">
        <v>38</v>
      </c>
      <c r="E954" t="s">
        <v>39</v>
      </c>
      <c r="F954" t="s">
        <v>22</v>
      </c>
      <c r="G954" t="s">
        <v>32</v>
      </c>
      <c r="H954" t="s">
        <v>33</v>
      </c>
      <c r="I954">
        <v>13</v>
      </c>
      <c r="J954" s="3">
        <v>8224.32</v>
      </c>
      <c r="K954" s="3">
        <v>106916.16</v>
      </c>
      <c r="L954" t="s">
        <v>25</v>
      </c>
      <c r="M954" s="2">
        <v>45792</v>
      </c>
      <c r="N954" s="2">
        <v>45792</v>
      </c>
      <c r="O954" t="s">
        <v>26</v>
      </c>
      <c r="P954" t="s">
        <v>64</v>
      </c>
      <c r="Q954" t="s">
        <v>28</v>
      </c>
      <c r="R954" t="s">
        <v>29</v>
      </c>
      <c r="S954">
        <v>2025</v>
      </c>
      <c r="T954" t="s">
        <v>2766</v>
      </c>
      <c r="U954" t="s">
        <v>2767</v>
      </c>
      <c r="V954" s="4">
        <v>0</v>
      </c>
      <c r="W954" s="4">
        <v>1</v>
      </c>
    </row>
    <row r="955" spans="1:23">
      <c r="A955" t="s">
        <v>1085</v>
      </c>
      <c r="B955" s="2">
        <v>45961</v>
      </c>
      <c r="C955" t="s">
        <v>104</v>
      </c>
      <c r="D955" t="s">
        <v>105</v>
      </c>
      <c r="E955" t="s">
        <v>48</v>
      </c>
      <c r="F955" t="s">
        <v>49</v>
      </c>
      <c r="G955" t="s">
        <v>113</v>
      </c>
      <c r="H955" t="s">
        <v>114</v>
      </c>
      <c r="I955">
        <v>1</v>
      </c>
      <c r="J955" s="3">
        <v>39133.230000000003</v>
      </c>
      <c r="K955" s="3">
        <v>39133.230000000003</v>
      </c>
      <c r="L955" t="s">
        <v>34</v>
      </c>
      <c r="M955" s="2">
        <v>45973</v>
      </c>
      <c r="N955" s="2">
        <v>45972</v>
      </c>
      <c r="O955" t="s">
        <v>76</v>
      </c>
      <c r="P955" t="s">
        <v>53</v>
      </c>
      <c r="Q955" t="s">
        <v>28</v>
      </c>
      <c r="R955" t="s">
        <v>29</v>
      </c>
      <c r="S955">
        <v>2025</v>
      </c>
      <c r="T955" t="s">
        <v>2749</v>
      </c>
      <c r="U955" t="s">
        <v>2750</v>
      </c>
      <c r="V955" s="4">
        <v>0</v>
      </c>
      <c r="W955" s="4">
        <v>1</v>
      </c>
    </row>
    <row r="956" spans="1:23">
      <c r="A956" t="s">
        <v>1086</v>
      </c>
      <c r="B956" s="2">
        <v>45938</v>
      </c>
      <c r="C956" t="s">
        <v>96</v>
      </c>
      <c r="D956" t="s">
        <v>97</v>
      </c>
      <c r="E956" t="s">
        <v>39</v>
      </c>
      <c r="F956" t="s">
        <v>82</v>
      </c>
      <c r="G956" t="s">
        <v>98</v>
      </c>
      <c r="H956" t="s">
        <v>99</v>
      </c>
      <c r="I956">
        <v>25</v>
      </c>
      <c r="J956" s="3">
        <v>1176.3499999999999</v>
      </c>
      <c r="K956" s="3">
        <v>29408.75</v>
      </c>
      <c r="L956" t="s">
        <v>34</v>
      </c>
      <c r="M956" s="2">
        <v>45943</v>
      </c>
      <c r="N956" s="2">
        <v>45941</v>
      </c>
      <c r="O956" t="s">
        <v>76</v>
      </c>
      <c r="P956" t="s">
        <v>64</v>
      </c>
      <c r="Q956" t="s">
        <v>28</v>
      </c>
      <c r="R956" t="s">
        <v>29</v>
      </c>
      <c r="S956">
        <v>2025</v>
      </c>
      <c r="T956" t="s">
        <v>2749</v>
      </c>
      <c r="U956" t="s">
        <v>2750</v>
      </c>
      <c r="V956" s="4">
        <v>0</v>
      </c>
      <c r="W956" s="4">
        <v>1</v>
      </c>
    </row>
    <row r="957" spans="1:23">
      <c r="A957" t="s">
        <v>1087</v>
      </c>
      <c r="B957" s="2">
        <v>46042</v>
      </c>
      <c r="C957" t="s">
        <v>142</v>
      </c>
      <c r="D957" t="s">
        <v>143</v>
      </c>
      <c r="E957" t="s">
        <v>31</v>
      </c>
      <c r="F957" t="s">
        <v>22</v>
      </c>
      <c r="G957" t="s">
        <v>160</v>
      </c>
      <c r="H957" t="s">
        <v>161</v>
      </c>
      <c r="I957">
        <v>14</v>
      </c>
      <c r="J957" s="3">
        <v>3116.59</v>
      </c>
      <c r="K957" s="3">
        <v>43632.26</v>
      </c>
      <c r="L957" t="s">
        <v>25</v>
      </c>
      <c r="M957" s="2">
        <v>46059</v>
      </c>
      <c r="N957" s="2">
        <v>46065</v>
      </c>
      <c r="O957" t="s">
        <v>43</v>
      </c>
      <c r="P957" t="s">
        <v>94</v>
      </c>
      <c r="Q957" t="s">
        <v>28</v>
      </c>
      <c r="R957" t="s">
        <v>129</v>
      </c>
      <c r="S957">
        <v>2026</v>
      </c>
      <c r="T957" t="s">
        <v>2757</v>
      </c>
      <c r="U957" t="s">
        <v>2758</v>
      </c>
      <c r="V957" s="4">
        <v>6</v>
      </c>
      <c r="W957" s="4">
        <v>0</v>
      </c>
    </row>
    <row r="958" spans="1:23">
      <c r="A958" t="s">
        <v>1088</v>
      </c>
      <c r="B958" s="2">
        <v>45793</v>
      </c>
      <c r="C958" t="s">
        <v>142</v>
      </c>
      <c r="D958" t="s">
        <v>143</v>
      </c>
      <c r="E958" t="s">
        <v>112</v>
      </c>
      <c r="F958" t="s">
        <v>22</v>
      </c>
      <c r="G958" t="s">
        <v>23</v>
      </c>
      <c r="H958" t="s">
        <v>24</v>
      </c>
      <c r="I958">
        <v>50</v>
      </c>
      <c r="J958" s="3">
        <v>253.13</v>
      </c>
      <c r="K958" s="3">
        <v>12656.5</v>
      </c>
      <c r="L958" t="s">
        <v>52</v>
      </c>
      <c r="M958" s="2">
        <v>45801</v>
      </c>
      <c r="N958" s="2">
        <v>45799</v>
      </c>
      <c r="O958" t="s">
        <v>76</v>
      </c>
      <c r="P958" t="s">
        <v>115</v>
      </c>
      <c r="Q958" t="s">
        <v>28</v>
      </c>
      <c r="R958" t="s">
        <v>29</v>
      </c>
      <c r="S958">
        <v>2025</v>
      </c>
      <c r="T958" t="s">
        <v>2766</v>
      </c>
      <c r="U958" t="s">
        <v>2767</v>
      </c>
      <c r="V958" s="4">
        <v>0</v>
      </c>
      <c r="W958" s="4">
        <v>1</v>
      </c>
    </row>
    <row r="959" spans="1:23">
      <c r="A959" t="s">
        <v>1089</v>
      </c>
      <c r="B959" s="2">
        <v>46080</v>
      </c>
      <c r="C959" t="s">
        <v>134</v>
      </c>
      <c r="D959" t="s">
        <v>135</v>
      </c>
      <c r="E959" t="s">
        <v>39</v>
      </c>
      <c r="F959" t="s">
        <v>40</v>
      </c>
      <c r="G959" t="s">
        <v>41</v>
      </c>
      <c r="H959" t="s">
        <v>42</v>
      </c>
      <c r="I959">
        <v>7</v>
      </c>
      <c r="J959" s="3">
        <v>5495.92</v>
      </c>
      <c r="K959" s="3">
        <v>38471.440000000002</v>
      </c>
      <c r="L959" t="s">
        <v>34</v>
      </c>
      <c r="M959" s="2">
        <v>46096</v>
      </c>
      <c r="N959" s="2">
        <v>46096</v>
      </c>
      <c r="O959" t="s">
        <v>60</v>
      </c>
      <c r="P959" t="s">
        <v>64</v>
      </c>
      <c r="Q959" t="s">
        <v>28</v>
      </c>
      <c r="R959" t="s">
        <v>29</v>
      </c>
      <c r="S959">
        <v>2026</v>
      </c>
      <c r="T959" t="s">
        <v>2751</v>
      </c>
      <c r="U959" t="s">
        <v>2765</v>
      </c>
      <c r="V959" s="4">
        <v>0</v>
      </c>
      <c r="W959" s="4">
        <v>1</v>
      </c>
    </row>
    <row r="960" spans="1:23">
      <c r="A960" t="s">
        <v>1090</v>
      </c>
      <c r="B960" s="2">
        <v>45925</v>
      </c>
      <c r="C960" t="s">
        <v>96</v>
      </c>
      <c r="D960" t="s">
        <v>97</v>
      </c>
      <c r="E960" t="s">
        <v>39</v>
      </c>
      <c r="F960" t="s">
        <v>82</v>
      </c>
      <c r="G960" t="s">
        <v>197</v>
      </c>
      <c r="H960" t="s">
        <v>198</v>
      </c>
      <c r="I960">
        <v>49</v>
      </c>
      <c r="J960" s="3">
        <v>2158.88</v>
      </c>
      <c r="K960" s="3">
        <v>105785.12</v>
      </c>
      <c r="L960" t="s">
        <v>25</v>
      </c>
      <c r="M960" s="2">
        <v>45933</v>
      </c>
      <c r="N960" s="2">
        <v>45933</v>
      </c>
      <c r="O960" t="s">
        <v>26</v>
      </c>
      <c r="P960" t="s">
        <v>64</v>
      </c>
      <c r="Q960" t="s">
        <v>28</v>
      </c>
      <c r="R960" t="s">
        <v>29</v>
      </c>
      <c r="S960">
        <v>2025</v>
      </c>
      <c r="T960" t="s">
        <v>2753</v>
      </c>
      <c r="U960" t="s">
        <v>2754</v>
      </c>
      <c r="V960" s="4">
        <v>0</v>
      </c>
      <c r="W960" s="4">
        <v>1</v>
      </c>
    </row>
    <row r="961" spans="1:23">
      <c r="A961" t="s">
        <v>1091</v>
      </c>
      <c r="B961" s="2">
        <v>45798</v>
      </c>
      <c r="C961" t="s">
        <v>71</v>
      </c>
      <c r="D961" t="s">
        <v>72</v>
      </c>
      <c r="E961" t="s">
        <v>21</v>
      </c>
      <c r="F961" t="s">
        <v>57</v>
      </c>
      <c r="G961" t="s">
        <v>120</v>
      </c>
      <c r="H961" t="s">
        <v>121</v>
      </c>
      <c r="I961">
        <v>5</v>
      </c>
      <c r="J961" s="3">
        <v>20596.259999999998</v>
      </c>
      <c r="K961" s="3">
        <v>102981.3</v>
      </c>
      <c r="L961" t="s">
        <v>34</v>
      </c>
      <c r="M961" s="2">
        <v>45810</v>
      </c>
      <c r="N961" s="2">
        <v>45823</v>
      </c>
      <c r="O961" t="s">
        <v>43</v>
      </c>
      <c r="P961" t="s">
        <v>27</v>
      </c>
      <c r="Q961" t="s">
        <v>28</v>
      </c>
      <c r="R961" t="s">
        <v>129</v>
      </c>
      <c r="S961">
        <v>2025</v>
      </c>
      <c r="T961" t="s">
        <v>2766</v>
      </c>
      <c r="U961" t="s">
        <v>2767</v>
      </c>
      <c r="V961" s="4">
        <v>13</v>
      </c>
      <c r="W961" s="4">
        <v>0</v>
      </c>
    </row>
    <row r="962" spans="1:23">
      <c r="A962" t="s">
        <v>1092</v>
      </c>
      <c r="B962" s="2">
        <v>45862</v>
      </c>
      <c r="C962" t="s">
        <v>96</v>
      </c>
      <c r="D962" t="s">
        <v>97</v>
      </c>
      <c r="E962" t="s">
        <v>39</v>
      </c>
      <c r="F962" t="s">
        <v>82</v>
      </c>
      <c r="G962" t="s">
        <v>98</v>
      </c>
      <c r="H962" t="s">
        <v>99</v>
      </c>
      <c r="I962">
        <v>42</v>
      </c>
      <c r="J962" s="3">
        <v>1188.4100000000001</v>
      </c>
      <c r="K962" s="3">
        <v>49913.22</v>
      </c>
      <c r="L962" t="s">
        <v>25</v>
      </c>
      <c r="M962" s="2">
        <v>45872</v>
      </c>
      <c r="N962" s="2">
        <v>45871</v>
      </c>
      <c r="O962" t="s">
        <v>26</v>
      </c>
      <c r="P962" t="s">
        <v>64</v>
      </c>
      <c r="Q962" t="s">
        <v>28</v>
      </c>
      <c r="R962" t="s">
        <v>29</v>
      </c>
      <c r="S962">
        <v>2025</v>
      </c>
      <c r="T962" t="s">
        <v>2759</v>
      </c>
      <c r="U962" t="s">
        <v>2760</v>
      </c>
      <c r="V962" s="4">
        <v>0</v>
      </c>
      <c r="W962" s="4">
        <v>1</v>
      </c>
    </row>
    <row r="963" spans="1:23">
      <c r="A963" t="s">
        <v>1093</v>
      </c>
      <c r="B963" s="2">
        <v>45946</v>
      </c>
      <c r="C963" t="s">
        <v>66</v>
      </c>
      <c r="D963" t="s">
        <v>67</v>
      </c>
      <c r="E963" t="s">
        <v>73</v>
      </c>
      <c r="F963" t="s">
        <v>49</v>
      </c>
      <c r="G963" t="s">
        <v>50</v>
      </c>
      <c r="H963" t="s">
        <v>51</v>
      </c>
      <c r="I963">
        <v>1</v>
      </c>
      <c r="J963" s="3">
        <v>51846.04</v>
      </c>
      <c r="K963" s="3">
        <v>51846.04</v>
      </c>
      <c r="L963" t="s">
        <v>25</v>
      </c>
      <c r="M963" s="2">
        <v>45956</v>
      </c>
      <c r="N963" s="2">
        <v>45954</v>
      </c>
      <c r="O963" t="s">
        <v>76</v>
      </c>
      <c r="P963" t="s">
        <v>77</v>
      </c>
      <c r="Q963" t="s">
        <v>28</v>
      </c>
      <c r="R963" t="s">
        <v>29</v>
      </c>
      <c r="S963">
        <v>2025</v>
      </c>
      <c r="T963" t="s">
        <v>2749</v>
      </c>
      <c r="U963" t="s">
        <v>2750</v>
      </c>
      <c r="V963" s="4">
        <v>0</v>
      </c>
      <c r="W963" s="4">
        <v>1</v>
      </c>
    </row>
    <row r="964" spans="1:23">
      <c r="A964" t="s">
        <v>1094</v>
      </c>
      <c r="B964" s="2">
        <v>45687</v>
      </c>
      <c r="C964" t="s">
        <v>104</v>
      </c>
      <c r="D964" t="s">
        <v>105</v>
      </c>
      <c r="E964" t="s">
        <v>112</v>
      </c>
      <c r="F964" t="s">
        <v>49</v>
      </c>
      <c r="G964" t="s">
        <v>68</v>
      </c>
      <c r="H964" t="s">
        <v>69</v>
      </c>
      <c r="I964">
        <v>2</v>
      </c>
      <c r="J964" s="3">
        <v>46566.84</v>
      </c>
      <c r="K964" s="3">
        <v>93133.68</v>
      </c>
      <c r="L964" t="s">
        <v>25</v>
      </c>
      <c r="M964" s="2">
        <v>45704</v>
      </c>
      <c r="N964" s="2">
        <v>45703</v>
      </c>
      <c r="O964" t="s">
        <v>76</v>
      </c>
      <c r="P964" t="s">
        <v>115</v>
      </c>
      <c r="Q964" t="s">
        <v>28</v>
      </c>
      <c r="R964" t="s">
        <v>29</v>
      </c>
      <c r="S964">
        <v>2025</v>
      </c>
      <c r="T964" t="s">
        <v>2757</v>
      </c>
      <c r="U964" t="s">
        <v>2768</v>
      </c>
      <c r="V964" s="4">
        <v>0</v>
      </c>
      <c r="W964" s="4">
        <v>1</v>
      </c>
    </row>
    <row r="965" spans="1:23">
      <c r="A965" t="s">
        <v>1095</v>
      </c>
      <c r="B965" s="2">
        <v>45968</v>
      </c>
      <c r="C965" t="s">
        <v>80</v>
      </c>
      <c r="D965" t="s">
        <v>81</v>
      </c>
      <c r="E965" t="s">
        <v>39</v>
      </c>
      <c r="F965" t="s">
        <v>82</v>
      </c>
      <c r="G965" t="s">
        <v>83</v>
      </c>
      <c r="H965" t="s">
        <v>84</v>
      </c>
      <c r="I965">
        <v>21</v>
      </c>
      <c r="J965" s="3">
        <v>711.08</v>
      </c>
      <c r="K965" s="3">
        <v>14932.68</v>
      </c>
      <c r="L965" t="s">
        <v>25</v>
      </c>
      <c r="M965" s="2">
        <v>45976</v>
      </c>
      <c r="N965" s="2">
        <v>45974</v>
      </c>
      <c r="O965" t="s">
        <v>26</v>
      </c>
      <c r="P965" t="s">
        <v>44</v>
      </c>
      <c r="Q965" t="s">
        <v>28</v>
      </c>
      <c r="R965" t="s">
        <v>29</v>
      </c>
      <c r="S965">
        <v>2025</v>
      </c>
      <c r="T965" t="s">
        <v>2763</v>
      </c>
      <c r="U965" t="s">
        <v>2764</v>
      </c>
      <c r="V965" s="4">
        <v>0</v>
      </c>
      <c r="W965" s="4">
        <v>1</v>
      </c>
    </row>
    <row r="966" spans="1:23">
      <c r="A966" t="s">
        <v>1096</v>
      </c>
      <c r="B966" s="2">
        <v>45869</v>
      </c>
      <c r="C966" t="s">
        <v>66</v>
      </c>
      <c r="D966" t="s">
        <v>67</v>
      </c>
      <c r="E966" t="s">
        <v>48</v>
      </c>
      <c r="F966" t="s">
        <v>49</v>
      </c>
      <c r="G966" t="s">
        <v>68</v>
      </c>
      <c r="H966" t="s">
        <v>69</v>
      </c>
      <c r="I966">
        <v>1</v>
      </c>
      <c r="J966" s="3">
        <v>47219.44</v>
      </c>
      <c r="K966" s="3">
        <v>47219.44</v>
      </c>
      <c r="L966" t="s">
        <v>34</v>
      </c>
      <c r="M966" s="2">
        <v>45881</v>
      </c>
      <c r="N966" s="2">
        <v>45879</v>
      </c>
      <c r="O966" t="s">
        <v>26</v>
      </c>
      <c r="P966" t="s">
        <v>53</v>
      </c>
      <c r="Q966" t="s">
        <v>28</v>
      </c>
      <c r="R966" t="s">
        <v>29</v>
      </c>
      <c r="S966">
        <v>2025</v>
      </c>
      <c r="T966" t="s">
        <v>2759</v>
      </c>
      <c r="U966" t="s">
        <v>2760</v>
      </c>
      <c r="V966" s="4">
        <v>0</v>
      </c>
      <c r="W966" s="4">
        <v>1</v>
      </c>
    </row>
    <row r="967" spans="1:23">
      <c r="A967" t="s">
        <v>1097</v>
      </c>
      <c r="B967" s="2">
        <v>45689</v>
      </c>
      <c r="C967" t="s">
        <v>37</v>
      </c>
      <c r="D967" t="s">
        <v>38</v>
      </c>
      <c r="E967" t="s">
        <v>112</v>
      </c>
      <c r="F967" t="s">
        <v>40</v>
      </c>
      <c r="G967" t="s">
        <v>41</v>
      </c>
      <c r="H967" t="s">
        <v>42</v>
      </c>
      <c r="I967">
        <v>10</v>
      </c>
      <c r="J967" s="3">
        <v>5745.23</v>
      </c>
      <c r="K967" s="3">
        <v>57452.3</v>
      </c>
      <c r="L967" t="s">
        <v>25</v>
      </c>
      <c r="M967" s="2">
        <v>45696</v>
      </c>
      <c r="N967" s="2">
        <v>45694</v>
      </c>
      <c r="O967" t="s">
        <v>26</v>
      </c>
      <c r="P967" t="s">
        <v>115</v>
      </c>
      <c r="Q967" t="s">
        <v>28</v>
      </c>
      <c r="R967" t="s">
        <v>29</v>
      </c>
      <c r="S967">
        <v>2025</v>
      </c>
      <c r="T967" t="s">
        <v>2751</v>
      </c>
      <c r="U967" t="s">
        <v>2752</v>
      </c>
      <c r="V967" s="4">
        <v>0</v>
      </c>
      <c r="W967" s="4">
        <v>1</v>
      </c>
    </row>
    <row r="968" spans="1:23">
      <c r="A968" t="s">
        <v>1098</v>
      </c>
      <c r="B968" s="2">
        <v>46039</v>
      </c>
      <c r="C968" t="s">
        <v>19</v>
      </c>
      <c r="D968" t="s">
        <v>20</v>
      </c>
      <c r="E968" t="s">
        <v>73</v>
      </c>
      <c r="F968" t="s">
        <v>22</v>
      </c>
      <c r="G968" t="s">
        <v>160</v>
      </c>
      <c r="H968" t="s">
        <v>161</v>
      </c>
      <c r="I968">
        <v>5</v>
      </c>
      <c r="J968" s="3">
        <v>3049.22</v>
      </c>
      <c r="K968" s="3">
        <v>15246.1</v>
      </c>
      <c r="L968" t="s">
        <v>25</v>
      </c>
      <c r="M968" s="2">
        <v>46046</v>
      </c>
      <c r="N968" s="2">
        <v>46045</v>
      </c>
      <c r="O968" t="s">
        <v>43</v>
      </c>
      <c r="P968" t="s">
        <v>77</v>
      </c>
      <c r="Q968" t="s">
        <v>28</v>
      </c>
      <c r="R968" t="s">
        <v>29</v>
      </c>
      <c r="S968">
        <v>2026</v>
      </c>
      <c r="T968" t="s">
        <v>2757</v>
      </c>
      <c r="U968" t="s">
        <v>2758</v>
      </c>
      <c r="V968" s="4">
        <v>0</v>
      </c>
      <c r="W968" s="4">
        <v>1</v>
      </c>
    </row>
    <row r="969" spans="1:23">
      <c r="A969" t="s">
        <v>1099</v>
      </c>
      <c r="B969" s="2">
        <v>45836</v>
      </c>
      <c r="C969" t="s">
        <v>37</v>
      </c>
      <c r="D969" t="s">
        <v>38</v>
      </c>
      <c r="E969" t="s">
        <v>39</v>
      </c>
      <c r="F969" t="s">
        <v>22</v>
      </c>
      <c r="G969" t="s">
        <v>160</v>
      </c>
      <c r="H969" t="s">
        <v>161</v>
      </c>
      <c r="I969">
        <v>9</v>
      </c>
      <c r="J969" s="3">
        <v>3411.55</v>
      </c>
      <c r="K969" s="3">
        <v>30703.95</v>
      </c>
      <c r="L969" t="s">
        <v>25</v>
      </c>
      <c r="M969" s="2">
        <v>45845</v>
      </c>
      <c r="N969" s="2">
        <v>45842</v>
      </c>
      <c r="O969" t="s">
        <v>26</v>
      </c>
      <c r="P969" t="s">
        <v>64</v>
      </c>
      <c r="Q969" t="s">
        <v>28</v>
      </c>
      <c r="R969" t="s">
        <v>29</v>
      </c>
      <c r="S969">
        <v>2025</v>
      </c>
      <c r="T969" t="s">
        <v>2743</v>
      </c>
      <c r="U969" t="s">
        <v>2756</v>
      </c>
      <c r="V969" s="4">
        <v>0</v>
      </c>
      <c r="W969" s="4">
        <v>1</v>
      </c>
    </row>
    <row r="970" spans="1:23">
      <c r="A970" t="s">
        <v>1100</v>
      </c>
      <c r="B970" s="2">
        <v>45724</v>
      </c>
      <c r="C970" t="s">
        <v>142</v>
      </c>
      <c r="D970" t="s">
        <v>143</v>
      </c>
      <c r="E970" t="s">
        <v>73</v>
      </c>
      <c r="F970" t="s">
        <v>22</v>
      </c>
      <c r="G970" t="s">
        <v>160</v>
      </c>
      <c r="H970" t="s">
        <v>161</v>
      </c>
      <c r="I970">
        <v>3</v>
      </c>
      <c r="J970" s="3">
        <v>3156.03</v>
      </c>
      <c r="K970" s="3">
        <v>9468.09</v>
      </c>
      <c r="L970" t="s">
        <v>34</v>
      </c>
      <c r="M970" s="2">
        <v>45729</v>
      </c>
      <c r="N970" s="2">
        <v>45729</v>
      </c>
      <c r="O970" t="s">
        <v>76</v>
      </c>
      <c r="P970" t="s">
        <v>77</v>
      </c>
      <c r="Q970" t="s">
        <v>28</v>
      </c>
      <c r="R970" t="s">
        <v>29</v>
      </c>
      <c r="S970">
        <v>2025</v>
      </c>
      <c r="T970" t="s">
        <v>2747</v>
      </c>
      <c r="U970" t="s">
        <v>2748</v>
      </c>
      <c r="V970" s="4">
        <v>0</v>
      </c>
      <c r="W970" s="4">
        <v>1</v>
      </c>
    </row>
    <row r="971" spans="1:23">
      <c r="A971" t="s">
        <v>1101</v>
      </c>
      <c r="B971" s="2">
        <v>46148</v>
      </c>
      <c r="C971" t="s">
        <v>131</v>
      </c>
      <c r="D971" t="s">
        <v>132</v>
      </c>
      <c r="E971" t="s">
        <v>21</v>
      </c>
      <c r="F971" t="s">
        <v>57</v>
      </c>
      <c r="G971" t="s">
        <v>58</v>
      </c>
      <c r="H971" t="s">
        <v>59</v>
      </c>
      <c r="I971">
        <v>8</v>
      </c>
      <c r="J971" s="3">
        <v>58293.19</v>
      </c>
      <c r="K971" s="3">
        <v>466345.52</v>
      </c>
      <c r="L971" t="s">
        <v>25</v>
      </c>
      <c r="M971" s="2">
        <v>46165</v>
      </c>
      <c r="N971" s="2">
        <v>46177</v>
      </c>
      <c r="O971" t="s">
        <v>60</v>
      </c>
      <c r="P971" t="s">
        <v>27</v>
      </c>
      <c r="Q971" t="s">
        <v>28</v>
      </c>
      <c r="R971" t="s">
        <v>129</v>
      </c>
      <c r="S971">
        <v>2026</v>
      </c>
      <c r="T971" t="s">
        <v>2766</v>
      </c>
      <c r="U971" t="s">
        <v>2769</v>
      </c>
      <c r="V971" s="4">
        <v>12</v>
      </c>
      <c r="W971" s="4">
        <v>0</v>
      </c>
    </row>
    <row r="972" spans="1:23">
      <c r="A972" t="s">
        <v>1102</v>
      </c>
      <c r="B972" s="2">
        <v>45706</v>
      </c>
      <c r="C972" t="s">
        <v>147</v>
      </c>
      <c r="D972" t="s">
        <v>148</v>
      </c>
      <c r="E972" t="s">
        <v>39</v>
      </c>
      <c r="F972" t="s">
        <v>40</v>
      </c>
      <c r="G972" t="s">
        <v>62</v>
      </c>
      <c r="H972" t="s">
        <v>63</v>
      </c>
      <c r="I972">
        <v>6</v>
      </c>
      <c r="J972" s="3">
        <v>17920.07</v>
      </c>
      <c r="K972" s="3">
        <v>107520.42</v>
      </c>
      <c r="L972" t="s">
        <v>25</v>
      </c>
      <c r="M972" s="2">
        <v>45721</v>
      </c>
      <c r="N972" s="2">
        <v>45720</v>
      </c>
      <c r="O972" t="s">
        <v>76</v>
      </c>
      <c r="P972" t="s">
        <v>44</v>
      </c>
      <c r="Q972" t="s">
        <v>28</v>
      </c>
      <c r="R972" t="s">
        <v>29</v>
      </c>
      <c r="S972">
        <v>2025</v>
      </c>
      <c r="T972" t="s">
        <v>2751</v>
      </c>
      <c r="U972" t="s">
        <v>2752</v>
      </c>
      <c r="V972" s="4">
        <v>0</v>
      </c>
      <c r="W972" s="4">
        <v>1</v>
      </c>
    </row>
    <row r="973" spans="1:23">
      <c r="A973" t="s">
        <v>1103</v>
      </c>
      <c r="B973" s="2">
        <v>45836</v>
      </c>
      <c r="C973" t="s">
        <v>104</v>
      </c>
      <c r="D973" t="s">
        <v>105</v>
      </c>
      <c r="E973" t="s">
        <v>73</v>
      </c>
      <c r="F973" t="s">
        <v>49</v>
      </c>
      <c r="G973" t="s">
        <v>165</v>
      </c>
      <c r="H973" t="s">
        <v>166</v>
      </c>
      <c r="I973">
        <v>2</v>
      </c>
      <c r="J973" s="3">
        <v>45924.26</v>
      </c>
      <c r="K973" s="3">
        <v>91848.52</v>
      </c>
      <c r="L973" t="s">
        <v>52</v>
      </c>
      <c r="M973" s="2">
        <v>45851</v>
      </c>
      <c r="N973" s="2">
        <v>45849</v>
      </c>
      <c r="O973" t="s">
        <v>43</v>
      </c>
      <c r="P973" t="s">
        <v>77</v>
      </c>
      <c r="Q973" t="s">
        <v>28</v>
      </c>
      <c r="R973" t="s">
        <v>29</v>
      </c>
      <c r="S973">
        <v>2025</v>
      </c>
      <c r="T973" t="s">
        <v>2743</v>
      </c>
      <c r="U973" t="s">
        <v>2756</v>
      </c>
      <c r="V973" s="4">
        <v>0</v>
      </c>
      <c r="W973" s="4">
        <v>1</v>
      </c>
    </row>
    <row r="974" spans="1:23">
      <c r="A974" t="s">
        <v>1104</v>
      </c>
      <c r="B974" s="2">
        <v>45798</v>
      </c>
      <c r="C974" t="s">
        <v>66</v>
      </c>
      <c r="D974" t="s">
        <v>67</v>
      </c>
      <c r="E974" t="s">
        <v>21</v>
      </c>
      <c r="F974" t="s">
        <v>49</v>
      </c>
      <c r="G974" t="s">
        <v>68</v>
      </c>
      <c r="H974" t="s">
        <v>69</v>
      </c>
      <c r="I974">
        <v>1</v>
      </c>
      <c r="J974" s="3">
        <v>48308.89</v>
      </c>
      <c r="K974" s="3">
        <v>48308.89</v>
      </c>
      <c r="L974" t="s">
        <v>34</v>
      </c>
      <c r="M974" s="2">
        <v>45803</v>
      </c>
      <c r="N974" s="2">
        <v>45802</v>
      </c>
      <c r="O974" t="s">
        <v>26</v>
      </c>
      <c r="P974" t="s">
        <v>27</v>
      </c>
      <c r="Q974" t="s">
        <v>28</v>
      </c>
      <c r="R974" t="s">
        <v>29</v>
      </c>
      <c r="S974">
        <v>2025</v>
      </c>
      <c r="T974" t="s">
        <v>2766</v>
      </c>
      <c r="U974" t="s">
        <v>2767</v>
      </c>
      <c r="V974" s="4">
        <v>0</v>
      </c>
      <c r="W974" s="4">
        <v>1</v>
      </c>
    </row>
    <row r="975" spans="1:23">
      <c r="A975" t="s">
        <v>1105</v>
      </c>
      <c r="B975" s="2">
        <v>46063</v>
      </c>
      <c r="C975" t="s">
        <v>19</v>
      </c>
      <c r="D975" t="s">
        <v>20</v>
      </c>
      <c r="E975" t="s">
        <v>73</v>
      </c>
      <c r="F975" t="s">
        <v>22</v>
      </c>
      <c r="G975" t="s">
        <v>32</v>
      </c>
      <c r="H975" t="s">
        <v>33</v>
      </c>
      <c r="I975">
        <v>10</v>
      </c>
      <c r="J975" s="3">
        <v>7303.05</v>
      </c>
      <c r="K975" s="3">
        <v>73030.5</v>
      </c>
      <c r="L975" t="s">
        <v>34</v>
      </c>
      <c r="M975" s="2">
        <v>46068</v>
      </c>
      <c r="N975" s="2">
        <v>46067</v>
      </c>
      <c r="O975" t="s">
        <v>76</v>
      </c>
      <c r="P975" t="s">
        <v>77</v>
      </c>
      <c r="Q975" t="s">
        <v>28</v>
      </c>
      <c r="R975" t="s">
        <v>29</v>
      </c>
      <c r="S975">
        <v>2026</v>
      </c>
      <c r="T975" t="s">
        <v>2751</v>
      </c>
      <c r="U975" t="s">
        <v>2765</v>
      </c>
      <c r="V975" s="4">
        <v>0</v>
      </c>
      <c r="W975" s="4">
        <v>1</v>
      </c>
    </row>
    <row r="976" spans="1:23">
      <c r="A976" t="s">
        <v>1106</v>
      </c>
      <c r="B976" s="2">
        <v>45777</v>
      </c>
      <c r="C976" t="s">
        <v>46</v>
      </c>
      <c r="D976" t="s">
        <v>47</v>
      </c>
      <c r="E976" t="s">
        <v>48</v>
      </c>
      <c r="F976" t="s">
        <v>49</v>
      </c>
      <c r="G976" t="s">
        <v>68</v>
      </c>
      <c r="H976" t="s">
        <v>69</v>
      </c>
      <c r="I976">
        <v>1</v>
      </c>
      <c r="J976" s="3">
        <v>52596.82</v>
      </c>
      <c r="K976" s="3">
        <v>52596.82</v>
      </c>
      <c r="L976" t="s">
        <v>34</v>
      </c>
      <c r="M976" s="2">
        <v>45791</v>
      </c>
      <c r="N976" s="2">
        <v>45788</v>
      </c>
      <c r="O976" t="s">
        <v>43</v>
      </c>
      <c r="P976" t="s">
        <v>53</v>
      </c>
      <c r="Q976" t="s">
        <v>28</v>
      </c>
      <c r="R976" t="s">
        <v>29</v>
      </c>
      <c r="S976">
        <v>2025</v>
      </c>
      <c r="T976" t="s">
        <v>2741</v>
      </c>
      <c r="U976" t="s">
        <v>2742</v>
      </c>
      <c r="V976" s="4">
        <v>0</v>
      </c>
      <c r="W976" s="4">
        <v>1</v>
      </c>
    </row>
    <row r="977" spans="1:23">
      <c r="A977" t="s">
        <v>1107</v>
      </c>
      <c r="B977" s="2">
        <v>46122</v>
      </c>
      <c r="C977" t="s">
        <v>117</v>
      </c>
      <c r="D977" t="s">
        <v>118</v>
      </c>
      <c r="E977" t="s">
        <v>48</v>
      </c>
      <c r="F977" t="s">
        <v>57</v>
      </c>
      <c r="G977" t="s">
        <v>120</v>
      </c>
      <c r="H977" t="s">
        <v>121</v>
      </c>
      <c r="I977">
        <v>2</v>
      </c>
      <c r="J977" s="3">
        <v>22742.89</v>
      </c>
      <c r="K977" s="3">
        <v>45485.78</v>
      </c>
      <c r="L977" t="s">
        <v>34</v>
      </c>
      <c r="M977" s="2">
        <v>46134</v>
      </c>
      <c r="N977" s="2">
        <v>46134</v>
      </c>
      <c r="O977" t="s">
        <v>76</v>
      </c>
      <c r="P977" t="s">
        <v>53</v>
      </c>
      <c r="Q977" t="s">
        <v>28</v>
      </c>
      <c r="R977" t="s">
        <v>29</v>
      </c>
      <c r="S977">
        <v>2026</v>
      </c>
      <c r="T977" t="s">
        <v>2741</v>
      </c>
      <c r="U977" t="s">
        <v>2770</v>
      </c>
      <c r="V977" s="4">
        <v>0</v>
      </c>
      <c r="W977" s="4">
        <v>1</v>
      </c>
    </row>
    <row r="978" spans="1:23">
      <c r="A978" t="s">
        <v>1108</v>
      </c>
      <c r="B978" s="2">
        <v>46073</v>
      </c>
      <c r="C978" t="s">
        <v>80</v>
      </c>
      <c r="D978" t="s">
        <v>81</v>
      </c>
      <c r="E978" t="s">
        <v>39</v>
      </c>
      <c r="F978" t="s">
        <v>82</v>
      </c>
      <c r="G978" t="s">
        <v>83</v>
      </c>
      <c r="H978" t="s">
        <v>84</v>
      </c>
      <c r="I978">
        <v>6</v>
      </c>
      <c r="J978" s="3">
        <v>668.4</v>
      </c>
      <c r="K978" s="3">
        <v>4010.4</v>
      </c>
      <c r="L978" t="s">
        <v>25</v>
      </c>
      <c r="M978" s="2">
        <v>46078</v>
      </c>
      <c r="N978" s="2">
        <v>46077</v>
      </c>
      <c r="O978" t="s">
        <v>43</v>
      </c>
      <c r="P978" t="s">
        <v>64</v>
      </c>
      <c r="Q978" t="s">
        <v>28</v>
      </c>
      <c r="R978" t="s">
        <v>29</v>
      </c>
      <c r="S978">
        <v>2026</v>
      </c>
      <c r="T978" t="s">
        <v>2751</v>
      </c>
      <c r="U978" t="s">
        <v>2765</v>
      </c>
      <c r="V978" s="4">
        <v>0</v>
      </c>
      <c r="W978" s="4">
        <v>1</v>
      </c>
    </row>
    <row r="979" spans="1:23">
      <c r="A979" t="s">
        <v>1109</v>
      </c>
      <c r="B979" s="2">
        <v>45917</v>
      </c>
      <c r="C979" t="s">
        <v>37</v>
      </c>
      <c r="D979" t="s">
        <v>38</v>
      </c>
      <c r="E979" t="s">
        <v>39</v>
      </c>
      <c r="F979" t="s">
        <v>40</v>
      </c>
      <c r="G979" t="s">
        <v>62</v>
      </c>
      <c r="H979" t="s">
        <v>63</v>
      </c>
      <c r="I979">
        <v>6</v>
      </c>
      <c r="J979" s="3">
        <v>20067.78</v>
      </c>
      <c r="K979" s="3">
        <v>120406.68</v>
      </c>
      <c r="L979" t="s">
        <v>25</v>
      </c>
      <c r="M979" s="2">
        <v>45928</v>
      </c>
      <c r="N979" s="2">
        <v>45926</v>
      </c>
      <c r="O979" t="s">
        <v>60</v>
      </c>
      <c r="P979" t="s">
        <v>64</v>
      </c>
      <c r="Q979" t="s">
        <v>28</v>
      </c>
      <c r="R979" t="s">
        <v>29</v>
      </c>
      <c r="S979">
        <v>2025</v>
      </c>
      <c r="T979" t="s">
        <v>2753</v>
      </c>
      <c r="U979" t="s">
        <v>2754</v>
      </c>
      <c r="V979" s="4">
        <v>0</v>
      </c>
      <c r="W979" s="4">
        <v>1</v>
      </c>
    </row>
    <row r="980" spans="1:23">
      <c r="A980" t="s">
        <v>1110</v>
      </c>
      <c r="B980" s="2">
        <v>46169</v>
      </c>
      <c r="C980" t="s">
        <v>80</v>
      </c>
      <c r="D980" t="s">
        <v>81</v>
      </c>
      <c r="E980" t="s">
        <v>39</v>
      </c>
      <c r="F980" t="s">
        <v>82</v>
      </c>
      <c r="G980" t="s">
        <v>98</v>
      </c>
      <c r="H980" t="s">
        <v>99</v>
      </c>
      <c r="I980">
        <v>39</v>
      </c>
      <c r="J980" s="3">
        <v>1086.53</v>
      </c>
      <c r="K980" s="3">
        <v>42374.67</v>
      </c>
      <c r="L980" t="s">
        <v>34</v>
      </c>
      <c r="M980" s="2">
        <v>46186</v>
      </c>
      <c r="N980" s="2">
        <v>46199</v>
      </c>
      <c r="O980" t="s">
        <v>76</v>
      </c>
      <c r="P980" t="s">
        <v>44</v>
      </c>
      <c r="Q980" t="s">
        <v>28</v>
      </c>
      <c r="R980" t="s">
        <v>129</v>
      </c>
      <c r="S980">
        <v>2026</v>
      </c>
      <c r="T980" t="s">
        <v>2766</v>
      </c>
      <c r="U980" t="s">
        <v>2769</v>
      </c>
      <c r="V980" s="4">
        <v>13</v>
      </c>
      <c r="W980" s="4">
        <v>0</v>
      </c>
    </row>
    <row r="981" spans="1:23">
      <c r="A981" t="s">
        <v>1111</v>
      </c>
      <c r="B981" s="2">
        <v>45685</v>
      </c>
      <c r="C981" t="s">
        <v>142</v>
      </c>
      <c r="D981" t="s">
        <v>143</v>
      </c>
      <c r="E981" t="s">
        <v>112</v>
      </c>
      <c r="F981" t="s">
        <v>22</v>
      </c>
      <c r="G981" t="s">
        <v>160</v>
      </c>
      <c r="H981" t="s">
        <v>161</v>
      </c>
      <c r="I981">
        <v>4</v>
      </c>
      <c r="J981" s="3">
        <v>3233.1</v>
      </c>
      <c r="K981" s="3">
        <v>12932.4</v>
      </c>
      <c r="L981" t="s">
        <v>25</v>
      </c>
      <c r="M981" s="2">
        <v>45701</v>
      </c>
      <c r="N981" s="2">
        <v>45701</v>
      </c>
      <c r="O981" t="s">
        <v>76</v>
      </c>
      <c r="P981" t="s">
        <v>115</v>
      </c>
      <c r="Q981" t="s">
        <v>28</v>
      </c>
      <c r="R981" t="s">
        <v>29</v>
      </c>
      <c r="S981">
        <v>2025</v>
      </c>
      <c r="T981" t="s">
        <v>2757</v>
      </c>
      <c r="U981" t="s">
        <v>2768</v>
      </c>
      <c r="V981" s="4">
        <v>0</v>
      </c>
      <c r="W981" s="4">
        <v>1</v>
      </c>
    </row>
    <row r="982" spans="1:23">
      <c r="A982" t="s">
        <v>1112</v>
      </c>
      <c r="B982" s="2">
        <v>46138</v>
      </c>
      <c r="C982" t="s">
        <v>117</v>
      </c>
      <c r="D982" t="s">
        <v>118</v>
      </c>
      <c r="E982" t="s">
        <v>21</v>
      </c>
      <c r="F982" t="s">
        <v>57</v>
      </c>
      <c r="G982" t="s">
        <v>74</v>
      </c>
      <c r="H982" t="s">
        <v>75</v>
      </c>
      <c r="I982">
        <v>1</v>
      </c>
      <c r="J982" s="3">
        <v>8695.44</v>
      </c>
      <c r="K982" s="3">
        <v>8695.44</v>
      </c>
      <c r="L982" t="s">
        <v>52</v>
      </c>
      <c r="M982" s="2">
        <v>46153</v>
      </c>
      <c r="N982" s="2">
        <v>46153</v>
      </c>
      <c r="O982" t="s">
        <v>60</v>
      </c>
      <c r="P982" t="s">
        <v>27</v>
      </c>
      <c r="Q982" t="s">
        <v>28</v>
      </c>
      <c r="R982" t="s">
        <v>29</v>
      </c>
      <c r="S982">
        <v>2026</v>
      </c>
      <c r="T982" t="s">
        <v>2741</v>
      </c>
      <c r="U982" t="s">
        <v>2770</v>
      </c>
      <c r="V982" s="4">
        <v>0</v>
      </c>
      <c r="W982" s="4">
        <v>1</v>
      </c>
    </row>
    <row r="983" spans="1:23">
      <c r="A983" t="s">
        <v>1113</v>
      </c>
      <c r="B983" s="2">
        <v>46172</v>
      </c>
      <c r="C983" t="s">
        <v>71</v>
      </c>
      <c r="D983" t="s">
        <v>72</v>
      </c>
      <c r="E983" t="s">
        <v>21</v>
      </c>
      <c r="F983" t="s">
        <v>57</v>
      </c>
      <c r="G983" t="s">
        <v>74</v>
      </c>
      <c r="H983" t="s">
        <v>75</v>
      </c>
      <c r="I983">
        <v>12</v>
      </c>
      <c r="J983" s="3">
        <v>8165.49</v>
      </c>
      <c r="K983" s="3">
        <v>97985.88</v>
      </c>
      <c r="L983" t="s">
        <v>34</v>
      </c>
      <c r="M983" s="2">
        <v>46177</v>
      </c>
      <c r="N983" s="2">
        <v>46177</v>
      </c>
      <c r="O983" t="s">
        <v>60</v>
      </c>
      <c r="P983" t="s">
        <v>27</v>
      </c>
      <c r="Q983" t="s">
        <v>28</v>
      </c>
      <c r="R983" t="s">
        <v>29</v>
      </c>
      <c r="S983">
        <v>2026</v>
      </c>
      <c r="T983" t="s">
        <v>2766</v>
      </c>
      <c r="U983" t="s">
        <v>2769</v>
      </c>
      <c r="V983" s="4">
        <v>0</v>
      </c>
      <c r="W983" s="4">
        <v>1</v>
      </c>
    </row>
    <row r="984" spans="1:23">
      <c r="A984" t="s">
        <v>1115</v>
      </c>
      <c r="B984" s="2">
        <v>46120</v>
      </c>
      <c r="C984" t="s">
        <v>134</v>
      </c>
      <c r="D984" t="s">
        <v>135</v>
      </c>
      <c r="E984" t="s">
        <v>39</v>
      </c>
      <c r="F984" t="s">
        <v>40</v>
      </c>
      <c r="G984" t="s">
        <v>136</v>
      </c>
      <c r="H984" t="s">
        <v>137</v>
      </c>
      <c r="I984">
        <v>58</v>
      </c>
      <c r="J984" s="3">
        <v>1685.99</v>
      </c>
      <c r="K984" s="3">
        <v>97787.42</v>
      </c>
      <c r="L984" t="s">
        <v>25</v>
      </c>
      <c r="M984" s="2">
        <v>46126</v>
      </c>
      <c r="N984" s="2">
        <v>46123</v>
      </c>
      <c r="O984" t="s">
        <v>60</v>
      </c>
      <c r="P984" t="s">
        <v>64</v>
      </c>
      <c r="Q984" t="s">
        <v>28</v>
      </c>
      <c r="R984" t="s">
        <v>29</v>
      </c>
      <c r="S984">
        <v>2026</v>
      </c>
      <c r="T984" t="s">
        <v>2741</v>
      </c>
      <c r="U984" t="s">
        <v>2770</v>
      </c>
      <c r="V984" s="4">
        <v>0</v>
      </c>
      <c r="W984" s="4">
        <v>1</v>
      </c>
    </row>
    <row r="985" spans="1:23">
      <c r="A985" t="s">
        <v>1116</v>
      </c>
      <c r="B985" s="2">
        <v>46043</v>
      </c>
      <c r="C985" t="s">
        <v>37</v>
      </c>
      <c r="D985" t="s">
        <v>38</v>
      </c>
      <c r="E985" t="s">
        <v>39</v>
      </c>
      <c r="F985" t="s">
        <v>40</v>
      </c>
      <c r="G985" t="s">
        <v>62</v>
      </c>
      <c r="H985" t="s">
        <v>63</v>
      </c>
      <c r="I985">
        <v>2</v>
      </c>
      <c r="J985" s="3">
        <v>19795.400000000001</v>
      </c>
      <c r="K985" s="3">
        <v>39590.800000000003</v>
      </c>
      <c r="L985" t="s">
        <v>34</v>
      </c>
      <c r="M985" s="2">
        <v>46049</v>
      </c>
      <c r="N985" s="2">
        <v>46048</v>
      </c>
      <c r="O985" t="s">
        <v>43</v>
      </c>
      <c r="P985" t="s">
        <v>44</v>
      </c>
      <c r="Q985" t="s">
        <v>28</v>
      </c>
      <c r="R985" t="s">
        <v>29</v>
      </c>
      <c r="S985">
        <v>2026</v>
      </c>
      <c r="T985" t="s">
        <v>2757</v>
      </c>
      <c r="U985" t="s">
        <v>2758</v>
      </c>
      <c r="V985" s="4">
        <v>0</v>
      </c>
      <c r="W985" s="4">
        <v>1</v>
      </c>
    </row>
    <row r="986" spans="1:23">
      <c r="A986" t="s">
        <v>1117</v>
      </c>
      <c r="B986" s="2">
        <v>46166</v>
      </c>
      <c r="C986" t="s">
        <v>71</v>
      </c>
      <c r="D986" t="s">
        <v>72</v>
      </c>
      <c r="E986" t="s">
        <v>48</v>
      </c>
      <c r="F986" t="s">
        <v>57</v>
      </c>
      <c r="G986" t="s">
        <v>120</v>
      </c>
      <c r="H986" t="s">
        <v>121</v>
      </c>
      <c r="I986">
        <v>2</v>
      </c>
      <c r="J986" s="3">
        <v>20934.52</v>
      </c>
      <c r="K986" s="3">
        <v>41869.040000000001</v>
      </c>
      <c r="L986" t="s">
        <v>25</v>
      </c>
      <c r="M986" s="2">
        <v>46177</v>
      </c>
      <c r="N986" s="2">
        <v>46175</v>
      </c>
      <c r="O986" t="s">
        <v>60</v>
      </c>
      <c r="P986" t="s">
        <v>53</v>
      </c>
      <c r="Q986" t="s">
        <v>28</v>
      </c>
      <c r="R986" t="s">
        <v>29</v>
      </c>
      <c r="S986">
        <v>2026</v>
      </c>
      <c r="T986" t="s">
        <v>2766</v>
      </c>
      <c r="U986" t="s">
        <v>2769</v>
      </c>
      <c r="V986" s="4">
        <v>0</v>
      </c>
      <c r="W986" s="4">
        <v>1</v>
      </c>
    </row>
    <row r="987" spans="1:23">
      <c r="A987" t="s">
        <v>1118</v>
      </c>
      <c r="B987" s="2">
        <v>45724</v>
      </c>
      <c r="C987" t="s">
        <v>104</v>
      </c>
      <c r="D987" t="s">
        <v>105</v>
      </c>
      <c r="E987" t="s">
        <v>112</v>
      </c>
      <c r="F987" t="s">
        <v>49</v>
      </c>
      <c r="G987" t="s">
        <v>165</v>
      </c>
      <c r="H987" t="s">
        <v>166</v>
      </c>
      <c r="I987">
        <v>1</v>
      </c>
      <c r="J987" s="3">
        <v>45253.81</v>
      </c>
      <c r="K987" s="3">
        <v>45253.81</v>
      </c>
      <c r="L987" t="s">
        <v>25</v>
      </c>
      <c r="M987" s="2">
        <v>45731</v>
      </c>
      <c r="N987" s="2">
        <v>45730</v>
      </c>
      <c r="O987" t="s">
        <v>26</v>
      </c>
      <c r="P987" t="s">
        <v>115</v>
      </c>
      <c r="Q987" t="s">
        <v>28</v>
      </c>
      <c r="R987" t="s">
        <v>29</v>
      </c>
      <c r="S987">
        <v>2025</v>
      </c>
      <c r="T987" t="s">
        <v>2747</v>
      </c>
      <c r="U987" t="s">
        <v>2748</v>
      </c>
      <c r="V987" s="4">
        <v>0</v>
      </c>
      <c r="W987" s="4">
        <v>1</v>
      </c>
    </row>
    <row r="988" spans="1:23">
      <c r="A988" t="s">
        <v>1119</v>
      </c>
      <c r="B988" s="2">
        <v>46040</v>
      </c>
      <c r="C988" t="s">
        <v>19</v>
      </c>
      <c r="D988" t="s">
        <v>20</v>
      </c>
      <c r="E988" t="s">
        <v>31</v>
      </c>
      <c r="F988" t="s">
        <v>22</v>
      </c>
      <c r="G988" t="s">
        <v>23</v>
      </c>
      <c r="H988" t="s">
        <v>24</v>
      </c>
      <c r="I988">
        <v>7</v>
      </c>
      <c r="J988" s="3">
        <v>221.11</v>
      </c>
      <c r="K988" s="3">
        <v>1547.77</v>
      </c>
      <c r="L988" t="s">
        <v>25</v>
      </c>
      <c r="M988" s="2">
        <v>46048</v>
      </c>
      <c r="N988" s="2">
        <v>46054</v>
      </c>
      <c r="O988" t="s">
        <v>60</v>
      </c>
      <c r="P988" t="s">
        <v>94</v>
      </c>
      <c r="Q988" t="s">
        <v>28</v>
      </c>
      <c r="R988" t="s">
        <v>129</v>
      </c>
      <c r="S988">
        <v>2026</v>
      </c>
      <c r="T988" t="s">
        <v>2757</v>
      </c>
      <c r="U988" t="s">
        <v>2758</v>
      </c>
      <c r="V988" s="4">
        <v>6</v>
      </c>
      <c r="W988" s="4">
        <v>0</v>
      </c>
    </row>
    <row r="989" spans="1:23">
      <c r="A989" t="s">
        <v>1120</v>
      </c>
      <c r="B989" s="2">
        <v>46038</v>
      </c>
      <c r="C989" t="s">
        <v>71</v>
      </c>
      <c r="D989" t="s">
        <v>72</v>
      </c>
      <c r="E989" t="s">
        <v>48</v>
      </c>
      <c r="F989" t="s">
        <v>57</v>
      </c>
      <c r="G989" t="s">
        <v>127</v>
      </c>
      <c r="H989" t="s">
        <v>128</v>
      </c>
      <c r="I989">
        <v>1</v>
      </c>
      <c r="J989" s="3">
        <v>15482.18</v>
      </c>
      <c r="K989" s="3">
        <v>15482.18</v>
      </c>
      <c r="L989" t="s">
        <v>25</v>
      </c>
      <c r="M989" s="2">
        <v>46047</v>
      </c>
      <c r="N989" s="2">
        <v>46046</v>
      </c>
      <c r="O989" t="s">
        <v>26</v>
      </c>
      <c r="P989" t="s">
        <v>53</v>
      </c>
      <c r="Q989" t="s">
        <v>28</v>
      </c>
      <c r="R989" t="s">
        <v>29</v>
      </c>
      <c r="S989">
        <v>2026</v>
      </c>
      <c r="T989" t="s">
        <v>2757</v>
      </c>
      <c r="U989" t="s">
        <v>2758</v>
      </c>
      <c r="V989" s="4">
        <v>0</v>
      </c>
      <c r="W989" s="4">
        <v>1</v>
      </c>
    </row>
    <row r="990" spans="1:23">
      <c r="A990" t="s">
        <v>1121</v>
      </c>
      <c r="B990" s="2">
        <v>45876</v>
      </c>
      <c r="C990" t="s">
        <v>117</v>
      </c>
      <c r="D990" t="s">
        <v>118</v>
      </c>
      <c r="E990" t="s">
        <v>31</v>
      </c>
      <c r="F990" t="s">
        <v>57</v>
      </c>
      <c r="G990" t="s">
        <v>86</v>
      </c>
      <c r="H990" t="s">
        <v>87</v>
      </c>
      <c r="I990">
        <v>2</v>
      </c>
      <c r="J990" s="3">
        <v>10920.1</v>
      </c>
      <c r="K990" s="3">
        <v>21840.2</v>
      </c>
      <c r="L990" t="s">
        <v>52</v>
      </c>
      <c r="M990" s="2">
        <v>45883</v>
      </c>
      <c r="N990" s="2">
        <v>45882</v>
      </c>
      <c r="O990" t="s">
        <v>43</v>
      </c>
      <c r="P990" t="s">
        <v>35</v>
      </c>
      <c r="Q990" t="s">
        <v>28</v>
      </c>
      <c r="R990" t="s">
        <v>29</v>
      </c>
      <c r="S990">
        <v>2025</v>
      </c>
      <c r="T990" t="s">
        <v>2761</v>
      </c>
      <c r="U990" t="s">
        <v>2762</v>
      </c>
      <c r="V990" s="4">
        <v>0</v>
      </c>
      <c r="W990" s="4">
        <v>1</v>
      </c>
    </row>
    <row r="991" spans="1:23">
      <c r="A991" t="s">
        <v>1122</v>
      </c>
      <c r="B991" s="2">
        <v>45732</v>
      </c>
      <c r="C991" t="s">
        <v>66</v>
      </c>
      <c r="D991" t="s">
        <v>67</v>
      </c>
      <c r="E991" t="s">
        <v>21</v>
      </c>
      <c r="F991" t="s">
        <v>49</v>
      </c>
      <c r="G991" t="s">
        <v>165</v>
      </c>
      <c r="H991" t="s">
        <v>166</v>
      </c>
      <c r="I991">
        <v>2</v>
      </c>
      <c r="J991" s="3">
        <v>45156.7</v>
      </c>
      <c r="K991" s="3">
        <v>90313.4</v>
      </c>
      <c r="L991" t="s">
        <v>52</v>
      </c>
      <c r="M991" s="2">
        <v>45737</v>
      </c>
      <c r="N991" s="2">
        <v>45737</v>
      </c>
      <c r="O991" t="s">
        <v>60</v>
      </c>
      <c r="P991" t="s">
        <v>27</v>
      </c>
      <c r="Q991" t="s">
        <v>28</v>
      </c>
      <c r="R991" t="s">
        <v>29</v>
      </c>
      <c r="S991">
        <v>2025</v>
      </c>
      <c r="T991" t="s">
        <v>2747</v>
      </c>
      <c r="U991" t="s">
        <v>2748</v>
      </c>
      <c r="V991" s="4">
        <v>0</v>
      </c>
      <c r="W991" s="4">
        <v>1</v>
      </c>
    </row>
    <row r="992" spans="1:23">
      <c r="A992" t="s">
        <v>1123</v>
      </c>
      <c r="B992" s="2">
        <v>46040</v>
      </c>
      <c r="C992" t="s">
        <v>89</v>
      </c>
      <c r="D992" t="s">
        <v>90</v>
      </c>
      <c r="E992" t="s">
        <v>31</v>
      </c>
      <c r="F992" t="s">
        <v>91</v>
      </c>
      <c r="G992" t="s">
        <v>92</v>
      </c>
      <c r="H992" t="s">
        <v>93</v>
      </c>
      <c r="I992">
        <v>3</v>
      </c>
      <c r="J992" s="3">
        <v>43908.69</v>
      </c>
      <c r="K992" s="3">
        <v>131726.07</v>
      </c>
      <c r="L992" t="s">
        <v>25</v>
      </c>
      <c r="M992" s="2">
        <v>46051</v>
      </c>
      <c r="N992" s="2">
        <v>46050</v>
      </c>
      <c r="O992" t="s">
        <v>76</v>
      </c>
      <c r="P992" t="s">
        <v>35</v>
      </c>
      <c r="Q992" t="s">
        <v>28</v>
      </c>
      <c r="R992" t="s">
        <v>29</v>
      </c>
      <c r="S992">
        <v>2026</v>
      </c>
      <c r="T992" t="s">
        <v>2757</v>
      </c>
      <c r="U992" t="s">
        <v>2758</v>
      </c>
      <c r="V992" s="4">
        <v>0</v>
      </c>
      <c r="W992" s="4">
        <v>1</v>
      </c>
    </row>
    <row r="993" spans="1:23">
      <c r="A993" t="s">
        <v>1124</v>
      </c>
      <c r="B993" s="2">
        <v>45734</v>
      </c>
      <c r="C993" t="s">
        <v>142</v>
      </c>
      <c r="D993" t="s">
        <v>143</v>
      </c>
      <c r="E993" t="s">
        <v>39</v>
      </c>
      <c r="F993" t="s">
        <v>22</v>
      </c>
      <c r="G993" t="s">
        <v>32</v>
      </c>
      <c r="H993" t="s">
        <v>33</v>
      </c>
      <c r="I993">
        <v>3</v>
      </c>
      <c r="J993" s="3">
        <v>8113.94</v>
      </c>
      <c r="K993" s="3">
        <v>24341.82</v>
      </c>
      <c r="L993" t="s">
        <v>25</v>
      </c>
      <c r="M993" s="2">
        <v>45751</v>
      </c>
      <c r="N993" s="2">
        <v>45749</v>
      </c>
      <c r="O993" t="s">
        <v>76</v>
      </c>
      <c r="P993" t="s">
        <v>44</v>
      </c>
      <c r="Q993" t="s">
        <v>28</v>
      </c>
      <c r="R993" t="s">
        <v>29</v>
      </c>
      <c r="S993">
        <v>2025</v>
      </c>
      <c r="T993" t="s">
        <v>2747</v>
      </c>
      <c r="U993" t="s">
        <v>2748</v>
      </c>
      <c r="V993" s="4">
        <v>0</v>
      </c>
      <c r="W993" s="4">
        <v>1</v>
      </c>
    </row>
    <row r="994" spans="1:23">
      <c r="A994" t="s">
        <v>1125</v>
      </c>
      <c r="B994" s="2">
        <v>46007</v>
      </c>
      <c r="C994" t="s">
        <v>131</v>
      </c>
      <c r="D994" t="s">
        <v>132</v>
      </c>
      <c r="E994" t="s">
        <v>31</v>
      </c>
      <c r="F994" t="s">
        <v>57</v>
      </c>
      <c r="G994" t="s">
        <v>58</v>
      </c>
      <c r="H994" t="s">
        <v>59</v>
      </c>
      <c r="I994">
        <v>8</v>
      </c>
      <c r="J994" s="3">
        <v>59806.77</v>
      </c>
      <c r="K994" s="3">
        <v>478454.16</v>
      </c>
      <c r="L994" t="s">
        <v>25</v>
      </c>
      <c r="M994" s="2">
        <v>46018</v>
      </c>
      <c r="N994" s="2">
        <v>46017</v>
      </c>
      <c r="O994" t="s">
        <v>43</v>
      </c>
      <c r="P994" t="s">
        <v>35</v>
      </c>
      <c r="Q994" t="s">
        <v>28</v>
      </c>
      <c r="R994" t="s">
        <v>29</v>
      </c>
      <c r="S994">
        <v>2025</v>
      </c>
      <c r="T994" t="s">
        <v>2745</v>
      </c>
      <c r="U994" t="s">
        <v>2746</v>
      </c>
      <c r="V994" s="4">
        <v>0</v>
      </c>
      <c r="W994" s="4">
        <v>1</v>
      </c>
    </row>
    <row r="995" spans="1:23">
      <c r="A995" t="s">
        <v>1126</v>
      </c>
      <c r="B995" s="2">
        <v>46008</v>
      </c>
      <c r="C995" t="s">
        <v>107</v>
      </c>
      <c r="D995" t="s">
        <v>108</v>
      </c>
      <c r="E995" t="s">
        <v>31</v>
      </c>
      <c r="F995" t="s">
        <v>91</v>
      </c>
      <c r="G995" t="s">
        <v>109</v>
      </c>
      <c r="H995" t="s">
        <v>110</v>
      </c>
      <c r="I995">
        <v>1</v>
      </c>
      <c r="J995" s="3">
        <v>14356.02</v>
      </c>
      <c r="K995" s="3">
        <v>14356.02</v>
      </c>
      <c r="L995" t="s">
        <v>52</v>
      </c>
      <c r="M995" s="2">
        <v>46022</v>
      </c>
      <c r="N995" s="2">
        <v>46020</v>
      </c>
      <c r="O995" t="s">
        <v>76</v>
      </c>
      <c r="P995" t="s">
        <v>94</v>
      </c>
      <c r="Q995" t="s">
        <v>28</v>
      </c>
      <c r="R995" t="s">
        <v>29</v>
      </c>
      <c r="S995">
        <v>2025</v>
      </c>
      <c r="T995" t="s">
        <v>2745</v>
      </c>
      <c r="U995" t="s">
        <v>2746</v>
      </c>
      <c r="V995" s="4">
        <v>0</v>
      </c>
      <c r="W995" s="4">
        <v>1</v>
      </c>
    </row>
    <row r="996" spans="1:23">
      <c r="A996" t="s">
        <v>1127</v>
      </c>
      <c r="B996" s="2">
        <v>45853</v>
      </c>
      <c r="C996" t="s">
        <v>104</v>
      </c>
      <c r="D996" t="s">
        <v>105</v>
      </c>
      <c r="E996" t="s">
        <v>21</v>
      </c>
      <c r="F996" t="s">
        <v>49</v>
      </c>
      <c r="G996" t="s">
        <v>68</v>
      </c>
      <c r="H996" t="s">
        <v>69</v>
      </c>
      <c r="I996">
        <v>1</v>
      </c>
      <c r="J996" s="3">
        <v>48662.33</v>
      </c>
      <c r="K996" s="3">
        <v>48662.33</v>
      </c>
      <c r="L996" t="s">
        <v>34</v>
      </c>
      <c r="M996" s="2">
        <v>45870</v>
      </c>
      <c r="N996" s="2">
        <v>45869</v>
      </c>
      <c r="O996" t="s">
        <v>76</v>
      </c>
      <c r="P996" t="s">
        <v>27</v>
      </c>
      <c r="Q996" t="s">
        <v>28</v>
      </c>
      <c r="R996" t="s">
        <v>29</v>
      </c>
      <c r="S996">
        <v>2025</v>
      </c>
      <c r="T996" t="s">
        <v>2759</v>
      </c>
      <c r="U996" t="s">
        <v>2760</v>
      </c>
      <c r="V996" s="4">
        <v>0</v>
      </c>
      <c r="W996" s="4">
        <v>1</v>
      </c>
    </row>
    <row r="997" spans="1:23">
      <c r="A997" t="s">
        <v>1128</v>
      </c>
      <c r="B997" s="2">
        <v>45986</v>
      </c>
      <c r="C997" t="s">
        <v>117</v>
      </c>
      <c r="D997" t="s">
        <v>118</v>
      </c>
      <c r="E997" t="s">
        <v>73</v>
      </c>
      <c r="F997" t="s">
        <v>57</v>
      </c>
      <c r="G997" t="s">
        <v>86</v>
      </c>
      <c r="H997" t="s">
        <v>87</v>
      </c>
      <c r="I997">
        <v>5</v>
      </c>
      <c r="J997" s="3">
        <v>11250.91</v>
      </c>
      <c r="K997" s="3">
        <v>56254.55</v>
      </c>
      <c r="L997" t="s">
        <v>25</v>
      </c>
      <c r="M997" s="2">
        <v>46001</v>
      </c>
      <c r="N997" s="2">
        <v>45999</v>
      </c>
      <c r="O997" t="s">
        <v>60</v>
      </c>
      <c r="P997" t="s">
        <v>77</v>
      </c>
      <c r="Q997" t="s">
        <v>28</v>
      </c>
      <c r="R997" t="s">
        <v>29</v>
      </c>
      <c r="S997">
        <v>2025</v>
      </c>
      <c r="T997" t="s">
        <v>2763</v>
      </c>
      <c r="U997" t="s">
        <v>2764</v>
      </c>
      <c r="V997" s="4">
        <v>0</v>
      </c>
      <c r="W997" s="4">
        <v>1</v>
      </c>
    </row>
    <row r="998" spans="1:23">
      <c r="A998" t="s">
        <v>1129</v>
      </c>
      <c r="B998" s="2">
        <v>45909</v>
      </c>
      <c r="C998" t="s">
        <v>104</v>
      </c>
      <c r="D998" t="s">
        <v>105</v>
      </c>
      <c r="E998" t="s">
        <v>48</v>
      </c>
      <c r="F998" t="s">
        <v>49</v>
      </c>
      <c r="G998" t="s">
        <v>165</v>
      </c>
      <c r="H998" t="s">
        <v>166</v>
      </c>
      <c r="I998">
        <v>1</v>
      </c>
      <c r="J998" s="3">
        <v>45654.23</v>
      </c>
      <c r="K998" s="3">
        <v>45654.23</v>
      </c>
      <c r="L998" t="s">
        <v>25</v>
      </c>
      <c r="M998" s="2">
        <v>45915</v>
      </c>
      <c r="N998" s="2">
        <v>45912</v>
      </c>
      <c r="O998" t="s">
        <v>26</v>
      </c>
      <c r="P998" t="s">
        <v>53</v>
      </c>
      <c r="Q998" t="s">
        <v>28</v>
      </c>
      <c r="R998" t="s">
        <v>29</v>
      </c>
      <c r="S998">
        <v>2025</v>
      </c>
      <c r="T998" t="s">
        <v>2753</v>
      </c>
      <c r="U998" t="s">
        <v>2754</v>
      </c>
      <c r="V998" s="4">
        <v>0</v>
      </c>
      <c r="W998" s="4">
        <v>1</v>
      </c>
    </row>
    <row r="999" spans="1:23">
      <c r="A999" t="s">
        <v>1130</v>
      </c>
      <c r="B999" s="2">
        <v>46164</v>
      </c>
      <c r="C999" t="s">
        <v>46</v>
      </c>
      <c r="D999" t="s">
        <v>47</v>
      </c>
      <c r="E999" t="s">
        <v>112</v>
      </c>
      <c r="F999" t="s">
        <v>49</v>
      </c>
      <c r="G999" t="s">
        <v>165</v>
      </c>
      <c r="H999" t="s">
        <v>166</v>
      </c>
      <c r="I999">
        <v>1</v>
      </c>
      <c r="J999" s="3">
        <v>47597.18</v>
      </c>
      <c r="K999" s="3">
        <v>47597.18</v>
      </c>
      <c r="L999" t="s">
        <v>34</v>
      </c>
      <c r="M999" s="2">
        <v>46169</v>
      </c>
      <c r="N999" s="2">
        <v>46166</v>
      </c>
      <c r="O999" t="s">
        <v>60</v>
      </c>
      <c r="P999" t="s">
        <v>115</v>
      </c>
      <c r="Q999" t="s">
        <v>28</v>
      </c>
      <c r="R999" t="s">
        <v>29</v>
      </c>
      <c r="S999">
        <v>2026</v>
      </c>
      <c r="T999" t="s">
        <v>2766</v>
      </c>
      <c r="U999" t="s">
        <v>2769</v>
      </c>
      <c r="V999" s="4">
        <v>0</v>
      </c>
      <c r="W999" s="4">
        <v>1</v>
      </c>
    </row>
    <row r="1000" spans="1:23">
      <c r="A1000" t="s">
        <v>1131</v>
      </c>
      <c r="B1000" s="2">
        <v>46054</v>
      </c>
      <c r="C1000" t="s">
        <v>19</v>
      </c>
      <c r="D1000" t="s">
        <v>20</v>
      </c>
      <c r="E1000" t="s">
        <v>39</v>
      </c>
      <c r="F1000" t="s">
        <v>22</v>
      </c>
      <c r="G1000" t="s">
        <v>160</v>
      </c>
      <c r="H1000" t="s">
        <v>161</v>
      </c>
      <c r="I1000">
        <v>1</v>
      </c>
      <c r="J1000" s="3">
        <v>3074.44</v>
      </c>
      <c r="K1000" s="3">
        <v>3074.44</v>
      </c>
      <c r="L1000" t="s">
        <v>25</v>
      </c>
      <c r="M1000" s="2">
        <v>46072</v>
      </c>
      <c r="N1000" s="2">
        <v>46075</v>
      </c>
      <c r="O1000" t="s">
        <v>76</v>
      </c>
      <c r="P1000" t="s">
        <v>64</v>
      </c>
      <c r="Q1000" t="s">
        <v>28</v>
      </c>
      <c r="R1000" t="s">
        <v>129</v>
      </c>
      <c r="S1000">
        <v>2026</v>
      </c>
      <c r="T1000" t="s">
        <v>2751</v>
      </c>
      <c r="U1000" t="s">
        <v>2765</v>
      </c>
      <c r="V1000" s="4">
        <v>3</v>
      </c>
      <c r="W1000" s="4">
        <v>0</v>
      </c>
    </row>
    <row r="1001" spans="1:23">
      <c r="A1001" t="s">
        <v>1132</v>
      </c>
      <c r="B1001" s="2">
        <v>46091</v>
      </c>
      <c r="C1001" t="s">
        <v>104</v>
      </c>
      <c r="D1001" t="s">
        <v>105</v>
      </c>
      <c r="E1001" t="s">
        <v>112</v>
      </c>
      <c r="F1001" t="s">
        <v>49</v>
      </c>
      <c r="G1001" t="s">
        <v>113</v>
      </c>
      <c r="H1001" t="s">
        <v>114</v>
      </c>
      <c r="I1001">
        <v>3</v>
      </c>
      <c r="J1001" s="3">
        <v>37634.61</v>
      </c>
      <c r="K1001" s="3">
        <v>112903.83</v>
      </c>
      <c r="L1001" t="s">
        <v>25</v>
      </c>
      <c r="M1001" s="2">
        <v>46107</v>
      </c>
      <c r="N1001" s="2">
        <v>46104</v>
      </c>
      <c r="O1001" t="s">
        <v>26</v>
      </c>
      <c r="P1001" t="s">
        <v>115</v>
      </c>
      <c r="Q1001" t="s">
        <v>28</v>
      </c>
      <c r="R1001" t="s">
        <v>29</v>
      </c>
      <c r="S1001">
        <v>2026</v>
      </c>
      <c r="T1001" t="s">
        <v>2747</v>
      </c>
      <c r="U1001" t="s">
        <v>2755</v>
      </c>
      <c r="V1001" s="4">
        <v>0</v>
      </c>
      <c r="W1001" s="4">
        <v>1</v>
      </c>
    </row>
    <row r="1002" spans="1:23">
      <c r="A1002" t="s">
        <v>1133</v>
      </c>
      <c r="B1002" s="2">
        <v>45813</v>
      </c>
      <c r="C1002" t="s">
        <v>107</v>
      </c>
      <c r="D1002" t="s">
        <v>108</v>
      </c>
      <c r="E1002" t="s">
        <v>31</v>
      </c>
      <c r="F1002" t="s">
        <v>91</v>
      </c>
      <c r="G1002" t="s">
        <v>92</v>
      </c>
      <c r="H1002" t="s">
        <v>93</v>
      </c>
      <c r="I1002">
        <v>1</v>
      </c>
      <c r="J1002" s="3">
        <v>47782.85</v>
      </c>
      <c r="K1002" s="3">
        <v>47782.85</v>
      </c>
      <c r="L1002" t="s">
        <v>25</v>
      </c>
      <c r="M1002" s="2">
        <v>45826</v>
      </c>
      <c r="N1002" s="2">
        <v>45825</v>
      </c>
      <c r="O1002" t="s">
        <v>76</v>
      </c>
      <c r="P1002" t="s">
        <v>35</v>
      </c>
      <c r="Q1002" t="s">
        <v>28</v>
      </c>
      <c r="R1002" t="s">
        <v>29</v>
      </c>
      <c r="S1002">
        <v>2025</v>
      </c>
      <c r="T1002" t="s">
        <v>2743</v>
      </c>
      <c r="U1002" t="s">
        <v>2756</v>
      </c>
      <c r="V1002" s="4">
        <v>0</v>
      </c>
      <c r="W1002" s="4">
        <v>1</v>
      </c>
    </row>
    <row r="1003" spans="1:23">
      <c r="A1003" t="s">
        <v>1134</v>
      </c>
      <c r="B1003" s="2">
        <v>45785</v>
      </c>
      <c r="C1003" t="s">
        <v>71</v>
      </c>
      <c r="D1003" t="s">
        <v>72</v>
      </c>
      <c r="E1003" t="s">
        <v>48</v>
      </c>
      <c r="F1003" t="s">
        <v>57</v>
      </c>
      <c r="G1003" t="s">
        <v>86</v>
      </c>
      <c r="H1003" t="s">
        <v>87</v>
      </c>
      <c r="I1003">
        <v>3</v>
      </c>
      <c r="J1003" s="3">
        <v>9936.26</v>
      </c>
      <c r="K1003" s="3">
        <v>29808.78</v>
      </c>
      <c r="L1003" t="s">
        <v>25</v>
      </c>
      <c r="M1003" s="2">
        <v>45793</v>
      </c>
      <c r="N1003" s="2">
        <v>45793</v>
      </c>
      <c r="O1003" t="s">
        <v>76</v>
      </c>
      <c r="P1003" t="s">
        <v>53</v>
      </c>
      <c r="Q1003" t="s">
        <v>28</v>
      </c>
      <c r="R1003" t="s">
        <v>29</v>
      </c>
      <c r="S1003">
        <v>2025</v>
      </c>
      <c r="T1003" t="s">
        <v>2766</v>
      </c>
      <c r="U1003" t="s">
        <v>2767</v>
      </c>
      <c r="V1003" s="4">
        <v>0</v>
      </c>
      <c r="W1003" s="4">
        <v>1</v>
      </c>
    </row>
    <row r="1004" spans="1:23">
      <c r="A1004" t="s">
        <v>1135</v>
      </c>
      <c r="B1004" s="2">
        <v>46053</v>
      </c>
      <c r="C1004" t="s">
        <v>19</v>
      </c>
      <c r="D1004" t="s">
        <v>20</v>
      </c>
      <c r="E1004" t="s">
        <v>39</v>
      </c>
      <c r="F1004" t="s">
        <v>22</v>
      </c>
      <c r="G1004" t="s">
        <v>160</v>
      </c>
      <c r="H1004" t="s">
        <v>161</v>
      </c>
      <c r="I1004">
        <v>12</v>
      </c>
      <c r="J1004" s="3">
        <v>2928.99</v>
      </c>
      <c r="K1004" s="3">
        <v>35147.879999999997</v>
      </c>
      <c r="L1004" t="s">
        <v>25</v>
      </c>
      <c r="M1004" s="2">
        <v>46064</v>
      </c>
      <c r="N1004" s="2">
        <v>46061</v>
      </c>
      <c r="O1004" t="s">
        <v>76</v>
      </c>
      <c r="P1004" t="s">
        <v>64</v>
      </c>
      <c r="Q1004" t="s">
        <v>28</v>
      </c>
      <c r="R1004" t="s">
        <v>29</v>
      </c>
      <c r="S1004">
        <v>2026</v>
      </c>
      <c r="T1004" t="s">
        <v>2757</v>
      </c>
      <c r="U1004" t="s">
        <v>2758</v>
      </c>
      <c r="V1004" s="4">
        <v>0</v>
      </c>
      <c r="W1004" s="4">
        <v>1</v>
      </c>
    </row>
    <row r="1005" spans="1:23">
      <c r="A1005" t="s">
        <v>1136</v>
      </c>
      <c r="B1005" s="2">
        <v>46161</v>
      </c>
      <c r="C1005" t="s">
        <v>37</v>
      </c>
      <c r="D1005" t="s">
        <v>38</v>
      </c>
      <c r="E1005" t="s">
        <v>112</v>
      </c>
      <c r="F1005" t="s">
        <v>40</v>
      </c>
      <c r="G1005" t="s">
        <v>136</v>
      </c>
      <c r="H1005" t="s">
        <v>137</v>
      </c>
      <c r="I1005">
        <v>29</v>
      </c>
      <c r="J1005" s="3">
        <v>1775.53</v>
      </c>
      <c r="K1005" s="3">
        <v>51490.37</v>
      </c>
      <c r="L1005" t="s">
        <v>25</v>
      </c>
      <c r="M1005" s="2">
        <v>46179</v>
      </c>
      <c r="N1005" s="2">
        <v>46178</v>
      </c>
      <c r="O1005" t="s">
        <v>43</v>
      </c>
      <c r="P1005" t="s">
        <v>115</v>
      </c>
      <c r="Q1005" t="s">
        <v>28</v>
      </c>
      <c r="R1005" t="s">
        <v>29</v>
      </c>
      <c r="S1005">
        <v>2026</v>
      </c>
      <c r="T1005" t="s">
        <v>2766</v>
      </c>
      <c r="U1005" t="s">
        <v>2769</v>
      </c>
      <c r="V1005" s="4">
        <v>0</v>
      </c>
      <c r="W1005" s="4">
        <v>1</v>
      </c>
    </row>
    <row r="1006" spans="1:23">
      <c r="A1006" t="s">
        <v>1137</v>
      </c>
      <c r="B1006" s="2">
        <v>45870</v>
      </c>
      <c r="C1006" t="s">
        <v>46</v>
      </c>
      <c r="D1006" t="s">
        <v>47</v>
      </c>
      <c r="E1006" t="s">
        <v>21</v>
      </c>
      <c r="F1006" t="s">
        <v>49</v>
      </c>
      <c r="G1006" t="s">
        <v>50</v>
      </c>
      <c r="H1006" t="s">
        <v>51</v>
      </c>
      <c r="I1006">
        <v>2</v>
      </c>
      <c r="J1006" s="3">
        <v>57372.24</v>
      </c>
      <c r="K1006" s="3">
        <v>114744.48</v>
      </c>
      <c r="L1006" t="s">
        <v>34</v>
      </c>
      <c r="M1006" s="2">
        <v>45884</v>
      </c>
      <c r="N1006" s="2">
        <v>45884</v>
      </c>
      <c r="O1006" t="s">
        <v>26</v>
      </c>
      <c r="P1006" t="s">
        <v>27</v>
      </c>
      <c r="Q1006" t="s">
        <v>28</v>
      </c>
      <c r="R1006" t="s">
        <v>29</v>
      </c>
      <c r="S1006">
        <v>2025</v>
      </c>
      <c r="T1006" t="s">
        <v>2761</v>
      </c>
      <c r="U1006" t="s">
        <v>2762</v>
      </c>
      <c r="V1006" s="4">
        <v>0</v>
      </c>
      <c r="W1006" s="4">
        <v>1</v>
      </c>
    </row>
    <row r="1007" spans="1:23">
      <c r="A1007" t="s">
        <v>1138</v>
      </c>
      <c r="B1007" s="2">
        <v>45680</v>
      </c>
      <c r="C1007" t="s">
        <v>104</v>
      </c>
      <c r="D1007" t="s">
        <v>105</v>
      </c>
      <c r="E1007" t="s">
        <v>21</v>
      </c>
      <c r="F1007" t="s">
        <v>49</v>
      </c>
      <c r="G1007" t="s">
        <v>113</v>
      </c>
      <c r="H1007" t="s">
        <v>114</v>
      </c>
      <c r="I1007">
        <v>2</v>
      </c>
      <c r="J1007" s="3">
        <v>38956.69</v>
      </c>
      <c r="K1007" s="3">
        <v>77913.38</v>
      </c>
      <c r="L1007" t="s">
        <v>25</v>
      </c>
      <c r="M1007" s="2">
        <v>45686</v>
      </c>
      <c r="N1007" s="2">
        <v>45684</v>
      </c>
      <c r="O1007" t="s">
        <v>76</v>
      </c>
      <c r="P1007" t="s">
        <v>27</v>
      </c>
      <c r="Q1007" t="s">
        <v>28</v>
      </c>
      <c r="R1007" t="s">
        <v>29</v>
      </c>
      <c r="S1007">
        <v>2025</v>
      </c>
      <c r="T1007" t="s">
        <v>2757</v>
      </c>
      <c r="U1007" t="s">
        <v>2768</v>
      </c>
      <c r="V1007" s="4">
        <v>0</v>
      </c>
      <c r="W1007" s="4">
        <v>1</v>
      </c>
    </row>
    <row r="1008" spans="1:23">
      <c r="A1008" t="s">
        <v>1139</v>
      </c>
      <c r="B1008" s="2">
        <v>46148</v>
      </c>
      <c r="C1008" t="s">
        <v>80</v>
      </c>
      <c r="D1008" t="s">
        <v>81</v>
      </c>
      <c r="E1008" t="s">
        <v>39</v>
      </c>
      <c r="F1008" t="s">
        <v>82</v>
      </c>
      <c r="G1008" t="s">
        <v>197</v>
      </c>
      <c r="H1008" t="s">
        <v>198</v>
      </c>
      <c r="I1008">
        <v>17</v>
      </c>
      <c r="J1008" s="3">
        <v>2010.53</v>
      </c>
      <c r="K1008" s="3">
        <v>34179.01</v>
      </c>
      <c r="L1008" t="s">
        <v>25</v>
      </c>
      <c r="M1008" s="2">
        <v>46166</v>
      </c>
      <c r="N1008" s="2">
        <v>46174</v>
      </c>
      <c r="O1008" t="s">
        <v>26</v>
      </c>
      <c r="P1008" t="s">
        <v>64</v>
      </c>
      <c r="Q1008" t="s">
        <v>28</v>
      </c>
      <c r="R1008" t="s">
        <v>129</v>
      </c>
      <c r="S1008">
        <v>2026</v>
      </c>
      <c r="T1008" t="s">
        <v>2766</v>
      </c>
      <c r="U1008" t="s">
        <v>2769</v>
      </c>
      <c r="V1008" s="4">
        <v>8</v>
      </c>
      <c r="W1008" s="4">
        <v>0</v>
      </c>
    </row>
    <row r="1009" spans="1:23">
      <c r="A1009" t="s">
        <v>1140</v>
      </c>
      <c r="B1009" s="2">
        <v>45820</v>
      </c>
      <c r="C1009" t="s">
        <v>117</v>
      </c>
      <c r="D1009" t="s">
        <v>118</v>
      </c>
      <c r="E1009" t="s">
        <v>48</v>
      </c>
      <c r="F1009" t="s">
        <v>57</v>
      </c>
      <c r="G1009" t="s">
        <v>58</v>
      </c>
      <c r="H1009" t="s">
        <v>59</v>
      </c>
      <c r="I1009">
        <v>8</v>
      </c>
      <c r="J1009" s="3">
        <v>59845.69</v>
      </c>
      <c r="K1009" s="3">
        <v>478765.52</v>
      </c>
      <c r="L1009" t="s">
        <v>25</v>
      </c>
      <c r="M1009" s="2">
        <v>45827</v>
      </c>
      <c r="N1009" s="2">
        <v>45824</v>
      </c>
      <c r="O1009" t="s">
        <v>26</v>
      </c>
      <c r="P1009" t="s">
        <v>53</v>
      </c>
      <c r="Q1009" t="s">
        <v>28</v>
      </c>
      <c r="R1009" t="s">
        <v>29</v>
      </c>
      <c r="S1009">
        <v>2025</v>
      </c>
      <c r="T1009" t="s">
        <v>2743</v>
      </c>
      <c r="U1009" t="s">
        <v>2756</v>
      </c>
      <c r="V1009" s="4">
        <v>0</v>
      </c>
      <c r="W1009" s="4">
        <v>1</v>
      </c>
    </row>
    <row r="1010" spans="1:23">
      <c r="A1010" t="s">
        <v>1141</v>
      </c>
      <c r="B1010" s="2">
        <v>46077</v>
      </c>
      <c r="C1010" t="s">
        <v>107</v>
      </c>
      <c r="D1010" t="s">
        <v>108</v>
      </c>
      <c r="E1010" t="s">
        <v>31</v>
      </c>
      <c r="F1010" t="s">
        <v>91</v>
      </c>
      <c r="G1010" t="s">
        <v>92</v>
      </c>
      <c r="H1010" t="s">
        <v>93</v>
      </c>
      <c r="I1010">
        <v>1</v>
      </c>
      <c r="J1010" s="3">
        <v>46732.91</v>
      </c>
      <c r="K1010" s="3">
        <v>46732.91</v>
      </c>
      <c r="L1010" t="s">
        <v>52</v>
      </c>
      <c r="M1010" s="2">
        <v>46086</v>
      </c>
      <c r="N1010" s="2">
        <v>46083</v>
      </c>
      <c r="O1010" t="s">
        <v>26</v>
      </c>
      <c r="P1010" t="s">
        <v>94</v>
      </c>
      <c r="Q1010" t="s">
        <v>28</v>
      </c>
      <c r="R1010" t="s">
        <v>29</v>
      </c>
      <c r="S1010">
        <v>2026</v>
      </c>
      <c r="T1010" t="s">
        <v>2751</v>
      </c>
      <c r="U1010" t="s">
        <v>2765</v>
      </c>
      <c r="V1010" s="4">
        <v>0</v>
      </c>
      <c r="W1010" s="4">
        <v>1</v>
      </c>
    </row>
    <row r="1011" spans="1:23">
      <c r="A1011" t="s">
        <v>1142</v>
      </c>
      <c r="B1011" s="2">
        <v>45858</v>
      </c>
      <c r="C1011" t="s">
        <v>37</v>
      </c>
      <c r="D1011" t="s">
        <v>38</v>
      </c>
      <c r="E1011" t="s">
        <v>39</v>
      </c>
      <c r="F1011" t="s">
        <v>22</v>
      </c>
      <c r="G1011" t="s">
        <v>160</v>
      </c>
      <c r="H1011" t="s">
        <v>161</v>
      </c>
      <c r="I1011">
        <v>2</v>
      </c>
      <c r="J1011" s="3">
        <v>3289.9</v>
      </c>
      <c r="K1011" s="3">
        <v>6579.8</v>
      </c>
      <c r="L1011" t="s">
        <v>34</v>
      </c>
      <c r="M1011" s="2">
        <v>45875</v>
      </c>
      <c r="N1011" s="2">
        <v>45873</v>
      </c>
      <c r="O1011" t="s">
        <v>26</v>
      </c>
      <c r="P1011" t="s">
        <v>64</v>
      </c>
      <c r="Q1011" t="s">
        <v>28</v>
      </c>
      <c r="R1011" t="s">
        <v>29</v>
      </c>
      <c r="S1011">
        <v>2025</v>
      </c>
      <c r="T1011" t="s">
        <v>2759</v>
      </c>
      <c r="U1011" t="s">
        <v>2760</v>
      </c>
      <c r="V1011" s="4">
        <v>0</v>
      </c>
      <c r="W1011" s="4">
        <v>1</v>
      </c>
    </row>
    <row r="1012" spans="1:23">
      <c r="A1012" t="s">
        <v>1143</v>
      </c>
      <c r="B1012" s="2">
        <v>45936</v>
      </c>
      <c r="C1012" t="s">
        <v>96</v>
      </c>
      <c r="D1012" t="s">
        <v>97</v>
      </c>
      <c r="E1012" t="s">
        <v>39</v>
      </c>
      <c r="F1012" t="s">
        <v>82</v>
      </c>
      <c r="G1012" t="s">
        <v>83</v>
      </c>
      <c r="H1012" t="s">
        <v>84</v>
      </c>
      <c r="I1012">
        <v>35</v>
      </c>
      <c r="J1012" s="3">
        <v>709.04</v>
      </c>
      <c r="K1012" s="3">
        <v>24816.400000000001</v>
      </c>
      <c r="L1012" t="s">
        <v>52</v>
      </c>
      <c r="M1012" s="2">
        <v>45943</v>
      </c>
      <c r="N1012" s="2">
        <v>45942</v>
      </c>
      <c r="O1012" t="s">
        <v>76</v>
      </c>
      <c r="P1012" t="s">
        <v>44</v>
      </c>
      <c r="Q1012" t="s">
        <v>28</v>
      </c>
      <c r="R1012" t="s">
        <v>29</v>
      </c>
      <c r="S1012">
        <v>2025</v>
      </c>
      <c r="T1012" t="s">
        <v>2749</v>
      </c>
      <c r="U1012" t="s">
        <v>2750</v>
      </c>
      <c r="V1012" s="4">
        <v>0</v>
      </c>
      <c r="W1012" s="4">
        <v>1</v>
      </c>
    </row>
    <row r="1013" spans="1:23">
      <c r="A1013" t="s">
        <v>1144</v>
      </c>
      <c r="B1013" s="2">
        <v>46131</v>
      </c>
      <c r="C1013" t="s">
        <v>142</v>
      </c>
      <c r="D1013" t="s">
        <v>143</v>
      </c>
      <c r="E1013" t="s">
        <v>39</v>
      </c>
      <c r="F1013" t="s">
        <v>22</v>
      </c>
      <c r="G1013" t="s">
        <v>32</v>
      </c>
      <c r="H1013" t="s">
        <v>33</v>
      </c>
      <c r="I1013">
        <v>13</v>
      </c>
      <c r="J1013" s="3">
        <v>7937.38</v>
      </c>
      <c r="K1013" s="3">
        <v>103185.94</v>
      </c>
      <c r="L1013" t="s">
        <v>25</v>
      </c>
      <c r="M1013" s="2">
        <v>46136</v>
      </c>
      <c r="N1013" s="2">
        <v>46144</v>
      </c>
      <c r="O1013" t="s">
        <v>76</v>
      </c>
      <c r="P1013" t="s">
        <v>44</v>
      </c>
      <c r="Q1013" t="s">
        <v>28</v>
      </c>
      <c r="R1013" t="s">
        <v>129</v>
      </c>
      <c r="S1013">
        <v>2026</v>
      </c>
      <c r="T1013" t="s">
        <v>2741</v>
      </c>
      <c r="U1013" t="s">
        <v>2770</v>
      </c>
      <c r="V1013" s="4">
        <v>8</v>
      </c>
      <c r="W1013" s="4">
        <v>0</v>
      </c>
    </row>
    <row r="1014" spans="1:23">
      <c r="A1014" t="s">
        <v>1145</v>
      </c>
      <c r="B1014" s="2">
        <v>46062</v>
      </c>
      <c r="C1014" t="s">
        <v>66</v>
      </c>
      <c r="D1014" t="s">
        <v>67</v>
      </c>
      <c r="E1014" t="s">
        <v>48</v>
      </c>
      <c r="F1014" t="s">
        <v>49</v>
      </c>
      <c r="G1014" t="s">
        <v>165</v>
      </c>
      <c r="H1014" t="s">
        <v>166</v>
      </c>
      <c r="I1014">
        <v>2</v>
      </c>
      <c r="J1014" s="3">
        <v>44172.6</v>
      </c>
      <c r="K1014" s="3">
        <v>88345.2</v>
      </c>
      <c r="L1014" t="s">
        <v>25</v>
      </c>
      <c r="M1014" s="2">
        <v>46079</v>
      </c>
      <c r="N1014" s="2">
        <v>46076</v>
      </c>
      <c r="O1014" t="s">
        <v>60</v>
      </c>
      <c r="P1014" t="s">
        <v>53</v>
      </c>
      <c r="Q1014" t="s">
        <v>28</v>
      </c>
      <c r="R1014" t="s">
        <v>29</v>
      </c>
      <c r="S1014">
        <v>2026</v>
      </c>
      <c r="T1014" t="s">
        <v>2751</v>
      </c>
      <c r="U1014" t="s">
        <v>2765</v>
      </c>
      <c r="V1014" s="4">
        <v>0</v>
      </c>
      <c r="W1014" s="4">
        <v>1</v>
      </c>
    </row>
    <row r="1015" spans="1:23">
      <c r="A1015" t="s">
        <v>1146</v>
      </c>
      <c r="B1015" s="2">
        <v>45695</v>
      </c>
      <c r="C1015" t="s">
        <v>117</v>
      </c>
      <c r="D1015" t="s">
        <v>118</v>
      </c>
      <c r="E1015" t="s">
        <v>31</v>
      </c>
      <c r="F1015" t="s">
        <v>57</v>
      </c>
      <c r="G1015" t="s">
        <v>58</v>
      </c>
      <c r="H1015" t="s">
        <v>59</v>
      </c>
      <c r="I1015">
        <v>7</v>
      </c>
      <c r="J1015" s="3">
        <v>59702.02</v>
      </c>
      <c r="K1015" s="3">
        <v>417914.14</v>
      </c>
      <c r="L1015" t="s">
        <v>25</v>
      </c>
      <c r="M1015" s="2">
        <v>45706</v>
      </c>
      <c r="N1015" s="2">
        <v>45706</v>
      </c>
      <c r="O1015" t="s">
        <v>26</v>
      </c>
      <c r="P1015" t="s">
        <v>94</v>
      </c>
      <c r="Q1015" t="s">
        <v>28</v>
      </c>
      <c r="R1015" t="s">
        <v>29</v>
      </c>
      <c r="S1015">
        <v>2025</v>
      </c>
      <c r="T1015" t="s">
        <v>2751</v>
      </c>
      <c r="U1015" t="s">
        <v>2752</v>
      </c>
      <c r="V1015" s="4">
        <v>0</v>
      </c>
      <c r="W1015" s="4">
        <v>1</v>
      </c>
    </row>
    <row r="1016" spans="1:23">
      <c r="A1016" t="s">
        <v>1147</v>
      </c>
      <c r="B1016" s="2">
        <v>45878</v>
      </c>
      <c r="C1016" t="s">
        <v>107</v>
      </c>
      <c r="D1016" t="s">
        <v>108</v>
      </c>
      <c r="E1016" t="s">
        <v>31</v>
      </c>
      <c r="F1016" t="s">
        <v>91</v>
      </c>
      <c r="G1016" t="s">
        <v>109</v>
      </c>
      <c r="H1016" t="s">
        <v>110</v>
      </c>
      <c r="I1016">
        <v>1</v>
      </c>
      <c r="J1016" s="3">
        <v>14178.27</v>
      </c>
      <c r="K1016" s="3">
        <v>14178.27</v>
      </c>
      <c r="L1016" t="s">
        <v>25</v>
      </c>
      <c r="M1016" s="2">
        <v>45893</v>
      </c>
      <c r="N1016" s="2">
        <v>45890</v>
      </c>
      <c r="O1016" t="s">
        <v>43</v>
      </c>
      <c r="P1016" t="s">
        <v>94</v>
      </c>
      <c r="Q1016" t="s">
        <v>28</v>
      </c>
      <c r="R1016" t="s">
        <v>29</v>
      </c>
      <c r="S1016">
        <v>2025</v>
      </c>
      <c r="T1016" t="s">
        <v>2761</v>
      </c>
      <c r="U1016" t="s">
        <v>2762</v>
      </c>
      <c r="V1016" s="4">
        <v>0</v>
      </c>
      <c r="W1016" s="4">
        <v>1</v>
      </c>
    </row>
    <row r="1017" spans="1:23">
      <c r="A1017" t="s">
        <v>1148</v>
      </c>
      <c r="B1017" s="2">
        <v>46107</v>
      </c>
      <c r="C1017" t="s">
        <v>71</v>
      </c>
      <c r="D1017" t="s">
        <v>72</v>
      </c>
      <c r="E1017" t="s">
        <v>73</v>
      </c>
      <c r="F1017" t="s">
        <v>57</v>
      </c>
      <c r="G1017" t="s">
        <v>74</v>
      </c>
      <c r="H1017" t="s">
        <v>75</v>
      </c>
      <c r="I1017">
        <v>3</v>
      </c>
      <c r="J1017" s="3">
        <v>7924.24</v>
      </c>
      <c r="K1017" s="3">
        <v>23772.720000000001</v>
      </c>
      <c r="L1017" t="s">
        <v>52</v>
      </c>
      <c r="M1017" s="2">
        <v>46118</v>
      </c>
      <c r="N1017" s="2">
        <v>46117</v>
      </c>
      <c r="O1017" t="s">
        <v>43</v>
      </c>
      <c r="P1017" t="s">
        <v>77</v>
      </c>
      <c r="Q1017" t="s">
        <v>28</v>
      </c>
      <c r="R1017" t="s">
        <v>29</v>
      </c>
      <c r="S1017">
        <v>2026</v>
      </c>
      <c r="T1017" t="s">
        <v>2747</v>
      </c>
      <c r="U1017" t="s">
        <v>2755</v>
      </c>
      <c r="V1017" s="4">
        <v>0</v>
      </c>
      <c r="W1017" s="4">
        <v>1</v>
      </c>
    </row>
    <row r="1018" spans="1:23">
      <c r="A1018" t="s">
        <v>1149</v>
      </c>
      <c r="B1018" s="2">
        <v>46041</v>
      </c>
      <c r="C1018" t="s">
        <v>104</v>
      </c>
      <c r="D1018" t="s">
        <v>105</v>
      </c>
      <c r="E1018" t="s">
        <v>73</v>
      </c>
      <c r="F1018" t="s">
        <v>49</v>
      </c>
      <c r="G1018" t="s">
        <v>68</v>
      </c>
      <c r="H1018" t="s">
        <v>69</v>
      </c>
      <c r="I1018">
        <v>3</v>
      </c>
      <c r="J1018" s="3">
        <v>47349.87</v>
      </c>
      <c r="K1018" s="3">
        <v>142049.60999999999</v>
      </c>
      <c r="L1018" t="s">
        <v>25</v>
      </c>
      <c r="M1018" s="2">
        <v>46054</v>
      </c>
      <c r="N1018" s="2">
        <v>46051</v>
      </c>
      <c r="O1018" t="s">
        <v>76</v>
      </c>
      <c r="P1018" t="s">
        <v>77</v>
      </c>
      <c r="Q1018" t="s">
        <v>28</v>
      </c>
      <c r="R1018" t="s">
        <v>29</v>
      </c>
      <c r="S1018">
        <v>2026</v>
      </c>
      <c r="T1018" t="s">
        <v>2757</v>
      </c>
      <c r="U1018" t="s">
        <v>2758</v>
      </c>
      <c r="V1018" s="4">
        <v>0</v>
      </c>
      <c r="W1018" s="4">
        <v>1</v>
      </c>
    </row>
    <row r="1019" spans="1:23">
      <c r="A1019" t="s">
        <v>1150</v>
      </c>
      <c r="B1019" s="2">
        <v>45827</v>
      </c>
      <c r="C1019" t="s">
        <v>80</v>
      </c>
      <c r="D1019" t="s">
        <v>81</v>
      </c>
      <c r="E1019" t="s">
        <v>39</v>
      </c>
      <c r="F1019" t="s">
        <v>82</v>
      </c>
      <c r="G1019" t="s">
        <v>197</v>
      </c>
      <c r="H1019" t="s">
        <v>198</v>
      </c>
      <c r="I1019">
        <v>37</v>
      </c>
      <c r="J1019" s="3">
        <v>1925.95</v>
      </c>
      <c r="K1019" s="3">
        <v>71260.149999999994</v>
      </c>
      <c r="L1019" t="s">
        <v>25</v>
      </c>
      <c r="M1019" s="2">
        <v>45835</v>
      </c>
      <c r="N1019" s="2">
        <v>45833</v>
      </c>
      <c r="O1019" t="s">
        <v>60</v>
      </c>
      <c r="P1019" t="s">
        <v>44</v>
      </c>
      <c r="Q1019" t="s">
        <v>28</v>
      </c>
      <c r="R1019" t="s">
        <v>29</v>
      </c>
      <c r="S1019">
        <v>2025</v>
      </c>
      <c r="T1019" t="s">
        <v>2743</v>
      </c>
      <c r="U1019" t="s">
        <v>2756</v>
      </c>
      <c r="V1019" s="4">
        <v>0</v>
      </c>
      <c r="W1019" s="4">
        <v>1</v>
      </c>
    </row>
    <row r="1020" spans="1:23">
      <c r="A1020" t="s">
        <v>1151</v>
      </c>
      <c r="B1020" s="2">
        <v>46129</v>
      </c>
      <c r="C1020" t="s">
        <v>66</v>
      </c>
      <c r="D1020" t="s">
        <v>67</v>
      </c>
      <c r="E1020" t="s">
        <v>21</v>
      </c>
      <c r="F1020" t="s">
        <v>49</v>
      </c>
      <c r="G1020" t="s">
        <v>113</v>
      </c>
      <c r="H1020" t="s">
        <v>114</v>
      </c>
      <c r="I1020">
        <v>2</v>
      </c>
      <c r="J1020" s="3">
        <v>37328.339999999997</v>
      </c>
      <c r="K1020" s="3">
        <v>74656.679999999993</v>
      </c>
      <c r="L1020" t="s">
        <v>34</v>
      </c>
      <c r="M1020" s="2">
        <v>46146</v>
      </c>
      <c r="N1020" s="2">
        <v>46146</v>
      </c>
      <c r="O1020" t="s">
        <v>43</v>
      </c>
      <c r="P1020" t="s">
        <v>27</v>
      </c>
      <c r="Q1020" t="s">
        <v>28</v>
      </c>
      <c r="R1020" t="s">
        <v>29</v>
      </c>
      <c r="S1020">
        <v>2026</v>
      </c>
      <c r="T1020" t="s">
        <v>2741</v>
      </c>
      <c r="U1020" t="s">
        <v>2770</v>
      </c>
      <c r="V1020" s="4">
        <v>0</v>
      </c>
      <c r="W1020" s="4">
        <v>1</v>
      </c>
    </row>
    <row r="1021" spans="1:23">
      <c r="A1021" t="s">
        <v>1152</v>
      </c>
      <c r="B1021" s="2">
        <v>46044</v>
      </c>
      <c r="C1021" t="s">
        <v>104</v>
      </c>
      <c r="D1021" t="s">
        <v>105</v>
      </c>
      <c r="E1021" t="s">
        <v>48</v>
      </c>
      <c r="F1021" t="s">
        <v>49</v>
      </c>
      <c r="G1021" t="s">
        <v>50</v>
      </c>
      <c r="H1021" t="s">
        <v>51</v>
      </c>
      <c r="I1021">
        <v>1</v>
      </c>
      <c r="J1021" s="3">
        <v>54202.18</v>
      </c>
      <c r="K1021" s="3">
        <v>54202.18</v>
      </c>
      <c r="L1021" t="s">
        <v>25</v>
      </c>
      <c r="M1021" s="2">
        <v>46058</v>
      </c>
      <c r="N1021" s="2">
        <v>46055</v>
      </c>
      <c r="O1021" t="s">
        <v>43</v>
      </c>
      <c r="P1021" t="s">
        <v>53</v>
      </c>
      <c r="Q1021" t="s">
        <v>28</v>
      </c>
      <c r="R1021" t="s">
        <v>29</v>
      </c>
      <c r="S1021">
        <v>2026</v>
      </c>
      <c r="T1021" t="s">
        <v>2757</v>
      </c>
      <c r="U1021" t="s">
        <v>2758</v>
      </c>
      <c r="V1021" s="4">
        <v>0</v>
      </c>
      <c r="W1021" s="4">
        <v>1</v>
      </c>
    </row>
    <row r="1022" spans="1:23">
      <c r="A1022" t="s">
        <v>1153</v>
      </c>
      <c r="B1022" s="2">
        <v>45857</v>
      </c>
      <c r="C1022" t="s">
        <v>19</v>
      </c>
      <c r="D1022" t="s">
        <v>20</v>
      </c>
      <c r="E1022" t="s">
        <v>39</v>
      </c>
      <c r="F1022" t="s">
        <v>22</v>
      </c>
      <c r="G1022" t="s">
        <v>160</v>
      </c>
      <c r="H1022" t="s">
        <v>161</v>
      </c>
      <c r="I1022">
        <v>15</v>
      </c>
      <c r="J1022" s="3">
        <v>2879.59</v>
      </c>
      <c r="K1022" s="3">
        <v>43193.85</v>
      </c>
      <c r="L1022" t="s">
        <v>25</v>
      </c>
      <c r="M1022" s="2">
        <v>45865</v>
      </c>
      <c r="N1022" s="2">
        <v>45868</v>
      </c>
      <c r="O1022" t="s">
        <v>43</v>
      </c>
      <c r="P1022" t="s">
        <v>44</v>
      </c>
      <c r="Q1022" t="s">
        <v>28</v>
      </c>
      <c r="R1022" t="s">
        <v>129</v>
      </c>
      <c r="S1022">
        <v>2025</v>
      </c>
      <c r="T1022" t="s">
        <v>2759</v>
      </c>
      <c r="U1022" t="s">
        <v>2760</v>
      </c>
      <c r="V1022" s="4">
        <v>3</v>
      </c>
      <c r="W1022" s="4">
        <v>0</v>
      </c>
    </row>
    <row r="1023" spans="1:23">
      <c r="A1023" t="s">
        <v>1154</v>
      </c>
      <c r="B1023" s="2">
        <v>45882</v>
      </c>
      <c r="C1023" t="s">
        <v>104</v>
      </c>
      <c r="D1023" t="s">
        <v>105</v>
      </c>
      <c r="E1023" t="s">
        <v>112</v>
      </c>
      <c r="F1023" t="s">
        <v>49</v>
      </c>
      <c r="G1023" t="s">
        <v>68</v>
      </c>
      <c r="H1023" t="s">
        <v>69</v>
      </c>
      <c r="I1023">
        <v>1</v>
      </c>
      <c r="J1023" s="3">
        <v>48971.88</v>
      </c>
      <c r="K1023" s="3">
        <v>48971.88</v>
      </c>
      <c r="L1023" t="s">
        <v>52</v>
      </c>
      <c r="M1023" s="2">
        <v>45896</v>
      </c>
      <c r="N1023" s="2">
        <v>45894</v>
      </c>
      <c r="O1023" t="s">
        <v>76</v>
      </c>
      <c r="P1023" t="s">
        <v>115</v>
      </c>
      <c r="Q1023" t="s">
        <v>28</v>
      </c>
      <c r="R1023" t="s">
        <v>29</v>
      </c>
      <c r="S1023">
        <v>2025</v>
      </c>
      <c r="T1023" t="s">
        <v>2761</v>
      </c>
      <c r="U1023" t="s">
        <v>2762</v>
      </c>
      <c r="V1023" s="4">
        <v>0</v>
      </c>
      <c r="W1023" s="4">
        <v>1</v>
      </c>
    </row>
    <row r="1024" spans="1:23">
      <c r="A1024" t="s">
        <v>1155</v>
      </c>
      <c r="B1024" s="2">
        <v>45992</v>
      </c>
      <c r="C1024" t="s">
        <v>104</v>
      </c>
      <c r="D1024" t="s">
        <v>105</v>
      </c>
      <c r="E1024" t="s">
        <v>48</v>
      </c>
      <c r="F1024" t="s">
        <v>49</v>
      </c>
      <c r="G1024" t="s">
        <v>50</v>
      </c>
      <c r="H1024" t="s">
        <v>51</v>
      </c>
      <c r="I1024">
        <v>2</v>
      </c>
      <c r="J1024" s="3">
        <v>50024.01</v>
      </c>
      <c r="K1024" s="3">
        <v>100048.02</v>
      </c>
      <c r="L1024" t="s">
        <v>25</v>
      </c>
      <c r="M1024" s="2">
        <v>46001</v>
      </c>
      <c r="N1024" s="2">
        <v>45999</v>
      </c>
      <c r="O1024" t="s">
        <v>60</v>
      </c>
      <c r="P1024" t="s">
        <v>53</v>
      </c>
      <c r="Q1024" t="s">
        <v>28</v>
      </c>
      <c r="R1024" t="s">
        <v>29</v>
      </c>
      <c r="S1024">
        <v>2025</v>
      </c>
      <c r="T1024" t="s">
        <v>2745</v>
      </c>
      <c r="U1024" t="s">
        <v>2746</v>
      </c>
      <c r="V1024" s="4">
        <v>0</v>
      </c>
      <c r="W1024" s="4">
        <v>1</v>
      </c>
    </row>
    <row r="1025" spans="1:23">
      <c r="A1025" t="s">
        <v>1156</v>
      </c>
      <c r="B1025" s="2">
        <v>45965</v>
      </c>
      <c r="C1025" t="s">
        <v>142</v>
      </c>
      <c r="D1025" t="s">
        <v>143</v>
      </c>
      <c r="E1025" t="s">
        <v>21</v>
      </c>
      <c r="F1025" t="s">
        <v>22</v>
      </c>
      <c r="G1025" t="s">
        <v>32</v>
      </c>
      <c r="H1025" t="s">
        <v>33</v>
      </c>
      <c r="I1025">
        <v>15</v>
      </c>
      <c r="J1025" s="3">
        <v>8038</v>
      </c>
      <c r="K1025" s="3">
        <v>120570</v>
      </c>
      <c r="L1025" t="s">
        <v>52</v>
      </c>
      <c r="M1025" s="2">
        <v>45973</v>
      </c>
      <c r="N1025" s="2">
        <v>45972</v>
      </c>
      <c r="O1025" t="s">
        <v>76</v>
      </c>
      <c r="P1025" t="s">
        <v>27</v>
      </c>
      <c r="Q1025" t="s">
        <v>28</v>
      </c>
      <c r="R1025" t="s">
        <v>29</v>
      </c>
      <c r="S1025">
        <v>2025</v>
      </c>
      <c r="T1025" t="s">
        <v>2763</v>
      </c>
      <c r="U1025" t="s">
        <v>2764</v>
      </c>
      <c r="V1025" s="4">
        <v>0</v>
      </c>
      <c r="W1025" s="4">
        <v>1</v>
      </c>
    </row>
    <row r="1026" spans="1:23">
      <c r="A1026" t="s">
        <v>1157</v>
      </c>
      <c r="B1026" s="2">
        <v>46067</v>
      </c>
      <c r="C1026" t="s">
        <v>142</v>
      </c>
      <c r="D1026" t="s">
        <v>143</v>
      </c>
      <c r="E1026" t="s">
        <v>21</v>
      </c>
      <c r="F1026" t="s">
        <v>22</v>
      </c>
      <c r="G1026" t="s">
        <v>23</v>
      </c>
      <c r="H1026" t="s">
        <v>24</v>
      </c>
      <c r="I1026">
        <v>47</v>
      </c>
      <c r="J1026" s="3">
        <v>245.81</v>
      </c>
      <c r="K1026" s="3">
        <v>11553.07</v>
      </c>
      <c r="L1026" t="s">
        <v>25</v>
      </c>
      <c r="M1026" s="2">
        <v>46073</v>
      </c>
      <c r="N1026" s="2">
        <v>46073</v>
      </c>
      <c r="O1026" t="s">
        <v>60</v>
      </c>
      <c r="P1026" t="s">
        <v>27</v>
      </c>
      <c r="Q1026" t="s">
        <v>28</v>
      </c>
      <c r="R1026" t="s">
        <v>29</v>
      </c>
      <c r="S1026">
        <v>2026</v>
      </c>
      <c r="T1026" t="s">
        <v>2751</v>
      </c>
      <c r="U1026" t="s">
        <v>2765</v>
      </c>
      <c r="V1026" s="4">
        <v>0</v>
      </c>
      <c r="W1026" s="4">
        <v>1</v>
      </c>
    </row>
    <row r="1027" spans="1:23">
      <c r="A1027" t="s">
        <v>1158</v>
      </c>
      <c r="B1027" s="2">
        <v>46082</v>
      </c>
      <c r="C1027" t="s">
        <v>37</v>
      </c>
      <c r="D1027" t="s">
        <v>38</v>
      </c>
      <c r="E1027" t="s">
        <v>39</v>
      </c>
      <c r="F1027" t="s">
        <v>40</v>
      </c>
      <c r="G1027" t="s">
        <v>41</v>
      </c>
      <c r="H1027" t="s">
        <v>42</v>
      </c>
      <c r="I1027">
        <v>8</v>
      </c>
      <c r="J1027" s="3">
        <v>5799.88</v>
      </c>
      <c r="K1027" s="3">
        <v>46399.040000000001</v>
      </c>
      <c r="L1027" t="s">
        <v>25</v>
      </c>
      <c r="M1027" s="2">
        <v>46093</v>
      </c>
      <c r="N1027" s="2">
        <v>46090</v>
      </c>
      <c r="O1027" t="s">
        <v>26</v>
      </c>
      <c r="P1027" t="s">
        <v>44</v>
      </c>
      <c r="Q1027" t="s">
        <v>28</v>
      </c>
      <c r="R1027" t="s">
        <v>29</v>
      </c>
      <c r="S1027">
        <v>2026</v>
      </c>
      <c r="T1027" t="s">
        <v>2747</v>
      </c>
      <c r="U1027" t="s">
        <v>2755</v>
      </c>
      <c r="V1027" s="4">
        <v>0</v>
      </c>
      <c r="W1027" s="4">
        <v>1</v>
      </c>
    </row>
    <row r="1028" spans="1:23">
      <c r="A1028" t="s">
        <v>1159</v>
      </c>
      <c r="B1028" s="2">
        <v>45907</v>
      </c>
      <c r="C1028" t="s">
        <v>142</v>
      </c>
      <c r="D1028" t="s">
        <v>143</v>
      </c>
      <c r="E1028" t="s">
        <v>39</v>
      </c>
      <c r="F1028" t="s">
        <v>22</v>
      </c>
      <c r="G1028" t="s">
        <v>32</v>
      </c>
      <c r="H1028" t="s">
        <v>33</v>
      </c>
      <c r="I1028">
        <v>2</v>
      </c>
      <c r="J1028" s="3">
        <v>7752.55</v>
      </c>
      <c r="K1028" s="3">
        <v>15505.1</v>
      </c>
      <c r="L1028" t="s">
        <v>25</v>
      </c>
      <c r="M1028" s="2">
        <v>45913</v>
      </c>
      <c r="N1028" s="2">
        <v>45913</v>
      </c>
      <c r="O1028" t="s">
        <v>60</v>
      </c>
      <c r="P1028" t="s">
        <v>44</v>
      </c>
      <c r="Q1028" t="s">
        <v>28</v>
      </c>
      <c r="R1028" t="s">
        <v>29</v>
      </c>
      <c r="S1028">
        <v>2025</v>
      </c>
      <c r="T1028" t="s">
        <v>2753</v>
      </c>
      <c r="U1028" t="s">
        <v>2754</v>
      </c>
      <c r="V1028" s="4">
        <v>0</v>
      </c>
      <c r="W1028" s="4">
        <v>1</v>
      </c>
    </row>
    <row r="1029" spans="1:23">
      <c r="A1029" t="s">
        <v>1160</v>
      </c>
      <c r="B1029" s="2">
        <v>45660</v>
      </c>
      <c r="C1029" t="s">
        <v>147</v>
      </c>
      <c r="D1029" t="s">
        <v>148</v>
      </c>
      <c r="E1029" t="s">
        <v>39</v>
      </c>
      <c r="F1029" t="s">
        <v>40</v>
      </c>
      <c r="G1029" t="s">
        <v>136</v>
      </c>
      <c r="H1029" t="s">
        <v>137</v>
      </c>
      <c r="I1029">
        <v>49</v>
      </c>
      <c r="J1029" s="3">
        <v>1651.52</v>
      </c>
      <c r="K1029" s="3">
        <v>80924.479999999996</v>
      </c>
      <c r="L1029" t="s">
        <v>25</v>
      </c>
      <c r="M1029" s="2">
        <v>45670</v>
      </c>
      <c r="N1029" s="2">
        <v>45670</v>
      </c>
      <c r="O1029" t="s">
        <v>76</v>
      </c>
      <c r="P1029" t="s">
        <v>44</v>
      </c>
      <c r="Q1029" t="s">
        <v>28</v>
      </c>
      <c r="R1029" t="s">
        <v>29</v>
      </c>
      <c r="S1029">
        <v>2025</v>
      </c>
      <c r="T1029" t="s">
        <v>2757</v>
      </c>
      <c r="U1029" t="s">
        <v>2768</v>
      </c>
      <c r="V1029" s="4">
        <v>0</v>
      </c>
      <c r="W1029" s="4">
        <v>1</v>
      </c>
    </row>
    <row r="1030" spans="1:23">
      <c r="A1030" t="s">
        <v>1161</v>
      </c>
      <c r="B1030" s="2">
        <v>45760</v>
      </c>
      <c r="C1030" t="s">
        <v>107</v>
      </c>
      <c r="D1030" t="s">
        <v>108</v>
      </c>
      <c r="E1030" t="s">
        <v>31</v>
      </c>
      <c r="F1030" t="s">
        <v>91</v>
      </c>
      <c r="G1030" t="s">
        <v>92</v>
      </c>
      <c r="H1030" t="s">
        <v>93</v>
      </c>
      <c r="I1030">
        <v>1</v>
      </c>
      <c r="J1030" s="3">
        <v>45151.37</v>
      </c>
      <c r="K1030" s="3">
        <v>45151.37</v>
      </c>
      <c r="L1030" t="s">
        <v>25</v>
      </c>
      <c r="M1030" s="2">
        <v>45771</v>
      </c>
      <c r="N1030" s="2">
        <v>45768</v>
      </c>
      <c r="O1030" t="s">
        <v>76</v>
      </c>
      <c r="P1030" t="s">
        <v>94</v>
      </c>
      <c r="Q1030" t="s">
        <v>28</v>
      </c>
      <c r="R1030" t="s">
        <v>29</v>
      </c>
      <c r="S1030">
        <v>2025</v>
      </c>
      <c r="T1030" t="s">
        <v>2741</v>
      </c>
      <c r="U1030" t="s">
        <v>2742</v>
      </c>
      <c r="V1030" s="4">
        <v>0</v>
      </c>
      <c r="W1030" s="4">
        <v>1</v>
      </c>
    </row>
    <row r="1031" spans="1:23">
      <c r="A1031" t="s">
        <v>1162</v>
      </c>
      <c r="B1031" s="2">
        <v>45949</v>
      </c>
      <c r="C1031" t="s">
        <v>46</v>
      </c>
      <c r="D1031" t="s">
        <v>47</v>
      </c>
      <c r="E1031" t="s">
        <v>73</v>
      </c>
      <c r="F1031" t="s">
        <v>49</v>
      </c>
      <c r="G1031" t="s">
        <v>50</v>
      </c>
      <c r="H1031" t="s">
        <v>51</v>
      </c>
      <c r="I1031">
        <v>1</v>
      </c>
      <c r="J1031" s="3">
        <v>56387.48</v>
      </c>
      <c r="K1031" s="3">
        <v>56387.48</v>
      </c>
      <c r="L1031" t="s">
        <v>25</v>
      </c>
      <c r="M1031" s="2">
        <v>45961</v>
      </c>
      <c r="N1031" s="2">
        <v>45959</v>
      </c>
      <c r="O1031" t="s">
        <v>76</v>
      </c>
      <c r="P1031" t="s">
        <v>77</v>
      </c>
      <c r="Q1031" t="s">
        <v>28</v>
      </c>
      <c r="R1031" t="s">
        <v>29</v>
      </c>
      <c r="S1031">
        <v>2025</v>
      </c>
      <c r="T1031" t="s">
        <v>2749</v>
      </c>
      <c r="U1031" t="s">
        <v>2750</v>
      </c>
      <c r="V1031" s="4">
        <v>0</v>
      </c>
      <c r="W1031" s="4">
        <v>1</v>
      </c>
    </row>
    <row r="1032" spans="1:23">
      <c r="A1032" t="s">
        <v>1163</v>
      </c>
      <c r="B1032" s="2">
        <v>45971</v>
      </c>
      <c r="C1032" t="s">
        <v>66</v>
      </c>
      <c r="D1032" t="s">
        <v>67</v>
      </c>
      <c r="E1032" t="s">
        <v>48</v>
      </c>
      <c r="F1032" t="s">
        <v>49</v>
      </c>
      <c r="G1032" t="s">
        <v>68</v>
      </c>
      <c r="H1032" t="s">
        <v>69</v>
      </c>
      <c r="I1032">
        <v>1</v>
      </c>
      <c r="J1032" s="3">
        <v>45682.87</v>
      </c>
      <c r="K1032" s="3">
        <v>45682.87</v>
      </c>
      <c r="L1032" t="s">
        <v>25</v>
      </c>
      <c r="M1032" s="2">
        <v>45986</v>
      </c>
      <c r="N1032" s="2">
        <v>45985</v>
      </c>
      <c r="O1032" t="s">
        <v>26</v>
      </c>
      <c r="P1032" t="s">
        <v>53</v>
      </c>
      <c r="Q1032" t="s">
        <v>28</v>
      </c>
      <c r="R1032" t="s">
        <v>29</v>
      </c>
      <c r="S1032">
        <v>2025</v>
      </c>
      <c r="T1032" t="s">
        <v>2763</v>
      </c>
      <c r="U1032" t="s">
        <v>2764</v>
      </c>
      <c r="V1032" s="4">
        <v>0</v>
      </c>
      <c r="W1032" s="4">
        <v>1</v>
      </c>
    </row>
    <row r="1033" spans="1:23">
      <c r="A1033" t="s">
        <v>1164</v>
      </c>
      <c r="B1033" s="2">
        <v>45739</v>
      </c>
      <c r="C1033" t="s">
        <v>37</v>
      </c>
      <c r="D1033" t="s">
        <v>38</v>
      </c>
      <c r="E1033" t="s">
        <v>112</v>
      </c>
      <c r="F1033" t="s">
        <v>22</v>
      </c>
      <c r="G1033" t="s">
        <v>23</v>
      </c>
      <c r="H1033" t="s">
        <v>24</v>
      </c>
      <c r="I1033">
        <v>51</v>
      </c>
      <c r="J1033" s="3">
        <v>269.92</v>
      </c>
      <c r="K1033" s="3">
        <v>13765.92</v>
      </c>
      <c r="L1033" t="s">
        <v>34</v>
      </c>
      <c r="M1033" s="2">
        <v>45745</v>
      </c>
      <c r="N1033" s="2">
        <v>45743</v>
      </c>
      <c r="O1033" t="s">
        <v>26</v>
      </c>
      <c r="P1033" t="s">
        <v>115</v>
      </c>
      <c r="Q1033" t="s">
        <v>28</v>
      </c>
      <c r="R1033" t="s">
        <v>29</v>
      </c>
      <c r="S1033">
        <v>2025</v>
      </c>
      <c r="T1033" t="s">
        <v>2747</v>
      </c>
      <c r="U1033" t="s">
        <v>2748</v>
      </c>
      <c r="V1033" s="4">
        <v>0</v>
      </c>
      <c r="W1033" s="4">
        <v>1</v>
      </c>
    </row>
    <row r="1034" spans="1:23">
      <c r="A1034" t="s">
        <v>1165</v>
      </c>
      <c r="B1034" s="2">
        <v>46103</v>
      </c>
      <c r="C1034" t="s">
        <v>66</v>
      </c>
      <c r="D1034" t="s">
        <v>67</v>
      </c>
      <c r="E1034" t="s">
        <v>112</v>
      </c>
      <c r="F1034" t="s">
        <v>49</v>
      </c>
      <c r="G1034" t="s">
        <v>165</v>
      </c>
      <c r="H1034" t="s">
        <v>166</v>
      </c>
      <c r="I1034">
        <v>2</v>
      </c>
      <c r="J1034" s="3">
        <v>42728.09</v>
      </c>
      <c r="K1034" s="3">
        <v>85456.18</v>
      </c>
      <c r="L1034" t="s">
        <v>25</v>
      </c>
      <c r="M1034" s="2">
        <v>46118</v>
      </c>
      <c r="N1034" s="2">
        <v>46122</v>
      </c>
      <c r="O1034" t="s">
        <v>76</v>
      </c>
      <c r="P1034" t="s">
        <v>115</v>
      </c>
      <c r="Q1034" t="s">
        <v>28</v>
      </c>
      <c r="R1034" t="s">
        <v>129</v>
      </c>
      <c r="S1034">
        <v>2026</v>
      </c>
      <c r="T1034" t="s">
        <v>2747</v>
      </c>
      <c r="U1034" t="s">
        <v>2755</v>
      </c>
      <c r="V1034" s="4">
        <v>4</v>
      </c>
      <c r="W1034" s="4">
        <v>0</v>
      </c>
    </row>
    <row r="1035" spans="1:23">
      <c r="A1035" t="s">
        <v>1166</v>
      </c>
      <c r="B1035" s="2">
        <v>45708</v>
      </c>
      <c r="C1035" t="s">
        <v>37</v>
      </c>
      <c r="D1035" t="s">
        <v>38</v>
      </c>
      <c r="E1035" t="s">
        <v>112</v>
      </c>
      <c r="F1035" t="s">
        <v>40</v>
      </c>
      <c r="G1035" t="s">
        <v>62</v>
      </c>
      <c r="H1035" t="s">
        <v>63</v>
      </c>
      <c r="I1035">
        <v>7</v>
      </c>
      <c r="J1035" s="3">
        <v>19889.73</v>
      </c>
      <c r="K1035" s="3">
        <v>139228.10999999999</v>
      </c>
      <c r="L1035" t="s">
        <v>25</v>
      </c>
      <c r="M1035" s="2">
        <v>45725</v>
      </c>
      <c r="N1035" s="2">
        <v>45723</v>
      </c>
      <c r="O1035" t="s">
        <v>76</v>
      </c>
      <c r="P1035" t="s">
        <v>115</v>
      </c>
      <c r="Q1035" t="s">
        <v>28</v>
      </c>
      <c r="R1035" t="s">
        <v>29</v>
      </c>
      <c r="S1035">
        <v>2025</v>
      </c>
      <c r="T1035" t="s">
        <v>2751</v>
      </c>
      <c r="U1035" t="s">
        <v>2752</v>
      </c>
      <c r="V1035" s="4">
        <v>0</v>
      </c>
      <c r="W1035" s="4">
        <v>1</v>
      </c>
    </row>
    <row r="1036" spans="1:23">
      <c r="A1036" t="s">
        <v>1167</v>
      </c>
      <c r="B1036" s="2">
        <v>45846</v>
      </c>
      <c r="C1036" t="s">
        <v>104</v>
      </c>
      <c r="D1036" t="s">
        <v>105</v>
      </c>
      <c r="E1036" t="s">
        <v>48</v>
      </c>
      <c r="F1036" t="s">
        <v>49</v>
      </c>
      <c r="G1036" t="s">
        <v>68</v>
      </c>
      <c r="H1036" t="s">
        <v>69</v>
      </c>
      <c r="I1036">
        <v>1</v>
      </c>
      <c r="J1036" s="3">
        <v>49862.25</v>
      </c>
      <c r="K1036" s="3">
        <v>49862.25</v>
      </c>
      <c r="L1036" t="s">
        <v>25</v>
      </c>
      <c r="M1036" s="2">
        <v>45853</v>
      </c>
      <c r="N1036" s="2">
        <v>45857</v>
      </c>
      <c r="O1036" t="s">
        <v>60</v>
      </c>
      <c r="P1036" t="s">
        <v>53</v>
      </c>
      <c r="Q1036" t="s">
        <v>28</v>
      </c>
      <c r="R1036" t="s">
        <v>129</v>
      </c>
      <c r="S1036">
        <v>2025</v>
      </c>
      <c r="T1036" t="s">
        <v>2759</v>
      </c>
      <c r="U1036" t="s">
        <v>2760</v>
      </c>
      <c r="V1036" s="4">
        <v>4</v>
      </c>
      <c r="W1036" s="4">
        <v>0</v>
      </c>
    </row>
    <row r="1037" spans="1:23">
      <c r="A1037" t="s">
        <v>1168</v>
      </c>
      <c r="B1037" s="2">
        <v>46085</v>
      </c>
      <c r="C1037" t="s">
        <v>147</v>
      </c>
      <c r="D1037" t="s">
        <v>148</v>
      </c>
      <c r="E1037" t="s">
        <v>39</v>
      </c>
      <c r="F1037" t="s">
        <v>40</v>
      </c>
      <c r="G1037" t="s">
        <v>136</v>
      </c>
      <c r="H1037" t="s">
        <v>137</v>
      </c>
      <c r="I1037">
        <v>5</v>
      </c>
      <c r="J1037" s="3">
        <v>1573.82</v>
      </c>
      <c r="K1037" s="3">
        <v>7869.1</v>
      </c>
      <c r="L1037" t="s">
        <v>25</v>
      </c>
      <c r="M1037" s="2">
        <v>46091</v>
      </c>
      <c r="N1037" s="2">
        <v>46090</v>
      </c>
      <c r="O1037" t="s">
        <v>76</v>
      </c>
      <c r="P1037" t="s">
        <v>44</v>
      </c>
      <c r="Q1037" t="s">
        <v>28</v>
      </c>
      <c r="R1037" t="s">
        <v>29</v>
      </c>
      <c r="S1037">
        <v>2026</v>
      </c>
      <c r="T1037" t="s">
        <v>2747</v>
      </c>
      <c r="U1037" t="s">
        <v>2755</v>
      </c>
      <c r="V1037" s="4">
        <v>0</v>
      </c>
      <c r="W1037" s="4">
        <v>1</v>
      </c>
    </row>
    <row r="1038" spans="1:23">
      <c r="A1038" t="s">
        <v>1169</v>
      </c>
      <c r="B1038" s="2">
        <v>46201</v>
      </c>
      <c r="C1038" t="s">
        <v>37</v>
      </c>
      <c r="D1038" t="s">
        <v>38</v>
      </c>
      <c r="E1038" t="s">
        <v>31</v>
      </c>
      <c r="F1038" t="s">
        <v>22</v>
      </c>
      <c r="G1038" t="s">
        <v>32</v>
      </c>
      <c r="H1038" t="s">
        <v>33</v>
      </c>
      <c r="I1038">
        <v>13</v>
      </c>
      <c r="J1038" s="3">
        <v>8159.88</v>
      </c>
      <c r="K1038" s="3">
        <v>106078.44</v>
      </c>
      <c r="L1038" t="s">
        <v>34</v>
      </c>
      <c r="M1038" s="2">
        <v>46217</v>
      </c>
      <c r="N1038" s="2">
        <v>46214</v>
      </c>
      <c r="O1038" t="s">
        <v>76</v>
      </c>
      <c r="P1038" t="s">
        <v>35</v>
      </c>
      <c r="Q1038" t="s">
        <v>28</v>
      </c>
      <c r="R1038" t="s">
        <v>29</v>
      </c>
      <c r="S1038">
        <v>2026</v>
      </c>
      <c r="T1038" t="s">
        <v>2743</v>
      </c>
      <c r="U1038" t="s">
        <v>2744</v>
      </c>
      <c r="V1038" s="4">
        <v>0</v>
      </c>
      <c r="W1038" s="4">
        <v>1</v>
      </c>
    </row>
    <row r="1039" spans="1:23">
      <c r="A1039" t="s">
        <v>1170</v>
      </c>
      <c r="B1039" s="2">
        <v>45703</v>
      </c>
      <c r="C1039" t="s">
        <v>80</v>
      </c>
      <c r="D1039" t="s">
        <v>81</v>
      </c>
      <c r="E1039" t="s">
        <v>39</v>
      </c>
      <c r="F1039" t="s">
        <v>82</v>
      </c>
      <c r="G1039" t="s">
        <v>197</v>
      </c>
      <c r="H1039" t="s">
        <v>198</v>
      </c>
      <c r="I1039">
        <v>58</v>
      </c>
      <c r="J1039" s="3">
        <v>1926.48</v>
      </c>
      <c r="K1039" s="3">
        <v>111735.84</v>
      </c>
      <c r="L1039" t="s">
        <v>52</v>
      </c>
      <c r="M1039" s="2">
        <v>45714</v>
      </c>
      <c r="N1039" s="2">
        <v>45713</v>
      </c>
      <c r="O1039" t="s">
        <v>26</v>
      </c>
      <c r="P1039" t="s">
        <v>44</v>
      </c>
      <c r="Q1039" t="s">
        <v>28</v>
      </c>
      <c r="R1039" t="s">
        <v>29</v>
      </c>
      <c r="S1039">
        <v>2025</v>
      </c>
      <c r="T1039" t="s">
        <v>2751</v>
      </c>
      <c r="U1039" t="s">
        <v>2752</v>
      </c>
      <c r="V1039" s="4">
        <v>0</v>
      </c>
      <c r="W1039" s="4">
        <v>1</v>
      </c>
    </row>
    <row r="1040" spans="1:23">
      <c r="A1040" t="s">
        <v>1171</v>
      </c>
      <c r="B1040" s="2">
        <v>45929</v>
      </c>
      <c r="C1040" t="s">
        <v>71</v>
      </c>
      <c r="D1040" t="s">
        <v>72</v>
      </c>
      <c r="E1040" t="s">
        <v>48</v>
      </c>
      <c r="F1040" t="s">
        <v>57</v>
      </c>
      <c r="G1040" t="s">
        <v>86</v>
      </c>
      <c r="H1040" t="s">
        <v>87</v>
      </c>
      <c r="I1040">
        <v>7</v>
      </c>
      <c r="J1040" s="3">
        <v>10315.94</v>
      </c>
      <c r="K1040" s="3">
        <v>72211.58</v>
      </c>
      <c r="L1040" t="s">
        <v>25</v>
      </c>
      <c r="M1040" s="2">
        <v>45938</v>
      </c>
      <c r="N1040" s="2">
        <v>45943</v>
      </c>
      <c r="O1040" t="s">
        <v>60</v>
      </c>
      <c r="P1040" t="s">
        <v>53</v>
      </c>
      <c r="Q1040" t="s">
        <v>28</v>
      </c>
      <c r="R1040" t="s">
        <v>129</v>
      </c>
      <c r="S1040">
        <v>2025</v>
      </c>
      <c r="T1040" t="s">
        <v>2753</v>
      </c>
      <c r="U1040" t="s">
        <v>2754</v>
      </c>
      <c r="V1040" s="4">
        <v>5</v>
      </c>
      <c r="W1040" s="4">
        <v>0</v>
      </c>
    </row>
    <row r="1041" spans="1:23">
      <c r="A1041" t="s">
        <v>1172</v>
      </c>
      <c r="B1041" s="2">
        <v>46064</v>
      </c>
      <c r="C1041" t="s">
        <v>19</v>
      </c>
      <c r="D1041" t="s">
        <v>20</v>
      </c>
      <c r="E1041" t="s">
        <v>39</v>
      </c>
      <c r="F1041" t="s">
        <v>22</v>
      </c>
      <c r="G1041" t="s">
        <v>160</v>
      </c>
      <c r="H1041" t="s">
        <v>161</v>
      </c>
      <c r="I1041">
        <v>7</v>
      </c>
      <c r="J1041" s="3">
        <v>3049.48</v>
      </c>
      <c r="K1041" s="3">
        <v>21346.36</v>
      </c>
      <c r="L1041" t="s">
        <v>34</v>
      </c>
      <c r="M1041" s="2">
        <v>46069</v>
      </c>
      <c r="N1041" s="2">
        <v>46067</v>
      </c>
      <c r="O1041" t="s">
        <v>43</v>
      </c>
      <c r="P1041" t="s">
        <v>44</v>
      </c>
      <c r="Q1041" t="s">
        <v>28</v>
      </c>
      <c r="R1041" t="s">
        <v>29</v>
      </c>
      <c r="S1041">
        <v>2026</v>
      </c>
      <c r="T1041" t="s">
        <v>2751</v>
      </c>
      <c r="U1041" t="s">
        <v>2765</v>
      </c>
      <c r="V1041" s="4">
        <v>0</v>
      </c>
      <c r="W1041" s="4">
        <v>1</v>
      </c>
    </row>
    <row r="1042" spans="1:23">
      <c r="A1042" t="s">
        <v>1173</v>
      </c>
      <c r="B1042" s="2">
        <v>45876</v>
      </c>
      <c r="C1042" t="s">
        <v>107</v>
      </c>
      <c r="D1042" t="s">
        <v>108</v>
      </c>
      <c r="E1042" t="s">
        <v>31</v>
      </c>
      <c r="F1042" t="s">
        <v>91</v>
      </c>
      <c r="G1042" t="s">
        <v>92</v>
      </c>
      <c r="H1042" t="s">
        <v>93</v>
      </c>
      <c r="I1042">
        <v>1</v>
      </c>
      <c r="J1042" s="3">
        <v>45969.57</v>
      </c>
      <c r="K1042" s="3">
        <v>45969.57</v>
      </c>
      <c r="L1042" t="s">
        <v>25</v>
      </c>
      <c r="M1042" s="2">
        <v>45883</v>
      </c>
      <c r="N1042" s="2">
        <v>45882</v>
      </c>
      <c r="O1042" t="s">
        <v>60</v>
      </c>
      <c r="P1042" t="s">
        <v>94</v>
      </c>
      <c r="Q1042" t="s">
        <v>28</v>
      </c>
      <c r="R1042" t="s">
        <v>29</v>
      </c>
      <c r="S1042">
        <v>2025</v>
      </c>
      <c r="T1042" t="s">
        <v>2761</v>
      </c>
      <c r="U1042" t="s">
        <v>2762</v>
      </c>
      <c r="V1042" s="4">
        <v>0</v>
      </c>
      <c r="W1042" s="4">
        <v>1</v>
      </c>
    </row>
    <row r="1043" spans="1:23">
      <c r="A1043" t="s">
        <v>1174</v>
      </c>
      <c r="B1043" s="2">
        <v>46149</v>
      </c>
      <c r="C1043" t="s">
        <v>96</v>
      </c>
      <c r="D1043" t="s">
        <v>97</v>
      </c>
      <c r="E1043" t="s">
        <v>39</v>
      </c>
      <c r="F1043" t="s">
        <v>82</v>
      </c>
      <c r="G1043" t="s">
        <v>197</v>
      </c>
      <c r="H1043" t="s">
        <v>198</v>
      </c>
      <c r="I1043">
        <v>47</v>
      </c>
      <c r="J1043" s="3">
        <v>2161.66</v>
      </c>
      <c r="K1043" s="3">
        <v>101598.02</v>
      </c>
      <c r="L1043" t="s">
        <v>25</v>
      </c>
      <c r="M1043" s="2">
        <v>46158</v>
      </c>
      <c r="N1043" s="2">
        <v>46155</v>
      </c>
      <c r="O1043" t="s">
        <v>26</v>
      </c>
      <c r="P1043" t="s">
        <v>44</v>
      </c>
      <c r="Q1043" t="s">
        <v>28</v>
      </c>
      <c r="R1043" t="s">
        <v>29</v>
      </c>
      <c r="S1043">
        <v>2026</v>
      </c>
      <c r="T1043" t="s">
        <v>2766</v>
      </c>
      <c r="U1043" t="s">
        <v>2769</v>
      </c>
      <c r="V1043" s="4">
        <v>0</v>
      </c>
      <c r="W1043" s="4">
        <v>1</v>
      </c>
    </row>
    <row r="1044" spans="1:23">
      <c r="A1044" t="s">
        <v>1175</v>
      </c>
      <c r="B1044" s="2">
        <v>45953</v>
      </c>
      <c r="C1044" t="s">
        <v>142</v>
      </c>
      <c r="D1044" t="s">
        <v>143</v>
      </c>
      <c r="E1044" t="s">
        <v>31</v>
      </c>
      <c r="F1044" t="s">
        <v>22</v>
      </c>
      <c r="G1044" t="s">
        <v>32</v>
      </c>
      <c r="H1044" t="s">
        <v>33</v>
      </c>
      <c r="I1044">
        <v>14</v>
      </c>
      <c r="J1044" s="3">
        <v>8177.94</v>
      </c>
      <c r="K1044" s="3">
        <v>114491.16</v>
      </c>
      <c r="L1044" t="s">
        <v>52</v>
      </c>
      <c r="M1044" s="2">
        <v>45959</v>
      </c>
      <c r="N1044" s="2">
        <v>45959</v>
      </c>
      <c r="O1044" t="s">
        <v>43</v>
      </c>
      <c r="P1044" t="s">
        <v>35</v>
      </c>
      <c r="Q1044" t="s">
        <v>28</v>
      </c>
      <c r="R1044" t="s">
        <v>29</v>
      </c>
      <c r="S1044">
        <v>2025</v>
      </c>
      <c r="T1044" t="s">
        <v>2749</v>
      </c>
      <c r="U1044" t="s">
        <v>2750</v>
      </c>
      <c r="V1044" s="4">
        <v>0</v>
      </c>
      <c r="W1044" s="4">
        <v>1</v>
      </c>
    </row>
    <row r="1045" spans="1:23">
      <c r="A1045" t="s">
        <v>1176</v>
      </c>
      <c r="B1045" s="2">
        <v>45841</v>
      </c>
      <c r="C1045" t="s">
        <v>19</v>
      </c>
      <c r="D1045" t="s">
        <v>20</v>
      </c>
      <c r="E1045" t="s">
        <v>73</v>
      </c>
      <c r="F1045" t="s">
        <v>22</v>
      </c>
      <c r="G1045" t="s">
        <v>32</v>
      </c>
      <c r="H1045" t="s">
        <v>33</v>
      </c>
      <c r="I1045">
        <v>8</v>
      </c>
      <c r="J1045" s="3">
        <v>7472.77</v>
      </c>
      <c r="K1045" s="3">
        <v>59782.16</v>
      </c>
      <c r="L1045" t="s">
        <v>34</v>
      </c>
      <c r="M1045" s="2">
        <v>45854</v>
      </c>
      <c r="N1045" s="2">
        <v>45866</v>
      </c>
      <c r="O1045" t="s">
        <v>43</v>
      </c>
      <c r="P1045" t="s">
        <v>77</v>
      </c>
      <c r="Q1045" t="s">
        <v>28</v>
      </c>
      <c r="R1045" t="s">
        <v>129</v>
      </c>
      <c r="S1045">
        <v>2025</v>
      </c>
      <c r="T1045" t="s">
        <v>2759</v>
      </c>
      <c r="U1045" t="s">
        <v>2760</v>
      </c>
      <c r="V1045" s="4">
        <v>12</v>
      </c>
      <c r="W1045" s="4">
        <v>0</v>
      </c>
    </row>
    <row r="1046" spans="1:23">
      <c r="A1046" t="s">
        <v>1177</v>
      </c>
      <c r="B1046" s="2">
        <v>45752</v>
      </c>
      <c r="C1046" t="s">
        <v>37</v>
      </c>
      <c r="D1046" t="s">
        <v>38</v>
      </c>
      <c r="E1046" t="s">
        <v>73</v>
      </c>
      <c r="F1046" t="s">
        <v>22</v>
      </c>
      <c r="G1046" t="s">
        <v>32</v>
      </c>
      <c r="H1046" t="s">
        <v>33</v>
      </c>
      <c r="I1046">
        <v>15</v>
      </c>
      <c r="J1046" s="3">
        <v>8556.9699999999993</v>
      </c>
      <c r="K1046" s="3">
        <v>128354.55</v>
      </c>
      <c r="L1046" t="s">
        <v>52</v>
      </c>
      <c r="M1046" s="2">
        <v>45766</v>
      </c>
      <c r="N1046" s="2">
        <v>45766</v>
      </c>
      <c r="O1046" t="s">
        <v>26</v>
      </c>
      <c r="P1046" t="s">
        <v>77</v>
      </c>
      <c r="Q1046" t="s">
        <v>28</v>
      </c>
      <c r="R1046" t="s">
        <v>29</v>
      </c>
      <c r="S1046">
        <v>2025</v>
      </c>
      <c r="T1046" t="s">
        <v>2741</v>
      </c>
      <c r="U1046" t="s">
        <v>2742</v>
      </c>
      <c r="V1046" s="4">
        <v>0</v>
      </c>
      <c r="W1046" s="4">
        <v>1</v>
      </c>
    </row>
    <row r="1047" spans="1:23">
      <c r="A1047" t="s">
        <v>1178</v>
      </c>
      <c r="B1047" s="2">
        <v>46008</v>
      </c>
      <c r="C1047" t="s">
        <v>131</v>
      </c>
      <c r="D1047" t="s">
        <v>132</v>
      </c>
      <c r="E1047" t="s">
        <v>48</v>
      </c>
      <c r="F1047" t="s">
        <v>57</v>
      </c>
      <c r="G1047" t="s">
        <v>74</v>
      </c>
      <c r="H1047" t="s">
        <v>75</v>
      </c>
      <c r="I1047">
        <v>6</v>
      </c>
      <c r="J1047" s="3">
        <v>9333.6200000000008</v>
      </c>
      <c r="K1047" s="3">
        <v>56001.72</v>
      </c>
      <c r="L1047" t="s">
        <v>34</v>
      </c>
      <c r="M1047" s="2">
        <v>46013</v>
      </c>
      <c r="N1047" s="2">
        <v>46010</v>
      </c>
      <c r="O1047" t="s">
        <v>60</v>
      </c>
      <c r="P1047" t="s">
        <v>53</v>
      </c>
      <c r="Q1047" t="s">
        <v>28</v>
      </c>
      <c r="R1047" t="s">
        <v>29</v>
      </c>
      <c r="S1047">
        <v>2025</v>
      </c>
      <c r="T1047" t="s">
        <v>2745</v>
      </c>
      <c r="U1047" t="s">
        <v>2746</v>
      </c>
      <c r="V1047" s="4">
        <v>0</v>
      </c>
      <c r="W1047" s="4">
        <v>1</v>
      </c>
    </row>
    <row r="1048" spans="1:23">
      <c r="A1048" t="s">
        <v>1179</v>
      </c>
      <c r="B1048" s="2">
        <v>46070</v>
      </c>
      <c r="C1048" t="s">
        <v>80</v>
      </c>
      <c r="D1048" t="s">
        <v>81</v>
      </c>
      <c r="E1048" t="s">
        <v>39</v>
      </c>
      <c r="F1048" t="s">
        <v>82</v>
      </c>
      <c r="G1048" t="s">
        <v>98</v>
      </c>
      <c r="H1048" t="s">
        <v>99</v>
      </c>
      <c r="I1048">
        <v>9</v>
      </c>
      <c r="J1048" s="3">
        <v>1122.32</v>
      </c>
      <c r="K1048" s="3">
        <v>10100.879999999999</v>
      </c>
      <c r="L1048" t="s">
        <v>34</v>
      </c>
      <c r="M1048" s="2">
        <v>46086</v>
      </c>
      <c r="N1048" s="2">
        <v>46083</v>
      </c>
      <c r="O1048" t="s">
        <v>60</v>
      </c>
      <c r="P1048" t="s">
        <v>44</v>
      </c>
      <c r="Q1048" t="s">
        <v>28</v>
      </c>
      <c r="R1048" t="s">
        <v>29</v>
      </c>
      <c r="S1048">
        <v>2026</v>
      </c>
      <c r="T1048" t="s">
        <v>2751</v>
      </c>
      <c r="U1048" t="s">
        <v>2765</v>
      </c>
      <c r="V1048" s="4">
        <v>0</v>
      </c>
      <c r="W1048" s="4">
        <v>1</v>
      </c>
    </row>
    <row r="1049" spans="1:23">
      <c r="A1049" t="s">
        <v>1180</v>
      </c>
      <c r="B1049" s="2">
        <v>45987</v>
      </c>
      <c r="C1049" t="s">
        <v>142</v>
      </c>
      <c r="D1049" t="s">
        <v>143</v>
      </c>
      <c r="E1049" t="s">
        <v>39</v>
      </c>
      <c r="F1049" t="s">
        <v>22</v>
      </c>
      <c r="G1049" t="s">
        <v>23</v>
      </c>
      <c r="H1049" t="s">
        <v>24</v>
      </c>
      <c r="I1049">
        <v>27</v>
      </c>
      <c r="J1049" s="3">
        <v>235.28</v>
      </c>
      <c r="K1049" s="3">
        <v>6352.56</v>
      </c>
      <c r="L1049" t="s">
        <v>34</v>
      </c>
      <c r="M1049" s="2">
        <v>45992</v>
      </c>
      <c r="N1049" s="2">
        <v>45990</v>
      </c>
      <c r="O1049" t="s">
        <v>60</v>
      </c>
      <c r="P1049" t="s">
        <v>64</v>
      </c>
      <c r="Q1049" t="s">
        <v>28</v>
      </c>
      <c r="R1049" t="s">
        <v>29</v>
      </c>
      <c r="S1049">
        <v>2025</v>
      </c>
      <c r="T1049" t="s">
        <v>2763</v>
      </c>
      <c r="U1049" t="s">
        <v>2764</v>
      </c>
      <c r="V1049" s="4">
        <v>0</v>
      </c>
      <c r="W1049" s="4">
        <v>1</v>
      </c>
    </row>
    <row r="1050" spans="1:23">
      <c r="A1050" t="s">
        <v>1181</v>
      </c>
      <c r="B1050" s="2">
        <v>45745</v>
      </c>
      <c r="C1050" t="s">
        <v>80</v>
      </c>
      <c r="D1050" t="s">
        <v>81</v>
      </c>
      <c r="E1050" t="s">
        <v>39</v>
      </c>
      <c r="F1050" t="s">
        <v>82</v>
      </c>
      <c r="G1050" t="s">
        <v>197</v>
      </c>
      <c r="H1050" t="s">
        <v>198</v>
      </c>
      <c r="I1050">
        <v>35</v>
      </c>
      <c r="J1050" s="3">
        <v>2021.65</v>
      </c>
      <c r="K1050" s="3">
        <v>70757.75</v>
      </c>
      <c r="L1050" t="s">
        <v>25</v>
      </c>
      <c r="M1050" s="2">
        <v>45757</v>
      </c>
      <c r="N1050" s="2">
        <v>45755</v>
      </c>
      <c r="O1050" t="s">
        <v>43</v>
      </c>
      <c r="P1050" t="s">
        <v>44</v>
      </c>
      <c r="Q1050" t="s">
        <v>28</v>
      </c>
      <c r="R1050" t="s">
        <v>29</v>
      </c>
      <c r="S1050">
        <v>2025</v>
      </c>
      <c r="T1050" t="s">
        <v>2747</v>
      </c>
      <c r="U1050" t="s">
        <v>2748</v>
      </c>
      <c r="V1050" s="4">
        <v>0</v>
      </c>
      <c r="W1050" s="4">
        <v>1</v>
      </c>
    </row>
    <row r="1051" spans="1:23">
      <c r="A1051" t="s">
        <v>1182</v>
      </c>
      <c r="B1051" s="2">
        <v>45909</v>
      </c>
      <c r="C1051" t="s">
        <v>66</v>
      </c>
      <c r="D1051" t="s">
        <v>67</v>
      </c>
      <c r="E1051" t="s">
        <v>48</v>
      </c>
      <c r="F1051" t="s">
        <v>49</v>
      </c>
      <c r="G1051" t="s">
        <v>113</v>
      </c>
      <c r="H1051" t="s">
        <v>114</v>
      </c>
      <c r="I1051">
        <v>1</v>
      </c>
      <c r="J1051" s="3">
        <v>35567.769999999997</v>
      </c>
      <c r="K1051" s="3">
        <v>35567.769999999997</v>
      </c>
      <c r="L1051" t="s">
        <v>34</v>
      </c>
      <c r="M1051" s="2">
        <v>45924</v>
      </c>
      <c r="N1051" s="2">
        <v>45923</v>
      </c>
      <c r="O1051" t="s">
        <v>60</v>
      </c>
      <c r="P1051" t="s">
        <v>53</v>
      </c>
      <c r="Q1051" t="s">
        <v>28</v>
      </c>
      <c r="R1051" t="s">
        <v>29</v>
      </c>
      <c r="S1051">
        <v>2025</v>
      </c>
      <c r="T1051" t="s">
        <v>2753</v>
      </c>
      <c r="U1051" t="s">
        <v>2754</v>
      </c>
      <c r="V1051" s="4">
        <v>0</v>
      </c>
      <c r="W1051" s="4">
        <v>1</v>
      </c>
    </row>
    <row r="1052" spans="1:23">
      <c r="A1052" t="s">
        <v>1183</v>
      </c>
      <c r="B1052" s="2">
        <v>45945</v>
      </c>
      <c r="C1052" t="s">
        <v>142</v>
      </c>
      <c r="D1052" t="s">
        <v>143</v>
      </c>
      <c r="E1052" t="s">
        <v>73</v>
      </c>
      <c r="F1052" t="s">
        <v>22</v>
      </c>
      <c r="G1052" t="s">
        <v>32</v>
      </c>
      <c r="H1052" t="s">
        <v>33</v>
      </c>
      <c r="I1052">
        <v>12</v>
      </c>
      <c r="J1052" s="3">
        <v>7837.8</v>
      </c>
      <c r="K1052" s="3">
        <v>94053.6</v>
      </c>
      <c r="L1052" t="s">
        <v>52</v>
      </c>
      <c r="M1052" s="2">
        <v>45954</v>
      </c>
      <c r="N1052" s="2">
        <v>45954</v>
      </c>
      <c r="O1052" t="s">
        <v>76</v>
      </c>
      <c r="P1052" t="s">
        <v>77</v>
      </c>
      <c r="Q1052" t="s">
        <v>28</v>
      </c>
      <c r="R1052" t="s">
        <v>29</v>
      </c>
      <c r="S1052">
        <v>2025</v>
      </c>
      <c r="T1052" t="s">
        <v>2749</v>
      </c>
      <c r="U1052" t="s">
        <v>2750</v>
      </c>
      <c r="V1052" s="4">
        <v>0</v>
      </c>
      <c r="W1052" s="4">
        <v>1</v>
      </c>
    </row>
    <row r="1053" spans="1:23">
      <c r="A1053" t="s">
        <v>1184</v>
      </c>
      <c r="B1053" s="2">
        <v>46195</v>
      </c>
      <c r="C1053" t="s">
        <v>37</v>
      </c>
      <c r="D1053" t="s">
        <v>38</v>
      </c>
      <c r="E1053" t="s">
        <v>112</v>
      </c>
      <c r="F1053" t="s">
        <v>40</v>
      </c>
      <c r="G1053" t="s">
        <v>41</v>
      </c>
      <c r="H1053" t="s">
        <v>42</v>
      </c>
      <c r="I1053">
        <v>6</v>
      </c>
      <c r="J1053" s="3">
        <v>5684.27</v>
      </c>
      <c r="K1053" s="3">
        <v>34105.620000000003</v>
      </c>
      <c r="L1053" t="s">
        <v>34</v>
      </c>
      <c r="M1053" s="2">
        <v>46205</v>
      </c>
      <c r="N1053" s="2">
        <v>46204</v>
      </c>
      <c r="O1053" t="s">
        <v>43</v>
      </c>
      <c r="P1053" t="s">
        <v>115</v>
      </c>
      <c r="Q1053" t="s">
        <v>28</v>
      </c>
      <c r="R1053" t="s">
        <v>29</v>
      </c>
      <c r="S1053">
        <v>2026</v>
      </c>
      <c r="T1053" t="s">
        <v>2743</v>
      </c>
      <c r="U1053" t="s">
        <v>2744</v>
      </c>
      <c r="V1053" s="4">
        <v>0</v>
      </c>
      <c r="W1053" s="4">
        <v>1</v>
      </c>
    </row>
    <row r="1054" spans="1:23">
      <c r="A1054" t="s">
        <v>1185</v>
      </c>
      <c r="B1054" s="2">
        <v>45708</v>
      </c>
      <c r="C1054" t="s">
        <v>71</v>
      </c>
      <c r="D1054" t="s">
        <v>72</v>
      </c>
      <c r="E1054" t="s">
        <v>48</v>
      </c>
      <c r="F1054" t="s">
        <v>57</v>
      </c>
      <c r="G1054" t="s">
        <v>120</v>
      </c>
      <c r="H1054" t="s">
        <v>121</v>
      </c>
      <c r="I1054">
        <v>5</v>
      </c>
      <c r="J1054" s="3">
        <v>20719.93</v>
      </c>
      <c r="K1054" s="3">
        <v>103599.65</v>
      </c>
      <c r="L1054" t="s">
        <v>52</v>
      </c>
      <c r="M1054" s="2">
        <v>45721</v>
      </c>
      <c r="N1054" s="2">
        <v>45721</v>
      </c>
      <c r="O1054" t="s">
        <v>43</v>
      </c>
      <c r="P1054" t="s">
        <v>53</v>
      </c>
      <c r="Q1054" t="s">
        <v>28</v>
      </c>
      <c r="R1054" t="s">
        <v>29</v>
      </c>
      <c r="S1054">
        <v>2025</v>
      </c>
      <c r="T1054" t="s">
        <v>2751</v>
      </c>
      <c r="U1054" t="s">
        <v>2752</v>
      </c>
      <c r="V1054" s="4">
        <v>0</v>
      </c>
      <c r="W1054" s="4">
        <v>1</v>
      </c>
    </row>
    <row r="1055" spans="1:23">
      <c r="A1055" t="s">
        <v>1186</v>
      </c>
      <c r="B1055" s="2">
        <v>46088</v>
      </c>
      <c r="C1055" t="s">
        <v>117</v>
      </c>
      <c r="D1055" t="s">
        <v>118</v>
      </c>
      <c r="E1055" t="s">
        <v>21</v>
      </c>
      <c r="F1055" t="s">
        <v>57</v>
      </c>
      <c r="G1055" t="s">
        <v>101</v>
      </c>
      <c r="H1055" t="s">
        <v>102</v>
      </c>
      <c r="I1055">
        <v>42</v>
      </c>
      <c r="J1055" s="3">
        <v>1755.87</v>
      </c>
      <c r="K1055" s="3">
        <v>73746.539999999994</v>
      </c>
      <c r="L1055" t="s">
        <v>25</v>
      </c>
      <c r="M1055" s="2">
        <v>46093</v>
      </c>
      <c r="N1055" s="2">
        <v>46090</v>
      </c>
      <c r="O1055" t="s">
        <v>76</v>
      </c>
      <c r="P1055" t="s">
        <v>27</v>
      </c>
      <c r="Q1055" t="s">
        <v>28</v>
      </c>
      <c r="R1055" t="s">
        <v>29</v>
      </c>
      <c r="S1055">
        <v>2026</v>
      </c>
      <c r="T1055" t="s">
        <v>2747</v>
      </c>
      <c r="U1055" t="s">
        <v>2755</v>
      </c>
      <c r="V1055" s="4">
        <v>0</v>
      </c>
      <c r="W1055" s="4">
        <v>1</v>
      </c>
    </row>
    <row r="1056" spans="1:23">
      <c r="A1056" t="s">
        <v>1187</v>
      </c>
      <c r="B1056" s="2">
        <v>45767</v>
      </c>
      <c r="C1056" t="s">
        <v>142</v>
      </c>
      <c r="D1056" t="s">
        <v>143</v>
      </c>
      <c r="E1056" t="s">
        <v>31</v>
      </c>
      <c r="F1056" t="s">
        <v>22</v>
      </c>
      <c r="G1056" t="s">
        <v>23</v>
      </c>
      <c r="H1056" t="s">
        <v>24</v>
      </c>
      <c r="I1056">
        <v>46</v>
      </c>
      <c r="J1056" s="3">
        <v>238.91</v>
      </c>
      <c r="K1056" s="3">
        <v>10989.86</v>
      </c>
      <c r="L1056" t="s">
        <v>34</v>
      </c>
      <c r="M1056" s="2">
        <v>45781</v>
      </c>
      <c r="N1056" s="2">
        <v>45781</v>
      </c>
      <c r="O1056" t="s">
        <v>43</v>
      </c>
      <c r="P1056" t="s">
        <v>35</v>
      </c>
      <c r="Q1056" t="s">
        <v>28</v>
      </c>
      <c r="R1056" t="s">
        <v>29</v>
      </c>
      <c r="S1056">
        <v>2025</v>
      </c>
      <c r="T1056" t="s">
        <v>2741</v>
      </c>
      <c r="U1056" t="s">
        <v>2742</v>
      </c>
      <c r="V1056" s="4">
        <v>0</v>
      </c>
      <c r="W1056" s="4">
        <v>1</v>
      </c>
    </row>
    <row r="1057" spans="1:23">
      <c r="A1057" t="s">
        <v>1188</v>
      </c>
      <c r="B1057" s="2">
        <v>45787</v>
      </c>
      <c r="C1057" t="s">
        <v>66</v>
      </c>
      <c r="D1057" t="s">
        <v>67</v>
      </c>
      <c r="E1057" t="s">
        <v>112</v>
      </c>
      <c r="F1057" t="s">
        <v>49</v>
      </c>
      <c r="G1057" t="s">
        <v>50</v>
      </c>
      <c r="H1057" t="s">
        <v>51</v>
      </c>
      <c r="I1057">
        <v>3</v>
      </c>
      <c r="J1057" s="3">
        <v>48446.400000000001</v>
      </c>
      <c r="K1057" s="3">
        <v>145339.20000000001</v>
      </c>
      <c r="L1057" t="s">
        <v>25</v>
      </c>
      <c r="M1057" s="2">
        <v>45796</v>
      </c>
      <c r="N1057" s="2">
        <v>45795</v>
      </c>
      <c r="O1057" t="s">
        <v>26</v>
      </c>
      <c r="P1057" t="s">
        <v>115</v>
      </c>
      <c r="Q1057" t="s">
        <v>28</v>
      </c>
      <c r="R1057" t="s">
        <v>29</v>
      </c>
      <c r="S1057">
        <v>2025</v>
      </c>
      <c r="T1057" t="s">
        <v>2766</v>
      </c>
      <c r="U1057" t="s">
        <v>2767</v>
      </c>
      <c r="V1057" s="4">
        <v>0</v>
      </c>
      <c r="W1057" s="4">
        <v>1</v>
      </c>
    </row>
    <row r="1058" spans="1:23">
      <c r="A1058" t="s">
        <v>1189</v>
      </c>
      <c r="B1058" s="2">
        <v>46098</v>
      </c>
      <c r="C1058" t="s">
        <v>55</v>
      </c>
      <c r="D1058" t="s">
        <v>56</v>
      </c>
      <c r="E1058" t="s">
        <v>48</v>
      </c>
      <c r="F1058" t="s">
        <v>57</v>
      </c>
      <c r="G1058" t="s">
        <v>127</v>
      </c>
      <c r="H1058" t="s">
        <v>128</v>
      </c>
      <c r="I1058">
        <v>7</v>
      </c>
      <c r="J1058" s="3">
        <v>17640.669999999998</v>
      </c>
      <c r="K1058" s="3">
        <v>123484.69</v>
      </c>
      <c r="L1058" t="s">
        <v>34</v>
      </c>
      <c r="M1058" s="2">
        <v>46112</v>
      </c>
      <c r="N1058" s="2">
        <v>46111</v>
      </c>
      <c r="O1058" t="s">
        <v>43</v>
      </c>
      <c r="P1058" t="s">
        <v>53</v>
      </c>
      <c r="Q1058" t="s">
        <v>28</v>
      </c>
      <c r="R1058" t="s">
        <v>29</v>
      </c>
      <c r="S1058">
        <v>2026</v>
      </c>
      <c r="T1058" t="s">
        <v>2747</v>
      </c>
      <c r="U1058" t="s">
        <v>2755</v>
      </c>
      <c r="V1058" s="4">
        <v>0</v>
      </c>
      <c r="W1058" s="4">
        <v>1</v>
      </c>
    </row>
    <row r="1059" spans="1:23">
      <c r="A1059" t="s">
        <v>1190</v>
      </c>
      <c r="B1059" s="2">
        <v>46167</v>
      </c>
      <c r="C1059" t="s">
        <v>80</v>
      </c>
      <c r="D1059" t="s">
        <v>81</v>
      </c>
      <c r="E1059" t="s">
        <v>39</v>
      </c>
      <c r="F1059" t="s">
        <v>82</v>
      </c>
      <c r="G1059" t="s">
        <v>83</v>
      </c>
      <c r="H1059" t="s">
        <v>84</v>
      </c>
      <c r="I1059">
        <v>41</v>
      </c>
      <c r="J1059" s="3">
        <v>699.2</v>
      </c>
      <c r="K1059" s="3">
        <v>28667.200000000001</v>
      </c>
      <c r="L1059" t="s">
        <v>52</v>
      </c>
      <c r="M1059" s="2">
        <v>46174</v>
      </c>
      <c r="N1059" s="2">
        <v>46174</v>
      </c>
      <c r="O1059" t="s">
        <v>26</v>
      </c>
      <c r="P1059" t="s">
        <v>64</v>
      </c>
      <c r="Q1059" t="s">
        <v>28</v>
      </c>
      <c r="R1059" t="s">
        <v>29</v>
      </c>
      <c r="S1059">
        <v>2026</v>
      </c>
      <c r="T1059" t="s">
        <v>2766</v>
      </c>
      <c r="U1059" t="s">
        <v>2769</v>
      </c>
      <c r="V1059" s="4">
        <v>0</v>
      </c>
      <c r="W1059" s="4">
        <v>1</v>
      </c>
    </row>
    <row r="1060" spans="1:23">
      <c r="A1060" t="s">
        <v>1191</v>
      </c>
      <c r="B1060" s="2">
        <v>45699</v>
      </c>
      <c r="C1060" t="s">
        <v>142</v>
      </c>
      <c r="D1060" t="s">
        <v>143</v>
      </c>
      <c r="E1060" t="s">
        <v>21</v>
      </c>
      <c r="F1060" t="s">
        <v>22</v>
      </c>
      <c r="G1060" t="s">
        <v>32</v>
      </c>
      <c r="H1060" t="s">
        <v>33</v>
      </c>
      <c r="I1060">
        <v>4</v>
      </c>
      <c r="J1060" s="3">
        <v>7765.09</v>
      </c>
      <c r="K1060" s="3">
        <v>31060.36</v>
      </c>
      <c r="L1060" t="s">
        <v>34</v>
      </c>
      <c r="M1060" s="2">
        <v>45708</v>
      </c>
      <c r="N1060" s="2">
        <v>45708</v>
      </c>
      <c r="O1060" t="s">
        <v>43</v>
      </c>
      <c r="P1060" t="s">
        <v>27</v>
      </c>
      <c r="Q1060" t="s">
        <v>28</v>
      </c>
      <c r="R1060" t="s">
        <v>29</v>
      </c>
      <c r="S1060">
        <v>2025</v>
      </c>
      <c r="T1060" t="s">
        <v>2751</v>
      </c>
      <c r="U1060" t="s">
        <v>2752</v>
      </c>
      <c r="V1060" s="4">
        <v>0</v>
      </c>
      <c r="W1060" s="4">
        <v>1</v>
      </c>
    </row>
    <row r="1061" spans="1:23">
      <c r="A1061" t="s">
        <v>1192</v>
      </c>
      <c r="B1061" s="2">
        <v>46081</v>
      </c>
      <c r="C1061" t="s">
        <v>19</v>
      </c>
      <c r="D1061" t="s">
        <v>20</v>
      </c>
      <c r="E1061" t="s">
        <v>39</v>
      </c>
      <c r="F1061" t="s">
        <v>22</v>
      </c>
      <c r="G1061" t="s">
        <v>23</v>
      </c>
      <c r="H1061" t="s">
        <v>24</v>
      </c>
      <c r="I1061">
        <v>60</v>
      </c>
      <c r="J1061" s="3">
        <v>234.85</v>
      </c>
      <c r="K1061" s="3">
        <v>14091</v>
      </c>
      <c r="L1061" t="s">
        <v>25</v>
      </c>
      <c r="M1061" s="2">
        <v>46091</v>
      </c>
      <c r="N1061" s="2">
        <v>46088</v>
      </c>
      <c r="O1061" t="s">
        <v>76</v>
      </c>
      <c r="P1061" t="s">
        <v>44</v>
      </c>
      <c r="Q1061" t="s">
        <v>28</v>
      </c>
      <c r="R1061" t="s">
        <v>29</v>
      </c>
      <c r="S1061">
        <v>2026</v>
      </c>
      <c r="T1061" t="s">
        <v>2751</v>
      </c>
      <c r="U1061" t="s">
        <v>2765</v>
      </c>
      <c r="V1061" s="4">
        <v>0</v>
      </c>
      <c r="W1061" s="4">
        <v>1</v>
      </c>
    </row>
    <row r="1062" spans="1:23">
      <c r="A1062" t="s">
        <v>1193</v>
      </c>
      <c r="B1062" s="2">
        <v>45807</v>
      </c>
      <c r="C1062" t="s">
        <v>55</v>
      </c>
      <c r="D1062" t="s">
        <v>56</v>
      </c>
      <c r="E1062" t="s">
        <v>21</v>
      </c>
      <c r="F1062" t="s">
        <v>57</v>
      </c>
      <c r="G1062" t="s">
        <v>120</v>
      </c>
      <c r="H1062" t="s">
        <v>121</v>
      </c>
      <c r="I1062">
        <v>5</v>
      </c>
      <c r="J1062" s="3">
        <v>24397.25</v>
      </c>
      <c r="K1062" s="3">
        <v>121986.25</v>
      </c>
      <c r="L1062" t="s">
        <v>25</v>
      </c>
      <c r="M1062" s="2">
        <v>45818</v>
      </c>
      <c r="N1062" s="2">
        <v>45818</v>
      </c>
      <c r="O1062" t="s">
        <v>26</v>
      </c>
      <c r="P1062" t="s">
        <v>27</v>
      </c>
      <c r="Q1062" t="s">
        <v>28</v>
      </c>
      <c r="R1062" t="s">
        <v>29</v>
      </c>
      <c r="S1062">
        <v>2025</v>
      </c>
      <c r="T1062" t="s">
        <v>2766</v>
      </c>
      <c r="U1062" t="s">
        <v>2767</v>
      </c>
      <c r="V1062" s="4">
        <v>0</v>
      </c>
      <c r="W1062" s="4">
        <v>1</v>
      </c>
    </row>
    <row r="1063" spans="1:23">
      <c r="A1063" t="s">
        <v>1194</v>
      </c>
      <c r="B1063" s="2">
        <v>45719</v>
      </c>
      <c r="C1063" t="s">
        <v>89</v>
      </c>
      <c r="D1063" t="s">
        <v>90</v>
      </c>
      <c r="E1063" t="s">
        <v>31</v>
      </c>
      <c r="F1063" t="s">
        <v>91</v>
      </c>
      <c r="G1063" t="s">
        <v>109</v>
      </c>
      <c r="H1063" t="s">
        <v>110</v>
      </c>
      <c r="I1063">
        <v>1</v>
      </c>
      <c r="J1063" s="3">
        <v>12323.11</v>
      </c>
      <c r="K1063" s="3">
        <v>12323.11</v>
      </c>
      <c r="L1063" t="s">
        <v>25</v>
      </c>
      <c r="M1063" s="2">
        <v>45728</v>
      </c>
      <c r="N1063" s="2">
        <v>45728</v>
      </c>
      <c r="O1063" t="s">
        <v>43</v>
      </c>
      <c r="P1063" t="s">
        <v>35</v>
      </c>
      <c r="Q1063" t="s">
        <v>28</v>
      </c>
      <c r="R1063" t="s">
        <v>29</v>
      </c>
      <c r="S1063">
        <v>2025</v>
      </c>
      <c r="T1063" t="s">
        <v>2747</v>
      </c>
      <c r="U1063" t="s">
        <v>2748</v>
      </c>
      <c r="V1063" s="4">
        <v>0</v>
      </c>
      <c r="W1063" s="4">
        <v>1</v>
      </c>
    </row>
    <row r="1064" spans="1:23">
      <c r="A1064" t="s">
        <v>1195</v>
      </c>
      <c r="B1064" s="2">
        <v>46014</v>
      </c>
      <c r="C1064" t="s">
        <v>37</v>
      </c>
      <c r="D1064" t="s">
        <v>38</v>
      </c>
      <c r="E1064" t="s">
        <v>39</v>
      </c>
      <c r="F1064" t="s">
        <v>22</v>
      </c>
      <c r="G1064" t="s">
        <v>32</v>
      </c>
      <c r="H1064" t="s">
        <v>33</v>
      </c>
      <c r="I1064">
        <v>7</v>
      </c>
      <c r="J1064" s="3">
        <v>8642.7199999999993</v>
      </c>
      <c r="K1064" s="3">
        <v>60499.040000000001</v>
      </c>
      <c r="L1064" t="s">
        <v>25</v>
      </c>
      <c r="M1064" s="2">
        <v>46023</v>
      </c>
      <c r="N1064" s="2">
        <v>46022</v>
      </c>
      <c r="O1064" t="s">
        <v>26</v>
      </c>
      <c r="P1064" t="s">
        <v>64</v>
      </c>
      <c r="Q1064" t="s">
        <v>28</v>
      </c>
      <c r="R1064" t="s">
        <v>29</v>
      </c>
      <c r="S1064">
        <v>2025</v>
      </c>
      <c r="T1064" t="s">
        <v>2745</v>
      </c>
      <c r="U1064" t="s">
        <v>2746</v>
      </c>
      <c r="V1064" s="4">
        <v>0</v>
      </c>
      <c r="W1064" s="4">
        <v>1</v>
      </c>
    </row>
    <row r="1065" spans="1:23">
      <c r="A1065" t="s">
        <v>1196</v>
      </c>
      <c r="B1065" s="2">
        <v>46051</v>
      </c>
      <c r="C1065" t="s">
        <v>104</v>
      </c>
      <c r="D1065" t="s">
        <v>105</v>
      </c>
      <c r="E1065" t="s">
        <v>112</v>
      </c>
      <c r="F1065" t="s">
        <v>49</v>
      </c>
      <c r="G1065" t="s">
        <v>50</v>
      </c>
      <c r="H1065" t="s">
        <v>51</v>
      </c>
      <c r="I1065">
        <v>3</v>
      </c>
      <c r="J1065" s="3">
        <v>53295.42</v>
      </c>
      <c r="K1065" s="3">
        <v>159886.26</v>
      </c>
      <c r="L1065" t="s">
        <v>52</v>
      </c>
      <c r="M1065" s="2">
        <v>46060</v>
      </c>
      <c r="N1065" s="2">
        <v>46058</v>
      </c>
      <c r="O1065" t="s">
        <v>76</v>
      </c>
      <c r="P1065" t="s">
        <v>115</v>
      </c>
      <c r="Q1065" t="s">
        <v>28</v>
      </c>
      <c r="R1065" t="s">
        <v>29</v>
      </c>
      <c r="S1065">
        <v>2026</v>
      </c>
      <c r="T1065" t="s">
        <v>2757</v>
      </c>
      <c r="U1065" t="s">
        <v>2758</v>
      </c>
      <c r="V1065" s="4">
        <v>0</v>
      </c>
      <c r="W1065" s="4">
        <v>1</v>
      </c>
    </row>
    <row r="1066" spans="1:23">
      <c r="A1066" t="s">
        <v>1197</v>
      </c>
      <c r="B1066" s="2">
        <v>45678</v>
      </c>
      <c r="C1066" t="s">
        <v>37</v>
      </c>
      <c r="D1066" t="s">
        <v>38</v>
      </c>
      <c r="E1066" t="s">
        <v>112</v>
      </c>
      <c r="F1066" t="s">
        <v>22</v>
      </c>
      <c r="G1066" t="s">
        <v>23</v>
      </c>
      <c r="H1066" t="s">
        <v>24</v>
      </c>
      <c r="I1066">
        <v>20</v>
      </c>
      <c r="J1066" s="3">
        <v>273.07</v>
      </c>
      <c r="K1066" s="3">
        <v>5461.4</v>
      </c>
      <c r="L1066" t="s">
        <v>34</v>
      </c>
      <c r="M1066" s="2">
        <v>45695</v>
      </c>
      <c r="N1066" s="2">
        <v>45694</v>
      </c>
      <c r="O1066" t="s">
        <v>43</v>
      </c>
      <c r="P1066" t="s">
        <v>115</v>
      </c>
      <c r="Q1066" t="s">
        <v>28</v>
      </c>
      <c r="R1066" t="s">
        <v>29</v>
      </c>
      <c r="S1066">
        <v>2025</v>
      </c>
      <c r="T1066" t="s">
        <v>2757</v>
      </c>
      <c r="U1066" t="s">
        <v>2768</v>
      </c>
      <c r="V1066" s="4">
        <v>0</v>
      </c>
      <c r="W1066" s="4">
        <v>1</v>
      </c>
    </row>
    <row r="1067" spans="1:23">
      <c r="A1067" t="s">
        <v>1198</v>
      </c>
      <c r="B1067" s="2">
        <v>45678</v>
      </c>
      <c r="C1067" t="s">
        <v>104</v>
      </c>
      <c r="D1067" t="s">
        <v>105</v>
      </c>
      <c r="E1067" t="s">
        <v>48</v>
      </c>
      <c r="F1067" t="s">
        <v>49</v>
      </c>
      <c r="G1067" t="s">
        <v>165</v>
      </c>
      <c r="H1067" t="s">
        <v>166</v>
      </c>
      <c r="I1067">
        <v>1</v>
      </c>
      <c r="J1067" s="3">
        <v>43983.35</v>
      </c>
      <c r="K1067" s="3">
        <v>43983.35</v>
      </c>
      <c r="L1067" t="s">
        <v>25</v>
      </c>
      <c r="M1067" s="2">
        <v>45694</v>
      </c>
      <c r="N1067" s="2">
        <v>45691</v>
      </c>
      <c r="O1067" t="s">
        <v>76</v>
      </c>
      <c r="P1067" t="s">
        <v>53</v>
      </c>
      <c r="Q1067" t="s">
        <v>28</v>
      </c>
      <c r="R1067" t="s">
        <v>29</v>
      </c>
      <c r="S1067">
        <v>2025</v>
      </c>
      <c r="T1067" t="s">
        <v>2757</v>
      </c>
      <c r="U1067" t="s">
        <v>2768</v>
      </c>
      <c r="V1067" s="4">
        <v>0</v>
      </c>
      <c r="W1067" s="4">
        <v>1</v>
      </c>
    </row>
    <row r="1068" spans="1:23">
      <c r="A1068" t="s">
        <v>1199</v>
      </c>
      <c r="B1068" s="2">
        <v>46023</v>
      </c>
      <c r="C1068" t="s">
        <v>89</v>
      </c>
      <c r="D1068" t="s">
        <v>90</v>
      </c>
      <c r="E1068" t="s">
        <v>31</v>
      </c>
      <c r="F1068" t="s">
        <v>91</v>
      </c>
      <c r="G1068" t="s">
        <v>92</v>
      </c>
      <c r="H1068" t="s">
        <v>93</v>
      </c>
      <c r="I1068">
        <v>1</v>
      </c>
      <c r="J1068" s="3">
        <v>43562.47</v>
      </c>
      <c r="K1068" s="3">
        <v>43562.47</v>
      </c>
      <c r="L1068" t="s">
        <v>25</v>
      </c>
      <c r="M1068" s="2">
        <v>46035</v>
      </c>
      <c r="N1068" s="2">
        <v>46033</v>
      </c>
      <c r="O1068" t="s">
        <v>60</v>
      </c>
      <c r="P1068" t="s">
        <v>94</v>
      </c>
      <c r="Q1068" t="s">
        <v>28</v>
      </c>
      <c r="R1068" t="s">
        <v>29</v>
      </c>
      <c r="S1068">
        <v>2026</v>
      </c>
      <c r="T1068" t="s">
        <v>2757</v>
      </c>
      <c r="U1068" t="s">
        <v>2758</v>
      </c>
      <c r="V1068" s="4">
        <v>0</v>
      </c>
      <c r="W1068" s="4">
        <v>1</v>
      </c>
    </row>
    <row r="1069" spans="1:23">
      <c r="A1069" t="s">
        <v>1200</v>
      </c>
      <c r="B1069" s="2">
        <v>45736</v>
      </c>
      <c r="C1069" t="s">
        <v>37</v>
      </c>
      <c r="D1069" t="s">
        <v>38</v>
      </c>
      <c r="E1069" t="s">
        <v>112</v>
      </c>
      <c r="F1069" t="s">
        <v>22</v>
      </c>
      <c r="G1069" t="s">
        <v>160</v>
      </c>
      <c r="H1069" t="s">
        <v>161</v>
      </c>
      <c r="I1069">
        <v>7</v>
      </c>
      <c r="J1069" s="3">
        <v>3495.72</v>
      </c>
      <c r="K1069" s="3">
        <v>24470.04</v>
      </c>
      <c r="L1069" t="s">
        <v>25</v>
      </c>
      <c r="M1069" s="2">
        <v>45749</v>
      </c>
      <c r="N1069" s="2">
        <v>45749</v>
      </c>
      <c r="O1069" t="s">
        <v>60</v>
      </c>
      <c r="P1069" t="s">
        <v>115</v>
      </c>
      <c r="Q1069" t="s">
        <v>28</v>
      </c>
      <c r="R1069" t="s">
        <v>29</v>
      </c>
      <c r="S1069">
        <v>2025</v>
      </c>
      <c r="T1069" t="s">
        <v>2747</v>
      </c>
      <c r="U1069" t="s">
        <v>2748</v>
      </c>
      <c r="V1069" s="4">
        <v>0</v>
      </c>
      <c r="W1069" s="4">
        <v>1</v>
      </c>
    </row>
    <row r="1070" spans="1:23">
      <c r="A1070" t="s">
        <v>1201</v>
      </c>
      <c r="B1070" s="2">
        <v>45881</v>
      </c>
      <c r="C1070" t="s">
        <v>142</v>
      </c>
      <c r="D1070" t="s">
        <v>143</v>
      </c>
      <c r="E1070" t="s">
        <v>39</v>
      </c>
      <c r="F1070" t="s">
        <v>22</v>
      </c>
      <c r="G1070" t="s">
        <v>32</v>
      </c>
      <c r="H1070" t="s">
        <v>33</v>
      </c>
      <c r="I1070">
        <v>11</v>
      </c>
      <c r="J1070" s="3">
        <v>8183.9</v>
      </c>
      <c r="K1070" s="3">
        <v>90022.9</v>
      </c>
      <c r="L1070" t="s">
        <v>25</v>
      </c>
      <c r="M1070" s="2">
        <v>45895</v>
      </c>
      <c r="N1070" s="2">
        <v>45894</v>
      </c>
      <c r="O1070" t="s">
        <v>26</v>
      </c>
      <c r="P1070" t="s">
        <v>64</v>
      </c>
      <c r="Q1070" t="s">
        <v>28</v>
      </c>
      <c r="R1070" t="s">
        <v>29</v>
      </c>
      <c r="S1070">
        <v>2025</v>
      </c>
      <c r="T1070" t="s">
        <v>2761</v>
      </c>
      <c r="U1070" t="s">
        <v>2762</v>
      </c>
      <c r="V1070" s="4">
        <v>0</v>
      </c>
      <c r="W1070" s="4">
        <v>1</v>
      </c>
    </row>
    <row r="1071" spans="1:23">
      <c r="A1071" t="s">
        <v>1202</v>
      </c>
      <c r="B1071" s="2">
        <v>45904</v>
      </c>
      <c r="C1071" t="s">
        <v>71</v>
      </c>
      <c r="D1071" t="s">
        <v>72</v>
      </c>
      <c r="E1071" t="s">
        <v>48</v>
      </c>
      <c r="F1071" t="s">
        <v>57</v>
      </c>
      <c r="G1071" t="s">
        <v>120</v>
      </c>
      <c r="H1071" t="s">
        <v>121</v>
      </c>
      <c r="I1071">
        <v>8</v>
      </c>
      <c r="J1071" s="3">
        <v>20998.75</v>
      </c>
      <c r="K1071" s="3">
        <v>167990</v>
      </c>
      <c r="L1071" t="s">
        <v>52</v>
      </c>
      <c r="M1071" s="2">
        <v>45922</v>
      </c>
      <c r="N1071" s="2">
        <v>45919</v>
      </c>
      <c r="O1071" t="s">
        <v>43</v>
      </c>
      <c r="P1071" t="s">
        <v>53</v>
      </c>
      <c r="Q1071" t="s">
        <v>28</v>
      </c>
      <c r="R1071" t="s">
        <v>29</v>
      </c>
      <c r="S1071">
        <v>2025</v>
      </c>
      <c r="T1071" t="s">
        <v>2753</v>
      </c>
      <c r="U1071" t="s">
        <v>2754</v>
      </c>
      <c r="V1071" s="4">
        <v>0</v>
      </c>
      <c r="W1071" s="4">
        <v>1</v>
      </c>
    </row>
    <row r="1072" spans="1:23">
      <c r="A1072" t="s">
        <v>1203</v>
      </c>
      <c r="B1072" s="2">
        <v>46173</v>
      </c>
      <c r="C1072" t="s">
        <v>134</v>
      </c>
      <c r="D1072" t="s">
        <v>135</v>
      </c>
      <c r="E1072" t="s">
        <v>112</v>
      </c>
      <c r="F1072" t="s">
        <v>40</v>
      </c>
      <c r="G1072" t="s">
        <v>41</v>
      </c>
      <c r="H1072" t="s">
        <v>42</v>
      </c>
      <c r="I1072">
        <v>6</v>
      </c>
      <c r="J1072" s="3">
        <v>5353.59</v>
      </c>
      <c r="K1072" s="3">
        <v>32121.54</v>
      </c>
      <c r="L1072" t="s">
        <v>25</v>
      </c>
      <c r="M1072" s="2">
        <v>46190</v>
      </c>
      <c r="N1072" s="2">
        <v>46189</v>
      </c>
      <c r="O1072" t="s">
        <v>43</v>
      </c>
      <c r="P1072" t="s">
        <v>115</v>
      </c>
      <c r="Q1072" t="s">
        <v>28</v>
      </c>
      <c r="R1072" t="s">
        <v>29</v>
      </c>
      <c r="S1072">
        <v>2026</v>
      </c>
      <c r="T1072" t="s">
        <v>2766</v>
      </c>
      <c r="U1072" t="s">
        <v>2769</v>
      </c>
      <c r="V1072" s="4">
        <v>0</v>
      </c>
      <c r="W1072" s="4">
        <v>1</v>
      </c>
    </row>
    <row r="1073" spans="1:23">
      <c r="A1073" t="s">
        <v>1204</v>
      </c>
      <c r="B1073" s="2">
        <v>45939</v>
      </c>
      <c r="C1073" t="s">
        <v>117</v>
      </c>
      <c r="D1073" t="s">
        <v>118</v>
      </c>
      <c r="E1073" t="s">
        <v>48</v>
      </c>
      <c r="F1073" t="s">
        <v>57</v>
      </c>
      <c r="G1073" t="s">
        <v>120</v>
      </c>
      <c r="H1073" t="s">
        <v>121</v>
      </c>
      <c r="I1073">
        <v>4</v>
      </c>
      <c r="J1073" s="3">
        <v>21524</v>
      </c>
      <c r="K1073" s="3">
        <v>86096</v>
      </c>
      <c r="L1073" t="s">
        <v>25</v>
      </c>
      <c r="M1073" s="2">
        <v>45947</v>
      </c>
      <c r="N1073" s="2">
        <v>45944</v>
      </c>
      <c r="O1073" t="s">
        <v>60</v>
      </c>
      <c r="P1073" t="s">
        <v>53</v>
      </c>
      <c r="Q1073" t="s">
        <v>28</v>
      </c>
      <c r="R1073" t="s">
        <v>29</v>
      </c>
      <c r="S1073">
        <v>2025</v>
      </c>
      <c r="T1073" t="s">
        <v>2749</v>
      </c>
      <c r="U1073" t="s">
        <v>2750</v>
      </c>
      <c r="V1073" s="4">
        <v>0</v>
      </c>
      <c r="W1073" s="4">
        <v>1</v>
      </c>
    </row>
    <row r="1074" spans="1:23">
      <c r="A1074" t="s">
        <v>1205</v>
      </c>
      <c r="B1074" s="2">
        <v>45795</v>
      </c>
      <c r="C1074" t="s">
        <v>71</v>
      </c>
      <c r="D1074" t="s">
        <v>72</v>
      </c>
      <c r="E1074" t="s">
        <v>48</v>
      </c>
      <c r="F1074" t="s">
        <v>57</v>
      </c>
      <c r="G1074" t="s">
        <v>58</v>
      </c>
      <c r="H1074" t="s">
        <v>59</v>
      </c>
      <c r="I1074">
        <v>5</v>
      </c>
      <c r="J1074" s="3">
        <v>55322.61</v>
      </c>
      <c r="K1074" s="3">
        <v>276613.05</v>
      </c>
      <c r="L1074" t="s">
        <v>34</v>
      </c>
      <c r="M1074" s="2">
        <v>45813</v>
      </c>
      <c r="N1074" s="2">
        <v>45812</v>
      </c>
      <c r="O1074" t="s">
        <v>26</v>
      </c>
      <c r="P1074" t="s">
        <v>53</v>
      </c>
      <c r="Q1074" t="s">
        <v>28</v>
      </c>
      <c r="R1074" t="s">
        <v>29</v>
      </c>
      <c r="S1074">
        <v>2025</v>
      </c>
      <c r="T1074" t="s">
        <v>2766</v>
      </c>
      <c r="U1074" t="s">
        <v>2767</v>
      </c>
      <c r="V1074" s="4">
        <v>0</v>
      </c>
      <c r="W1074" s="4">
        <v>1</v>
      </c>
    </row>
    <row r="1075" spans="1:23">
      <c r="A1075" t="s">
        <v>1206</v>
      </c>
      <c r="B1075" s="2">
        <v>46045</v>
      </c>
      <c r="C1075" t="s">
        <v>71</v>
      </c>
      <c r="D1075" t="s">
        <v>72</v>
      </c>
      <c r="E1075" t="s">
        <v>73</v>
      </c>
      <c r="F1075" t="s">
        <v>57</v>
      </c>
      <c r="G1075" t="s">
        <v>86</v>
      </c>
      <c r="H1075" t="s">
        <v>87</v>
      </c>
      <c r="I1075">
        <v>2</v>
      </c>
      <c r="J1075" s="3">
        <v>10603.36</v>
      </c>
      <c r="K1075" s="3">
        <v>21206.720000000001</v>
      </c>
      <c r="L1075" t="s">
        <v>25</v>
      </c>
      <c r="M1075" s="2">
        <v>46051</v>
      </c>
      <c r="N1075" s="2">
        <v>46050</v>
      </c>
      <c r="O1075" t="s">
        <v>60</v>
      </c>
      <c r="P1075" t="s">
        <v>77</v>
      </c>
      <c r="Q1075" t="s">
        <v>28</v>
      </c>
      <c r="R1075" t="s">
        <v>29</v>
      </c>
      <c r="S1075">
        <v>2026</v>
      </c>
      <c r="T1075" t="s">
        <v>2757</v>
      </c>
      <c r="U1075" t="s">
        <v>2758</v>
      </c>
      <c r="V1075" s="4">
        <v>0</v>
      </c>
      <c r="W1075" s="4">
        <v>1</v>
      </c>
    </row>
    <row r="1076" spans="1:23">
      <c r="A1076" t="s">
        <v>1207</v>
      </c>
      <c r="B1076" s="2">
        <v>46103</v>
      </c>
      <c r="C1076" t="s">
        <v>66</v>
      </c>
      <c r="D1076" t="s">
        <v>67</v>
      </c>
      <c r="E1076" t="s">
        <v>48</v>
      </c>
      <c r="F1076" t="s">
        <v>49</v>
      </c>
      <c r="G1076" t="s">
        <v>165</v>
      </c>
      <c r="H1076" t="s">
        <v>166</v>
      </c>
      <c r="I1076">
        <v>3</v>
      </c>
      <c r="J1076" s="3">
        <v>42522.33</v>
      </c>
      <c r="K1076" s="3">
        <v>127566.99</v>
      </c>
      <c r="L1076" t="s">
        <v>52</v>
      </c>
      <c r="M1076" s="2">
        <v>46116</v>
      </c>
      <c r="N1076" s="2">
        <v>46115</v>
      </c>
      <c r="O1076" t="s">
        <v>60</v>
      </c>
      <c r="P1076" t="s">
        <v>53</v>
      </c>
      <c r="Q1076" t="s">
        <v>28</v>
      </c>
      <c r="R1076" t="s">
        <v>29</v>
      </c>
      <c r="S1076">
        <v>2026</v>
      </c>
      <c r="T1076" t="s">
        <v>2747</v>
      </c>
      <c r="U1076" t="s">
        <v>2755</v>
      </c>
      <c r="V1076" s="4">
        <v>0</v>
      </c>
      <c r="W1076" s="4">
        <v>1</v>
      </c>
    </row>
    <row r="1077" spans="1:23">
      <c r="A1077" t="s">
        <v>1208</v>
      </c>
      <c r="B1077" s="2">
        <v>46113</v>
      </c>
      <c r="C1077" t="s">
        <v>37</v>
      </c>
      <c r="D1077" t="s">
        <v>38</v>
      </c>
      <c r="E1077" t="s">
        <v>21</v>
      </c>
      <c r="F1077" t="s">
        <v>22</v>
      </c>
      <c r="G1077" t="s">
        <v>32</v>
      </c>
      <c r="H1077" t="s">
        <v>33</v>
      </c>
      <c r="I1077">
        <v>4</v>
      </c>
      <c r="J1077" s="3">
        <v>8639.83</v>
      </c>
      <c r="K1077" s="3">
        <v>34559.32</v>
      </c>
      <c r="L1077" t="s">
        <v>52</v>
      </c>
      <c r="M1077" s="2">
        <v>46124</v>
      </c>
      <c r="N1077" s="2">
        <v>46121</v>
      </c>
      <c r="O1077" t="s">
        <v>43</v>
      </c>
      <c r="P1077" t="s">
        <v>27</v>
      </c>
      <c r="Q1077" t="s">
        <v>28</v>
      </c>
      <c r="R1077" t="s">
        <v>29</v>
      </c>
      <c r="S1077">
        <v>2026</v>
      </c>
      <c r="T1077" t="s">
        <v>2741</v>
      </c>
      <c r="U1077" t="s">
        <v>2770</v>
      </c>
      <c r="V1077" s="4">
        <v>0</v>
      </c>
      <c r="W1077" s="4">
        <v>1</v>
      </c>
    </row>
    <row r="1078" spans="1:23">
      <c r="A1078" t="s">
        <v>1209</v>
      </c>
      <c r="B1078" s="2">
        <v>45713</v>
      </c>
      <c r="C1078" t="s">
        <v>71</v>
      </c>
      <c r="D1078" t="s">
        <v>72</v>
      </c>
      <c r="E1078" t="s">
        <v>48</v>
      </c>
      <c r="F1078" t="s">
        <v>57</v>
      </c>
      <c r="G1078" t="s">
        <v>127</v>
      </c>
      <c r="H1078" t="s">
        <v>128</v>
      </c>
      <c r="I1078">
        <v>3</v>
      </c>
      <c r="J1078" s="3">
        <v>15927.65</v>
      </c>
      <c r="K1078" s="3">
        <v>47782.95</v>
      </c>
      <c r="L1078" t="s">
        <v>34</v>
      </c>
      <c r="M1078" s="2">
        <v>45718</v>
      </c>
      <c r="N1078" s="2">
        <v>45717</v>
      </c>
      <c r="O1078" t="s">
        <v>26</v>
      </c>
      <c r="P1078" t="s">
        <v>53</v>
      </c>
      <c r="Q1078" t="s">
        <v>28</v>
      </c>
      <c r="R1078" t="s">
        <v>29</v>
      </c>
      <c r="S1078">
        <v>2025</v>
      </c>
      <c r="T1078" t="s">
        <v>2751</v>
      </c>
      <c r="U1078" t="s">
        <v>2752</v>
      </c>
      <c r="V1078" s="4">
        <v>0</v>
      </c>
      <c r="W1078" s="4">
        <v>1</v>
      </c>
    </row>
    <row r="1079" spans="1:23">
      <c r="A1079" t="s">
        <v>1210</v>
      </c>
      <c r="B1079" s="2">
        <v>45733</v>
      </c>
      <c r="C1079" t="s">
        <v>71</v>
      </c>
      <c r="D1079" t="s">
        <v>72</v>
      </c>
      <c r="E1079" t="s">
        <v>31</v>
      </c>
      <c r="F1079" t="s">
        <v>57</v>
      </c>
      <c r="G1079" t="s">
        <v>127</v>
      </c>
      <c r="H1079" t="s">
        <v>128</v>
      </c>
      <c r="I1079">
        <v>6</v>
      </c>
      <c r="J1079" s="3">
        <v>15033.75</v>
      </c>
      <c r="K1079" s="3">
        <v>90202.5</v>
      </c>
      <c r="L1079" t="s">
        <v>25</v>
      </c>
      <c r="M1079" s="2">
        <v>45746</v>
      </c>
      <c r="N1079" s="2">
        <v>45750</v>
      </c>
      <c r="O1079" t="s">
        <v>60</v>
      </c>
      <c r="P1079" t="s">
        <v>94</v>
      </c>
      <c r="Q1079" t="s">
        <v>28</v>
      </c>
      <c r="R1079" t="s">
        <v>129</v>
      </c>
      <c r="S1079">
        <v>2025</v>
      </c>
      <c r="T1079" t="s">
        <v>2747</v>
      </c>
      <c r="U1079" t="s">
        <v>2748</v>
      </c>
      <c r="V1079" s="4">
        <v>4</v>
      </c>
      <c r="W1079" s="4">
        <v>0</v>
      </c>
    </row>
    <row r="1080" spans="1:23">
      <c r="A1080" t="s">
        <v>1211</v>
      </c>
      <c r="B1080" s="2">
        <v>45749</v>
      </c>
      <c r="C1080" t="s">
        <v>107</v>
      </c>
      <c r="D1080" t="s">
        <v>108</v>
      </c>
      <c r="E1080" t="s">
        <v>31</v>
      </c>
      <c r="F1080" t="s">
        <v>91</v>
      </c>
      <c r="G1080" t="s">
        <v>109</v>
      </c>
      <c r="H1080" t="s">
        <v>110</v>
      </c>
      <c r="I1080">
        <v>1</v>
      </c>
      <c r="J1080" s="3">
        <v>13876.57</v>
      </c>
      <c r="K1080" s="3">
        <v>13876.57</v>
      </c>
      <c r="L1080" t="s">
        <v>52</v>
      </c>
      <c r="M1080" s="2">
        <v>45761</v>
      </c>
      <c r="N1080" s="2">
        <v>45759</v>
      </c>
      <c r="O1080" t="s">
        <v>76</v>
      </c>
      <c r="P1080" t="s">
        <v>94</v>
      </c>
      <c r="Q1080" t="s">
        <v>28</v>
      </c>
      <c r="R1080" t="s">
        <v>29</v>
      </c>
      <c r="S1080">
        <v>2025</v>
      </c>
      <c r="T1080" t="s">
        <v>2741</v>
      </c>
      <c r="U1080" t="s">
        <v>2742</v>
      </c>
      <c r="V1080" s="4">
        <v>0</v>
      </c>
      <c r="W1080" s="4">
        <v>1</v>
      </c>
    </row>
    <row r="1081" spans="1:23">
      <c r="A1081" t="s">
        <v>1212</v>
      </c>
      <c r="B1081" s="2">
        <v>45689</v>
      </c>
      <c r="C1081" t="s">
        <v>80</v>
      </c>
      <c r="D1081" t="s">
        <v>81</v>
      </c>
      <c r="E1081" t="s">
        <v>39</v>
      </c>
      <c r="F1081" t="s">
        <v>82</v>
      </c>
      <c r="G1081" t="s">
        <v>197</v>
      </c>
      <c r="H1081" t="s">
        <v>198</v>
      </c>
      <c r="I1081">
        <v>17</v>
      </c>
      <c r="J1081" s="3">
        <v>1930.04</v>
      </c>
      <c r="K1081" s="3">
        <v>32810.68</v>
      </c>
      <c r="L1081" t="s">
        <v>25</v>
      </c>
      <c r="M1081" s="2">
        <v>45701</v>
      </c>
      <c r="N1081" s="2">
        <v>45701</v>
      </c>
      <c r="O1081" t="s">
        <v>76</v>
      </c>
      <c r="P1081" t="s">
        <v>64</v>
      </c>
      <c r="Q1081" t="s">
        <v>28</v>
      </c>
      <c r="R1081" t="s">
        <v>29</v>
      </c>
      <c r="S1081">
        <v>2025</v>
      </c>
      <c r="T1081" t="s">
        <v>2751</v>
      </c>
      <c r="U1081" t="s">
        <v>2752</v>
      </c>
      <c r="V1081" s="4">
        <v>0</v>
      </c>
      <c r="W1081" s="4">
        <v>1</v>
      </c>
    </row>
    <row r="1082" spans="1:23">
      <c r="A1082" t="s">
        <v>1213</v>
      </c>
      <c r="B1082" s="2">
        <v>46019</v>
      </c>
      <c r="C1082" t="s">
        <v>104</v>
      </c>
      <c r="D1082" t="s">
        <v>105</v>
      </c>
      <c r="E1082" t="s">
        <v>48</v>
      </c>
      <c r="F1082" t="s">
        <v>49</v>
      </c>
      <c r="G1082" t="s">
        <v>165</v>
      </c>
      <c r="H1082" t="s">
        <v>166</v>
      </c>
      <c r="I1082">
        <v>1</v>
      </c>
      <c r="J1082" s="3">
        <v>43544.41</v>
      </c>
      <c r="K1082" s="3">
        <v>43544.41</v>
      </c>
      <c r="L1082" t="s">
        <v>25</v>
      </c>
      <c r="M1082" s="2">
        <v>46033</v>
      </c>
      <c r="N1082" s="2">
        <v>46030</v>
      </c>
      <c r="O1082" t="s">
        <v>43</v>
      </c>
      <c r="P1082" t="s">
        <v>53</v>
      </c>
      <c r="Q1082" t="s">
        <v>28</v>
      </c>
      <c r="R1082" t="s">
        <v>29</v>
      </c>
      <c r="S1082">
        <v>2025</v>
      </c>
      <c r="T1082" t="s">
        <v>2745</v>
      </c>
      <c r="U1082" t="s">
        <v>2746</v>
      </c>
      <c r="V1082" s="4">
        <v>0</v>
      </c>
      <c r="W1082" s="4">
        <v>1</v>
      </c>
    </row>
    <row r="1083" spans="1:23">
      <c r="A1083" t="s">
        <v>1214</v>
      </c>
      <c r="B1083" s="2">
        <v>45953</v>
      </c>
      <c r="C1083" t="s">
        <v>104</v>
      </c>
      <c r="D1083" t="s">
        <v>105</v>
      </c>
      <c r="E1083" t="s">
        <v>48</v>
      </c>
      <c r="F1083" t="s">
        <v>49</v>
      </c>
      <c r="G1083" t="s">
        <v>68</v>
      </c>
      <c r="H1083" t="s">
        <v>69</v>
      </c>
      <c r="I1083">
        <v>2</v>
      </c>
      <c r="J1083" s="3">
        <v>48270.86</v>
      </c>
      <c r="K1083" s="3">
        <v>96541.72</v>
      </c>
      <c r="L1083" t="s">
        <v>25</v>
      </c>
      <c r="M1083" s="2">
        <v>45958</v>
      </c>
      <c r="N1083" s="2">
        <v>45960</v>
      </c>
      <c r="O1083" t="s">
        <v>76</v>
      </c>
      <c r="P1083" t="s">
        <v>53</v>
      </c>
      <c r="Q1083" t="s">
        <v>28</v>
      </c>
      <c r="R1083" t="s">
        <v>129</v>
      </c>
      <c r="S1083">
        <v>2025</v>
      </c>
      <c r="T1083" t="s">
        <v>2749</v>
      </c>
      <c r="U1083" t="s">
        <v>2750</v>
      </c>
      <c r="V1083" s="4">
        <v>2</v>
      </c>
      <c r="W1083" s="4">
        <v>0</v>
      </c>
    </row>
    <row r="1084" spans="1:23">
      <c r="A1084" t="s">
        <v>1215</v>
      </c>
      <c r="B1084" s="2">
        <v>46044</v>
      </c>
      <c r="C1084" t="s">
        <v>46</v>
      </c>
      <c r="D1084" t="s">
        <v>47</v>
      </c>
      <c r="E1084" t="s">
        <v>21</v>
      </c>
      <c r="F1084" t="s">
        <v>49</v>
      </c>
      <c r="G1084" t="s">
        <v>165</v>
      </c>
      <c r="H1084" t="s">
        <v>166</v>
      </c>
      <c r="I1084">
        <v>3</v>
      </c>
      <c r="J1084" s="3">
        <v>47531.45</v>
      </c>
      <c r="K1084" s="3">
        <v>142594.35</v>
      </c>
      <c r="L1084" t="s">
        <v>34</v>
      </c>
      <c r="M1084" s="2">
        <v>46050</v>
      </c>
      <c r="N1084" s="2">
        <v>46049</v>
      </c>
      <c r="O1084" t="s">
        <v>26</v>
      </c>
      <c r="P1084" t="s">
        <v>27</v>
      </c>
      <c r="Q1084" t="s">
        <v>28</v>
      </c>
      <c r="R1084" t="s">
        <v>29</v>
      </c>
      <c r="S1084">
        <v>2026</v>
      </c>
      <c r="T1084" t="s">
        <v>2757</v>
      </c>
      <c r="U1084" t="s">
        <v>2758</v>
      </c>
      <c r="V1084" s="4">
        <v>0</v>
      </c>
      <c r="W1084" s="4">
        <v>1</v>
      </c>
    </row>
    <row r="1085" spans="1:23">
      <c r="A1085" t="s">
        <v>1216</v>
      </c>
      <c r="B1085" s="2">
        <v>46032</v>
      </c>
      <c r="C1085" t="s">
        <v>80</v>
      </c>
      <c r="D1085" t="s">
        <v>81</v>
      </c>
      <c r="E1085" t="s">
        <v>39</v>
      </c>
      <c r="F1085" t="s">
        <v>82</v>
      </c>
      <c r="G1085" t="s">
        <v>98</v>
      </c>
      <c r="H1085" t="s">
        <v>99</v>
      </c>
      <c r="I1085">
        <v>7</v>
      </c>
      <c r="J1085" s="3">
        <v>1103.1300000000001</v>
      </c>
      <c r="K1085" s="3">
        <v>7721.91</v>
      </c>
      <c r="L1085" t="s">
        <v>25</v>
      </c>
      <c r="M1085" s="2">
        <v>46047</v>
      </c>
      <c r="N1085" s="2">
        <v>46044</v>
      </c>
      <c r="O1085" t="s">
        <v>60</v>
      </c>
      <c r="P1085" t="s">
        <v>44</v>
      </c>
      <c r="Q1085" t="s">
        <v>28</v>
      </c>
      <c r="R1085" t="s">
        <v>29</v>
      </c>
      <c r="S1085">
        <v>2026</v>
      </c>
      <c r="T1085" t="s">
        <v>2757</v>
      </c>
      <c r="U1085" t="s">
        <v>2758</v>
      </c>
      <c r="V1085" s="4">
        <v>0</v>
      </c>
      <c r="W1085" s="4">
        <v>1</v>
      </c>
    </row>
    <row r="1086" spans="1:23">
      <c r="A1086" t="s">
        <v>1217</v>
      </c>
      <c r="B1086" s="2">
        <v>46196</v>
      </c>
      <c r="C1086" t="s">
        <v>147</v>
      </c>
      <c r="D1086" t="s">
        <v>148</v>
      </c>
      <c r="E1086" t="s">
        <v>39</v>
      </c>
      <c r="F1086" t="s">
        <v>40</v>
      </c>
      <c r="G1086" t="s">
        <v>41</v>
      </c>
      <c r="H1086" t="s">
        <v>42</v>
      </c>
      <c r="I1086">
        <v>5</v>
      </c>
      <c r="J1086" s="3">
        <v>5380.33</v>
      </c>
      <c r="K1086" s="3">
        <v>26901.65</v>
      </c>
      <c r="L1086" t="s">
        <v>34</v>
      </c>
      <c r="M1086" s="2">
        <v>46214</v>
      </c>
      <c r="N1086" s="2"/>
      <c r="O1086" t="s">
        <v>26</v>
      </c>
      <c r="P1086" t="s">
        <v>44</v>
      </c>
      <c r="Q1086" t="s">
        <v>167</v>
      </c>
      <c r="R1086" t="s">
        <v>167</v>
      </c>
      <c r="S1086">
        <v>2026</v>
      </c>
      <c r="T1086" t="s">
        <v>2743</v>
      </c>
      <c r="U1086" t="s">
        <v>2744</v>
      </c>
      <c r="V1086" s="4"/>
      <c r="W1086" s="4"/>
    </row>
    <row r="1087" spans="1:23">
      <c r="A1087" t="s">
        <v>1218</v>
      </c>
      <c r="B1087" s="2">
        <v>45912</v>
      </c>
      <c r="C1087" t="s">
        <v>19</v>
      </c>
      <c r="D1087" t="s">
        <v>20</v>
      </c>
      <c r="E1087" t="s">
        <v>73</v>
      </c>
      <c r="F1087" t="s">
        <v>22</v>
      </c>
      <c r="G1087" t="s">
        <v>32</v>
      </c>
      <c r="H1087" t="s">
        <v>33</v>
      </c>
      <c r="I1087">
        <v>4</v>
      </c>
      <c r="J1087" s="3">
        <v>7224.79</v>
      </c>
      <c r="K1087" s="3">
        <v>28899.16</v>
      </c>
      <c r="L1087" t="s">
        <v>34</v>
      </c>
      <c r="M1087" s="2">
        <v>45919</v>
      </c>
      <c r="N1087" s="2">
        <v>45918</v>
      </c>
      <c r="O1087" t="s">
        <v>76</v>
      </c>
      <c r="P1087" t="s">
        <v>77</v>
      </c>
      <c r="Q1087" t="s">
        <v>28</v>
      </c>
      <c r="R1087" t="s">
        <v>29</v>
      </c>
      <c r="S1087">
        <v>2025</v>
      </c>
      <c r="T1087" t="s">
        <v>2753</v>
      </c>
      <c r="U1087" t="s">
        <v>2754</v>
      </c>
      <c r="V1087" s="4">
        <v>0</v>
      </c>
      <c r="W1087" s="4">
        <v>1</v>
      </c>
    </row>
    <row r="1088" spans="1:23">
      <c r="A1088" t="s">
        <v>1219</v>
      </c>
      <c r="B1088" s="2">
        <v>46192</v>
      </c>
      <c r="C1088" t="s">
        <v>104</v>
      </c>
      <c r="D1088" t="s">
        <v>105</v>
      </c>
      <c r="E1088" t="s">
        <v>48</v>
      </c>
      <c r="F1088" t="s">
        <v>49</v>
      </c>
      <c r="G1088" t="s">
        <v>68</v>
      </c>
      <c r="H1088" t="s">
        <v>69</v>
      </c>
      <c r="I1088">
        <v>2</v>
      </c>
      <c r="J1088" s="3">
        <v>46169.46</v>
      </c>
      <c r="K1088" s="3">
        <v>92338.92</v>
      </c>
      <c r="L1088" t="s">
        <v>34</v>
      </c>
      <c r="M1088" s="2">
        <v>46209</v>
      </c>
      <c r="N1088" s="2">
        <v>46207</v>
      </c>
      <c r="O1088" t="s">
        <v>60</v>
      </c>
      <c r="P1088" t="s">
        <v>53</v>
      </c>
      <c r="Q1088" t="s">
        <v>28</v>
      </c>
      <c r="R1088" t="s">
        <v>29</v>
      </c>
      <c r="S1088">
        <v>2026</v>
      </c>
      <c r="T1088" t="s">
        <v>2743</v>
      </c>
      <c r="U1088" t="s">
        <v>2744</v>
      </c>
      <c r="V1088" s="4">
        <v>0</v>
      </c>
      <c r="W1088" s="4">
        <v>1</v>
      </c>
    </row>
    <row r="1089" spans="1:23">
      <c r="A1089" t="s">
        <v>1220</v>
      </c>
      <c r="B1089" s="2">
        <v>45764</v>
      </c>
      <c r="C1089" t="s">
        <v>131</v>
      </c>
      <c r="D1089" t="s">
        <v>132</v>
      </c>
      <c r="E1089" t="s">
        <v>48</v>
      </c>
      <c r="F1089" t="s">
        <v>57</v>
      </c>
      <c r="G1089" t="s">
        <v>74</v>
      </c>
      <c r="H1089" t="s">
        <v>75</v>
      </c>
      <c r="I1089">
        <v>5</v>
      </c>
      <c r="J1089" s="3">
        <v>9386.5</v>
      </c>
      <c r="K1089" s="3">
        <v>46932.5</v>
      </c>
      <c r="L1089" t="s">
        <v>52</v>
      </c>
      <c r="M1089" s="2">
        <v>45779</v>
      </c>
      <c r="N1089" s="2">
        <v>45777</v>
      </c>
      <c r="O1089" t="s">
        <v>76</v>
      </c>
      <c r="P1089" t="s">
        <v>53</v>
      </c>
      <c r="Q1089" t="s">
        <v>28</v>
      </c>
      <c r="R1089" t="s">
        <v>29</v>
      </c>
      <c r="S1089">
        <v>2025</v>
      </c>
      <c r="T1089" t="s">
        <v>2741</v>
      </c>
      <c r="U1089" t="s">
        <v>2742</v>
      </c>
      <c r="V1089" s="4">
        <v>0</v>
      </c>
      <c r="W1089" s="4">
        <v>1</v>
      </c>
    </row>
    <row r="1090" spans="1:23">
      <c r="A1090" t="s">
        <v>1221</v>
      </c>
      <c r="B1090" s="2">
        <v>45701</v>
      </c>
      <c r="C1090" t="s">
        <v>46</v>
      </c>
      <c r="D1090" t="s">
        <v>47</v>
      </c>
      <c r="E1090" t="s">
        <v>48</v>
      </c>
      <c r="F1090" t="s">
        <v>49</v>
      </c>
      <c r="G1090" t="s">
        <v>165</v>
      </c>
      <c r="H1090" t="s">
        <v>166</v>
      </c>
      <c r="I1090">
        <v>1</v>
      </c>
      <c r="J1090" s="3">
        <v>46594.6</v>
      </c>
      <c r="K1090" s="3">
        <v>46594.6</v>
      </c>
      <c r="L1090" t="s">
        <v>34</v>
      </c>
      <c r="M1090" s="2">
        <v>45719</v>
      </c>
      <c r="N1090" s="2">
        <v>45719</v>
      </c>
      <c r="O1090" t="s">
        <v>60</v>
      </c>
      <c r="P1090" t="s">
        <v>53</v>
      </c>
      <c r="Q1090" t="s">
        <v>28</v>
      </c>
      <c r="R1090" t="s">
        <v>29</v>
      </c>
      <c r="S1090">
        <v>2025</v>
      </c>
      <c r="T1090" t="s">
        <v>2751</v>
      </c>
      <c r="U1090" t="s">
        <v>2752</v>
      </c>
      <c r="V1090" s="4">
        <v>0</v>
      </c>
      <c r="W1090" s="4">
        <v>1</v>
      </c>
    </row>
    <row r="1091" spans="1:23">
      <c r="A1091" t="s">
        <v>1222</v>
      </c>
      <c r="B1091" s="2">
        <v>45973</v>
      </c>
      <c r="C1091" t="s">
        <v>66</v>
      </c>
      <c r="D1091" t="s">
        <v>67</v>
      </c>
      <c r="E1091" t="s">
        <v>21</v>
      </c>
      <c r="F1091" t="s">
        <v>49</v>
      </c>
      <c r="G1091" t="s">
        <v>113</v>
      </c>
      <c r="H1091" t="s">
        <v>114</v>
      </c>
      <c r="I1091">
        <v>1</v>
      </c>
      <c r="J1091" s="3">
        <v>37809.89</v>
      </c>
      <c r="K1091" s="3">
        <v>37809.89</v>
      </c>
      <c r="L1091" t="s">
        <v>34</v>
      </c>
      <c r="M1091" s="2">
        <v>45981</v>
      </c>
      <c r="N1091" s="2">
        <v>45980</v>
      </c>
      <c r="O1091" t="s">
        <v>76</v>
      </c>
      <c r="P1091" t="s">
        <v>27</v>
      </c>
      <c r="Q1091" t="s">
        <v>28</v>
      </c>
      <c r="R1091" t="s">
        <v>29</v>
      </c>
      <c r="S1091">
        <v>2025</v>
      </c>
      <c r="T1091" t="s">
        <v>2763</v>
      </c>
      <c r="U1091" t="s">
        <v>2764</v>
      </c>
      <c r="V1091" s="4">
        <v>0</v>
      </c>
      <c r="W1091" s="4">
        <v>1</v>
      </c>
    </row>
    <row r="1092" spans="1:23">
      <c r="A1092" t="s">
        <v>1223</v>
      </c>
      <c r="B1092" s="2">
        <v>45795</v>
      </c>
      <c r="C1092" t="s">
        <v>71</v>
      </c>
      <c r="D1092" t="s">
        <v>72</v>
      </c>
      <c r="E1092" t="s">
        <v>48</v>
      </c>
      <c r="F1092" t="s">
        <v>57</v>
      </c>
      <c r="G1092" t="s">
        <v>120</v>
      </c>
      <c r="H1092" t="s">
        <v>121</v>
      </c>
      <c r="I1092">
        <v>1</v>
      </c>
      <c r="J1092" s="3">
        <v>19725.18</v>
      </c>
      <c r="K1092" s="3">
        <v>19725.18</v>
      </c>
      <c r="L1092" t="s">
        <v>52</v>
      </c>
      <c r="M1092" s="2">
        <v>45813</v>
      </c>
      <c r="N1092" s="2">
        <v>45812</v>
      </c>
      <c r="O1092" t="s">
        <v>26</v>
      </c>
      <c r="P1092" t="s">
        <v>53</v>
      </c>
      <c r="Q1092" t="s">
        <v>28</v>
      </c>
      <c r="R1092" t="s">
        <v>29</v>
      </c>
      <c r="S1092">
        <v>2025</v>
      </c>
      <c r="T1092" t="s">
        <v>2766</v>
      </c>
      <c r="U1092" t="s">
        <v>2767</v>
      </c>
      <c r="V1092" s="4">
        <v>0</v>
      </c>
      <c r="W1092" s="4">
        <v>1</v>
      </c>
    </row>
    <row r="1093" spans="1:23">
      <c r="A1093" t="s">
        <v>1224</v>
      </c>
      <c r="B1093" s="2">
        <v>45921</v>
      </c>
      <c r="C1093" t="s">
        <v>19</v>
      </c>
      <c r="D1093" t="s">
        <v>20</v>
      </c>
      <c r="E1093" t="s">
        <v>112</v>
      </c>
      <c r="F1093" t="s">
        <v>22</v>
      </c>
      <c r="G1093" t="s">
        <v>160</v>
      </c>
      <c r="H1093" t="s">
        <v>161</v>
      </c>
      <c r="I1093">
        <v>13</v>
      </c>
      <c r="J1093" s="3">
        <v>3206.51</v>
      </c>
      <c r="K1093" s="3">
        <v>41684.629999999997</v>
      </c>
      <c r="L1093" t="s">
        <v>34</v>
      </c>
      <c r="M1093" s="2">
        <v>45927</v>
      </c>
      <c r="N1093" s="2">
        <v>45940</v>
      </c>
      <c r="O1093" t="s">
        <v>60</v>
      </c>
      <c r="P1093" t="s">
        <v>115</v>
      </c>
      <c r="Q1093" t="s">
        <v>28</v>
      </c>
      <c r="R1093" t="s">
        <v>129</v>
      </c>
      <c r="S1093">
        <v>2025</v>
      </c>
      <c r="T1093" t="s">
        <v>2753</v>
      </c>
      <c r="U1093" t="s">
        <v>2754</v>
      </c>
      <c r="V1093" s="4">
        <v>13</v>
      </c>
      <c r="W1093" s="4">
        <v>0</v>
      </c>
    </row>
    <row r="1094" spans="1:23">
      <c r="A1094" t="s">
        <v>1225</v>
      </c>
      <c r="B1094" s="2">
        <v>45707</v>
      </c>
      <c r="C1094" t="s">
        <v>80</v>
      </c>
      <c r="D1094" t="s">
        <v>81</v>
      </c>
      <c r="E1094" t="s">
        <v>39</v>
      </c>
      <c r="F1094" t="s">
        <v>82</v>
      </c>
      <c r="G1094" t="s">
        <v>83</v>
      </c>
      <c r="H1094" t="s">
        <v>84</v>
      </c>
      <c r="I1094">
        <v>18</v>
      </c>
      <c r="J1094" s="3">
        <v>668.83</v>
      </c>
      <c r="K1094" s="3">
        <v>12038.94</v>
      </c>
      <c r="L1094" t="s">
        <v>52</v>
      </c>
      <c r="M1094" s="2">
        <v>45714</v>
      </c>
      <c r="N1094" s="2">
        <v>45712</v>
      </c>
      <c r="O1094" t="s">
        <v>43</v>
      </c>
      <c r="P1094" t="s">
        <v>44</v>
      </c>
      <c r="Q1094" t="s">
        <v>28</v>
      </c>
      <c r="R1094" t="s">
        <v>29</v>
      </c>
      <c r="S1094">
        <v>2025</v>
      </c>
      <c r="T1094" t="s">
        <v>2751</v>
      </c>
      <c r="U1094" t="s">
        <v>2752</v>
      </c>
      <c r="V1094" s="4">
        <v>0</v>
      </c>
      <c r="W1094" s="4">
        <v>1</v>
      </c>
    </row>
    <row r="1095" spans="1:23">
      <c r="A1095" t="s">
        <v>1226</v>
      </c>
      <c r="B1095" s="2">
        <v>46175</v>
      </c>
      <c r="C1095" t="s">
        <v>134</v>
      </c>
      <c r="D1095" t="s">
        <v>135</v>
      </c>
      <c r="E1095" t="s">
        <v>112</v>
      </c>
      <c r="F1095" t="s">
        <v>40</v>
      </c>
      <c r="G1095" t="s">
        <v>41</v>
      </c>
      <c r="H1095" t="s">
        <v>42</v>
      </c>
      <c r="I1095">
        <v>7</v>
      </c>
      <c r="J1095" s="3">
        <v>5427.33</v>
      </c>
      <c r="K1095" s="3">
        <v>37991.31</v>
      </c>
      <c r="L1095" t="s">
        <v>25</v>
      </c>
      <c r="M1095" s="2">
        <v>46192</v>
      </c>
      <c r="N1095" s="2">
        <v>46192</v>
      </c>
      <c r="O1095" t="s">
        <v>26</v>
      </c>
      <c r="P1095" t="s">
        <v>115</v>
      </c>
      <c r="Q1095" t="s">
        <v>28</v>
      </c>
      <c r="R1095" t="s">
        <v>29</v>
      </c>
      <c r="S1095">
        <v>2026</v>
      </c>
      <c r="T1095" t="s">
        <v>2743</v>
      </c>
      <c r="U1095" t="s">
        <v>2744</v>
      </c>
      <c r="V1095" s="4">
        <v>0</v>
      </c>
      <c r="W1095" s="4">
        <v>1</v>
      </c>
    </row>
    <row r="1096" spans="1:23">
      <c r="A1096" t="s">
        <v>1227</v>
      </c>
      <c r="B1096" s="2">
        <v>45688</v>
      </c>
      <c r="C1096" t="s">
        <v>46</v>
      </c>
      <c r="D1096" t="s">
        <v>47</v>
      </c>
      <c r="E1096" t="s">
        <v>21</v>
      </c>
      <c r="F1096" t="s">
        <v>49</v>
      </c>
      <c r="G1096" t="s">
        <v>113</v>
      </c>
      <c r="H1096" t="s">
        <v>114</v>
      </c>
      <c r="I1096">
        <v>3</v>
      </c>
      <c r="J1096" s="3">
        <v>41705.26</v>
      </c>
      <c r="K1096" s="3">
        <v>125115.78</v>
      </c>
      <c r="L1096" t="s">
        <v>25</v>
      </c>
      <c r="M1096" s="2">
        <v>45693</v>
      </c>
      <c r="N1096" s="2">
        <v>45690</v>
      </c>
      <c r="O1096" t="s">
        <v>60</v>
      </c>
      <c r="P1096" t="s">
        <v>27</v>
      </c>
      <c r="Q1096" t="s">
        <v>28</v>
      </c>
      <c r="R1096" t="s">
        <v>29</v>
      </c>
      <c r="S1096">
        <v>2025</v>
      </c>
      <c r="T1096" t="s">
        <v>2757</v>
      </c>
      <c r="U1096" t="s">
        <v>2768</v>
      </c>
      <c r="V1096" s="4">
        <v>0</v>
      </c>
      <c r="W1096" s="4">
        <v>1</v>
      </c>
    </row>
    <row r="1097" spans="1:23">
      <c r="A1097" t="s">
        <v>1228</v>
      </c>
      <c r="B1097" s="2">
        <v>45876</v>
      </c>
      <c r="C1097" t="s">
        <v>131</v>
      </c>
      <c r="D1097" t="s">
        <v>132</v>
      </c>
      <c r="E1097" t="s">
        <v>31</v>
      </c>
      <c r="F1097" t="s">
        <v>57</v>
      </c>
      <c r="G1097" t="s">
        <v>86</v>
      </c>
      <c r="H1097" t="s">
        <v>87</v>
      </c>
      <c r="I1097">
        <v>2</v>
      </c>
      <c r="J1097" s="3">
        <v>11045.44</v>
      </c>
      <c r="K1097" s="3">
        <v>22090.880000000001</v>
      </c>
      <c r="L1097" t="s">
        <v>25</v>
      </c>
      <c r="M1097" s="2">
        <v>45893</v>
      </c>
      <c r="N1097" s="2">
        <v>45891</v>
      </c>
      <c r="O1097" t="s">
        <v>76</v>
      </c>
      <c r="P1097" t="s">
        <v>94</v>
      </c>
      <c r="Q1097" t="s">
        <v>28</v>
      </c>
      <c r="R1097" t="s">
        <v>29</v>
      </c>
      <c r="S1097">
        <v>2025</v>
      </c>
      <c r="T1097" t="s">
        <v>2761</v>
      </c>
      <c r="U1097" t="s">
        <v>2762</v>
      </c>
      <c r="V1097" s="4">
        <v>0</v>
      </c>
      <c r="W1097" s="4">
        <v>1</v>
      </c>
    </row>
    <row r="1098" spans="1:23">
      <c r="A1098" t="s">
        <v>1229</v>
      </c>
      <c r="B1098" s="2">
        <v>45894</v>
      </c>
      <c r="C1098" t="s">
        <v>107</v>
      </c>
      <c r="D1098" t="s">
        <v>108</v>
      </c>
      <c r="E1098" t="s">
        <v>31</v>
      </c>
      <c r="F1098" t="s">
        <v>91</v>
      </c>
      <c r="G1098" t="s">
        <v>92</v>
      </c>
      <c r="H1098" t="s">
        <v>93</v>
      </c>
      <c r="I1098">
        <v>1</v>
      </c>
      <c r="J1098" s="3">
        <v>46045.47</v>
      </c>
      <c r="K1098" s="3">
        <v>46045.47</v>
      </c>
      <c r="L1098" t="s">
        <v>34</v>
      </c>
      <c r="M1098" s="2">
        <v>45912</v>
      </c>
      <c r="N1098" s="2">
        <v>45911</v>
      </c>
      <c r="O1098" t="s">
        <v>26</v>
      </c>
      <c r="P1098" t="s">
        <v>94</v>
      </c>
      <c r="Q1098" t="s">
        <v>28</v>
      </c>
      <c r="R1098" t="s">
        <v>29</v>
      </c>
      <c r="S1098">
        <v>2025</v>
      </c>
      <c r="T1098" t="s">
        <v>2761</v>
      </c>
      <c r="U1098" t="s">
        <v>2762</v>
      </c>
      <c r="V1098" s="4">
        <v>0</v>
      </c>
      <c r="W1098" s="4">
        <v>1</v>
      </c>
    </row>
    <row r="1099" spans="1:23">
      <c r="A1099" t="s">
        <v>1230</v>
      </c>
      <c r="B1099" s="2">
        <v>45903</v>
      </c>
      <c r="C1099" t="s">
        <v>104</v>
      </c>
      <c r="D1099" t="s">
        <v>105</v>
      </c>
      <c r="E1099" t="s">
        <v>21</v>
      </c>
      <c r="F1099" t="s">
        <v>49</v>
      </c>
      <c r="G1099" t="s">
        <v>113</v>
      </c>
      <c r="H1099" t="s">
        <v>114</v>
      </c>
      <c r="I1099">
        <v>1</v>
      </c>
      <c r="J1099" s="3">
        <v>39673.519999999997</v>
      </c>
      <c r="K1099" s="3">
        <v>39673.519999999997</v>
      </c>
      <c r="L1099" t="s">
        <v>52</v>
      </c>
      <c r="M1099" s="2">
        <v>45910</v>
      </c>
      <c r="N1099" s="2">
        <v>45907</v>
      </c>
      <c r="O1099" t="s">
        <v>43</v>
      </c>
      <c r="P1099" t="s">
        <v>27</v>
      </c>
      <c r="Q1099" t="s">
        <v>28</v>
      </c>
      <c r="R1099" t="s">
        <v>29</v>
      </c>
      <c r="S1099">
        <v>2025</v>
      </c>
      <c r="T1099" t="s">
        <v>2753</v>
      </c>
      <c r="U1099" t="s">
        <v>2754</v>
      </c>
      <c r="V1099" s="4">
        <v>0</v>
      </c>
      <c r="W1099" s="4">
        <v>1</v>
      </c>
    </row>
    <row r="1100" spans="1:23">
      <c r="A1100" t="s">
        <v>1231</v>
      </c>
      <c r="B1100" s="2">
        <v>46003</v>
      </c>
      <c r="C1100" t="s">
        <v>147</v>
      </c>
      <c r="D1100" t="s">
        <v>148</v>
      </c>
      <c r="E1100" t="s">
        <v>112</v>
      </c>
      <c r="F1100" t="s">
        <v>40</v>
      </c>
      <c r="G1100" t="s">
        <v>62</v>
      </c>
      <c r="H1100" t="s">
        <v>63</v>
      </c>
      <c r="I1100">
        <v>2</v>
      </c>
      <c r="J1100" s="3">
        <v>18238.419999999998</v>
      </c>
      <c r="K1100" s="3">
        <v>36476.839999999997</v>
      </c>
      <c r="L1100" t="s">
        <v>34</v>
      </c>
      <c r="M1100" s="2">
        <v>46009</v>
      </c>
      <c r="N1100" s="2">
        <v>46006</v>
      </c>
      <c r="O1100" t="s">
        <v>43</v>
      </c>
      <c r="P1100" t="s">
        <v>115</v>
      </c>
      <c r="Q1100" t="s">
        <v>28</v>
      </c>
      <c r="R1100" t="s">
        <v>29</v>
      </c>
      <c r="S1100">
        <v>2025</v>
      </c>
      <c r="T1100" t="s">
        <v>2745</v>
      </c>
      <c r="U1100" t="s">
        <v>2746</v>
      </c>
      <c r="V1100" s="4">
        <v>0</v>
      </c>
      <c r="W1100" s="4">
        <v>1</v>
      </c>
    </row>
    <row r="1101" spans="1:23">
      <c r="A1101" t="s">
        <v>1232</v>
      </c>
      <c r="B1101" s="2">
        <v>45714</v>
      </c>
      <c r="C1101" t="s">
        <v>147</v>
      </c>
      <c r="D1101" t="s">
        <v>148</v>
      </c>
      <c r="E1101" t="s">
        <v>39</v>
      </c>
      <c r="F1101" t="s">
        <v>40</v>
      </c>
      <c r="G1101" t="s">
        <v>62</v>
      </c>
      <c r="H1101" t="s">
        <v>63</v>
      </c>
      <c r="I1101">
        <v>1</v>
      </c>
      <c r="J1101" s="3">
        <v>17190.87</v>
      </c>
      <c r="K1101" s="3">
        <v>17190.87</v>
      </c>
      <c r="L1101" t="s">
        <v>25</v>
      </c>
      <c r="M1101" s="2">
        <v>45725</v>
      </c>
      <c r="N1101" s="2">
        <v>45734</v>
      </c>
      <c r="O1101" t="s">
        <v>26</v>
      </c>
      <c r="P1101" t="s">
        <v>64</v>
      </c>
      <c r="Q1101" t="s">
        <v>28</v>
      </c>
      <c r="R1101" t="s">
        <v>129</v>
      </c>
      <c r="S1101">
        <v>2025</v>
      </c>
      <c r="T1101" t="s">
        <v>2751</v>
      </c>
      <c r="U1101" t="s">
        <v>2752</v>
      </c>
      <c r="V1101" s="4">
        <v>9</v>
      </c>
      <c r="W1101" s="4">
        <v>0</v>
      </c>
    </row>
    <row r="1102" spans="1:23">
      <c r="A1102" t="s">
        <v>1233</v>
      </c>
      <c r="B1102" s="2">
        <v>46022</v>
      </c>
      <c r="C1102" t="s">
        <v>71</v>
      </c>
      <c r="D1102" t="s">
        <v>72</v>
      </c>
      <c r="E1102" t="s">
        <v>73</v>
      </c>
      <c r="F1102" t="s">
        <v>57</v>
      </c>
      <c r="G1102" t="s">
        <v>86</v>
      </c>
      <c r="H1102" t="s">
        <v>87</v>
      </c>
      <c r="I1102">
        <v>8</v>
      </c>
      <c r="J1102" s="3">
        <v>9884.1</v>
      </c>
      <c r="K1102" s="3">
        <v>79072.800000000003</v>
      </c>
      <c r="L1102" t="s">
        <v>34</v>
      </c>
      <c r="M1102" s="2">
        <v>46033</v>
      </c>
      <c r="N1102" s="2">
        <v>46032</v>
      </c>
      <c r="O1102" t="s">
        <v>76</v>
      </c>
      <c r="P1102" t="s">
        <v>77</v>
      </c>
      <c r="Q1102" t="s">
        <v>28</v>
      </c>
      <c r="R1102" t="s">
        <v>29</v>
      </c>
      <c r="S1102">
        <v>2025</v>
      </c>
      <c r="T1102" t="s">
        <v>2745</v>
      </c>
      <c r="U1102" t="s">
        <v>2746</v>
      </c>
      <c r="V1102" s="4">
        <v>0</v>
      </c>
      <c r="W1102" s="4">
        <v>1</v>
      </c>
    </row>
    <row r="1103" spans="1:23">
      <c r="A1103" t="s">
        <v>1234</v>
      </c>
      <c r="B1103" s="2">
        <v>45699</v>
      </c>
      <c r="C1103" t="s">
        <v>71</v>
      </c>
      <c r="D1103" t="s">
        <v>72</v>
      </c>
      <c r="E1103" t="s">
        <v>21</v>
      </c>
      <c r="F1103" t="s">
        <v>57</v>
      </c>
      <c r="G1103" t="s">
        <v>101</v>
      </c>
      <c r="H1103" t="s">
        <v>102</v>
      </c>
      <c r="I1103">
        <v>54</v>
      </c>
      <c r="J1103" s="3">
        <v>1765.42</v>
      </c>
      <c r="K1103" s="3">
        <v>95332.68</v>
      </c>
      <c r="L1103" t="s">
        <v>25</v>
      </c>
      <c r="M1103" s="2">
        <v>45707</v>
      </c>
      <c r="N1103" s="2">
        <v>45706</v>
      </c>
      <c r="O1103" t="s">
        <v>26</v>
      </c>
      <c r="P1103" t="s">
        <v>27</v>
      </c>
      <c r="Q1103" t="s">
        <v>28</v>
      </c>
      <c r="R1103" t="s">
        <v>29</v>
      </c>
      <c r="S1103">
        <v>2025</v>
      </c>
      <c r="T1103" t="s">
        <v>2751</v>
      </c>
      <c r="U1103" t="s">
        <v>2752</v>
      </c>
      <c r="V1103" s="4">
        <v>0</v>
      </c>
      <c r="W1103" s="4">
        <v>1</v>
      </c>
    </row>
    <row r="1104" spans="1:23">
      <c r="A1104" t="s">
        <v>1235</v>
      </c>
      <c r="B1104" s="2">
        <v>45705</v>
      </c>
      <c r="C1104" t="s">
        <v>142</v>
      </c>
      <c r="D1104" t="s">
        <v>143</v>
      </c>
      <c r="E1104" t="s">
        <v>31</v>
      </c>
      <c r="F1104" t="s">
        <v>22</v>
      </c>
      <c r="G1104" t="s">
        <v>32</v>
      </c>
      <c r="H1104" t="s">
        <v>33</v>
      </c>
      <c r="I1104">
        <v>6</v>
      </c>
      <c r="J1104" s="3">
        <v>7559.94</v>
      </c>
      <c r="K1104" s="3">
        <v>45359.64</v>
      </c>
      <c r="L1104" t="s">
        <v>34</v>
      </c>
      <c r="M1104" s="2">
        <v>45717</v>
      </c>
      <c r="N1104" s="2">
        <v>45717</v>
      </c>
      <c r="O1104" t="s">
        <v>43</v>
      </c>
      <c r="P1104" t="s">
        <v>35</v>
      </c>
      <c r="Q1104" t="s">
        <v>28</v>
      </c>
      <c r="R1104" t="s">
        <v>29</v>
      </c>
      <c r="S1104">
        <v>2025</v>
      </c>
      <c r="T1104" t="s">
        <v>2751</v>
      </c>
      <c r="U1104" t="s">
        <v>2752</v>
      </c>
      <c r="V1104" s="4">
        <v>0</v>
      </c>
      <c r="W1104" s="4">
        <v>1</v>
      </c>
    </row>
    <row r="1105" spans="1:23">
      <c r="A1105" t="s">
        <v>1236</v>
      </c>
      <c r="B1105" s="2">
        <v>45724</v>
      </c>
      <c r="C1105" t="s">
        <v>19</v>
      </c>
      <c r="D1105" t="s">
        <v>20</v>
      </c>
      <c r="E1105" t="s">
        <v>21</v>
      </c>
      <c r="F1105" t="s">
        <v>22</v>
      </c>
      <c r="G1105" t="s">
        <v>23</v>
      </c>
      <c r="H1105" t="s">
        <v>24</v>
      </c>
      <c r="I1105">
        <v>21</v>
      </c>
      <c r="J1105" s="3">
        <v>228.03</v>
      </c>
      <c r="K1105" s="3">
        <v>4788.63</v>
      </c>
      <c r="L1105" t="s">
        <v>34</v>
      </c>
      <c r="M1105" s="2">
        <v>45738</v>
      </c>
      <c r="N1105" s="2">
        <v>45735</v>
      </c>
      <c r="O1105" t="s">
        <v>60</v>
      </c>
      <c r="P1105" t="s">
        <v>27</v>
      </c>
      <c r="Q1105" t="s">
        <v>28</v>
      </c>
      <c r="R1105" t="s">
        <v>29</v>
      </c>
      <c r="S1105">
        <v>2025</v>
      </c>
      <c r="T1105" t="s">
        <v>2747</v>
      </c>
      <c r="U1105" t="s">
        <v>2748</v>
      </c>
      <c r="V1105" s="4">
        <v>0</v>
      </c>
      <c r="W1105" s="4">
        <v>1</v>
      </c>
    </row>
    <row r="1106" spans="1:23">
      <c r="A1106" t="s">
        <v>1237</v>
      </c>
      <c r="B1106" s="2">
        <v>46125</v>
      </c>
      <c r="C1106" t="s">
        <v>107</v>
      </c>
      <c r="D1106" t="s">
        <v>108</v>
      </c>
      <c r="E1106" t="s">
        <v>31</v>
      </c>
      <c r="F1106" t="s">
        <v>91</v>
      </c>
      <c r="G1106" t="s">
        <v>109</v>
      </c>
      <c r="H1106" t="s">
        <v>110</v>
      </c>
      <c r="I1106">
        <v>3</v>
      </c>
      <c r="J1106" s="3">
        <v>13988.01</v>
      </c>
      <c r="K1106" s="3">
        <v>41964.03</v>
      </c>
      <c r="L1106" t="s">
        <v>25</v>
      </c>
      <c r="M1106" s="2">
        <v>46133</v>
      </c>
      <c r="N1106" s="2">
        <v>46133</v>
      </c>
      <c r="O1106" t="s">
        <v>76</v>
      </c>
      <c r="P1106" t="s">
        <v>94</v>
      </c>
      <c r="Q1106" t="s">
        <v>28</v>
      </c>
      <c r="R1106" t="s">
        <v>29</v>
      </c>
      <c r="S1106">
        <v>2026</v>
      </c>
      <c r="T1106" t="s">
        <v>2741</v>
      </c>
      <c r="U1106" t="s">
        <v>2770</v>
      </c>
      <c r="V1106" s="4">
        <v>0</v>
      </c>
      <c r="W1106" s="4">
        <v>1</v>
      </c>
    </row>
    <row r="1107" spans="1:23">
      <c r="A1107" t="s">
        <v>1238</v>
      </c>
      <c r="B1107" s="2">
        <v>45768</v>
      </c>
      <c r="C1107" t="s">
        <v>71</v>
      </c>
      <c r="D1107" t="s">
        <v>72</v>
      </c>
      <c r="E1107" t="s">
        <v>48</v>
      </c>
      <c r="F1107" t="s">
        <v>57</v>
      </c>
      <c r="G1107" t="s">
        <v>58</v>
      </c>
      <c r="H1107" t="s">
        <v>59</v>
      </c>
      <c r="I1107">
        <v>7</v>
      </c>
      <c r="J1107" s="3">
        <v>54824.82</v>
      </c>
      <c r="K1107" s="3">
        <v>383773.74</v>
      </c>
      <c r="L1107" t="s">
        <v>25</v>
      </c>
      <c r="M1107" s="2">
        <v>45779</v>
      </c>
      <c r="N1107" s="2">
        <v>45779</v>
      </c>
      <c r="O1107" t="s">
        <v>43</v>
      </c>
      <c r="P1107" t="s">
        <v>53</v>
      </c>
      <c r="Q1107" t="s">
        <v>28</v>
      </c>
      <c r="R1107" t="s">
        <v>29</v>
      </c>
      <c r="S1107">
        <v>2025</v>
      </c>
      <c r="T1107" t="s">
        <v>2741</v>
      </c>
      <c r="U1107" t="s">
        <v>2742</v>
      </c>
      <c r="V1107" s="4">
        <v>0</v>
      </c>
      <c r="W1107" s="4">
        <v>1</v>
      </c>
    </row>
    <row r="1108" spans="1:23">
      <c r="A1108" t="s">
        <v>1239</v>
      </c>
      <c r="B1108" s="2">
        <v>45816</v>
      </c>
      <c r="C1108" t="s">
        <v>134</v>
      </c>
      <c r="D1108" t="s">
        <v>135</v>
      </c>
      <c r="E1108" t="s">
        <v>39</v>
      </c>
      <c r="F1108" t="s">
        <v>40</v>
      </c>
      <c r="G1108" t="s">
        <v>41</v>
      </c>
      <c r="H1108" t="s">
        <v>42</v>
      </c>
      <c r="I1108">
        <v>4</v>
      </c>
      <c r="J1108" s="3">
        <v>5268.52</v>
      </c>
      <c r="K1108" s="3">
        <v>21074.080000000002</v>
      </c>
      <c r="L1108" t="s">
        <v>25</v>
      </c>
      <c r="M1108" s="2">
        <v>45825</v>
      </c>
      <c r="N1108" s="2">
        <v>45824</v>
      </c>
      <c r="O1108" t="s">
        <v>26</v>
      </c>
      <c r="P1108" t="s">
        <v>44</v>
      </c>
      <c r="Q1108" t="s">
        <v>28</v>
      </c>
      <c r="R1108" t="s">
        <v>29</v>
      </c>
      <c r="S1108">
        <v>2025</v>
      </c>
      <c r="T1108" t="s">
        <v>2743</v>
      </c>
      <c r="U1108" t="s">
        <v>2756</v>
      </c>
      <c r="V1108" s="4">
        <v>0</v>
      </c>
      <c r="W1108" s="4">
        <v>1</v>
      </c>
    </row>
    <row r="1109" spans="1:23">
      <c r="A1109" t="s">
        <v>1240</v>
      </c>
      <c r="B1109" s="2">
        <v>46190</v>
      </c>
      <c r="C1109" t="s">
        <v>37</v>
      </c>
      <c r="D1109" t="s">
        <v>38</v>
      </c>
      <c r="E1109" t="s">
        <v>112</v>
      </c>
      <c r="F1109" t="s">
        <v>22</v>
      </c>
      <c r="G1109" t="s">
        <v>160</v>
      </c>
      <c r="H1109" t="s">
        <v>161</v>
      </c>
      <c r="I1109">
        <v>7</v>
      </c>
      <c r="J1109" s="3">
        <v>3718.33</v>
      </c>
      <c r="K1109" s="3">
        <v>26028.31</v>
      </c>
      <c r="L1109" t="s">
        <v>34</v>
      </c>
      <c r="M1109" s="2">
        <v>46205</v>
      </c>
      <c r="N1109" s="2">
        <v>46204</v>
      </c>
      <c r="O1109" t="s">
        <v>60</v>
      </c>
      <c r="P1109" t="s">
        <v>115</v>
      </c>
      <c r="Q1109" t="s">
        <v>28</v>
      </c>
      <c r="R1109" t="s">
        <v>29</v>
      </c>
      <c r="S1109">
        <v>2026</v>
      </c>
      <c r="T1109" t="s">
        <v>2743</v>
      </c>
      <c r="U1109" t="s">
        <v>2744</v>
      </c>
      <c r="V1109" s="4">
        <v>0</v>
      </c>
      <c r="W1109" s="4">
        <v>1</v>
      </c>
    </row>
    <row r="1110" spans="1:23">
      <c r="A1110" t="s">
        <v>1241</v>
      </c>
      <c r="B1110" s="2">
        <v>45688</v>
      </c>
      <c r="C1110" t="s">
        <v>71</v>
      </c>
      <c r="D1110" t="s">
        <v>72</v>
      </c>
      <c r="E1110" t="s">
        <v>48</v>
      </c>
      <c r="F1110" t="s">
        <v>57</v>
      </c>
      <c r="G1110" t="s">
        <v>74</v>
      </c>
      <c r="H1110" t="s">
        <v>75</v>
      </c>
      <c r="I1110">
        <v>11</v>
      </c>
      <c r="J1110" s="3">
        <v>8036.52</v>
      </c>
      <c r="K1110" s="3">
        <v>88401.72</v>
      </c>
      <c r="L1110" t="s">
        <v>25</v>
      </c>
      <c r="M1110" s="2">
        <v>45695</v>
      </c>
      <c r="N1110" s="2">
        <v>45693</v>
      </c>
      <c r="O1110" t="s">
        <v>60</v>
      </c>
      <c r="P1110" t="s">
        <v>53</v>
      </c>
      <c r="Q1110" t="s">
        <v>28</v>
      </c>
      <c r="R1110" t="s">
        <v>29</v>
      </c>
      <c r="S1110">
        <v>2025</v>
      </c>
      <c r="T1110" t="s">
        <v>2757</v>
      </c>
      <c r="U1110" t="s">
        <v>2768</v>
      </c>
      <c r="V1110" s="4">
        <v>0</v>
      </c>
      <c r="W1110" s="4">
        <v>1</v>
      </c>
    </row>
    <row r="1111" spans="1:23">
      <c r="A1111" t="s">
        <v>1242</v>
      </c>
      <c r="B1111" s="2">
        <v>46010</v>
      </c>
      <c r="C1111" t="s">
        <v>19</v>
      </c>
      <c r="D1111" t="s">
        <v>20</v>
      </c>
      <c r="E1111" t="s">
        <v>39</v>
      </c>
      <c r="F1111" t="s">
        <v>22</v>
      </c>
      <c r="G1111" t="s">
        <v>23</v>
      </c>
      <c r="H1111" t="s">
        <v>24</v>
      </c>
      <c r="I1111">
        <v>11</v>
      </c>
      <c r="J1111" s="3">
        <v>235.32</v>
      </c>
      <c r="K1111" s="3">
        <v>2588.52</v>
      </c>
      <c r="L1111" t="s">
        <v>34</v>
      </c>
      <c r="M1111" s="2">
        <v>46025</v>
      </c>
      <c r="N1111" s="2">
        <v>46024</v>
      </c>
      <c r="O1111" t="s">
        <v>76</v>
      </c>
      <c r="P1111" t="s">
        <v>44</v>
      </c>
      <c r="Q1111" t="s">
        <v>28</v>
      </c>
      <c r="R1111" t="s">
        <v>29</v>
      </c>
      <c r="S1111">
        <v>2025</v>
      </c>
      <c r="T1111" t="s">
        <v>2745</v>
      </c>
      <c r="U1111" t="s">
        <v>2746</v>
      </c>
      <c r="V1111" s="4">
        <v>0</v>
      </c>
      <c r="W1111" s="4">
        <v>1</v>
      </c>
    </row>
    <row r="1112" spans="1:23">
      <c r="A1112" t="s">
        <v>1243</v>
      </c>
      <c r="B1112" s="2">
        <v>45781</v>
      </c>
      <c r="C1112" t="s">
        <v>134</v>
      </c>
      <c r="D1112" t="s">
        <v>135</v>
      </c>
      <c r="E1112" t="s">
        <v>39</v>
      </c>
      <c r="F1112" t="s">
        <v>40</v>
      </c>
      <c r="G1112" t="s">
        <v>62</v>
      </c>
      <c r="H1112" t="s">
        <v>63</v>
      </c>
      <c r="I1112">
        <v>5</v>
      </c>
      <c r="J1112" s="3">
        <v>18160.599999999999</v>
      </c>
      <c r="K1112" s="3">
        <v>90803</v>
      </c>
      <c r="L1112" t="s">
        <v>52</v>
      </c>
      <c r="M1112" s="2">
        <v>45799</v>
      </c>
      <c r="N1112" s="2">
        <v>45799</v>
      </c>
      <c r="O1112" t="s">
        <v>26</v>
      </c>
      <c r="P1112" t="s">
        <v>44</v>
      </c>
      <c r="Q1112" t="s">
        <v>28</v>
      </c>
      <c r="R1112" t="s">
        <v>29</v>
      </c>
      <c r="S1112">
        <v>2025</v>
      </c>
      <c r="T1112" t="s">
        <v>2766</v>
      </c>
      <c r="U1112" t="s">
        <v>2767</v>
      </c>
      <c r="V1112" s="4">
        <v>0</v>
      </c>
      <c r="W1112" s="4">
        <v>1</v>
      </c>
    </row>
    <row r="1113" spans="1:23">
      <c r="A1113" t="s">
        <v>1244</v>
      </c>
      <c r="B1113" s="2">
        <v>45887</v>
      </c>
      <c r="C1113" t="s">
        <v>66</v>
      </c>
      <c r="D1113" t="s">
        <v>67</v>
      </c>
      <c r="E1113" t="s">
        <v>48</v>
      </c>
      <c r="F1113" t="s">
        <v>49</v>
      </c>
      <c r="G1113" t="s">
        <v>68</v>
      </c>
      <c r="H1113" t="s">
        <v>69</v>
      </c>
      <c r="I1113">
        <v>1</v>
      </c>
      <c r="J1113" s="3">
        <v>46328.87</v>
      </c>
      <c r="K1113" s="3">
        <v>46328.87</v>
      </c>
      <c r="L1113" t="s">
        <v>25</v>
      </c>
      <c r="M1113" s="2">
        <v>45893</v>
      </c>
      <c r="N1113" s="2">
        <v>45890</v>
      </c>
      <c r="O1113" t="s">
        <v>43</v>
      </c>
      <c r="P1113" t="s">
        <v>53</v>
      </c>
      <c r="Q1113" t="s">
        <v>28</v>
      </c>
      <c r="R1113" t="s">
        <v>29</v>
      </c>
      <c r="S1113">
        <v>2025</v>
      </c>
      <c r="T1113" t="s">
        <v>2761</v>
      </c>
      <c r="U1113" t="s">
        <v>2762</v>
      </c>
      <c r="V1113" s="4">
        <v>0</v>
      </c>
      <c r="W1113" s="4">
        <v>1</v>
      </c>
    </row>
    <row r="1114" spans="1:23">
      <c r="A1114" t="s">
        <v>1245</v>
      </c>
      <c r="B1114" s="2">
        <v>45684</v>
      </c>
      <c r="C1114" t="s">
        <v>80</v>
      </c>
      <c r="D1114" t="s">
        <v>81</v>
      </c>
      <c r="E1114" t="s">
        <v>39</v>
      </c>
      <c r="F1114" t="s">
        <v>82</v>
      </c>
      <c r="G1114" t="s">
        <v>83</v>
      </c>
      <c r="H1114" t="s">
        <v>84</v>
      </c>
      <c r="I1114">
        <v>23</v>
      </c>
      <c r="J1114" s="3">
        <v>673.83</v>
      </c>
      <c r="K1114" s="3">
        <v>15498.09</v>
      </c>
      <c r="L1114" t="s">
        <v>25</v>
      </c>
      <c r="M1114" s="2">
        <v>45699</v>
      </c>
      <c r="N1114" s="2">
        <v>45697</v>
      </c>
      <c r="O1114" t="s">
        <v>60</v>
      </c>
      <c r="P1114" t="s">
        <v>64</v>
      </c>
      <c r="Q1114" t="s">
        <v>28</v>
      </c>
      <c r="R1114" t="s">
        <v>29</v>
      </c>
      <c r="S1114">
        <v>2025</v>
      </c>
      <c r="T1114" t="s">
        <v>2757</v>
      </c>
      <c r="U1114" t="s">
        <v>2768</v>
      </c>
      <c r="V1114" s="4">
        <v>0</v>
      </c>
      <c r="W1114" s="4">
        <v>1</v>
      </c>
    </row>
    <row r="1115" spans="1:23">
      <c r="A1115" t="s">
        <v>1246</v>
      </c>
      <c r="B1115" s="2">
        <v>46192</v>
      </c>
      <c r="C1115" t="s">
        <v>71</v>
      </c>
      <c r="D1115" t="s">
        <v>72</v>
      </c>
      <c r="E1115" t="s">
        <v>31</v>
      </c>
      <c r="F1115" t="s">
        <v>57</v>
      </c>
      <c r="G1115" t="s">
        <v>120</v>
      </c>
      <c r="H1115" t="s">
        <v>121</v>
      </c>
      <c r="I1115">
        <v>6</v>
      </c>
      <c r="J1115" s="3">
        <v>19920.71</v>
      </c>
      <c r="K1115" s="3">
        <v>119524.26</v>
      </c>
      <c r="L1115" t="s">
        <v>25</v>
      </c>
      <c r="M1115" s="2">
        <v>46200</v>
      </c>
      <c r="N1115" s="2"/>
      <c r="O1115" t="s">
        <v>60</v>
      </c>
      <c r="P1115" t="s">
        <v>35</v>
      </c>
      <c r="Q1115" t="s">
        <v>167</v>
      </c>
      <c r="R1115" t="s">
        <v>167</v>
      </c>
      <c r="S1115">
        <v>2026</v>
      </c>
      <c r="T1115" t="s">
        <v>2743</v>
      </c>
      <c r="U1115" t="s">
        <v>2744</v>
      </c>
      <c r="V1115" s="4"/>
      <c r="W1115" s="4"/>
    </row>
    <row r="1116" spans="1:23">
      <c r="A1116" t="s">
        <v>1247</v>
      </c>
      <c r="B1116" s="2">
        <v>46058</v>
      </c>
      <c r="C1116" t="s">
        <v>46</v>
      </c>
      <c r="D1116" t="s">
        <v>47</v>
      </c>
      <c r="E1116" t="s">
        <v>48</v>
      </c>
      <c r="F1116" t="s">
        <v>49</v>
      </c>
      <c r="G1116" t="s">
        <v>50</v>
      </c>
      <c r="H1116" t="s">
        <v>51</v>
      </c>
      <c r="I1116">
        <v>2</v>
      </c>
      <c r="J1116" s="3">
        <v>56700.12</v>
      </c>
      <c r="K1116" s="3">
        <v>113400.24</v>
      </c>
      <c r="L1116" t="s">
        <v>25</v>
      </c>
      <c r="M1116" s="2">
        <v>46073</v>
      </c>
      <c r="N1116" s="2">
        <v>46072</v>
      </c>
      <c r="O1116" t="s">
        <v>43</v>
      </c>
      <c r="P1116" t="s">
        <v>53</v>
      </c>
      <c r="Q1116" t="s">
        <v>28</v>
      </c>
      <c r="R1116" t="s">
        <v>29</v>
      </c>
      <c r="S1116">
        <v>2026</v>
      </c>
      <c r="T1116" t="s">
        <v>2751</v>
      </c>
      <c r="U1116" t="s">
        <v>2765</v>
      </c>
      <c r="V1116" s="4">
        <v>0</v>
      </c>
      <c r="W1116" s="4">
        <v>1</v>
      </c>
    </row>
    <row r="1117" spans="1:23">
      <c r="A1117" t="s">
        <v>1248</v>
      </c>
      <c r="B1117" s="2">
        <v>45726</v>
      </c>
      <c r="C1117" t="s">
        <v>104</v>
      </c>
      <c r="D1117" t="s">
        <v>105</v>
      </c>
      <c r="E1117" t="s">
        <v>21</v>
      </c>
      <c r="F1117" t="s">
        <v>49</v>
      </c>
      <c r="G1117" t="s">
        <v>165</v>
      </c>
      <c r="H1117" t="s">
        <v>166</v>
      </c>
      <c r="I1117">
        <v>1</v>
      </c>
      <c r="J1117" s="3">
        <v>43990.84</v>
      </c>
      <c r="K1117" s="3">
        <v>43990.84</v>
      </c>
      <c r="L1117" t="s">
        <v>52</v>
      </c>
      <c r="M1117" s="2">
        <v>45738</v>
      </c>
      <c r="N1117" s="2">
        <v>45737</v>
      </c>
      <c r="O1117" t="s">
        <v>76</v>
      </c>
      <c r="P1117" t="s">
        <v>27</v>
      </c>
      <c r="Q1117" t="s">
        <v>28</v>
      </c>
      <c r="R1117" t="s">
        <v>29</v>
      </c>
      <c r="S1117">
        <v>2025</v>
      </c>
      <c r="T1117" t="s">
        <v>2747</v>
      </c>
      <c r="U1117" t="s">
        <v>2748</v>
      </c>
      <c r="V1117" s="4">
        <v>0</v>
      </c>
      <c r="W1117" s="4">
        <v>1</v>
      </c>
    </row>
    <row r="1118" spans="1:23">
      <c r="A1118" t="s">
        <v>1249</v>
      </c>
      <c r="B1118" s="2">
        <v>45833</v>
      </c>
      <c r="C1118" t="s">
        <v>134</v>
      </c>
      <c r="D1118" t="s">
        <v>135</v>
      </c>
      <c r="E1118" t="s">
        <v>112</v>
      </c>
      <c r="F1118" t="s">
        <v>40</v>
      </c>
      <c r="G1118" t="s">
        <v>41</v>
      </c>
      <c r="H1118" t="s">
        <v>42</v>
      </c>
      <c r="I1118">
        <v>8</v>
      </c>
      <c r="J1118" s="3">
        <v>5634.6</v>
      </c>
      <c r="K1118" s="3">
        <v>45076.800000000003</v>
      </c>
      <c r="L1118" t="s">
        <v>34</v>
      </c>
      <c r="M1118" s="2">
        <v>45838</v>
      </c>
      <c r="N1118" s="2">
        <v>45837</v>
      </c>
      <c r="O1118" t="s">
        <v>43</v>
      </c>
      <c r="P1118" t="s">
        <v>115</v>
      </c>
      <c r="Q1118" t="s">
        <v>28</v>
      </c>
      <c r="R1118" t="s">
        <v>29</v>
      </c>
      <c r="S1118">
        <v>2025</v>
      </c>
      <c r="T1118" t="s">
        <v>2743</v>
      </c>
      <c r="U1118" t="s">
        <v>2756</v>
      </c>
      <c r="V1118" s="4">
        <v>0</v>
      </c>
      <c r="W1118" s="4">
        <v>1</v>
      </c>
    </row>
    <row r="1119" spans="1:23">
      <c r="A1119" t="s">
        <v>1250</v>
      </c>
      <c r="B1119" s="2">
        <v>45658</v>
      </c>
      <c r="C1119" t="s">
        <v>147</v>
      </c>
      <c r="D1119" t="s">
        <v>148</v>
      </c>
      <c r="E1119" t="s">
        <v>39</v>
      </c>
      <c r="F1119" t="s">
        <v>40</v>
      </c>
      <c r="G1119" t="s">
        <v>149</v>
      </c>
      <c r="H1119" t="s">
        <v>150</v>
      </c>
      <c r="I1119">
        <v>25</v>
      </c>
      <c r="J1119" s="3">
        <v>1358.41</v>
      </c>
      <c r="K1119" s="3">
        <v>33960.25</v>
      </c>
      <c r="L1119" t="s">
        <v>25</v>
      </c>
      <c r="M1119" s="2">
        <v>45665</v>
      </c>
      <c r="N1119" s="2">
        <v>45663</v>
      </c>
      <c r="O1119" t="s">
        <v>26</v>
      </c>
      <c r="P1119" t="s">
        <v>64</v>
      </c>
      <c r="Q1119" t="s">
        <v>28</v>
      </c>
      <c r="R1119" t="s">
        <v>29</v>
      </c>
      <c r="S1119">
        <v>2025</v>
      </c>
      <c r="T1119" t="s">
        <v>2757</v>
      </c>
      <c r="U1119" t="s">
        <v>2768</v>
      </c>
      <c r="V1119" s="4">
        <v>0</v>
      </c>
      <c r="W1119" s="4">
        <v>1</v>
      </c>
    </row>
    <row r="1120" spans="1:23">
      <c r="A1120" t="s">
        <v>1251</v>
      </c>
      <c r="B1120" s="2">
        <v>46116</v>
      </c>
      <c r="C1120" t="s">
        <v>104</v>
      </c>
      <c r="D1120" t="s">
        <v>105</v>
      </c>
      <c r="E1120" t="s">
        <v>48</v>
      </c>
      <c r="F1120" t="s">
        <v>49</v>
      </c>
      <c r="G1120" t="s">
        <v>165</v>
      </c>
      <c r="H1120" t="s">
        <v>166</v>
      </c>
      <c r="I1120">
        <v>1</v>
      </c>
      <c r="J1120" s="3">
        <v>43399.199999999997</v>
      </c>
      <c r="K1120" s="3">
        <v>43399.199999999997</v>
      </c>
      <c r="L1120" t="s">
        <v>25</v>
      </c>
      <c r="M1120" s="2">
        <v>46134</v>
      </c>
      <c r="N1120" s="2">
        <v>46134</v>
      </c>
      <c r="O1120" t="s">
        <v>60</v>
      </c>
      <c r="P1120" t="s">
        <v>53</v>
      </c>
      <c r="Q1120" t="s">
        <v>28</v>
      </c>
      <c r="R1120" t="s">
        <v>29</v>
      </c>
      <c r="S1120">
        <v>2026</v>
      </c>
      <c r="T1120" t="s">
        <v>2741</v>
      </c>
      <c r="U1120" t="s">
        <v>2770</v>
      </c>
      <c r="V1120" s="4">
        <v>0</v>
      </c>
      <c r="W1120" s="4">
        <v>1</v>
      </c>
    </row>
    <row r="1121" spans="1:23">
      <c r="A1121" t="s">
        <v>1252</v>
      </c>
      <c r="B1121" s="2">
        <v>46180</v>
      </c>
      <c r="C1121" t="s">
        <v>104</v>
      </c>
      <c r="D1121" t="s">
        <v>105</v>
      </c>
      <c r="E1121" t="s">
        <v>48</v>
      </c>
      <c r="F1121" t="s">
        <v>49</v>
      </c>
      <c r="G1121" t="s">
        <v>165</v>
      </c>
      <c r="H1121" t="s">
        <v>166</v>
      </c>
      <c r="I1121">
        <v>2</v>
      </c>
      <c r="J1121" s="3">
        <v>43414.25</v>
      </c>
      <c r="K1121" s="3">
        <v>86828.5</v>
      </c>
      <c r="L1121" t="s">
        <v>25</v>
      </c>
      <c r="M1121" s="2">
        <v>46188</v>
      </c>
      <c r="N1121" s="2">
        <v>46188</v>
      </c>
      <c r="O1121" t="s">
        <v>43</v>
      </c>
      <c r="P1121" t="s">
        <v>53</v>
      </c>
      <c r="Q1121" t="s">
        <v>28</v>
      </c>
      <c r="R1121" t="s">
        <v>29</v>
      </c>
      <c r="S1121">
        <v>2026</v>
      </c>
      <c r="T1121" t="s">
        <v>2743</v>
      </c>
      <c r="U1121" t="s">
        <v>2744</v>
      </c>
      <c r="V1121" s="4">
        <v>0</v>
      </c>
      <c r="W1121" s="4">
        <v>1</v>
      </c>
    </row>
    <row r="1122" spans="1:23">
      <c r="A1122" t="s">
        <v>1253</v>
      </c>
      <c r="B1122" s="2">
        <v>45734</v>
      </c>
      <c r="C1122" t="s">
        <v>37</v>
      </c>
      <c r="D1122" t="s">
        <v>38</v>
      </c>
      <c r="E1122" t="s">
        <v>39</v>
      </c>
      <c r="F1122" t="s">
        <v>22</v>
      </c>
      <c r="G1122" t="s">
        <v>160</v>
      </c>
      <c r="H1122" t="s">
        <v>161</v>
      </c>
      <c r="I1122">
        <v>14</v>
      </c>
      <c r="J1122" s="3">
        <v>3414.35</v>
      </c>
      <c r="K1122" s="3">
        <v>47800.9</v>
      </c>
      <c r="L1122" t="s">
        <v>25</v>
      </c>
      <c r="M1122" s="2">
        <v>45741</v>
      </c>
      <c r="N1122" s="2">
        <v>45740</v>
      </c>
      <c r="O1122" t="s">
        <v>60</v>
      </c>
      <c r="P1122" t="s">
        <v>64</v>
      </c>
      <c r="Q1122" t="s">
        <v>28</v>
      </c>
      <c r="R1122" t="s">
        <v>29</v>
      </c>
      <c r="S1122">
        <v>2025</v>
      </c>
      <c r="T1122" t="s">
        <v>2747</v>
      </c>
      <c r="U1122" t="s">
        <v>2748</v>
      </c>
      <c r="V1122" s="4">
        <v>0</v>
      </c>
      <c r="W1122" s="4">
        <v>1</v>
      </c>
    </row>
    <row r="1123" spans="1:23">
      <c r="A1123" t="s">
        <v>1254</v>
      </c>
      <c r="B1123" s="2">
        <v>46106</v>
      </c>
      <c r="C1123" t="s">
        <v>142</v>
      </c>
      <c r="D1123" t="s">
        <v>143</v>
      </c>
      <c r="E1123" t="s">
        <v>73</v>
      </c>
      <c r="F1123" t="s">
        <v>22</v>
      </c>
      <c r="G1123" t="s">
        <v>32</v>
      </c>
      <c r="H1123" t="s">
        <v>33</v>
      </c>
      <c r="I1123">
        <v>9</v>
      </c>
      <c r="J1123" s="3">
        <v>7568.72</v>
      </c>
      <c r="K1123" s="3">
        <v>68118.48</v>
      </c>
      <c r="L1123" t="s">
        <v>25</v>
      </c>
      <c r="M1123" s="2">
        <v>46113</v>
      </c>
      <c r="N1123" s="2">
        <v>46111</v>
      </c>
      <c r="O1123" t="s">
        <v>76</v>
      </c>
      <c r="P1123" t="s">
        <v>77</v>
      </c>
      <c r="Q1123" t="s">
        <v>28</v>
      </c>
      <c r="R1123" t="s">
        <v>29</v>
      </c>
      <c r="S1123">
        <v>2026</v>
      </c>
      <c r="T1123" t="s">
        <v>2747</v>
      </c>
      <c r="U1123" t="s">
        <v>2755</v>
      </c>
      <c r="V1123" s="4">
        <v>0</v>
      </c>
      <c r="W1123" s="4">
        <v>1</v>
      </c>
    </row>
    <row r="1124" spans="1:23">
      <c r="A1124" t="s">
        <v>1255</v>
      </c>
      <c r="B1124" s="2">
        <v>45681</v>
      </c>
      <c r="C1124" t="s">
        <v>46</v>
      </c>
      <c r="D1124" t="s">
        <v>47</v>
      </c>
      <c r="E1124" t="s">
        <v>48</v>
      </c>
      <c r="F1124" t="s">
        <v>49</v>
      </c>
      <c r="G1124" t="s">
        <v>68</v>
      </c>
      <c r="H1124" t="s">
        <v>69</v>
      </c>
      <c r="I1124">
        <v>2</v>
      </c>
      <c r="J1124" s="3">
        <v>53398.67</v>
      </c>
      <c r="K1124" s="3">
        <v>106797.34</v>
      </c>
      <c r="L1124" t="s">
        <v>52</v>
      </c>
      <c r="M1124" s="2">
        <v>45693</v>
      </c>
      <c r="N1124" s="2">
        <v>45690</v>
      </c>
      <c r="O1124" t="s">
        <v>60</v>
      </c>
      <c r="P1124" t="s">
        <v>53</v>
      </c>
      <c r="Q1124" t="s">
        <v>28</v>
      </c>
      <c r="R1124" t="s">
        <v>29</v>
      </c>
      <c r="S1124">
        <v>2025</v>
      </c>
      <c r="T1124" t="s">
        <v>2757</v>
      </c>
      <c r="U1124" t="s">
        <v>2768</v>
      </c>
      <c r="V1124" s="4">
        <v>0</v>
      </c>
      <c r="W1124" s="4">
        <v>1</v>
      </c>
    </row>
    <row r="1125" spans="1:23">
      <c r="A1125" t="s">
        <v>1256</v>
      </c>
      <c r="B1125" s="2">
        <v>46072</v>
      </c>
      <c r="C1125" t="s">
        <v>71</v>
      </c>
      <c r="D1125" t="s">
        <v>72</v>
      </c>
      <c r="E1125" t="s">
        <v>48</v>
      </c>
      <c r="F1125" t="s">
        <v>57</v>
      </c>
      <c r="G1125" t="s">
        <v>58</v>
      </c>
      <c r="H1125" t="s">
        <v>59</v>
      </c>
      <c r="I1125">
        <v>3</v>
      </c>
      <c r="J1125" s="3">
        <v>52907.63</v>
      </c>
      <c r="K1125" s="3">
        <v>158722.89000000001</v>
      </c>
      <c r="L1125" t="s">
        <v>25</v>
      </c>
      <c r="M1125" s="2">
        <v>46078</v>
      </c>
      <c r="N1125" s="2">
        <v>46077</v>
      </c>
      <c r="O1125" t="s">
        <v>76</v>
      </c>
      <c r="P1125" t="s">
        <v>53</v>
      </c>
      <c r="Q1125" t="s">
        <v>28</v>
      </c>
      <c r="R1125" t="s">
        <v>29</v>
      </c>
      <c r="S1125">
        <v>2026</v>
      </c>
      <c r="T1125" t="s">
        <v>2751</v>
      </c>
      <c r="U1125" t="s">
        <v>2765</v>
      </c>
      <c r="V1125" s="4">
        <v>0</v>
      </c>
      <c r="W1125" s="4">
        <v>1</v>
      </c>
    </row>
    <row r="1126" spans="1:23">
      <c r="A1126" t="s">
        <v>1257</v>
      </c>
      <c r="B1126" s="2">
        <v>45821</v>
      </c>
      <c r="C1126" t="s">
        <v>117</v>
      </c>
      <c r="D1126" t="s">
        <v>118</v>
      </c>
      <c r="E1126" t="s">
        <v>73</v>
      </c>
      <c r="F1126" t="s">
        <v>57</v>
      </c>
      <c r="G1126" t="s">
        <v>58</v>
      </c>
      <c r="H1126" t="s">
        <v>59</v>
      </c>
      <c r="I1126">
        <v>8</v>
      </c>
      <c r="J1126" s="3">
        <v>56765.56</v>
      </c>
      <c r="K1126" s="3">
        <v>454124.48</v>
      </c>
      <c r="L1126" t="s">
        <v>34</v>
      </c>
      <c r="M1126" s="2">
        <v>45827</v>
      </c>
      <c r="N1126" s="2">
        <v>45824</v>
      </c>
      <c r="O1126" t="s">
        <v>43</v>
      </c>
      <c r="P1126" t="s">
        <v>77</v>
      </c>
      <c r="Q1126" t="s">
        <v>28</v>
      </c>
      <c r="R1126" t="s">
        <v>29</v>
      </c>
      <c r="S1126">
        <v>2025</v>
      </c>
      <c r="T1126" t="s">
        <v>2743</v>
      </c>
      <c r="U1126" t="s">
        <v>2756</v>
      </c>
      <c r="V1126" s="4">
        <v>0</v>
      </c>
      <c r="W1126" s="4">
        <v>1</v>
      </c>
    </row>
    <row r="1127" spans="1:23">
      <c r="A1127" t="s">
        <v>1258</v>
      </c>
      <c r="B1127" s="2">
        <v>45800</v>
      </c>
      <c r="C1127" t="s">
        <v>46</v>
      </c>
      <c r="D1127" t="s">
        <v>47</v>
      </c>
      <c r="E1127" t="s">
        <v>73</v>
      </c>
      <c r="F1127" t="s">
        <v>49</v>
      </c>
      <c r="G1127" t="s">
        <v>113</v>
      </c>
      <c r="H1127" t="s">
        <v>114</v>
      </c>
      <c r="I1127">
        <v>1</v>
      </c>
      <c r="J1127" s="3">
        <v>40605.599999999999</v>
      </c>
      <c r="K1127" s="3">
        <v>40605.599999999999</v>
      </c>
      <c r="L1127" t="s">
        <v>34</v>
      </c>
      <c r="M1127" s="2">
        <v>45808</v>
      </c>
      <c r="N1127" s="2">
        <v>45806</v>
      </c>
      <c r="O1127" t="s">
        <v>43</v>
      </c>
      <c r="P1127" t="s">
        <v>77</v>
      </c>
      <c r="Q1127" t="s">
        <v>28</v>
      </c>
      <c r="R1127" t="s">
        <v>29</v>
      </c>
      <c r="S1127">
        <v>2025</v>
      </c>
      <c r="T1127" t="s">
        <v>2766</v>
      </c>
      <c r="U1127" t="s">
        <v>2767</v>
      </c>
      <c r="V1127" s="4">
        <v>0</v>
      </c>
      <c r="W1127" s="4">
        <v>1</v>
      </c>
    </row>
    <row r="1128" spans="1:23">
      <c r="A1128" t="s">
        <v>1259</v>
      </c>
      <c r="B1128" s="2">
        <v>45914</v>
      </c>
      <c r="C1128" t="s">
        <v>37</v>
      </c>
      <c r="D1128" t="s">
        <v>38</v>
      </c>
      <c r="E1128" t="s">
        <v>21</v>
      </c>
      <c r="F1128" t="s">
        <v>22</v>
      </c>
      <c r="G1128" t="s">
        <v>160</v>
      </c>
      <c r="H1128" t="s">
        <v>161</v>
      </c>
      <c r="I1128">
        <v>12</v>
      </c>
      <c r="J1128" s="3">
        <v>3338.13</v>
      </c>
      <c r="K1128" s="3">
        <v>40057.56</v>
      </c>
      <c r="L1128" t="s">
        <v>34</v>
      </c>
      <c r="M1128" s="2">
        <v>45928</v>
      </c>
      <c r="N1128" s="2">
        <v>45928</v>
      </c>
      <c r="O1128" t="s">
        <v>76</v>
      </c>
      <c r="P1128" t="s">
        <v>27</v>
      </c>
      <c r="Q1128" t="s">
        <v>28</v>
      </c>
      <c r="R1128" t="s">
        <v>29</v>
      </c>
      <c r="S1128">
        <v>2025</v>
      </c>
      <c r="T1128" t="s">
        <v>2753</v>
      </c>
      <c r="U1128" t="s">
        <v>2754</v>
      </c>
      <c r="V1128" s="4">
        <v>0</v>
      </c>
      <c r="W1128" s="4">
        <v>1</v>
      </c>
    </row>
    <row r="1129" spans="1:23">
      <c r="A1129" t="s">
        <v>1260</v>
      </c>
      <c r="B1129" s="2">
        <v>46120</v>
      </c>
      <c r="C1129" t="s">
        <v>89</v>
      </c>
      <c r="D1129" t="s">
        <v>90</v>
      </c>
      <c r="E1129" t="s">
        <v>31</v>
      </c>
      <c r="F1129" t="s">
        <v>91</v>
      </c>
      <c r="G1129" t="s">
        <v>109</v>
      </c>
      <c r="H1129" t="s">
        <v>110</v>
      </c>
      <c r="I1129">
        <v>1</v>
      </c>
      <c r="J1129" s="3">
        <v>13039.11</v>
      </c>
      <c r="K1129" s="3">
        <v>13039.11</v>
      </c>
      <c r="L1129" t="s">
        <v>25</v>
      </c>
      <c r="M1129" s="2">
        <v>46133</v>
      </c>
      <c r="N1129" s="2">
        <v>46130</v>
      </c>
      <c r="O1129" t="s">
        <v>26</v>
      </c>
      <c r="P1129" t="s">
        <v>94</v>
      </c>
      <c r="Q1129" t="s">
        <v>28</v>
      </c>
      <c r="R1129" t="s">
        <v>29</v>
      </c>
      <c r="S1129">
        <v>2026</v>
      </c>
      <c r="T1129" t="s">
        <v>2741</v>
      </c>
      <c r="U1129" t="s">
        <v>2770</v>
      </c>
      <c r="V1129" s="4">
        <v>0</v>
      </c>
      <c r="W1129" s="4">
        <v>1</v>
      </c>
    </row>
    <row r="1130" spans="1:23">
      <c r="A1130" t="s">
        <v>1261</v>
      </c>
      <c r="B1130" s="2">
        <v>46120</v>
      </c>
      <c r="C1130" t="s">
        <v>71</v>
      </c>
      <c r="D1130" t="s">
        <v>72</v>
      </c>
      <c r="E1130" t="s">
        <v>48</v>
      </c>
      <c r="F1130" t="s">
        <v>57</v>
      </c>
      <c r="G1130" t="s">
        <v>120</v>
      </c>
      <c r="H1130" t="s">
        <v>121</v>
      </c>
      <c r="I1130">
        <v>8</v>
      </c>
      <c r="J1130" s="3">
        <v>21449.65</v>
      </c>
      <c r="K1130" s="3">
        <v>171597.2</v>
      </c>
      <c r="L1130" t="s">
        <v>25</v>
      </c>
      <c r="M1130" s="2">
        <v>46134</v>
      </c>
      <c r="N1130" s="2">
        <v>46131</v>
      </c>
      <c r="O1130" t="s">
        <v>60</v>
      </c>
      <c r="P1130" t="s">
        <v>53</v>
      </c>
      <c r="Q1130" t="s">
        <v>28</v>
      </c>
      <c r="R1130" t="s">
        <v>29</v>
      </c>
      <c r="S1130">
        <v>2026</v>
      </c>
      <c r="T1130" t="s">
        <v>2741</v>
      </c>
      <c r="U1130" t="s">
        <v>2770</v>
      </c>
      <c r="V1130" s="4">
        <v>0</v>
      </c>
      <c r="W1130" s="4">
        <v>1</v>
      </c>
    </row>
    <row r="1131" spans="1:23">
      <c r="A1131" t="s">
        <v>1262</v>
      </c>
      <c r="B1131" s="2">
        <v>45790</v>
      </c>
      <c r="C1131" t="s">
        <v>117</v>
      </c>
      <c r="D1131" t="s">
        <v>118</v>
      </c>
      <c r="E1131" t="s">
        <v>31</v>
      </c>
      <c r="F1131" t="s">
        <v>57</v>
      </c>
      <c r="G1131" t="s">
        <v>120</v>
      </c>
      <c r="H1131" t="s">
        <v>121</v>
      </c>
      <c r="I1131">
        <v>6</v>
      </c>
      <c r="J1131" s="3">
        <v>22444.639999999999</v>
      </c>
      <c r="K1131" s="3">
        <v>134667.84</v>
      </c>
      <c r="L1131" t="s">
        <v>34</v>
      </c>
      <c r="M1131" s="2">
        <v>45805</v>
      </c>
      <c r="N1131" s="2">
        <v>45802</v>
      </c>
      <c r="O1131" t="s">
        <v>26</v>
      </c>
      <c r="P1131" t="s">
        <v>35</v>
      </c>
      <c r="Q1131" t="s">
        <v>28</v>
      </c>
      <c r="R1131" t="s">
        <v>29</v>
      </c>
      <c r="S1131">
        <v>2025</v>
      </c>
      <c r="T1131" t="s">
        <v>2766</v>
      </c>
      <c r="U1131" t="s">
        <v>2767</v>
      </c>
      <c r="V1131" s="4">
        <v>0</v>
      </c>
      <c r="W1131" s="4">
        <v>1</v>
      </c>
    </row>
    <row r="1132" spans="1:23">
      <c r="A1132" t="s">
        <v>1263</v>
      </c>
      <c r="B1132" s="2">
        <v>46057</v>
      </c>
      <c r="C1132" t="s">
        <v>19</v>
      </c>
      <c r="D1132" t="s">
        <v>20</v>
      </c>
      <c r="E1132" t="s">
        <v>31</v>
      </c>
      <c r="F1132" t="s">
        <v>22</v>
      </c>
      <c r="G1132" t="s">
        <v>160</v>
      </c>
      <c r="H1132" t="s">
        <v>161</v>
      </c>
      <c r="I1132">
        <v>2</v>
      </c>
      <c r="J1132" s="3">
        <v>2820.4</v>
      </c>
      <c r="K1132" s="3">
        <v>5640.8</v>
      </c>
      <c r="L1132" t="s">
        <v>34</v>
      </c>
      <c r="M1132" s="2">
        <v>46064</v>
      </c>
      <c r="N1132" s="2">
        <v>46063</v>
      </c>
      <c r="O1132" t="s">
        <v>76</v>
      </c>
      <c r="P1132" t="s">
        <v>35</v>
      </c>
      <c r="Q1132" t="s">
        <v>28</v>
      </c>
      <c r="R1132" t="s">
        <v>29</v>
      </c>
      <c r="S1132">
        <v>2026</v>
      </c>
      <c r="T1132" t="s">
        <v>2751</v>
      </c>
      <c r="U1132" t="s">
        <v>2765</v>
      </c>
      <c r="V1132" s="4">
        <v>0</v>
      </c>
      <c r="W1132" s="4">
        <v>1</v>
      </c>
    </row>
    <row r="1133" spans="1:23">
      <c r="A1133" t="s">
        <v>1264</v>
      </c>
      <c r="B1133" s="2">
        <v>45932</v>
      </c>
      <c r="C1133" t="s">
        <v>134</v>
      </c>
      <c r="D1133" t="s">
        <v>135</v>
      </c>
      <c r="E1133" t="s">
        <v>112</v>
      </c>
      <c r="F1133" t="s">
        <v>40</v>
      </c>
      <c r="G1133" t="s">
        <v>62</v>
      </c>
      <c r="H1133" t="s">
        <v>63</v>
      </c>
      <c r="I1133">
        <v>6</v>
      </c>
      <c r="J1133" s="3">
        <v>18086.52</v>
      </c>
      <c r="K1133" s="3">
        <v>108519.12</v>
      </c>
      <c r="L1133" t="s">
        <v>25</v>
      </c>
      <c r="M1133" s="2">
        <v>45950</v>
      </c>
      <c r="N1133" s="2">
        <v>45948</v>
      </c>
      <c r="O1133" t="s">
        <v>26</v>
      </c>
      <c r="P1133" t="s">
        <v>115</v>
      </c>
      <c r="Q1133" t="s">
        <v>28</v>
      </c>
      <c r="R1133" t="s">
        <v>29</v>
      </c>
      <c r="S1133">
        <v>2025</v>
      </c>
      <c r="T1133" t="s">
        <v>2749</v>
      </c>
      <c r="U1133" t="s">
        <v>2750</v>
      </c>
      <c r="V1133" s="4">
        <v>0</v>
      </c>
      <c r="W1133" s="4">
        <v>1</v>
      </c>
    </row>
    <row r="1134" spans="1:23">
      <c r="A1134" t="s">
        <v>1265</v>
      </c>
      <c r="B1134" s="2">
        <v>45933</v>
      </c>
      <c r="C1134" t="s">
        <v>71</v>
      </c>
      <c r="D1134" t="s">
        <v>72</v>
      </c>
      <c r="E1134" t="s">
        <v>48</v>
      </c>
      <c r="F1134" t="s">
        <v>57</v>
      </c>
      <c r="G1134" t="s">
        <v>86</v>
      </c>
      <c r="H1134" t="s">
        <v>87</v>
      </c>
      <c r="I1134">
        <v>2</v>
      </c>
      <c r="J1134" s="3">
        <v>10611.26</v>
      </c>
      <c r="K1134" s="3">
        <v>21222.52</v>
      </c>
      <c r="L1134" t="s">
        <v>25</v>
      </c>
      <c r="M1134" s="2">
        <v>45943</v>
      </c>
      <c r="N1134" s="2">
        <v>45941</v>
      </c>
      <c r="O1134" t="s">
        <v>76</v>
      </c>
      <c r="P1134" t="s">
        <v>53</v>
      </c>
      <c r="Q1134" t="s">
        <v>28</v>
      </c>
      <c r="R1134" t="s">
        <v>29</v>
      </c>
      <c r="S1134">
        <v>2025</v>
      </c>
      <c r="T1134" t="s">
        <v>2749</v>
      </c>
      <c r="U1134" t="s">
        <v>2750</v>
      </c>
      <c r="V1134" s="4">
        <v>0</v>
      </c>
      <c r="W1134" s="4">
        <v>1</v>
      </c>
    </row>
    <row r="1135" spans="1:23">
      <c r="A1135" t="s">
        <v>1266</v>
      </c>
      <c r="B1135" s="2">
        <v>46152</v>
      </c>
      <c r="C1135" t="s">
        <v>147</v>
      </c>
      <c r="D1135" t="s">
        <v>148</v>
      </c>
      <c r="E1135" t="s">
        <v>112</v>
      </c>
      <c r="F1135" t="s">
        <v>40</v>
      </c>
      <c r="G1135" t="s">
        <v>149</v>
      </c>
      <c r="H1135" t="s">
        <v>150</v>
      </c>
      <c r="I1135">
        <v>42</v>
      </c>
      <c r="J1135" s="3">
        <v>1264.21</v>
      </c>
      <c r="K1135" s="3">
        <v>53096.82</v>
      </c>
      <c r="L1135" t="s">
        <v>25</v>
      </c>
      <c r="M1135" s="2">
        <v>46160</v>
      </c>
      <c r="N1135" s="2">
        <v>46159</v>
      </c>
      <c r="O1135" t="s">
        <v>76</v>
      </c>
      <c r="P1135" t="s">
        <v>115</v>
      </c>
      <c r="Q1135" t="s">
        <v>28</v>
      </c>
      <c r="R1135" t="s">
        <v>29</v>
      </c>
      <c r="S1135">
        <v>2026</v>
      </c>
      <c r="T1135" t="s">
        <v>2766</v>
      </c>
      <c r="U1135" t="s">
        <v>2769</v>
      </c>
      <c r="V1135" s="4">
        <v>0</v>
      </c>
      <c r="W1135" s="4">
        <v>1</v>
      </c>
    </row>
    <row r="1136" spans="1:23">
      <c r="A1136" t="s">
        <v>1267</v>
      </c>
      <c r="B1136" s="2">
        <v>46174</v>
      </c>
      <c r="C1136" t="s">
        <v>104</v>
      </c>
      <c r="D1136" t="s">
        <v>105</v>
      </c>
      <c r="E1136" t="s">
        <v>48</v>
      </c>
      <c r="F1136" t="s">
        <v>49</v>
      </c>
      <c r="G1136" t="s">
        <v>165</v>
      </c>
      <c r="H1136" t="s">
        <v>166</v>
      </c>
      <c r="I1136">
        <v>3</v>
      </c>
      <c r="J1136" s="3">
        <v>45815.57</v>
      </c>
      <c r="K1136" s="3">
        <v>137446.71</v>
      </c>
      <c r="L1136" t="s">
        <v>25</v>
      </c>
      <c r="M1136" s="2">
        <v>46183</v>
      </c>
      <c r="N1136" s="2">
        <v>46181</v>
      </c>
      <c r="O1136" t="s">
        <v>76</v>
      </c>
      <c r="P1136" t="s">
        <v>53</v>
      </c>
      <c r="Q1136" t="s">
        <v>28</v>
      </c>
      <c r="R1136" t="s">
        <v>29</v>
      </c>
      <c r="S1136">
        <v>2026</v>
      </c>
      <c r="T1136" t="s">
        <v>2743</v>
      </c>
      <c r="U1136" t="s">
        <v>2744</v>
      </c>
      <c r="V1136" s="4">
        <v>0</v>
      </c>
      <c r="W1136" s="4">
        <v>1</v>
      </c>
    </row>
    <row r="1137" spans="1:23">
      <c r="A1137" t="s">
        <v>1268</v>
      </c>
      <c r="B1137" s="2">
        <v>45887</v>
      </c>
      <c r="C1137" t="s">
        <v>131</v>
      </c>
      <c r="D1137" t="s">
        <v>132</v>
      </c>
      <c r="E1137" t="s">
        <v>21</v>
      </c>
      <c r="F1137" t="s">
        <v>57</v>
      </c>
      <c r="G1137" t="s">
        <v>101</v>
      </c>
      <c r="H1137" t="s">
        <v>102</v>
      </c>
      <c r="I1137">
        <v>57</v>
      </c>
      <c r="J1137" s="3">
        <v>1963.33</v>
      </c>
      <c r="K1137" s="3">
        <v>111909.81</v>
      </c>
      <c r="L1137" t="s">
        <v>25</v>
      </c>
      <c r="M1137" s="2">
        <v>45901</v>
      </c>
      <c r="N1137" s="2">
        <v>45916</v>
      </c>
      <c r="O1137" t="s">
        <v>60</v>
      </c>
      <c r="P1137" t="s">
        <v>27</v>
      </c>
      <c r="Q1137" t="s">
        <v>28</v>
      </c>
      <c r="R1137" t="s">
        <v>129</v>
      </c>
      <c r="S1137">
        <v>2025</v>
      </c>
      <c r="T1137" t="s">
        <v>2761</v>
      </c>
      <c r="U1137" t="s">
        <v>2762</v>
      </c>
      <c r="V1137" s="4">
        <v>15</v>
      </c>
      <c r="W1137" s="4">
        <v>0</v>
      </c>
    </row>
    <row r="1138" spans="1:23">
      <c r="A1138" t="s">
        <v>1269</v>
      </c>
      <c r="B1138" s="2">
        <v>45826</v>
      </c>
      <c r="C1138" t="s">
        <v>19</v>
      </c>
      <c r="D1138" t="s">
        <v>20</v>
      </c>
      <c r="E1138" t="s">
        <v>31</v>
      </c>
      <c r="F1138" t="s">
        <v>22</v>
      </c>
      <c r="G1138" t="s">
        <v>160</v>
      </c>
      <c r="H1138" t="s">
        <v>161</v>
      </c>
      <c r="I1138">
        <v>1</v>
      </c>
      <c r="J1138" s="3">
        <v>2883.28</v>
      </c>
      <c r="K1138" s="3">
        <v>2883.28</v>
      </c>
      <c r="L1138" t="s">
        <v>25</v>
      </c>
      <c r="M1138" s="2">
        <v>45832</v>
      </c>
      <c r="N1138" s="2">
        <v>45831</v>
      </c>
      <c r="O1138" t="s">
        <v>43</v>
      </c>
      <c r="P1138" t="s">
        <v>35</v>
      </c>
      <c r="Q1138" t="s">
        <v>28</v>
      </c>
      <c r="R1138" t="s">
        <v>29</v>
      </c>
      <c r="S1138">
        <v>2025</v>
      </c>
      <c r="T1138" t="s">
        <v>2743</v>
      </c>
      <c r="U1138" t="s">
        <v>2756</v>
      </c>
      <c r="V1138" s="4">
        <v>0</v>
      </c>
      <c r="W1138" s="4">
        <v>1</v>
      </c>
    </row>
    <row r="1139" spans="1:23">
      <c r="A1139" t="s">
        <v>1270</v>
      </c>
      <c r="B1139" s="2">
        <v>45958</v>
      </c>
      <c r="C1139" t="s">
        <v>104</v>
      </c>
      <c r="D1139" t="s">
        <v>105</v>
      </c>
      <c r="E1139" t="s">
        <v>21</v>
      </c>
      <c r="F1139" t="s">
        <v>49</v>
      </c>
      <c r="G1139" t="s">
        <v>50</v>
      </c>
      <c r="H1139" t="s">
        <v>51</v>
      </c>
      <c r="I1139">
        <v>1</v>
      </c>
      <c r="J1139" s="3">
        <v>53331.4</v>
      </c>
      <c r="K1139" s="3">
        <v>53331.4</v>
      </c>
      <c r="L1139" t="s">
        <v>25</v>
      </c>
      <c r="M1139" s="2">
        <v>45972</v>
      </c>
      <c r="N1139" s="2">
        <v>45969</v>
      </c>
      <c r="O1139" t="s">
        <v>43</v>
      </c>
      <c r="P1139" t="s">
        <v>27</v>
      </c>
      <c r="Q1139" t="s">
        <v>28</v>
      </c>
      <c r="R1139" t="s">
        <v>29</v>
      </c>
      <c r="S1139">
        <v>2025</v>
      </c>
      <c r="T1139" t="s">
        <v>2749</v>
      </c>
      <c r="U1139" t="s">
        <v>2750</v>
      </c>
      <c r="V1139" s="4">
        <v>0</v>
      </c>
      <c r="W1139" s="4">
        <v>1</v>
      </c>
    </row>
    <row r="1140" spans="1:23">
      <c r="A1140" t="s">
        <v>1271</v>
      </c>
      <c r="B1140" s="2">
        <v>46094</v>
      </c>
      <c r="C1140" t="s">
        <v>142</v>
      </c>
      <c r="D1140" t="s">
        <v>143</v>
      </c>
      <c r="E1140" t="s">
        <v>21</v>
      </c>
      <c r="F1140" t="s">
        <v>22</v>
      </c>
      <c r="G1140" t="s">
        <v>32</v>
      </c>
      <c r="H1140" t="s">
        <v>33</v>
      </c>
      <c r="I1140">
        <v>12</v>
      </c>
      <c r="J1140" s="3">
        <v>8082.32</v>
      </c>
      <c r="K1140" s="3">
        <v>96987.839999999997</v>
      </c>
      <c r="L1140" t="s">
        <v>25</v>
      </c>
      <c r="M1140" s="2">
        <v>46112</v>
      </c>
      <c r="N1140" s="2">
        <v>46112</v>
      </c>
      <c r="O1140" t="s">
        <v>43</v>
      </c>
      <c r="P1140" t="s">
        <v>27</v>
      </c>
      <c r="Q1140" t="s">
        <v>28</v>
      </c>
      <c r="R1140" t="s">
        <v>29</v>
      </c>
      <c r="S1140">
        <v>2026</v>
      </c>
      <c r="T1140" t="s">
        <v>2747</v>
      </c>
      <c r="U1140" t="s">
        <v>2755</v>
      </c>
      <c r="V1140" s="4">
        <v>0</v>
      </c>
      <c r="W1140" s="4">
        <v>1</v>
      </c>
    </row>
    <row r="1141" spans="1:23">
      <c r="A1141" t="s">
        <v>1272</v>
      </c>
      <c r="B1141" s="2">
        <v>46020</v>
      </c>
      <c r="C1141" t="s">
        <v>71</v>
      </c>
      <c r="D1141" t="s">
        <v>72</v>
      </c>
      <c r="E1141" t="s">
        <v>73</v>
      </c>
      <c r="F1141" t="s">
        <v>57</v>
      </c>
      <c r="G1141" t="s">
        <v>101</v>
      </c>
      <c r="H1141" t="s">
        <v>102</v>
      </c>
      <c r="I1141">
        <v>40</v>
      </c>
      <c r="J1141" s="3">
        <v>1695.51</v>
      </c>
      <c r="K1141" s="3">
        <v>67820.399999999994</v>
      </c>
      <c r="L1141" t="s">
        <v>34</v>
      </c>
      <c r="M1141" s="2">
        <v>46025</v>
      </c>
      <c r="N1141" s="2">
        <v>46024</v>
      </c>
      <c r="O1141" t="s">
        <v>43</v>
      </c>
      <c r="P1141" t="s">
        <v>77</v>
      </c>
      <c r="Q1141" t="s">
        <v>28</v>
      </c>
      <c r="R1141" t="s">
        <v>29</v>
      </c>
      <c r="S1141">
        <v>2025</v>
      </c>
      <c r="T1141" t="s">
        <v>2745</v>
      </c>
      <c r="U1141" t="s">
        <v>2746</v>
      </c>
      <c r="V1141" s="4">
        <v>0</v>
      </c>
      <c r="W1141" s="4">
        <v>1</v>
      </c>
    </row>
    <row r="1142" spans="1:23">
      <c r="A1142" t="s">
        <v>1273</v>
      </c>
      <c r="B1142" s="2">
        <v>46027</v>
      </c>
      <c r="C1142" t="s">
        <v>104</v>
      </c>
      <c r="D1142" t="s">
        <v>105</v>
      </c>
      <c r="E1142" t="s">
        <v>48</v>
      </c>
      <c r="F1142" t="s">
        <v>49</v>
      </c>
      <c r="G1142" t="s">
        <v>68</v>
      </c>
      <c r="H1142" t="s">
        <v>69</v>
      </c>
      <c r="I1142">
        <v>1</v>
      </c>
      <c r="J1142" s="3">
        <v>46671.19</v>
      </c>
      <c r="K1142" s="3">
        <v>46671.19</v>
      </c>
      <c r="L1142" t="s">
        <v>25</v>
      </c>
      <c r="M1142" s="2">
        <v>46040</v>
      </c>
      <c r="N1142" s="2">
        <v>46037</v>
      </c>
      <c r="O1142" t="s">
        <v>76</v>
      </c>
      <c r="P1142" t="s">
        <v>53</v>
      </c>
      <c r="Q1142" t="s">
        <v>28</v>
      </c>
      <c r="R1142" t="s">
        <v>29</v>
      </c>
      <c r="S1142">
        <v>2026</v>
      </c>
      <c r="T1142" t="s">
        <v>2757</v>
      </c>
      <c r="U1142" t="s">
        <v>2758</v>
      </c>
      <c r="V1142" s="4">
        <v>0</v>
      </c>
      <c r="W1142" s="4">
        <v>1</v>
      </c>
    </row>
    <row r="1143" spans="1:23">
      <c r="A1143" t="s">
        <v>1274</v>
      </c>
      <c r="B1143" s="2">
        <v>46118</v>
      </c>
      <c r="C1143" t="s">
        <v>19</v>
      </c>
      <c r="D1143" t="s">
        <v>20</v>
      </c>
      <c r="E1143" t="s">
        <v>21</v>
      </c>
      <c r="F1143" t="s">
        <v>22</v>
      </c>
      <c r="G1143" t="s">
        <v>23</v>
      </c>
      <c r="H1143" t="s">
        <v>24</v>
      </c>
      <c r="I1143">
        <v>26</v>
      </c>
      <c r="J1143" s="3">
        <v>225.66</v>
      </c>
      <c r="K1143" s="3">
        <v>5867.16</v>
      </c>
      <c r="L1143" t="s">
        <v>25</v>
      </c>
      <c r="M1143" s="2">
        <v>46134</v>
      </c>
      <c r="N1143" s="2">
        <v>46132</v>
      </c>
      <c r="O1143" t="s">
        <v>76</v>
      </c>
      <c r="P1143" t="s">
        <v>27</v>
      </c>
      <c r="Q1143" t="s">
        <v>28</v>
      </c>
      <c r="R1143" t="s">
        <v>29</v>
      </c>
      <c r="S1143">
        <v>2026</v>
      </c>
      <c r="T1143" t="s">
        <v>2741</v>
      </c>
      <c r="U1143" t="s">
        <v>2770</v>
      </c>
      <c r="V1143" s="4">
        <v>0</v>
      </c>
      <c r="W1143" s="4">
        <v>1</v>
      </c>
    </row>
    <row r="1144" spans="1:23">
      <c r="A1144" t="s">
        <v>1275</v>
      </c>
      <c r="B1144" s="2">
        <v>45982</v>
      </c>
      <c r="C1144" t="s">
        <v>46</v>
      </c>
      <c r="D1144" t="s">
        <v>47</v>
      </c>
      <c r="E1144" t="s">
        <v>48</v>
      </c>
      <c r="F1144" t="s">
        <v>49</v>
      </c>
      <c r="G1144" t="s">
        <v>50</v>
      </c>
      <c r="H1144" t="s">
        <v>51</v>
      </c>
      <c r="I1144">
        <v>3</v>
      </c>
      <c r="J1144" s="3">
        <v>54425.97</v>
      </c>
      <c r="K1144" s="3">
        <v>163277.91</v>
      </c>
      <c r="L1144" t="s">
        <v>52</v>
      </c>
      <c r="M1144" s="2">
        <v>45988</v>
      </c>
      <c r="N1144" s="2">
        <v>45985</v>
      </c>
      <c r="O1144" t="s">
        <v>43</v>
      </c>
      <c r="P1144" t="s">
        <v>53</v>
      </c>
      <c r="Q1144" t="s">
        <v>28</v>
      </c>
      <c r="R1144" t="s">
        <v>29</v>
      </c>
      <c r="S1144">
        <v>2025</v>
      </c>
      <c r="T1144" t="s">
        <v>2763</v>
      </c>
      <c r="U1144" t="s">
        <v>2764</v>
      </c>
      <c r="V1144" s="4">
        <v>0</v>
      </c>
      <c r="W1144" s="4">
        <v>1</v>
      </c>
    </row>
    <row r="1145" spans="1:23">
      <c r="A1145" t="s">
        <v>1276</v>
      </c>
      <c r="B1145" s="2">
        <v>45701</v>
      </c>
      <c r="C1145" t="s">
        <v>71</v>
      </c>
      <c r="D1145" t="s">
        <v>72</v>
      </c>
      <c r="E1145" t="s">
        <v>21</v>
      </c>
      <c r="F1145" t="s">
        <v>57</v>
      </c>
      <c r="G1145" t="s">
        <v>86</v>
      </c>
      <c r="H1145" t="s">
        <v>87</v>
      </c>
      <c r="I1145">
        <v>2</v>
      </c>
      <c r="J1145" s="3">
        <v>10590.07</v>
      </c>
      <c r="K1145" s="3">
        <v>21180.14</v>
      </c>
      <c r="L1145" t="s">
        <v>52</v>
      </c>
      <c r="M1145" s="2">
        <v>45709</v>
      </c>
      <c r="N1145" s="2">
        <v>45724</v>
      </c>
      <c r="O1145" t="s">
        <v>43</v>
      </c>
      <c r="P1145" t="s">
        <v>27</v>
      </c>
      <c r="Q1145" t="s">
        <v>28</v>
      </c>
      <c r="R1145" t="s">
        <v>129</v>
      </c>
      <c r="S1145">
        <v>2025</v>
      </c>
      <c r="T1145" t="s">
        <v>2751</v>
      </c>
      <c r="U1145" t="s">
        <v>2752</v>
      </c>
      <c r="V1145" s="4">
        <v>15</v>
      </c>
      <c r="W1145" s="4">
        <v>0</v>
      </c>
    </row>
    <row r="1146" spans="1:23">
      <c r="A1146" t="s">
        <v>1277</v>
      </c>
      <c r="B1146" s="2">
        <v>45982</v>
      </c>
      <c r="C1146" t="s">
        <v>37</v>
      </c>
      <c r="D1146" t="s">
        <v>38</v>
      </c>
      <c r="E1146" t="s">
        <v>39</v>
      </c>
      <c r="F1146" t="s">
        <v>40</v>
      </c>
      <c r="G1146" t="s">
        <v>62</v>
      </c>
      <c r="H1146" t="s">
        <v>63</v>
      </c>
      <c r="I1146">
        <v>7</v>
      </c>
      <c r="J1146" s="3">
        <v>19366.8</v>
      </c>
      <c r="K1146" s="3">
        <v>135567.6</v>
      </c>
      <c r="L1146" t="s">
        <v>25</v>
      </c>
      <c r="M1146" s="2">
        <v>45995</v>
      </c>
      <c r="N1146" s="2">
        <v>45995</v>
      </c>
      <c r="O1146" t="s">
        <v>76</v>
      </c>
      <c r="P1146" t="s">
        <v>44</v>
      </c>
      <c r="Q1146" t="s">
        <v>28</v>
      </c>
      <c r="R1146" t="s">
        <v>29</v>
      </c>
      <c r="S1146">
        <v>2025</v>
      </c>
      <c r="T1146" t="s">
        <v>2763</v>
      </c>
      <c r="U1146" t="s">
        <v>2764</v>
      </c>
      <c r="V1146" s="4">
        <v>0</v>
      </c>
      <c r="W1146" s="4">
        <v>1</v>
      </c>
    </row>
    <row r="1147" spans="1:23">
      <c r="A1147" t="s">
        <v>1278</v>
      </c>
      <c r="B1147" s="2">
        <v>46053</v>
      </c>
      <c r="C1147" t="s">
        <v>134</v>
      </c>
      <c r="D1147" t="s">
        <v>135</v>
      </c>
      <c r="E1147" t="s">
        <v>112</v>
      </c>
      <c r="F1147" t="s">
        <v>40</v>
      </c>
      <c r="G1147" t="s">
        <v>149</v>
      </c>
      <c r="H1147" t="s">
        <v>150</v>
      </c>
      <c r="I1147">
        <v>19</v>
      </c>
      <c r="J1147" s="3">
        <v>1399.32</v>
      </c>
      <c r="K1147" s="3">
        <v>26587.08</v>
      </c>
      <c r="L1147" t="s">
        <v>34</v>
      </c>
      <c r="M1147" s="2">
        <v>46064</v>
      </c>
      <c r="N1147" s="2">
        <v>46061</v>
      </c>
      <c r="O1147" t="s">
        <v>76</v>
      </c>
      <c r="P1147" t="s">
        <v>115</v>
      </c>
      <c r="Q1147" t="s">
        <v>28</v>
      </c>
      <c r="R1147" t="s">
        <v>29</v>
      </c>
      <c r="S1147">
        <v>2026</v>
      </c>
      <c r="T1147" t="s">
        <v>2757</v>
      </c>
      <c r="U1147" t="s">
        <v>2758</v>
      </c>
      <c r="V1147" s="4">
        <v>0</v>
      </c>
      <c r="W1147" s="4">
        <v>1</v>
      </c>
    </row>
    <row r="1148" spans="1:23">
      <c r="A1148" t="s">
        <v>1279</v>
      </c>
      <c r="B1148" s="2">
        <v>45790</v>
      </c>
      <c r="C1148" t="s">
        <v>142</v>
      </c>
      <c r="D1148" t="s">
        <v>143</v>
      </c>
      <c r="E1148" t="s">
        <v>31</v>
      </c>
      <c r="F1148" t="s">
        <v>22</v>
      </c>
      <c r="G1148" t="s">
        <v>32</v>
      </c>
      <c r="H1148" t="s">
        <v>33</v>
      </c>
      <c r="I1148">
        <v>4</v>
      </c>
      <c r="J1148" s="3">
        <v>7746.92</v>
      </c>
      <c r="K1148" s="3">
        <v>30987.68</v>
      </c>
      <c r="L1148" t="s">
        <v>34</v>
      </c>
      <c r="M1148" s="2">
        <v>45796</v>
      </c>
      <c r="N1148" s="2">
        <v>45795</v>
      </c>
      <c r="O1148" t="s">
        <v>43</v>
      </c>
      <c r="P1148" t="s">
        <v>94</v>
      </c>
      <c r="Q1148" t="s">
        <v>28</v>
      </c>
      <c r="R1148" t="s">
        <v>29</v>
      </c>
      <c r="S1148">
        <v>2025</v>
      </c>
      <c r="T1148" t="s">
        <v>2766</v>
      </c>
      <c r="U1148" t="s">
        <v>2767</v>
      </c>
      <c r="V1148" s="4">
        <v>0</v>
      </c>
      <c r="W1148" s="4">
        <v>1</v>
      </c>
    </row>
    <row r="1149" spans="1:23">
      <c r="A1149" t="s">
        <v>1280</v>
      </c>
      <c r="B1149" s="2">
        <v>45787</v>
      </c>
      <c r="C1149" t="s">
        <v>80</v>
      </c>
      <c r="D1149" t="s">
        <v>81</v>
      </c>
      <c r="E1149" t="s">
        <v>39</v>
      </c>
      <c r="F1149" t="s">
        <v>82</v>
      </c>
      <c r="G1149" t="s">
        <v>83</v>
      </c>
      <c r="H1149" t="s">
        <v>84</v>
      </c>
      <c r="I1149">
        <v>8</v>
      </c>
      <c r="J1149" s="3">
        <v>695.06</v>
      </c>
      <c r="K1149" s="3">
        <v>5560.48</v>
      </c>
      <c r="L1149" t="s">
        <v>25</v>
      </c>
      <c r="M1149" s="2">
        <v>45798</v>
      </c>
      <c r="N1149" s="2">
        <v>45798</v>
      </c>
      <c r="O1149" t="s">
        <v>60</v>
      </c>
      <c r="P1149" t="s">
        <v>44</v>
      </c>
      <c r="Q1149" t="s">
        <v>28</v>
      </c>
      <c r="R1149" t="s">
        <v>29</v>
      </c>
      <c r="S1149">
        <v>2025</v>
      </c>
      <c r="T1149" t="s">
        <v>2766</v>
      </c>
      <c r="U1149" t="s">
        <v>2767</v>
      </c>
      <c r="V1149" s="4">
        <v>0</v>
      </c>
      <c r="W1149" s="4">
        <v>1</v>
      </c>
    </row>
    <row r="1150" spans="1:23">
      <c r="A1150" t="s">
        <v>1281</v>
      </c>
      <c r="B1150" s="2">
        <v>46159</v>
      </c>
      <c r="C1150" t="s">
        <v>104</v>
      </c>
      <c r="D1150" t="s">
        <v>105</v>
      </c>
      <c r="E1150" t="s">
        <v>48</v>
      </c>
      <c r="F1150" t="s">
        <v>49</v>
      </c>
      <c r="G1150" t="s">
        <v>165</v>
      </c>
      <c r="H1150" t="s">
        <v>166</v>
      </c>
      <c r="I1150">
        <v>2</v>
      </c>
      <c r="J1150" s="3">
        <v>43868.49</v>
      </c>
      <c r="K1150" s="3">
        <v>87736.98</v>
      </c>
      <c r="L1150" t="s">
        <v>34</v>
      </c>
      <c r="M1150" s="2">
        <v>46170</v>
      </c>
      <c r="N1150" s="2">
        <v>46170</v>
      </c>
      <c r="O1150" t="s">
        <v>26</v>
      </c>
      <c r="P1150" t="s">
        <v>53</v>
      </c>
      <c r="Q1150" t="s">
        <v>28</v>
      </c>
      <c r="R1150" t="s">
        <v>29</v>
      </c>
      <c r="S1150">
        <v>2026</v>
      </c>
      <c r="T1150" t="s">
        <v>2766</v>
      </c>
      <c r="U1150" t="s">
        <v>2769</v>
      </c>
      <c r="V1150" s="4">
        <v>0</v>
      </c>
      <c r="W1150" s="4">
        <v>1</v>
      </c>
    </row>
    <row r="1151" spans="1:23">
      <c r="A1151" t="s">
        <v>1282</v>
      </c>
      <c r="B1151" s="2">
        <v>46016</v>
      </c>
      <c r="C1151" t="s">
        <v>71</v>
      </c>
      <c r="D1151" t="s">
        <v>72</v>
      </c>
      <c r="E1151" t="s">
        <v>21</v>
      </c>
      <c r="F1151" t="s">
        <v>57</v>
      </c>
      <c r="G1151" t="s">
        <v>58</v>
      </c>
      <c r="H1151" t="s">
        <v>59</v>
      </c>
      <c r="I1151">
        <v>3</v>
      </c>
      <c r="J1151" s="3">
        <v>52378.27</v>
      </c>
      <c r="K1151" s="3">
        <v>157134.81</v>
      </c>
      <c r="L1151" t="s">
        <v>52</v>
      </c>
      <c r="M1151" s="2">
        <v>46027</v>
      </c>
      <c r="N1151" s="2">
        <v>46038</v>
      </c>
      <c r="O1151" t="s">
        <v>76</v>
      </c>
      <c r="P1151" t="s">
        <v>27</v>
      </c>
      <c r="Q1151" t="s">
        <v>28</v>
      </c>
      <c r="R1151" t="s">
        <v>129</v>
      </c>
      <c r="S1151">
        <v>2025</v>
      </c>
      <c r="T1151" t="s">
        <v>2745</v>
      </c>
      <c r="U1151" t="s">
        <v>2746</v>
      </c>
      <c r="V1151" s="4">
        <v>11</v>
      </c>
      <c r="W1151" s="4">
        <v>0</v>
      </c>
    </row>
    <row r="1152" spans="1:23">
      <c r="A1152" t="s">
        <v>1283</v>
      </c>
      <c r="B1152" s="2">
        <v>45750</v>
      </c>
      <c r="C1152" t="s">
        <v>66</v>
      </c>
      <c r="D1152" t="s">
        <v>67</v>
      </c>
      <c r="E1152" t="s">
        <v>48</v>
      </c>
      <c r="F1152" t="s">
        <v>49</v>
      </c>
      <c r="G1152" t="s">
        <v>68</v>
      </c>
      <c r="H1152" t="s">
        <v>69</v>
      </c>
      <c r="I1152">
        <v>1</v>
      </c>
      <c r="J1152" s="3">
        <v>47018.239999999998</v>
      </c>
      <c r="K1152" s="3">
        <v>47018.239999999998</v>
      </c>
      <c r="L1152" t="s">
        <v>25</v>
      </c>
      <c r="M1152" s="2">
        <v>45761</v>
      </c>
      <c r="N1152" s="2">
        <v>45776</v>
      </c>
      <c r="O1152" t="s">
        <v>60</v>
      </c>
      <c r="P1152" t="s">
        <v>53</v>
      </c>
      <c r="Q1152" t="s">
        <v>28</v>
      </c>
      <c r="R1152" t="s">
        <v>129</v>
      </c>
      <c r="S1152">
        <v>2025</v>
      </c>
      <c r="T1152" t="s">
        <v>2741</v>
      </c>
      <c r="U1152" t="s">
        <v>2742</v>
      </c>
      <c r="V1152" s="4">
        <v>15</v>
      </c>
      <c r="W1152" s="4">
        <v>0</v>
      </c>
    </row>
    <row r="1153" spans="1:23">
      <c r="A1153" t="s">
        <v>1284</v>
      </c>
      <c r="B1153" s="2">
        <v>46138</v>
      </c>
      <c r="C1153" t="s">
        <v>142</v>
      </c>
      <c r="D1153" t="s">
        <v>143</v>
      </c>
      <c r="E1153" t="s">
        <v>73</v>
      </c>
      <c r="F1153" t="s">
        <v>22</v>
      </c>
      <c r="G1153" t="s">
        <v>23</v>
      </c>
      <c r="H1153" t="s">
        <v>24</v>
      </c>
      <c r="I1153">
        <v>18</v>
      </c>
      <c r="J1153" s="3">
        <v>251.01</v>
      </c>
      <c r="K1153" s="3">
        <v>4518.18</v>
      </c>
      <c r="L1153" t="s">
        <v>52</v>
      </c>
      <c r="M1153" s="2">
        <v>46152</v>
      </c>
      <c r="N1153" s="2">
        <v>46151</v>
      </c>
      <c r="O1153" t="s">
        <v>43</v>
      </c>
      <c r="P1153" t="s">
        <v>77</v>
      </c>
      <c r="Q1153" t="s">
        <v>28</v>
      </c>
      <c r="R1153" t="s">
        <v>29</v>
      </c>
      <c r="S1153">
        <v>2026</v>
      </c>
      <c r="T1153" t="s">
        <v>2741</v>
      </c>
      <c r="U1153" t="s">
        <v>2770</v>
      </c>
      <c r="V1153" s="4">
        <v>0</v>
      </c>
      <c r="W1153" s="4">
        <v>1</v>
      </c>
    </row>
    <row r="1154" spans="1:23">
      <c r="A1154" t="s">
        <v>1285</v>
      </c>
      <c r="B1154" s="2">
        <v>45844</v>
      </c>
      <c r="C1154" t="s">
        <v>142</v>
      </c>
      <c r="D1154" t="s">
        <v>143</v>
      </c>
      <c r="E1154" t="s">
        <v>31</v>
      </c>
      <c r="F1154" t="s">
        <v>22</v>
      </c>
      <c r="G1154" t="s">
        <v>32</v>
      </c>
      <c r="H1154" t="s">
        <v>33</v>
      </c>
      <c r="I1154">
        <v>3</v>
      </c>
      <c r="J1154" s="3">
        <v>7777.18</v>
      </c>
      <c r="K1154" s="3">
        <v>23331.54</v>
      </c>
      <c r="L1154" t="s">
        <v>34</v>
      </c>
      <c r="M1154" s="2">
        <v>45850</v>
      </c>
      <c r="N1154" s="2">
        <v>45848</v>
      </c>
      <c r="O1154" t="s">
        <v>43</v>
      </c>
      <c r="P1154" t="s">
        <v>35</v>
      </c>
      <c r="Q1154" t="s">
        <v>28</v>
      </c>
      <c r="R1154" t="s">
        <v>29</v>
      </c>
      <c r="S1154">
        <v>2025</v>
      </c>
      <c r="T1154" t="s">
        <v>2759</v>
      </c>
      <c r="U1154" t="s">
        <v>2760</v>
      </c>
      <c r="V1154" s="4">
        <v>0</v>
      </c>
      <c r="W1154" s="4">
        <v>1</v>
      </c>
    </row>
    <row r="1155" spans="1:23">
      <c r="A1155" t="s">
        <v>1286</v>
      </c>
      <c r="B1155" s="2">
        <v>45899</v>
      </c>
      <c r="C1155" t="s">
        <v>19</v>
      </c>
      <c r="D1155" t="s">
        <v>20</v>
      </c>
      <c r="E1155" t="s">
        <v>39</v>
      </c>
      <c r="F1155" t="s">
        <v>22</v>
      </c>
      <c r="G1155" t="s">
        <v>160</v>
      </c>
      <c r="H1155" t="s">
        <v>161</v>
      </c>
      <c r="I1155">
        <v>4</v>
      </c>
      <c r="J1155" s="3">
        <v>2997.53</v>
      </c>
      <c r="K1155" s="3">
        <v>11990.12</v>
      </c>
      <c r="L1155" t="s">
        <v>25</v>
      </c>
      <c r="M1155" s="2">
        <v>45916</v>
      </c>
      <c r="N1155" s="2">
        <v>45915</v>
      </c>
      <c r="O1155" t="s">
        <v>76</v>
      </c>
      <c r="P1155" t="s">
        <v>44</v>
      </c>
      <c r="Q1155" t="s">
        <v>28</v>
      </c>
      <c r="R1155" t="s">
        <v>29</v>
      </c>
      <c r="S1155">
        <v>2025</v>
      </c>
      <c r="T1155" t="s">
        <v>2761</v>
      </c>
      <c r="U1155" t="s">
        <v>2762</v>
      </c>
      <c r="V1155" s="4">
        <v>0</v>
      </c>
      <c r="W1155" s="4">
        <v>1</v>
      </c>
    </row>
    <row r="1156" spans="1:23">
      <c r="A1156" t="s">
        <v>1287</v>
      </c>
      <c r="B1156" s="2">
        <v>46085</v>
      </c>
      <c r="C1156" t="s">
        <v>104</v>
      </c>
      <c r="D1156" t="s">
        <v>105</v>
      </c>
      <c r="E1156" t="s">
        <v>48</v>
      </c>
      <c r="F1156" t="s">
        <v>49</v>
      </c>
      <c r="G1156" t="s">
        <v>68</v>
      </c>
      <c r="H1156" t="s">
        <v>69</v>
      </c>
      <c r="I1156">
        <v>1</v>
      </c>
      <c r="J1156" s="3">
        <v>49571.6</v>
      </c>
      <c r="K1156" s="3">
        <v>49571.6</v>
      </c>
      <c r="L1156" t="s">
        <v>25</v>
      </c>
      <c r="M1156" s="2">
        <v>46093</v>
      </c>
      <c r="N1156" s="2">
        <v>46091</v>
      </c>
      <c r="O1156" t="s">
        <v>76</v>
      </c>
      <c r="P1156" t="s">
        <v>53</v>
      </c>
      <c r="Q1156" t="s">
        <v>28</v>
      </c>
      <c r="R1156" t="s">
        <v>29</v>
      </c>
      <c r="S1156">
        <v>2026</v>
      </c>
      <c r="T1156" t="s">
        <v>2747</v>
      </c>
      <c r="U1156" t="s">
        <v>2755</v>
      </c>
      <c r="V1156" s="4">
        <v>0</v>
      </c>
      <c r="W1156" s="4">
        <v>1</v>
      </c>
    </row>
    <row r="1157" spans="1:23">
      <c r="A1157" t="s">
        <v>1288</v>
      </c>
      <c r="B1157" s="2">
        <v>45777</v>
      </c>
      <c r="C1157" t="s">
        <v>117</v>
      </c>
      <c r="D1157" t="s">
        <v>118</v>
      </c>
      <c r="E1157" t="s">
        <v>73</v>
      </c>
      <c r="F1157" t="s">
        <v>57</v>
      </c>
      <c r="G1157" t="s">
        <v>74</v>
      </c>
      <c r="H1157" t="s">
        <v>75</v>
      </c>
      <c r="I1157">
        <v>8</v>
      </c>
      <c r="J1157" s="3">
        <v>8821.3799999999992</v>
      </c>
      <c r="K1157" s="3">
        <v>70571.039999999994</v>
      </c>
      <c r="L1157" t="s">
        <v>25</v>
      </c>
      <c r="M1157" s="2">
        <v>45783</v>
      </c>
      <c r="N1157" s="2">
        <v>45781</v>
      </c>
      <c r="O1157" t="s">
        <v>60</v>
      </c>
      <c r="P1157" t="s">
        <v>77</v>
      </c>
      <c r="Q1157" t="s">
        <v>28</v>
      </c>
      <c r="R1157" t="s">
        <v>29</v>
      </c>
      <c r="S1157">
        <v>2025</v>
      </c>
      <c r="T1157" t="s">
        <v>2741</v>
      </c>
      <c r="U1157" t="s">
        <v>2742</v>
      </c>
      <c r="V1157" s="4">
        <v>0</v>
      </c>
      <c r="W1157" s="4">
        <v>1</v>
      </c>
    </row>
    <row r="1158" spans="1:23">
      <c r="A1158" t="s">
        <v>1289</v>
      </c>
      <c r="B1158" s="2">
        <v>45773</v>
      </c>
      <c r="C1158" t="s">
        <v>46</v>
      </c>
      <c r="D1158" t="s">
        <v>47</v>
      </c>
      <c r="E1158" t="s">
        <v>48</v>
      </c>
      <c r="F1158" t="s">
        <v>49</v>
      </c>
      <c r="G1158" t="s">
        <v>50</v>
      </c>
      <c r="H1158" t="s">
        <v>51</v>
      </c>
      <c r="I1158">
        <v>3</v>
      </c>
      <c r="J1158" s="3">
        <v>55684.88</v>
      </c>
      <c r="K1158" s="3">
        <v>167054.64000000001</v>
      </c>
      <c r="L1158" t="s">
        <v>34</v>
      </c>
      <c r="M1158" s="2">
        <v>45781</v>
      </c>
      <c r="N1158" s="2">
        <v>45781</v>
      </c>
      <c r="O1158" t="s">
        <v>43</v>
      </c>
      <c r="P1158" t="s">
        <v>53</v>
      </c>
      <c r="Q1158" t="s">
        <v>28</v>
      </c>
      <c r="R1158" t="s">
        <v>29</v>
      </c>
      <c r="S1158">
        <v>2025</v>
      </c>
      <c r="T1158" t="s">
        <v>2741</v>
      </c>
      <c r="U1158" t="s">
        <v>2742</v>
      </c>
      <c r="V1158" s="4">
        <v>0</v>
      </c>
      <c r="W1158" s="4">
        <v>1</v>
      </c>
    </row>
    <row r="1159" spans="1:23">
      <c r="A1159" t="s">
        <v>1290</v>
      </c>
      <c r="B1159" s="2">
        <v>46031</v>
      </c>
      <c r="C1159" t="s">
        <v>117</v>
      </c>
      <c r="D1159" t="s">
        <v>118</v>
      </c>
      <c r="E1159" t="s">
        <v>48</v>
      </c>
      <c r="F1159" t="s">
        <v>57</v>
      </c>
      <c r="G1159" t="s">
        <v>127</v>
      </c>
      <c r="H1159" t="s">
        <v>128</v>
      </c>
      <c r="I1159">
        <v>1</v>
      </c>
      <c r="J1159" s="3">
        <v>15861.24</v>
      </c>
      <c r="K1159" s="3">
        <v>15861.24</v>
      </c>
      <c r="L1159" t="s">
        <v>34</v>
      </c>
      <c r="M1159" s="2">
        <v>46040</v>
      </c>
      <c r="N1159" s="2">
        <v>46037</v>
      </c>
      <c r="O1159" t="s">
        <v>60</v>
      </c>
      <c r="P1159" t="s">
        <v>53</v>
      </c>
      <c r="Q1159" t="s">
        <v>28</v>
      </c>
      <c r="R1159" t="s">
        <v>29</v>
      </c>
      <c r="S1159">
        <v>2026</v>
      </c>
      <c r="T1159" t="s">
        <v>2757</v>
      </c>
      <c r="U1159" t="s">
        <v>2758</v>
      </c>
      <c r="V1159" s="4">
        <v>0</v>
      </c>
      <c r="W1159" s="4">
        <v>1</v>
      </c>
    </row>
    <row r="1160" spans="1:23">
      <c r="A1160" t="s">
        <v>1291</v>
      </c>
      <c r="B1160" s="2">
        <v>46023</v>
      </c>
      <c r="C1160" t="s">
        <v>71</v>
      </c>
      <c r="D1160" t="s">
        <v>72</v>
      </c>
      <c r="E1160" t="s">
        <v>31</v>
      </c>
      <c r="F1160" t="s">
        <v>57</v>
      </c>
      <c r="G1160" t="s">
        <v>101</v>
      </c>
      <c r="H1160" t="s">
        <v>102</v>
      </c>
      <c r="I1160">
        <v>55</v>
      </c>
      <c r="J1160" s="3">
        <v>1755.94</v>
      </c>
      <c r="K1160" s="3">
        <v>96576.7</v>
      </c>
      <c r="L1160" t="s">
        <v>25</v>
      </c>
      <c r="M1160" s="2">
        <v>46041</v>
      </c>
      <c r="N1160" s="2">
        <v>46040</v>
      </c>
      <c r="O1160" t="s">
        <v>76</v>
      </c>
      <c r="P1160" t="s">
        <v>94</v>
      </c>
      <c r="Q1160" t="s">
        <v>28</v>
      </c>
      <c r="R1160" t="s">
        <v>29</v>
      </c>
      <c r="S1160">
        <v>2026</v>
      </c>
      <c r="T1160" t="s">
        <v>2757</v>
      </c>
      <c r="U1160" t="s">
        <v>2758</v>
      </c>
      <c r="V1160" s="4">
        <v>0</v>
      </c>
      <c r="W1160" s="4">
        <v>1</v>
      </c>
    </row>
    <row r="1161" spans="1:23">
      <c r="A1161" t="s">
        <v>1292</v>
      </c>
      <c r="B1161" s="2">
        <v>45986</v>
      </c>
      <c r="C1161" t="s">
        <v>37</v>
      </c>
      <c r="D1161" t="s">
        <v>38</v>
      </c>
      <c r="E1161" t="s">
        <v>39</v>
      </c>
      <c r="F1161" t="s">
        <v>22</v>
      </c>
      <c r="G1161" t="s">
        <v>23</v>
      </c>
      <c r="H1161" t="s">
        <v>24</v>
      </c>
      <c r="I1161">
        <v>60</v>
      </c>
      <c r="J1161" s="3">
        <v>265.12</v>
      </c>
      <c r="K1161" s="3">
        <v>15907.2</v>
      </c>
      <c r="L1161" t="s">
        <v>34</v>
      </c>
      <c r="M1161" s="2">
        <v>45992</v>
      </c>
      <c r="N1161" s="2">
        <v>45996</v>
      </c>
      <c r="O1161" t="s">
        <v>26</v>
      </c>
      <c r="P1161" t="s">
        <v>44</v>
      </c>
      <c r="Q1161" t="s">
        <v>28</v>
      </c>
      <c r="R1161" t="s">
        <v>129</v>
      </c>
      <c r="S1161">
        <v>2025</v>
      </c>
      <c r="T1161" t="s">
        <v>2763</v>
      </c>
      <c r="U1161" t="s">
        <v>2764</v>
      </c>
      <c r="V1161" s="4">
        <v>4</v>
      </c>
      <c r="W1161" s="4">
        <v>0</v>
      </c>
    </row>
    <row r="1162" spans="1:23">
      <c r="A1162" t="s">
        <v>1293</v>
      </c>
      <c r="B1162" s="2">
        <v>45682</v>
      </c>
      <c r="C1162" t="s">
        <v>37</v>
      </c>
      <c r="D1162" t="s">
        <v>38</v>
      </c>
      <c r="E1162" t="s">
        <v>39</v>
      </c>
      <c r="F1162" t="s">
        <v>40</v>
      </c>
      <c r="G1162" t="s">
        <v>149</v>
      </c>
      <c r="H1162" t="s">
        <v>150</v>
      </c>
      <c r="I1162">
        <v>5</v>
      </c>
      <c r="J1162" s="3">
        <v>1493.75</v>
      </c>
      <c r="K1162" s="3">
        <v>7468.75</v>
      </c>
      <c r="L1162" t="s">
        <v>25</v>
      </c>
      <c r="M1162" s="2">
        <v>45696</v>
      </c>
      <c r="N1162" s="2">
        <v>45693</v>
      </c>
      <c r="O1162" t="s">
        <v>60</v>
      </c>
      <c r="P1162" t="s">
        <v>64</v>
      </c>
      <c r="Q1162" t="s">
        <v>28</v>
      </c>
      <c r="R1162" t="s">
        <v>29</v>
      </c>
      <c r="S1162">
        <v>2025</v>
      </c>
      <c r="T1162" t="s">
        <v>2757</v>
      </c>
      <c r="U1162" t="s">
        <v>2768</v>
      </c>
      <c r="V1162" s="4">
        <v>0</v>
      </c>
      <c r="W1162" s="4">
        <v>1</v>
      </c>
    </row>
    <row r="1163" spans="1:23">
      <c r="A1163" t="s">
        <v>1294</v>
      </c>
      <c r="B1163" s="2">
        <v>45775</v>
      </c>
      <c r="C1163" t="s">
        <v>142</v>
      </c>
      <c r="D1163" t="s">
        <v>143</v>
      </c>
      <c r="E1163" t="s">
        <v>39</v>
      </c>
      <c r="F1163" t="s">
        <v>22</v>
      </c>
      <c r="G1163" t="s">
        <v>32</v>
      </c>
      <c r="H1163" t="s">
        <v>33</v>
      </c>
      <c r="I1163">
        <v>2</v>
      </c>
      <c r="J1163" s="3">
        <v>7633.49</v>
      </c>
      <c r="K1163" s="3">
        <v>15266.98</v>
      </c>
      <c r="L1163" t="s">
        <v>25</v>
      </c>
      <c r="M1163" s="2">
        <v>45793</v>
      </c>
      <c r="N1163" s="2">
        <v>45790</v>
      </c>
      <c r="O1163" t="s">
        <v>26</v>
      </c>
      <c r="P1163" t="s">
        <v>64</v>
      </c>
      <c r="Q1163" t="s">
        <v>28</v>
      </c>
      <c r="R1163" t="s">
        <v>29</v>
      </c>
      <c r="S1163">
        <v>2025</v>
      </c>
      <c r="T1163" t="s">
        <v>2741</v>
      </c>
      <c r="U1163" t="s">
        <v>2742</v>
      </c>
      <c r="V1163" s="4">
        <v>0</v>
      </c>
      <c r="W1163" s="4">
        <v>1</v>
      </c>
    </row>
    <row r="1164" spans="1:23">
      <c r="A1164" t="s">
        <v>1295</v>
      </c>
      <c r="B1164" s="2">
        <v>45775</v>
      </c>
      <c r="C1164" t="s">
        <v>117</v>
      </c>
      <c r="D1164" t="s">
        <v>118</v>
      </c>
      <c r="E1164" t="s">
        <v>48</v>
      </c>
      <c r="F1164" t="s">
        <v>57</v>
      </c>
      <c r="G1164" t="s">
        <v>101</v>
      </c>
      <c r="H1164" t="s">
        <v>102</v>
      </c>
      <c r="I1164">
        <v>13</v>
      </c>
      <c r="J1164" s="3">
        <v>1806.19</v>
      </c>
      <c r="K1164" s="3">
        <v>23480.47</v>
      </c>
      <c r="L1164" t="s">
        <v>34</v>
      </c>
      <c r="M1164" s="2">
        <v>45782</v>
      </c>
      <c r="N1164" s="2">
        <v>45793</v>
      </c>
      <c r="O1164" t="s">
        <v>60</v>
      </c>
      <c r="P1164" t="s">
        <v>53</v>
      </c>
      <c r="Q1164" t="s">
        <v>28</v>
      </c>
      <c r="R1164" t="s">
        <v>129</v>
      </c>
      <c r="S1164">
        <v>2025</v>
      </c>
      <c r="T1164" t="s">
        <v>2741</v>
      </c>
      <c r="U1164" t="s">
        <v>2742</v>
      </c>
      <c r="V1164" s="4">
        <v>11</v>
      </c>
      <c r="W1164" s="4">
        <v>0</v>
      </c>
    </row>
    <row r="1165" spans="1:23">
      <c r="A1165" t="s">
        <v>1296</v>
      </c>
      <c r="B1165" s="2">
        <v>45912</v>
      </c>
      <c r="C1165" t="s">
        <v>142</v>
      </c>
      <c r="D1165" t="s">
        <v>143</v>
      </c>
      <c r="E1165" t="s">
        <v>31</v>
      </c>
      <c r="F1165" t="s">
        <v>22</v>
      </c>
      <c r="G1165" t="s">
        <v>23</v>
      </c>
      <c r="H1165" t="s">
        <v>24</v>
      </c>
      <c r="I1165">
        <v>32</v>
      </c>
      <c r="J1165" s="3">
        <v>247.81</v>
      </c>
      <c r="K1165" s="3">
        <v>7929.92</v>
      </c>
      <c r="L1165" t="s">
        <v>34</v>
      </c>
      <c r="M1165" s="2">
        <v>45923</v>
      </c>
      <c r="N1165" s="2">
        <v>45923</v>
      </c>
      <c r="O1165" t="s">
        <v>60</v>
      </c>
      <c r="P1165" t="s">
        <v>35</v>
      </c>
      <c r="Q1165" t="s">
        <v>28</v>
      </c>
      <c r="R1165" t="s">
        <v>29</v>
      </c>
      <c r="S1165">
        <v>2025</v>
      </c>
      <c r="T1165" t="s">
        <v>2753</v>
      </c>
      <c r="U1165" t="s">
        <v>2754</v>
      </c>
      <c r="V1165" s="4">
        <v>0</v>
      </c>
      <c r="W1165" s="4">
        <v>1</v>
      </c>
    </row>
    <row r="1166" spans="1:23">
      <c r="A1166" t="s">
        <v>1297</v>
      </c>
      <c r="B1166" s="2">
        <v>46191</v>
      </c>
      <c r="C1166" t="s">
        <v>104</v>
      </c>
      <c r="D1166" t="s">
        <v>105</v>
      </c>
      <c r="E1166" t="s">
        <v>48</v>
      </c>
      <c r="F1166" t="s">
        <v>49</v>
      </c>
      <c r="G1166" t="s">
        <v>50</v>
      </c>
      <c r="H1166" t="s">
        <v>51</v>
      </c>
      <c r="I1166">
        <v>3</v>
      </c>
      <c r="J1166" s="3">
        <v>51251.23</v>
      </c>
      <c r="K1166" s="3">
        <v>153753.69</v>
      </c>
      <c r="L1166" t="s">
        <v>52</v>
      </c>
      <c r="M1166" s="2">
        <v>46206</v>
      </c>
      <c r="N1166" s="2">
        <v>46205</v>
      </c>
      <c r="O1166" t="s">
        <v>76</v>
      </c>
      <c r="P1166" t="s">
        <v>53</v>
      </c>
      <c r="Q1166" t="s">
        <v>28</v>
      </c>
      <c r="R1166" t="s">
        <v>29</v>
      </c>
      <c r="S1166">
        <v>2026</v>
      </c>
      <c r="T1166" t="s">
        <v>2743</v>
      </c>
      <c r="U1166" t="s">
        <v>2744</v>
      </c>
      <c r="V1166" s="4">
        <v>0</v>
      </c>
      <c r="W1166" s="4">
        <v>1</v>
      </c>
    </row>
    <row r="1167" spans="1:23">
      <c r="A1167" t="s">
        <v>1298</v>
      </c>
      <c r="B1167" s="2">
        <v>45811</v>
      </c>
      <c r="C1167" t="s">
        <v>142</v>
      </c>
      <c r="D1167" t="s">
        <v>143</v>
      </c>
      <c r="E1167" t="s">
        <v>73</v>
      </c>
      <c r="F1167" t="s">
        <v>22</v>
      </c>
      <c r="G1167" t="s">
        <v>32</v>
      </c>
      <c r="H1167" t="s">
        <v>33</v>
      </c>
      <c r="I1167">
        <v>6</v>
      </c>
      <c r="J1167" s="3">
        <v>8082.5</v>
      </c>
      <c r="K1167" s="3">
        <v>48495</v>
      </c>
      <c r="L1167" t="s">
        <v>34</v>
      </c>
      <c r="M1167" s="2">
        <v>45827</v>
      </c>
      <c r="N1167" s="2">
        <v>45827</v>
      </c>
      <c r="O1167" t="s">
        <v>43</v>
      </c>
      <c r="P1167" t="s">
        <v>77</v>
      </c>
      <c r="Q1167" t="s">
        <v>28</v>
      </c>
      <c r="R1167" t="s">
        <v>29</v>
      </c>
      <c r="S1167">
        <v>2025</v>
      </c>
      <c r="T1167" t="s">
        <v>2743</v>
      </c>
      <c r="U1167" t="s">
        <v>2756</v>
      </c>
      <c r="V1167" s="4">
        <v>0</v>
      </c>
      <c r="W1167" s="4">
        <v>1</v>
      </c>
    </row>
    <row r="1168" spans="1:23">
      <c r="A1168" t="s">
        <v>1299</v>
      </c>
      <c r="B1168" s="2">
        <v>46011</v>
      </c>
      <c r="C1168" t="s">
        <v>66</v>
      </c>
      <c r="D1168" t="s">
        <v>67</v>
      </c>
      <c r="E1168" t="s">
        <v>48</v>
      </c>
      <c r="F1168" t="s">
        <v>49</v>
      </c>
      <c r="G1168" t="s">
        <v>113</v>
      </c>
      <c r="H1168" t="s">
        <v>114</v>
      </c>
      <c r="I1168">
        <v>2</v>
      </c>
      <c r="J1168" s="3">
        <v>36144.83</v>
      </c>
      <c r="K1168" s="3">
        <v>72289.66</v>
      </c>
      <c r="L1168" t="s">
        <v>25</v>
      </c>
      <c r="M1168" s="2">
        <v>46017</v>
      </c>
      <c r="N1168" s="2">
        <v>46016</v>
      </c>
      <c r="O1168" t="s">
        <v>76</v>
      </c>
      <c r="P1168" t="s">
        <v>53</v>
      </c>
      <c r="Q1168" t="s">
        <v>28</v>
      </c>
      <c r="R1168" t="s">
        <v>29</v>
      </c>
      <c r="S1168">
        <v>2025</v>
      </c>
      <c r="T1168" t="s">
        <v>2745</v>
      </c>
      <c r="U1168" t="s">
        <v>2746</v>
      </c>
      <c r="V1168" s="4">
        <v>0</v>
      </c>
      <c r="W1168" s="4">
        <v>1</v>
      </c>
    </row>
    <row r="1169" spans="1:23">
      <c r="A1169" t="s">
        <v>1300</v>
      </c>
      <c r="B1169" s="2">
        <v>46033</v>
      </c>
      <c r="C1169" t="s">
        <v>71</v>
      </c>
      <c r="D1169" t="s">
        <v>72</v>
      </c>
      <c r="E1169" t="s">
        <v>48</v>
      </c>
      <c r="F1169" t="s">
        <v>57</v>
      </c>
      <c r="G1169" t="s">
        <v>86</v>
      </c>
      <c r="H1169" t="s">
        <v>87</v>
      </c>
      <c r="I1169">
        <v>2</v>
      </c>
      <c r="J1169" s="3">
        <v>10022.219999999999</v>
      </c>
      <c r="K1169" s="3">
        <v>20044.439999999999</v>
      </c>
      <c r="L1169" t="s">
        <v>25</v>
      </c>
      <c r="M1169" s="2">
        <v>46049</v>
      </c>
      <c r="N1169" s="2">
        <v>46049</v>
      </c>
      <c r="O1169" t="s">
        <v>60</v>
      </c>
      <c r="P1169" t="s">
        <v>53</v>
      </c>
      <c r="Q1169" t="s">
        <v>28</v>
      </c>
      <c r="R1169" t="s">
        <v>29</v>
      </c>
      <c r="S1169">
        <v>2026</v>
      </c>
      <c r="T1169" t="s">
        <v>2757</v>
      </c>
      <c r="U1169" t="s">
        <v>2758</v>
      </c>
      <c r="V1169" s="4">
        <v>0</v>
      </c>
      <c r="W1169" s="4">
        <v>1</v>
      </c>
    </row>
    <row r="1170" spans="1:23">
      <c r="A1170" t="s">
        <v>1301</v>
      </c>
      <c r="B1170" s="2">
        <v>46090</v>
      </c>
      <c r="C1170" t="s">
        <v>71</v>
      </c>
      <c r="D1170" t="s">
        <v>72</v>
      </c>
      <c r="E1170" t="s">
        <v>31</v>
      </c>
      <c r="F1170" t="s">
        <v>57</v>
      </c>
      <c r="G1170" t="s">
        <v>86</v>
      </c>
      <c r="H1170" t="s">
        <v>87</v>
      </c>
      <c r="I1170">
        <v>3</v>
      </c>
      <c r="J1170" s="3">
        <v>10039.26</v>
      </c>
      <c r="K1170" s="3">
        <v>30117.78</v>
      </c>
      <c r="L1170" t="s">
        <v>34</v>
      </c>
      <c r="M1170" s="2">
        <v>46104</v>
      </c>
      <c r="N1170" s="2">
        <v>46101</v>
      </c>
      <c r="O1170" t="s">
        <v>43</v>
      </c>
      <c r="P1170" t="s">
        <v>35</v>
      </c>
      <c r="Q1170" t="s">
        <v>28</v>
      </c>
      <c r="R1170" t="s">
        <v>29</v>
      </c>
      <c r="S1170">
        <v>2026</v>
      </c>
      <c r="T1170" t="s">
        <v>2747</v>
      </c>
      <c r="U1170" t="s">
        <v>2755</v>
      </c>
      <c r="V1170" s="4">
        <v>0</v>
      </c>
      <c r="W1170" s="4">
        <v>1</v>
      </c>
    </row>
    <row r="1171" spans="1:23">
      <c r="A1171" t="s">
        <v>1302</v>
      </c>
      <c r="B1171" s="2">
        <v>45680</v>
      </c>
      <c r="C1171" t="s">
        <v>134</v>
      </c>
      <c r="D1171" t="s">
        <v>135</v>
      </c>
      <c r="E1171" t="s">
        <v>39</v>
      </c>
      <c r="F1171" t="s">
        <v>40</v>
      </c>
      <c r="G1171" t="s">
        <v>41</v>
      </c>
      <c r="H1171" t="s">
        <v>42</v>
      </c>
      <c r="I1171">
        <v>14</v>
      </c>
      <c r="J1171" s="3">
        <v>5310.88</v>
      </c>
      <c r="K1171" s="3">
        <v>74352.320000000007</v>
      </c>
      <c r="L1171" t="s">
        <v>25</v>
      </c>
      <c r="M1171" s="2">
        <v>45687</v>
      </c>
      <c r="N1171" s="2">
        <v>45687</v>
      </c>
      <c r="O1171" t="s">
        <v>76</v>
      </c>
      <c r="P1171" t="s">
        <v>64</v>
      </c>
      <c r="Q1171" t="s">
        <v>28</v>
      </c>
      <c r="R1171" t="s">
        <v>29</v>
      </c>
      <c r="S1171">
        <v>2025</v>
      </c>
      <c r="T1171" t="s">
        <v>2757</v>
      </c>
      <c r="U1171" t="s">
        <v>2768</v>
      </c>
      <c r="V1171" s="4">
        <v>0</v>
      </c>
      <c r="W1171" s="4">
        <v>1</v>
      </c>
    </row>
    <row r="1172" spans="1:23">
      <c r="A1172" t="s">
        <v>1303</v>
      </c>
      <c r="B1172" s="2">
        <v>45913</v>
      </c>
      <c r="C1172" t="s">
        <v>147</v>
      </c>
      <c r="D1172" t="s">
        <v>148</v>
      </c>
      <c r="E1172" t="s">
        <v>39</v>
      </c>
      <c r="F1172" t="s">
        <v>40</v>
      </c>
      <c r="G1172" t="s">
        <v>62</v>
      </c>
      <c r="H1172" t="s">
        <v>63</v>
      </c>
      <c r="I1172">
        <v>8</v>
      </c>
      <c r="J1172" s="3">
        <v>17951.78</v>
      </c>
      <c r="K1172" s="3">
        <v>143614.24</v>
      </c>
      <c r="L1172" t="s">
        <v>34</v>
      </c>
      <c r="M1172" s="2">
        <v>45923</v>
      </c>
      <c r="N1172" s="2">
        <v>45921</v>
      </c>
      <c r="O1172" t="s">
        <v>76</v>
      </c>
      <c r="P1172" t="s">
        <v>44</v>
      </c>
      <c r="Q1172" t="s">
        <v>28</v>
      </c>
      <c r="R1172" t="s">
        <v>29</v>
      </c>
      <c r="S1172">
        <v>2025</v>
      </c>
      <c r="T1172" t="s">
        <v>2753</v>
      </c>
      <c r="U1172" t="s">
        <v>2754</v>
      </c>
      <c r="V1172" s="4">
        <v>0</v>
      </c>
      <c r="W1172" s="4">
        <v>1</v>
      </c>
    </row>
    <row r="1173" spans="1:23">
      <c r="A1173" t="s">
        <v>1304</v>
      </c>
      <c r="B1173" s="2">
        <v>46014</v>
      </c>
      <c r="C1173" t="s">
        <v>142</v>
      </c>
      <c r="D1173" t="s">
        <v>143</v>
      </c>
      <c r="E1173" t="s">
        <v>73</v>
      </c>
      <c r="F1173" t="s">
        <v>22</v>
      </c>
      <c r="G1173" t="s">
        <v>23</v>
      </c>
      <c r="H1173" t="s">
        <v>24</v>
      </c>
      <c r="I1173">
        <v>13</v>
      </c>
      <c r="J1173" s="3">
        <v>253.76</v>
      </c>
      <c r="K1173" s="3">
        <v>3298.88</v>
      </c>
      <c r="L1173" t="s">
        <v>25</v>
      </c>
      <c r="M1173" s="2">
        <v>46032</v>
      </c>
      <c r="N1173" s="2">
        <v>46029</v>
      </c>
      <c r="O1173" t="s">
        <v>43</v>
      </c>
      <c r="P1173" t="s">
        <v>77</v>
      </c>
      <c r="Q1173" t="s">
        <v>28</v>
      </c>
      <c r="R1173" t="s">
        <v>29</v>
      </c>
      <c r="S1173">
        <v>2025</v>
      </c>
      <c r="T1173" t="s">
        <v>2745</v>
      </c>
      <c r="U1173" t="s">
        <v>2746</v>
      </c>
      <c r="V1173" s="4">
        <v>0</v>
      </c>
      <c r="W1173" s="4">
        <v>1</v>
      </c>
    </row>
    <row r="1174" spans="1:23">
      <c r="A1174" t="s">
        <v>1305</v>
      </c>
      <c r="B1174" s="2">
        <v>45718</v>
      </c>
      <c r="C1174" t="s">
        <v>117</v>
      </c>
      <c r="D1174" t="s">
        <v>118</v>
      </c>
      <c r="E1174" t="s">
        <v>48</v>
      </c>
      <c r="F1174" t="s">
        <v>57</v>
      </c>
      <c r="G1174" t="s">
        <v>101</v>
      </c>
      <c r="H1174" t="s">
        <v>102</v>
      </c>
      <c r="I1174">
        <v>52</v>
      </c>
      <c r="J1174" s="3">
        <v>1872.01</v>
      </c>
      <c r="K1174" s="3">
        <v>97344.52</v>
      </c>
      <c r="L1174" t="s">
        <v>25</v>
      </c>
      <c r="M1174" s="2">
        <v>45735</v>
      </c>
      <c r="N1174" s="2">
        <v>45734</v>
      </c>
      <c r="O1174" t="s">
        <v>60</v>
      </c>
      <c r="P1174" t="s">
        <v>53</v>
      </c>
      <c r="Q1174" t="s">
        <v>28</v>
      </c>
      <c r="R1174" t="s">
        <v>29</v>
      </c>
      <c r="S1174">
        <v>2025</v>
      </c>
      <c r="T1174" t="s">
        <v>2747</v>
      </c>
      <c r="U1174" t="s">
        <v>2748</v>
      </c>
      <c r="V1174" s="4">
        <v>0</v>
      </c>
      <c r="W1174" s="4">
        <v>1</v>
      </c>
    </row>
    <row r="1175" spans="1:23">
      <c r="A1175" t="s">
        <v>1306</v>
      </c>
      <c r="B1175" s="2">
        <v>45750</v>
      </c>
      <c r="C1175" t="s">
        <v>142</v>
      </c>
      <c r="D1175" t="s">
        <v>143</v>
      </c>
      <c r="E1175" t="s">
        <v>73</v>
      </c>
      <c r="F1175" t="s">
        <v>22</v>
      </c>
      <c r="G1175" t="s">
        <v>32</v>
      </c>
      <c r="H1175" t="s">
        <v>33</v>
      </c>
      <c r="I1175">
        <v>12</v>
      </c>
      <c r="J1175" s="3">
        <v>7556.39</v>
      </c>
      <c r="K1175" s="3">
        <v>90676.68</v>
      </c>
      <c r="L1175" t="s">
        <v>25</v>
      </c>
      <c r="M1175" s="2">
        <v>45765</v>
      </c>
      <c r="N1175" s="2">
        <v>45765</v>
      </c>
      <c r="O1175" t="s">
        <v>43</v>
      </c>
      <c r="P1175" t="s">
        <v>77</v>
      </c>
      <c r="Q1175" t="s">
        <v>28</v>
      </c>
      <c r="R1175" t="s">
        <v>29</v>
      </c>
      <c r="S1175">
        <v>2025</v>
      </c>
      <c r="T1175" t="s">
        <v>2741</v>
      </c>
      <c r="U1175" t="s">
        <v>2742</v>
      </c>
      <c r="V1175" s="4">
        <v>0</v>
      </c>
      <c r="W1175" s="4">
        <v>1</v>
      </c>
    </row>
    <row r="1176" spans="1:23">
      <c r="A1176" t="s">
        <v>1307</v>
      </c>
      <c r="B1176" s="2">
        <v>46132</v>
      </c>
      <c r="C1176" t="s">
        <v>117</v>
      </c>
      <c r="D1176" t="s">
        <v>118</v>
      </c>
      <c r="E1176" t="s">
        <v>31</v>
      </c>
      <c r="F1176" t="s">
        <v>57</v>
      </c>
      <c r="G1176" t="s">
        <v>74</v>
      </c>
      <c r="H1176" t="s">
        <v>75</v>
      </c>
      <c r="I1176">
        <v>12</v>
      </c>
      <c r="J1176" s="3">
        <v>8415.42</v>
      </c>
      <c r="K1176" s="3">
        <v>100985.04</v>
      </c>
      <c r="L1176" t="s">
        <v>34</v>
      </c>
      <c r="M1176" s="2">
        <v>46140</v>
      </c>
      <c r="N1176" s="2">
        <v>46140</v>
      </c>
      <c r="O1176" t="s">
        <v>76</v>
      </c>
      <c r="P1176" t="s">
        <v>35</v>
      </c>
      <c r="Q1176" t="s">
        <v>28</v>
      </c>
      <c r="R1176" t="s">
        <v>29</v>
      </c>
      <c r="S1176">
        <v>2026</v>
      </c>
      <c r="T1176" t="s">
        <v>2741</v>
      </c>
      <c r="U1176" t="s">
        <v>2770</v>
      </c>
      <c r="V1176" s="4">
        <v>0</v>
      </c>
      <c r="W1176" s="4">
        <v>1</v>
      </c>
    </row>
    <row r="1177" spans="1:23">
      <c r="A1177" t="s">
        <v>1308</v>
      </c>
      <c r="B1177" s="2">
        <v>46161</v>
      </c>
      <c r="C1177" t="s">
        <v>71</v>
      </c>
      <c r="D1177" t="s">
        <v>72</v>
      </c>
      <c r="E1177" t="s">
        <v>48</v>
      </c>
      <c r="F1177" t="s">
        <v>57</v>
      </c>
      <c r="G1177" t="s">
        <v>101</v>
      </c>
      <c r="H1177" t="s">
        <v>102</v>
      </c>
      <c r="I1177">
        <v>41</v>
      </c>
      <c r="J1177" s="3">
        <v>1619.92</v>
      </c>
      <c r="K1177" s="3">
        <v>66416.72</v>
      </c>
      <c r="L1177" t="s">
        <v>52</v>
      </c>
      <c r="M1177" s="2">
        <v>46172</v>
      </c>
      <c r="N1177" s="2">
        <v>46182</v>
      </c>
      <c r="O1177" t="s">
        <v>76</v>
      </c>
      <c r="P1177" t="s">
        <v>53</v>
      </c>
      <c r="Q1177" t="s">
        <v>28</v>
      </c>
      <c r="R1177" t="s">
        <v>129</v>
      </c>
      <c r="S1177">
        <v>2026</v>
      </c>
      <c r="T1177" t="s">
        <v>2766</v>
      </c>
      <c r="U1177" t="s">
        <v>2769</v>
      </c>
      <c r="V1177" s="4">
        <v>10</v>
      </c>
      <c r="W1177" s="4">
        <v>0</v>
      </c>
    </row>
    <row r="1178" spans="1:23">
      <c r="A1178" t="s">
        <v>1309</v>
      </c>
      <c r="B1178" s="2">
        <v>46094</v>
      </c>
      <c r="C1178" t="s">
        <v>117</v>
      </c>
      <c r="D1178" t="s">
        <v>118</v>
      </c>
      <c r="E1178" t="s">
        <v>31</v>
      </c>
      <c r="F1178" t="s">
        <v>57</v>
      </c>
      <c r="G1178" t="s">
        <v>101</v>
      </c>
      <c r="H1178" t="s">
        <v>102</v>
      </c>
      <c r="I1178">
        <v>26</v>
      </c>
      <c r="J1178" s="3">
        <v>1832.06</v>
      </c>
      <c r="K1178" s="3">
        <v>47633.56</v>
      </c>
      <c r="L1178" t="s">
        <v>34</v>
      </c>
      <c r="M1178" s="2">
        <v>46102</v>
      </c>
      <c r="N1178" s="2">
        <v>46101</v>
      </c>
      <c r="O1178" t="s">
        <v>26</v>
      </c>
      <c r="P1178" t="s">
        <v>35</v>
      </c>
      <c r="Q1178" t="s">
        <v>28</v>
      </c>
      <c r="R1178" t="s">
        <v>29</v>
      </c>
      <c r="S1178">
        <v>2026</v>
      </c>
      <c r="T1178" t="s">
        <v>2747</v>
      </c>
      <c r="U1178" t="s">
        <v>2755</v>
      </c>
      <c r="V1178" s="4">
        <v>0</v>
      </c>
      <c r="W1178" s="4">
        <v>1</v>
      </c>
    </row>
    <row r="1179" spans="1:23">
      <c r="A1179" t="s">
        <v>1310</v>
      </c>
      <c r="B1179" s="2">
        <v>46061</v>
      </c>
      <c r="C1179" t="s">
        <v>134</v>
      </c>
      <c r="D1179" t="s">
        <v>135</v>
      </c>
      <c r="E1179" t="s">
        <v>39</v>
      </c>
      <c r="F1179" t="s">
        <v>40</v>
      </c>
      <c r="G1179" t="s">
        <v>41</v>
      </c>
      <c r="H1179" t="s">
        <v>42</v>
      </c>
      <c r="I1179">
        <v>12</v>
      </c>
      <c r="J1179" s="3">
        <v>5587.72</v>
      </c>
      <c r="K1179" s="3">
        <v>67052.639999999999</v>
      </c>
      <c r="L1179" t="s">
        <v>25</v>
      </c>
      <c r="M1179" s="2">
        <v>46079</v>
      </c>
      <c r="N1179" s="2">
        <v>46079</v>
      </c>
      <c r="O1179" t="s">
        <v>76</v>
      </c>
      <c r="P1179" t="s">
        <v>44</v>
      </c>
      <c r="Q1179" t="s">
        <v>28</v>
      </c>
      <c r="R1179" t="s">
        <v>29</v>
      </c>
      <c r="S1179">
        <v>2026</v>
      </c>
      <c r="T1179" t="s">
        <v>2751</v>
      </c>
      <c r="U1179" t="s">
        <v>2765</v>
      </c>
      <c r="V1179" s="4">
        <v>0</v>
      </c>
      <c r="W1179" s="4">
        <v>1</v>
      </c>
    </row>
    <row r="1180" spans="1:23">
      <c r="A1180" t="s">
        <v>1311</v>
      </c>
      <c r="B1180" s="2">
        <v>46082</v>
      </c>
      <c r="C1180" t="s">
        <v>66</v>
      </c>
      <c r="D1180" t="s">
        <v>67</v>
      </c>
      <c r="E1180" t="s">
        <v>21</v>
      </c>
      <c r="F1180" t="s">
        <v>49</v>
      </c>
      <c r="G1180" t="s">
        <v>113</v>
      </c>
      <c r="H1180" t="s">
        <v>114</v>
      </c>
      <c r="I1180">
        <v>1</v>
      </c>
      <c r="J1180" s="3">
        <v>38023.279999999999</v>
      </c>
      <c r="K1180" s="3">
        <v>38023.279999999999</v>
      </c>
      <c r="L1180" t="s">
        <v>25</v>
      </c>
      <c r="M1180" s="2">
        <v>46094</v>
      </c>
      <c r="N1180" s="2">
        <v>46091</v>
      </c>
      <c r="O1180" t="s">
        <v>76</v>
      </c>
      <c r="P1180" t="s">
        <v>27</v>
      </c>
      <c r="Q1180" t="s">
        <v>28</v>
      </c>
      <c r="R1180" t="s">
        <v>29</v>
      </c>
      <c r="S1180">
        <v>2026</v>
      </c>
      <c r="T1180" t="s">
        <v>2747</v>
      </c>
      <c r="U1180" t="s">
        <v>2755</v>
      </c>
      <c r="V1180" s="4">
        <v>0</v>
      </c>
      <c r="W1180" s="4">
        <v>1</v>
      </c>
    </row>
    <row r="1181" spans="1:23">
      <c r="A1181" t="s">
        <v>1312</v>
      </c>
      <c r="B1181" s="2">
        <v>45926</v>
      </c>
      <c r="C1181" t="s">
        <v>37</v>
      </c>
      <c r="D1181" t="s">
        <v>38</v>
      </c>
      <c r="E1181" t="s">
        <v>31</v>
      </c>
      <c r="F1181" t="s">
        <v>22</v>
      </c>
      <c r="G1181" t="s">
        <v>23</v>
      </c>
      <c r="H1181" t="s">
        <v>24</v>
      </c>
      <c r="I1181">
        <v>49</v>
      </c>
      <c r="J1181" s="3">
        <v>264.95</v>
      </c>
      <c r="K1181" s="3">
        <v>12982.55</v>
      </c>
      <c r="L1181" t="s">
        <v>34</v>
      </c>
      <c r="M1181" s="2">
        <v>45944</v>
      </c>
      <c r="N1181" s="2">
        <v>45942</v>
      </c>
      <c r="O1181" t="s">
        <v>76</v>
      </c>
      <c r="P1181" t="s">
        <v>94</v>
      </c>
      <c r="Q1181" t="s">
        <v>28</v>
      </c>
      <c r="R1181" t="s">
        <v>29</v>
      </c>
      <c r="S1181">
        <v>2025</v>
      </c>
      <c r="T1181" t="s">
        <v>2753</v>
      </c>
      <c r="U1181" t="s">
        <v>2754</v>
      </c>
      <c r="V1181" s="4">
        <v>0</v>
      </c>
      <c r="W1181" s="4">
        <v>1</v>
      </c>
    </row>
    <row r="1182" spans="1:23">
      <c r="A1182" t="s">
        <v>1313</v>
      </c>
      <c r="B1182" s="2">
        <v>45725</v>
      </c>
      <c r="C1182" t="s">
        <v>147</v>
      </c>
      <c r="D1182" t="s">
        <v>148</v>
      </c>
      <c r="E1182" t="s">
        <v>39</v>
      </c>
      <c r="F1182" t="s">
        <v>40</v>
      </c>
      <c r="G1182" t="s">
        <v>41</v>
      </c>
      <c r="H1182" t="s">
        <v>42</v>
      </c>
      <c r="I1182">
        <v>14</v>
      </c>
      <c r="J1182" s="3">
        <v>5115.5</v>
      </c>
      <c r="K1182" s="3">
        <v>71617</v>
      </c>
      <c r="L1182" t="s">
        <v>34</v>
      </c>
      <c r="M1182" s="2">
        <v>45739</v>
      </c>
      <c r="N1182" s="2">
        <v>45736</v>
      </c>
      <c r="O1182" t="s">
        <v>60</v>
      </c>
      <c r="P1182" t="s">
        <v>64</v>
      </c>
      <c r="Q1182" t="s">
        <v>28</v>
      </c>
      <c r="R1182" t="s">
        <v>29</v>
      </c>
      <c r="S1182">
        <v>2025</v>
      </c>
      <c r="T1182" t="s">
        <v>2747</v>
      </c>
      <c r="U1182" t="s">
        <v>2748</v>
      </c>
      <c r="V1182" s="4">
        <v>0</v>
      </c>
      <c r="W1182" s="4">
        <v>1</v>
      </c>
    </row>
    <row r="1183" spans="1:23">
      <c r="A1183" t="s">
        <v>1314</v>
      </c>
      <c r="B1183" s="2">
        <v>45724</v>
      </c>
      <c r="C1183" t="s">
        <v>37</v>
      </c>
      <c r="D1183" t="s">
        <v>38</v>
      </c>
      <c r="E1183" t="s">
        <v>31</v>
      </c>
      <c r="F1183" t="s">
        <v>22</v>
      </c>
      <c r="G1183" t="s">
        <v>23</v>
      </c>
      <c r="H1183" t="s">
        <v>24</v>
      </c>
      <c r="I1183">
        <v>40</v>
      </c>
      <c r="J1183" s="3">
        <v>260.68</v>
      </c>
      <c r="K1183" s="3">
        <v>10427.200000000001</v>
      </c>
      <c r="L1183" t="s">
        <v>52</v>
      </c>
      <c r="M1183" s="2">
        <v>45740</v>
      </c>
      <c r="N1183" s="2">
        <v>45737</v>
      </c>
      <c r="O1183" t="s">
        <v>43</v>
      </c>
      <c r="P1183" t="s">
        <v>94</v>
      </c>
      <c r="Q1183" t="s">
        <v>28</v>
      </c>
      <c r="R1183" t="s">
        <v>29</v>
      </c>
      <c r="S1183">
        <v>2025</v>
      </c>
      <c r="T1183" t="s">
        <v>2747</v>
      </c>
      <c r="U1183" t="s">
        <v>2748</v>
      </c>
      <c r="V1183" s="4">
        <v>0</v>
      </c>
      <c r="W1183" s="4">
        <v>1</v>
      </c>
    </row>
    <row r="1184" spans="1:23">
      <c r="A1184" t="s">
        <v>1315</v>
      </c>
      <c r="B1184" s="2">
        <v>45879</v>
      </c>
      <c r="C1184" t="s">
        <v>134</v>
      </c>
      <c r="D1184" t="s">
        <v>135</v>
      </c>
      <c r="E1184" t="s">
        <v>112</v>
      </c>
      <c r="F1184" t="s">
        <v>40</v>
      </c>
      <c r="G1184" t="s">
        <v>62</v>
      </c>
      <c r="H1184" t="s">
        <v>63</v>
      </c>
      <c r="I1184">
        <v>3</v>
      </c>
      <c r="J1184" s="3">
        <v>18173.32</v>
      </c>
      <c r="K1184" s="3">
        <v>54519.96</v>
      </c>
      <c r="L1184" t="s">
        <v>25</v>
      </c>
      <c r="M1184" s="2">
        <v>45896</v>
      </c>
      <c r="N1184" s="2">
        <v>45895</v>
      </c>
      <c r="O1184" t="s">
        <v>76</v>
      </c>
      <c r="P1184" t="s">
        <v>115</v>
      </c>
      <c r="Q1184" t="s">
        <v>28</v>
      </c>
      <c r="R1184" t="s">
        <v>29</v>
      </c>
      <c r="S1184">
        <v>2025</v>
      </c>
      <c r="T1184" t="s">
        <v>2761</v>
      </c>
      <c r="U1184" t="s">
        <v>2762</v>
      </c>
      <c r="V1184" s="4">
        <v>0</v>
      </c>
      <c r="W1184" s="4">
        <v>1</v>
      </c>
    </row>
    <row r="1185" spans="1:23">
      <c r="A1185" t="s">
        <v>1316</v>
      </c>
      <c r="B1185" s="2">
        <v>45726</v>
      </c>
      <c r="C1185" t="s">
        <v>37</v>
      </c>
      <c r="D1185" t="s">
        <v>38</v>
      </c>
      <c r="E1185" t="s">
        <v>112</v>
      </c>
      <c r="F1185" t="s">
        <v>22</v>
      </c>
      <c r="G1185" t="s">
        <v>160</v>
      </c>
      <c r="H1185" t="s">
        <v>161</v>
      </c>
      <c r="I1185">
        <v>3</v>
      </c>
      <c r="J1185" s="3">
        <v>3737.14</v>
      </c>
      <c r="K1185" s="3">
        <v>11211.42</v>
      </c>
      <c r="L1185" t="s">
        <v>25</v>
      </c>
      <c r="M1185" s="2">
        <v>45731</v>
      </c>
      <c r="N1185" s="2">
        <v>45731</v>
      </c>
      <c r="O1185" t="s">
        <v>26</v>
      </c>
      <c r="P1185" t="s">
        <v>115</v>
      </c>
      <c r="Q1185" t="s">
        <v>28</v>
      </c>
      <c r="R1185" t="s">
        <v>29</v>
      </c>
      <c r="S1185">
        <v>2025</v>
      </c>
      <c r="T1185" t="s">
        <v>2747</v>
      </c>
      <c r="U1185" t="s">
        <v>2748</v>
      </c>
      <c r="V1185" s="4">
        <v>0</v>
      </c>
      <c r="W1185" s="4">
        <v>1</v>
      </c>
    </row>
    <row r="1186" spans="1:23">
      <c r="A1186" t="s">
        <v>1317</v>
      </c>
      <c r="B1186" s="2">
        <v>45749</v>
      </c>
      <c r="C1186" t="s">
        <v>71</v>
      </c>
      <c r="D1186" t="s">
        <v>72</v>
      </c>
      <c r="E1186" t="s">
        <v>48</v>
      </c>
      <c r="F1186" t="s">
        <v>57</v>
      </c>
      <c r="G1186" t="s">
        <v>120</v>
      </c>
      <c r="H1186" t="s">
        <v>121</v>
      </c>
      <c r="I1186">
        <v>2</v>
      </c>
      <c r="J1186" s="3">
        <v>20812.82</v>
      </c>
      <c r="K1186" s="3">
        <v>41625.64</v>
      </c>
      <c r="L1186" t="s">
        <v>25</v>
      </c>
      <c r="M1186" s="2">
        <v>45767</v>
      </c>
      <c r="N1186" s="2">
        <v>45767</v>
      </c>
      <c r="O1186" t="s">
        <v>60</v>
      </c>
      <c r="P1186" t="s">
        <v>53</v>
      </c>
      <c r="Q1186" t="s">
        <v>28</v>
      </c>
      <c r="R1186" t="s">
        <v>29</v>
      </c>
      <c r="S1186">
        <v>2025</v>
      </c>
      <c r="T1186" t="s">
        <v>2741</v>
      </c>
      <c r="U1186" t="s">
        <v>2742</v>
      </c>
      <c r="V1186" s="4">
        <v>0</v>
      </c>
      <c r="W1186" s="4">
        <v>1</v>
      </c>
    </row>
    <row r="1187" spans="1:23">
      <c r="A1187" t="s">
        <v>1318</v>
      </c>
      <c r="B1187" s="2">
        <v>45772</v>
      </c>
      <c r="C1187" t="s">
        <v>37</v>
      </c>
      <c r="D1187" t="s">
        <v>38</v>
      </c>
      <c r="E1187" t="s">
        <v>73</v>
      </c>
      <c r="F1187" t="s">
        <v>22</v>
      </c>
      <c r="G1187" t="s">
        <v>32</v>
      </c>
      <c r="H1187" t="s">
        <v>33</v>
      </c>
      <c r="I1187">
        <v>10</v>
      </c>
      <c r="J1187" s="3">
        <v>8390.4699999999993</v>
      </c>
      <c r="K1187" s="3">
        <v>83904.7</v>
      </c>
      <c r="L1187" t="s">
        <v>34</v>
      </c>
      <c r="M1187" s="2">
        <v>45781</v>
      </c>
      <c r="N1187" s="2">
        <v>45781</v>
      </c>
      <c r="O1187" t="s">
        <v>43</v>
      </c>
      <c r="P1187" t="s">
        <v>77</v>
      </c>
      <c r="Q1187" t="s">
        <v>28</v>
      </c>
      <c r="R1187" t="s">
        <v>29</v>
      </c>
      <c r="S1187">
        <v>2025</v>
      </c>
      <c r="T1187" t="s">
        <v>2741</v>
      </c>
      <c r="U1187" t="s">
        <v>2742</v>
      </c>
      <c r="V1187" s="4">
        <v>0</v>
      </c>
      <c r="W1187" s="4">
        <v>1</v>
      </c>
    </row>
    <row r="1188" spans="1:23">
      <c r="A1188" t="s">
        <v>1319</v>
      </c>
      <c r="B1188" s="2">
        <v>45924</v>
      </c>
      <c r="C1188" t="s">
        <v>37</v>
      </c>
      <c r="D1188" t="s">
        <v>38</v>
      </c>
      <c r="E1188" t="s">
        <v>39</v>
      </c>
      <c r="F1188" t="s">
        <v>22</v>
      </c>
      <c r="G1188" t="s">
        <v>160</v>
      </c>
      <c r="H1188" t="s">
        <v>161</v>
      </c>
      <c r="I1188">
        <v>9</v>
      </c>
      <c r="J1188" s="3">
        <v>3503.67</v>
      </c>
      <c r="K1188" s="3">
        <v>31533.03</v>
      </c>
      <c r="L1188" t="s">
        <v>34</v>
      </c>
      <c r="M1188" s="2">
        <v>45937</v>
      </c>
      <c r="N1188" s="2">
        <v>45936</v>
      </c>
      <c r="O1188" t="s">
        <v>60</v>
      </c>
      <c r="P1188" t="s">
        <v>44</v>
      </c>
      <c r="Q1188" t="s">
        <v>28</v>
      </c>
      <c r="R1188" t="s">
        <v>29</v>
      </c>
      <c r="S1188">
        <v>2025</v>
      </c>
      <c r="T1188" t="s">
        <v>2753</v>
      </c>
      <c r="U1188" t="s">
        <v>2754</v>
      </c>
      <c r="V1188" s="4">
        <v>0</v>
      </c>
      <c r="W1188" s="4">
        <v>1</v>
      </c>
    </row>
    <row r="1189" spans="1:23">
      <c r="A1189" t="s">
        <v>1320</v>
      </c>
      <c r="B1189" s="2">
        <v>45834</v>
      </c>
      <c r="C1189" t="s">
        <v>96</v>
      </c>
      <c r="D1189" t="s">
        <v>97</v>
      </c>
      <c r="E1189" t="s">
        <v>39</v>
      </c>
      <c r="F1189" t="s">
        <v>82</v>
      </c>
      <c r="G1189" t="s">
        <v>83</v>
      </c>
      <c r="H1189" t="s">
        <v>84</v>
      </c>
      <c r="I1189">
        <v>47</v>
      </c>
      <c r="J1189" s="3">
        <v>719.07</v>
      </c>
      <c r="K1189" s="3">
        <v>33796.29</v>
      </c>
      <c r="L1189" t="s">
        <v>34</v>
      </c>
      <c r="M1189" s="2">
        <v>45840</v>
      </c>
      <c r="N1189" s="2">
        <v>45839</v>
      </c>
      <c r="O1189" t="s">
        <v>60</v>
      </c>
      <c r="P1189" t="s">
        <v>64</v>
      </c>
      <c r="Q1189" t="s">
        <v>28</v>
      </c>
      <c r="R1189" t="s">
        <v>29</v>
      </c>
      <c r="S1189">
        <v>2025</v>
      </c>
      <c r="T1189" t="s">
        <v>2743</v>
      </c>
      <c r="U1189" t="s">
        <v>2756</v>
      </c>
      <c r="V1189" s="4">
        <v>0</v>
      </c>
      <c r="W1189" s="4">
        <v>1</v>
      </c>
    </row>
    <row r="1190" spans="1:23">
      <c r="A1190" t="s">
        <v>1321</v>
      </c>
      <c r="B1190" s="2">
        <v>45964</v>
      </c>
      <c r="C1190" t="s">
        <v>96</v>
      </c>
      <c r="D1190" t="s">
        <v>97</v>
      </c>
      <c r="E1190" t="s">
        <v>39</v>
      </c>
      <c r="F1190" t="s">
        <v>82</v>
      </c>
      <c r="G1190" t="s">
        <v>197</v>
      </c>
      <c r="H1190" t="s">
        <v>198</v>
      </c>
      <c r="I1190">
        <v>36</v>
      </c>
      <c r="J1190" s="3">
        <v>2066.29</v>
      </c>
      <c r="K1190" s="3">
        <v>74386.44</v>
      </c>
      <c r="L1190" t="s">
        <v>34</v>
      </c>
      <c r="M1190" s="2">
        <v>45979</v>
      </c>
      <c r="N1190" s="2">
        <v>45977</v>
      </c>
      <c r="O1190" t="s">
        <v>60</v>
      </c>
      <c r="P1190" t="s">
        <v>64</v>
      </c>
      <c r="Q1190" t="s">
        <v>28</v>
      </c>
      <c r="R1190" t="s">
        <v>29</v>
      </c>
      <c r="S1190">
        <v>2025</v>
      </c>
      <c r="T1190" t="s">
        <v>2763</v>
      </c>
      <c r="U1190" t="s">
        <v>2764</v>
      </c>
      <c r="V1190" s="4">
        <v>0</v>
      </c>
      <c r="W1190" s="4">
        <v>1</v>
      </c>
    </row>
    <row r="1191" spans="1:23">
      <c r="A1191" t="s">
        <v>1322</v>
      </c>
      <c r="B1191" s="2">
        <v>46059</v>
      </c>
      <c r="C1191" t="s">
        <v>37</v>
      </c>
      <c r="D1191" t="s">
        <v>38</v>
      </c>
      <c r="E1191" t="s">
        <v>112</v>
      </c>
      <c r="F1191" t="s">
        <v>40</v>
      </c>
      <c r="G1191" t="s">
        <v>41</v>
      </c>
      <c r="H1191" t="s">
        <v>42</v>
      </c>
      <c r="I1191">
        <v>4</v>
      </c>
      <c r="J1191" s="3">
        <v>5853.09</v>
      </c>
      <c r="K1191" s="3">
        <v>23412.36</v>
      </c>
      <c r="L1191" t="s">
        <v>34</v>
      </c>
      <c r="M1191" s="2">
        <v>46075</v>
      </c>
      <c r="N1191" s="2">
        <v>46075</v>
      </c>
      <c r="O1191" t="s">
        <v>60</v>
      </c>
      <c r="P1191" t="s">
        <v>115</v>
      </c>
      <c r="Q1191" t="s">
        <v>28</v>
      </c>
      <c r="R1191" t="s">
        <v>29</v>
      </c>
      <c r="S1191">
        <v>2026</v>
      </c>
      <c r="T1191" t="s">
        <v>2751</v>
      </c>
      <c r="U1191" t="s">
        <v>2765</v>
      </c>
      <c r="V1191" s="4">
        <v>0</v>
      </c>
      <c r="W1191" s="4">
        <v>1</v>
      </c>
    </row>
    <row r="1192" spans="1:23">
      <c r="A1192" t="s">
        <v>1323</v>
      </c>
      <c r="B1192" s="2">
        <v>46021</v>
      </c>
      <c r="C1192" t="s">
        <v>142</v>
      </c>
      <c r="D1192" t="s">
        <v>143</v>
      </c>
      <c r="E1192" t="s">
        <v>31</v>
      </c>
      <c r="F1192" t="s">
        <v>22</v>
      </c>
      <c r="G1192" t="s">
        <v>32</v>
      </c>
      <c r="H1192" t="s">
        <v>33</v>
      </c>
      <c r="I1192">
        <v>11</v>
      </c>
      <c r="J1192" s="3">
        <v>7830.23</v>
      </c>
      <c r="K1192" s="3">
        <v>86132.53</v>
      </c>
      <c r="L1192" t="s">
        <v>25</v>
      </c>
      <c r="M1192" s="2">
        <v>46038</v>
      </c>
      <c r="N1192" s="2">
        <v>46037</v>
      </c>
      <c r="O1192" t="s">
        <v>60</v>
      </c>
      <c r="P1192" t="s">
        <v>35</v>
      </c>
      <c r="Q1192" t="s">
        <v>28</v>
      </c>
      <c r="R1192" t="s">
        <v>29</v>
      </c>
      <c r="S1192">
        <v>2025</v>
      </c>
      <c r="T1192" t="s">
        <v>2745</v>
      </c>
      <c r="U1192" t="s">
        <v>2746</v>
      </c>
      <c r="V1192" s="4">
        <v>0</v>
      </c>
      <c r="W1192" s="4">
        <v>1</v>
      </c>
    </row>
    <row r="1193" spans="1:23">
      <c r="A1193" t="s">
        <v>1324</v>
      </c>
      <c r="B1193" s="2">
        <v>46129</v>
      </c>
      <c r="C1193" t="s">
        <v>104</v>
      </c>
      <c r="D1193" t="s">
        <v>105</v>
      </c>
      <c r="E1193" t="s">
        <v>112</v>
      </c>
      <c r="F1193" t="s">
        <v>49</v>
      </c>
      <c r="G1193" t="s">
        <v>68</v>
      </c>
      <c r="H1193" t="s">
        <v>69</v>
      </c>
      <c r="I1193">
        <v>3</v>
      </c>
      <c r="J1193" s="3">
        <v>48844.79</v>
      </c>
      <c r="K1193" s="3">
        <v>146534.37</v>
      </c>
      <c r="L1193" t="s">
        <v>34</v>
      </c>
      <c r="M1193" s="2">
        <v>46140</v>
      </c>
      <c r="N1193" s="2">
        <v>46138</v>
      </c>
      <c r="O1193" t="s">
        <v>60</v>
      </c>
      <c r="P1193" t="s">
        <v>115</v>
      </c>
      <c r="Q1193" t="s">
        <v>28</v>
      </c>
      <c r="R1193" t="s">
        <v>29</v>
      </c>
      <c r="S1193">
        <v>2026</v>
      </c>
      <c r="T1193" t="s">
        <v>2741</v>
      </c>
      <c r="U1193" t="s">
        <v>2770</v>
      </c>
      <c r="V1193" s="4">
        <v>0</v>
      </c>
      <c r="W1193" s="4">
        <v>1</v>
      </c>
    </row>
    <row r="1194" spans="1:23">
      <c r="A1194" t="s">
        <v>1325</v>
      </c>
      <c r="B1194" s="2">
        <v>46097</v>
      </c>
      <c r="C1194" t="s">
        <v>104</v>
      </c>
      <c r="D1194" t="s">
        <v>105</v>
      </c>
      <c r="E1194" t="s">
        <v>73</v>
      </c>
      <c r="F1194" t="s">
        <v>49</v>
      </c>
      <c r="G1194" t="s">
        <v>50</v>
      </c>
      <c r="H1194" t="s">
        <v>51</v>
      </c>
      <c r="I1194">
        <v>3</v>
      </c>
      <c r="J1194" s="3">
        <v>49974.36</v>
      </c>
      <c r="K1194" s="3">
        <v>149923.07999999999</v>
      </c>
      <c r="L1194" t="s">
        <v>25</v>
      </c>
      <c r="M1194" s="2">
        <v>46107</v>
      </c>
      <c r="N1194" s="2">
        <v>46106</v>
      </c>
      <c r="O1194" t="s">
        <v>76</v>
      </c>
      <c r="P1194" t="s">
        <v>77</v>
      </c>
      <c r="Q1194" t="s">
        <v>28</v>
      </c>
      <c r="R1194" t="s">
        <v>29</v>
      </c>
      <c r="S1194">
        <v>2026</v>
      </c>
      <c r="T1194" t="s">
        <v>2747</v>
      </c>
      <c r="U1194" t="s">
        <v>2755</v>
      </c>
      <c r="V1194" s="4">
        <v>0</v>
      </c>
      <c r="W1194" s="4">
        <v>1</v>
      </c>
    </row>
    <row r="1195" spans="1:23">
      <c r="A1195" t="s">
        <v>1326</v>
      </c>
      <c r="B1195" s="2">
        <v>46074</v>
      </c>
      <c r="C1195" t="s">
        <v>89</v>
      </c>
      <c r="D1195" t="s">
        <v>90</v>
      </c>
      <c r="E1195" t="s">
        <v>31</v>
      </c>
      <c r="F1195" t="s">
        <v>91</v>
      </c>
      <c r="G1195" t="s">
        <v>92</v>
      </c>
      <c r="H1195" t="s">
        <v>93</v>
      </c>
      <c r="I1195">
        <v>3</v>
      </c>
      <c r="J1195" s="3">
        <v>41832.49</v>
      </c>
      <c r="K1195" s="3">
        <v>125497.47</v>
      </c>
      <c r="L1195" t="s">
        <v>25</v>
      </c>
      <c r="M1195" s="2">
        <v>46082</v>
      </c>
      <c r="N1195" s="2">
        <v>46079</v>
      </c>
      <c r="O1195" t="s">
        <v>76</v>
      </c>
      <c r="P1195" t="s">
        <v>35</v>
      </c>
      <c r="Q1195" t="s">
        <v>28</v>
      </c>
      <c r="R1195" t="s">
        <v>29</v>
      </c>
      <c r="S1195">
        <v>2026</v>
      </c>
      <c r="T1195" t="s">
        <v>2751</v>
      </c>
      <c r="U1195" t="s">
        <v>2765</v>
      </c>
      <c r="V1195" s="4">
        <v>0</v>
      </c>
      <c r="W1195" s="4">
        <v>1</v>
      </c>
    </row>
    <row r="1196" spans="1:23">
      <c r="A1196" t="s">
        <v>1327</v>
      </c>
      <c r="B1196" s="2">
        <v>46149</v>
      </c>
      <c r="C1196" t="s">
        <v>46</v>
      </c>
      <c r="D1196" t="s">
        <v>47</v>
      </c>
      <c r="E1196" t="s">
        <v>112</v>
      </c>
      <c r="F1196" t="s">
        <v>49</v>
      </c>
      <c r="G1196" t="s">
        <v>68</v>
      </c>
      <c r="H1196" t="s">
        <v>69</v>
      </c>
      <c r="I1196">
        <v>1</v>
      </c>
      <c r="J1196" s="3">
        <v>49156.87</v>
      </c>
      <c r="K1196" s="3">
        <v>49156.87</v>
      </c>
      <c r="L1196" t="s">
        <v>25</v>
      </c>
      <c r="M1196" s="2">
        <v>46163</v>
      </c>
      <c r="N1196" s="2">
        <v>46163</v>
      </c>
      <c r="O1196" t="s">
        <v>26</v>
      </c>
      <c r="P1196" t="s">
        <v>115</v>
      </c>
      <c r="Q1196" t="s">
        <v>28</v>
      </c>
      <c r="R1196" t="s">
        <v>29</v>
      </c>
      <c r="S1196">
        <v>2026</v>
      </c>
      <c r="T1196" t="s">
        <v>2766</v>
      </c>
      <c r="U1196" t="s">
        <v>2769</v>
      </c>
      <c r="V1196" s="4">
        <v>0</v>
      </c>
      <c r="W1196" s="4">
        <v>1</v>
      </c>
    </row>
    <row r="1197" spans="1:23">
      <c r="A1197" t="s">
        <v>1328</v>
      </c>
      <c r="B1197" s="2">
        <v>45912</v>
      </c>
      <c r="C1197" t="s">
        <v>71</v>
      </c>
      <c r="D1197" t="s">
        <v>72</v>
      </c>
      <c r="E1197" t="s">
        <v>48</v>
      </c>
      <c r="F1197" t="s">
        <v>57</v>
      </c>
      <c r="G1197" t="s">
        <v>86</v>
      </c>
      <c r="H1197" t="s">
        <v>87</v>
      </c>
      <c r="I1197">
        <v>4</v>
      </c>
      <c r="J1197" s="3">
        <v>9883.35</v>
      </c>
      <c r="K1197" s="3">
        <v>39533.4</v>
      </c>
      <c r="L1197" t="s">
        <v>25</v>
      </c>
      <c r="M1197" s="2">
        <v>45924</v>
      </c>
      <c r="N1197" s="2">
        <v>45924</v>
      </c>
      <c r="O1197" t="s">
        <v>26</v>
      </c>
      <c r="P1197" t="s">
        <v>53</v>
      </c>
      <c r="Q1197" t="s">
        <v>28</v>
      </c>
      <c r="R1197" t="s">
        <v>29</v>
      </c>
      <c r="S1197">
        <v>2025</v>
      </c>
      <c r="T1197" t="s">
        <v>2753</v>
      </c>
      <c r="U1197" t="s">
        <v>2754</v>
      </c>
      <c r="V1197" s="4">
        <v>0</v>
      </c>
      <c r="W1197" s="4">
        <v>1</v>
      </c>
    </row>
    <row r="1198" spans="1:23">
      <c r="A1198" t="s">
        <v>1329</v>
      </c>
      <c r="B1198" s="2">
        <v>45918</v>
      </c>
      <c r="C1198" t="s">
        <v>71</v>
      </c>
      <c r="D1198" t="s">
        <v>72</v>
      </c>
      <c r="E1198" t="s">
        <v>31</v>
      </c>
      <c r="F1198" t="s">
        <v>57</v>
      </c>
      <c r="G1198" t="s">
        <v>58</v>
      </c>
      <c r="H1198" t="s">
        <v>59</v>
      </c>
      <c r="I1198">
        <v>3</v>
      </c>
      <c r="J1198" s="3">
        <v>54460.99</v>
      </c>
      <c r="K1198" s="3">
        <v>163382.97</v>
      </c>
      <c r="L1198" t="s">
        <v>34</v>
      </c>
      <c r="M1198" s="2">
        <v>45928</v>
      </c>
      <c r="N1198" s="2">
        <v>45926</v>
      </c>
      <c r="O1198" t="s">
        <v>60</v>
      </c>
      <c r="P1198" t="s">
        <v>94</v>
      </c>
      <c r="Q1198" t="s">
        <v>28</v>
      </c>
      <c r="R1198" t="s">
        <v>29</v>
      </c>
      <c r="S1198">
        <v>2025</v>
      </c>
      <c r="T1198" t="s">
        <v>2753</v>
      </c>
      <c r="U1198" t="s">
        <v>2754</v>
      </c>
      <c r="V1198" s="4">
        <v>0</v>
      </c>
      <c r="W1198" s="4">
        <v>1</v>
      </c>
    </row>
    <row r="1199" spans="1:23">
      <c r="A1199" t="s">
        <v>1330</v>
      </c>
      <c r="B1199" s="2">
        <v>45926</v>
      </c>
      <c r="C1199" t="s">
        <v>147</v>
      </c>
      <c r="D1199" t="s">
        <v>148</v>
      </c>
      <c r="E1199" t="s">
        <v>39</v>
      </c>
      <c r="F1199" t="s">
        <v>40</v>
      </c>
      <c r="G1199" t="s">
        <v>41</v>
      </c>
      <c r="H1199" t="s">
        <v>42</v>
      </c>
      <c r="I1199">
        <v>5</v>
      </c>
      <c r="J1199" s="3">
        <v>5301.84</v>
      </c>
      <c r="K1199" s="3">
        <v>26509.200000000001</v>
      </c>
      <c r="L1199" t="s">
        <v>25</v>
      </c>
      <c r="M1199" s="2">
        <v>45931</v>
      </c>
      <c r="N1199" s="2">
        <v>45928</v>
      </c>
      <c r="O1199" t="s">
        <v>43</v>
      </c>
      <c r="P1199" t="s">
        <v>44</v>
      </c>
      <c r="Q1199" t="s">
        <v>28</v>
      </c>
      <c r="R1199" t="s">
        <v>29</v>
      </c>
      <c r="S1199">
        <v>2025</v>
      </c>
      <c r="T1199" t="s">
        <v>2753</v>
      </c>
      <c r="U1199" t="s">
        <v>2754</v>
      </c>
      <c r="V1199" s="4">
        <v>0</v>
      </c>
      <c r="W1199" s="4">
        <v>1</v>
      </c>
    </row>
    <row r="1200" spans="1:23">
      <c r="A1200" t="s">
        <v>1331</v>
      </c>
      <c r="B1200" s="2">
        <v>45724</v>
      </c>
      <c r="C1200" t="s">
        <v>134</v>
      </c>
      <c r="D1200" t="s">
        <v>135</v>
      </c>
      <c r="E1200" t="s">
        <v>39</v>
      </c>
      <c r="F1200" t="s">
        <v>40</v>
      </c>
      <c r="G1200" t="s">
        <v>41</v>
      </c>
      <c r="H1200" t="s">
        <v>42</v>
      </c>
      <c r="I1200">
        <v>12</v>
      </c>
      <c r="J1200" s="3">
        <v>5648.82</v>
      </c>
      <c r="K1200" s="3">
        <v>67785.84</v>
      </c>
      <c r="L1200" t="s">
        <v>34</v>
      </c>
      <c r="M1200" s="2">
        <v>45729</v>
      </c>
      <c r="N1200" s="2">
        <v>45726</v>
      </c>
      <c r="O1200" t="s">
        <v>26</v>
      </c>
      <c r="P1200" t="s">
        <v>64</v>
      </c>
      <c r="Q1200" t="s">
        <v>28</v>
      </c>
      <c r="R1200" t="s">
        <v>29</v>
      </c>
      <c r="S1200">
        <v>2025</v>
      </c>
      <c r="T1200" t="s">
        <v>2747</v>
      </c>
      <c r="U1200" t="s">
        <v>2748</v>
      </c>
      <c r="V1200" s="4">
        <v>0</v>
      </c>
      <c r="W1200" s="4">
        <v>1</v>
      </c>
    </row>
    <row r="1201" spans="1:23">
      <c r="A1201" t="s">
        <v>1332</v>
      </c>
      <c r="B1201" s="2">
        <v>45936</v>
      </c>
      <c r="C1201" t="s">
        <v>71</v>
      </c>
      <c r="D1201" t="s">
        <v>72</v>
      </c>
      <c r="E1201" t="s">
        <v>21</v>
      </c>
      <c r="F1201" t="s">
        <v>57</v>
      </c>
      <c r="G1201" t="s">
        <v>101</v>
      </c>
      <c r="H1201" t="s">
        <v>102</v>
      </c>
      <c r="I1201">
        <v>44</v>
      </c>
      <c r="J1201" s="3">
        <v>1743.39</v>
      </c>
      <c r="K1201" s="3">
        <v>76709.16</v>
      </c>
      <c r="L1201" t="s">
        <v>52</v>
      </c>
      <c r="M1201" s="2">
        <v>45943</v>
      </c>
      <c r="N1201" s="2">
        <v>45940</v>
      </c>
      <c r="O1201" t="s">
        <v>60</v>
      </c>
      <c r="P1201" t="s">
        <v>27</v>
      </c>
      <c r="Q1201" t="s">
        <v>28</v>
      </c>
      <c r="R1201" t="s">
        <v>29</v>
      </c>
      <c r="S1201">
        <v>2025</v>
      </c>
      <c r="T1201" t="s">
        <v>2749</v>
      </c>
      <c r="U1201" t="s">
        <v>2750</v>
      </c>
      <c r="V1201" s="4">
        <v>0</v>
      </c>
      <c r="W1201" s="4">
        <v>1</v>
      </c>
    </row>
    <row r="1202" spans="1:23">
      <c r="A1202" t="s">
        <v>1333</v>
      </c>
      <c r="B1202" s="2">
        <v>46108</v>
      </c>
      <c r="C1202" t="s">
        <v>19</v>
      </c>
      <c r="D1202" t="s">
        <v>20</v>
      </c>
      <c r="E1202" t="s">
        <v>31</v>
      </c>
      <c r="F1202" t="s">
        <v>22</v>
      </c>
      <c r="G1202" t="s">
        <v>160</v>
      </c>
      <c r="H1202" t="s">
        <v>161</v>
      </c>
      <c r="I1202">
        <v>6</v>
      </c>
      <c r="J1202" s="3">
        <v>3040.84</v>
      </c>
      <c r="K1202" s="3">
        <v>18245.04</v>
      </c>
      <c r="L1202" t="s">
        <v>34</v>
      </c>
      <c r="M1202" s="2">
        <v>46118</v>
      </c>
      <c r="N1202" s="2">
        <v>46116</v>
      </c>
      <c r="O1202" t="s">
        <v>43</v>
      </c>
      <c r="P1202" t="s">
        <v>94</v>
      </c>
      <c r="Q1202" t="s">
        <v>28</v>
      </c>
      <c r="R1202" t="s">
        <v>29</v>
      </c>
      <c r="S1202">
        <v>2026</v>
      </c>
      <c r="T1202" t="s">
        <v>2747</v>
      </c>
      <c r="U1202" t="s">
        <v>2755</v>
      </c>
      <c r="V1202" s="4">
        <v>0</v>
      </c>
      <c r="W1202" s="4">
        <v>1</v>
      </c>
    </row>
    <row r="1203" spans="1:23">
      <c r="A1203" t="s">
        <v>1334</v>
      </c>
      <c r="B1203" s="2">
        <v>45785</v>
      </c>
      <c r="C1203" t="s">
        <v>71</v>
      </c>
      <c r="D1203" t="s">
        <v>72</v>
      </c>
      <c r="E1203" t="s">
        <v>48</v>
      </c>
      <c r="F1203" t="s">
        <v>57</v>
      </c>
      <c r="G1203" t="s">
        <v>101</v>
      </c>
      <c r="H1203" t="s">
        <v>102</v>
      </c>
      <c r="I1203">
        <v>28</v>
      </c>
      <c r="J1203" s="3">
        <v>1734.5</v>
      </c>
      <c r="K1203" s="3">
        <v>48566</v>
      </c>
      <c r="L1203" t="s">
        <v>52</v>
      </c>
      <c r="M1203" s="2">
        <v>45793</v>
      </c>
      <c r="N1203" s="2">
        <v>45790</v>
      </c>
      <c r="O1203" t="s">
        <v>43</v>
      </c>
      <c r="P1203" t="s">
        <v>53</v>
      </c>
      <c r="Q1203" t="s">
        <v>28</v>
      </c>
      <c r="R1203" t="s">
        <v>29</v>
      </c>
      <c r="S1203">
        <v>2025</v>
      </c>
      <c r="T1203" t="s">
        <v>2766</v>
      </c>
      <c r="U1203" t="s">
        <v>2767</v>
      </c>
      <c r="V1203" s="4">
        <v>0</v>
      </c>
      <c r="W1203" s="4">
        <v>1</v>
      </c>
    </row>
    <row r="1204" spans="1:23">
      <c r="A1204" t="s">
        <v>1335</v>
      </c>
      <c r="B1204" s="2">
        <v>45774</v>
      </c>
      <c r="C1204" t="s">
        <v>96</v>
      </c>
      <c r="D1204" t="s">
        <v>97</v>
      </c>
      <c r="E1204" t="s">
        <v>39</v>
      </c>
      <c r="F1204" t="s">
        <v>82</v>
      </c>
      <c r="G1204" t="s">
        <v>197</v>
      </c>
      <c r="H1204" t="s">
        <v>198</v>
      </c>
      <c r="I1204">
        <v>39</v>
      </c>
      <c r="J1204" s="3">
        <v>2195.08</v>
      </c>
      <c r="K1204" s="3">
        <v>85608.12</v>
      </c>
      <c r="L1204" t="s">
        <v>25</v>
      </c>
      <c r="M1204" s="2">
        <v>45791</v>
      </c>
      <c r="N1204" s="2">
        <v>45788</v>
      </c>
      <c r="O1204" t="s">
        <v>76</v>
      </c>
      <c r="P1204" t="s">
        <v>64</v>
      </c>
      <c r="Q1204" t="s">
        <v>28</v>
      </c>
      <c r="R1204" t="s">
        <v>29</v>
      </c>
      <c r="S1204">
        <v>2025</v>
      </c>
      <c r="T1204" t="s">
        <v>2741</v>
      </c>
      <c r="U1204" t="s">
        <v>2742</v>
      </c>
      <c r="V1204" s="4">
        <v>0</v>
      </c>
      <c r="W1204" s="4">
        <v>1</v>
      </c>
    </row>
    <row r="1205" spans="1:23">
      <c r="A1205" t="s">
        <v>1336</v>
      </c>
      <c r="B1205" s="2">
        <v>45786</v>
      </c>
      <c r="C1205" t="s">
        <v>71</v>
      </c>
      <c r="D1205" t="s">
        <v>72</v>
      </c>
      <c r="E1205" t="s">
        <v>31</v>
      </c>
      <c r="F1205" t="s">
        <v>57</v>
      </c>
      <c r="G1205" t="s">
        <v>58</v>
      </c>
      <c r="H1205" t="s">
        <v>59</v>
      </c>
      <c r="I1205">
        <v>1</v>
      </c>
      <c r="J1205" s="3">
        <v>52921.36</v>
      </c>
      <c r="K1205" s="3">
        <v>52921.36</v>
      </c>
      <c r="L1205" t="s">
        <v>34</v>
      </c>
      <c r="M1205" s="2">
        <v>45791</v>
      </c>
      <c r="N1205" s="2">
        <v>45803</v>
      </c>
      <c r="O1205" t="s">
        <v>76</v>
      </c>
      <c r="P1205" t="s">
        <v>94</v>
      </c>
      <c r="Q1205" t="s">
        <v>28</v>
      </c>
      <c r="R1205" t="s">
        <v>129</v>
      </c>
      <c r="S1205">
        <v>2025</v>
      </c>
      <c r="T1205" t="s">
        <v>2766</v>
      </c>
      <c r="U1205" t="s">
        <v>2767</v>
      </c>
      <c r="V1205" s="4">
        <v>12</v>
      </c>
      <c r="W1205" s="4">
        <v>0</v>
      </c>
    </row>
    <row r="1206" spans="1:23">
      <c r="A1206" t="s">
        <v>1337</v>
      </c>
      <c r="B1206" s="2">
        <v>45963</v>
      </c>
      <c r="C1206" t="s">
        <v>89</v>
      </c>
      <c r="D1206" t="s">
        <v>90</v>
      </c>
      <c r="E1206" t="s">
        <v>31</v>
      </c>
      <c r="F1206" t="s">
        <v>91</v>
      </c>
      <c r="G1206" t="s">
        <v>92</v>
      </c>
      <c r="H1206" t="s">
        <v>93</v>
      </c>
      <c r="I1206">
        <v>2</v>
      </c>
      <c r="J1206" s="3">
        <v>41742.550000000003</v>
      </c>
      <c r="K1206" s="3">
        <v>83485.100000000006</v>
      </c>
      <c r="L1206" t="s">
        <v>25</v>
      </c>
      <c r="M1206" s="2">
        <v>45978</v>
      </c>
      <c r="N1206" s="2">
        <v>45975</v>
      </c>
      <c r="O1206" t="s">
        <v>60</v>
      </c>
      <c r="P1206" t="s">
        <v>94</v>
      </c>
      <c r="Q1206" t="s">
        <v>28</v>
      </c>
      <c r="R1206" t="s">
        <v>29</v>
      </c>
      <c r="S1206">
        <v>2025</v>
      </c>
      <c r="T1206" t="s">
        <v>2763</v>
      </c>
      <c r="U1206" t="s">
        <v>2764</v>
      </c>
      <c r="V1206" s="4">
        <v>0</v>
      </c>
      <c r="W1206" s="4">
        <v>1</v>
      </c>
    </row>
    <row r="1207" spans="1:23">
      <c r="A1207" t="s">
        <v>1338</v>
      </c>
      <c r="B1207" s="2">
        <v>45926</v>
      </c>
      <c r="C1207" t="s">
        <v>104</v>
      </c>
      <c r="D1207" t="s">
        <v>105</v>
      </c>
      <c r="E1207" t="s">
        <v>48</v>
      </c>
      <c r="F1207" t="s">
        <v>49</v>
      </c>
      <c r="G1207" t="s">
        <v>165</v>
      </c>
      <c r="H1207" t="s">
        <v>166</v>
      </c>
      <c r="I1207">
        <v>2</v>
      </c>
      <c r="J1207" s="3">
        <v>44674.96</v>
      </c>
      <c r="K1207" s="3">
        <v>89349.92</v>
      </c>
      <c r="L1207" t="s">
        <v>34</v>
      </c>
      <c r="M1207" s="2">
        <v>45936</v>
      </c>
      <c r="N1207" s="2">
        <v>45936</v>
      </c>
      <c r="O1207" t="s">
        <v>76</v>
      </c>
      <c r="P1207" t="s">
        <v>53</v>
      </c>
      <c r="Q1207" t="s">
        <v>28</v>
      </c>
      <c r="R1207" t="s">
        <v>29</v>
      </c>
      <c r="S1207">
        <v>2025</v>
      </c>
      <c r="T1207" t="s">
        <v>2753</v>
      </c>
      <c r="U1207" t="s">
        <v>2754</v>
      </c>
      <c r="V1207" s="4">
        <v>0</v>
      </c>
      <c r="W1207" s="4">
        <v>1</v>
      </c>
    </row>
    <row r="1208" spans="1:23">
      <c r="A1208" t="s">
        <v>1339</v>
      </c>
      <c r="B1208" s="2">
        <v>45884</v>
      </c>
      <c r="C1208" t="s">
        <v>142</v>
      </c>
      <c r="D1208" t="s">
        <v>143</v>
      </c>
      <c r="E1208" t="s">
        <v>31</v>
      </c>
      <c r="F1208" t="s">
        <v>22</v>
      </c>
      <c r="G1208" t="s">
        <v>23</v>
      </c>
      <c r="H1208" t="s">
        <v>24</v>
      </c>
      <c r="I1208">
        <v>55</v>
      </c>
      <c r="J1208" s="3">
        <v>240.55</v>
      </c>
      <c r="K1208" s="3">
        <v>13230.25</v>
      </c>
      <c r="L1208" t="s">
        <v>52</v>
      </c>
      <c r="M1208" s="2">
        <v>45894</v>
      </c>
      <c r="N1208" s="2">
        <v>45891</v>
      </c>
      <c r="O1208" t="s">
        <v>26</v>
      </c>
      <c r="P1208" t="s">
        <v>94</v>
      </c>
      <c r="Q1208" t="s">
        <v>28</v>
      </c>
      <c r="R1208" t="s">
        <v>29</v>
      </c>
      <c r="S1208">
        <v>2025</v>
      </c>
      <c r="T1208" t="s">
        <v>2761</v>
      </c>
      <c r="U1208" t="s">
        <v>2762</v>
      </c>
      <c r="V1208" s="4">
        <v>0</v>
      </c>
      <c r="W1208" s="4">
        <v>1</v>
      </c>
    </row>
    <row r="1209" spans="1:23">
      <c r="A1209" t="s">
        <v>1340</v>
      </c>
      <c r="B1209" s="2">
        <v>46086</v>
      </c>
      <c r="C1209" t="s">
        <v>19</v>
      </c>
      <c r="D1209" t="s">
        <v>20</v>
      </c>
      <c r="E1209" t="s">
        <v>21</v>
      </c>
      <c r="F1209" t="s">
        <v>22</v>
      </c>
      <c r="G1209" t="s">
        <v>160</v>
      </c>
      <c r="H1209" t="s">
        <v>161</v>
      </c>
      <c r="I1209">
        <v>6</v>
      </c>
      <c r="J1209" s="3">
        <v>2971.48</v>
      </c>
      <c r="K1209" s="3">
        <v>17828.88</v>
      </c>
      <c r="L1209" t="s">
        <v>34</v>
      </c>
      <c r="M1209" s="2">
        <v>46094</v>
      </c>
      <c r="N1209" s="2">
        <v>46094</v>
      </c>
      <c r="O1209" t="s">
        <v>60</v>
      </c>
      <c r="P1209" t="s">
        <v>27</v>
      </c>
      <c r="Q1209" t="s">
        <v>28</v>
      </c>
      <c r="R1209" t="s">
        <v>29</v>
      </c>
      <c r="S1209">
        <v>2026</v>
      </c>
      <c r="T1209" t="s">
        <v>2747</v>
      </c>
      <c r="U1209" t="s">
        <v>2755</v>
      </c>
      <c r="V1209" s="4">
        <v>0</v>
      </c>
      <c r="W1209" s="4">
        <v>1</v>
      </c>
    </row>
    <row r="1210" spans="1:23">
      <c r="A1210" t="s">
        <v>1341</v>
      </c>
      <c r="B1210" s="2">
        <v>45849</v>
      </c>
      <c r="C1210" t="s">
        <v>142</v>
      </c>
      <c r="D1210" t="s">
        <v>143</v>
      </c>
      <c r="E1210" t="s">
        <v>39</v>
      </c>
      <c r="F1210" t="s">
        <v>22</v>
      </c>
      <c r="G1210" t="s">
        <v>160</v>
      </c>
      <c r="H1210" t="s">
        <v>161</v>
      </c>
      <c r="I1210">
        <v>12</v>
      </c>
      <c r="J1210" s="3">
        <v>3273.86</v>
      </c>
      <c r="K1210" s="3">
        <v>39286.32</v>
      </c>
      <c r="L1210" t="s">
        <v>25</v>
      </c>
      <c r="M1210" s="2">
        <v>45864</v>
      </c>
      <c r="N1210" s="2">
        <v>45861</v>
      </c>
      <c r="O1210" t="s">
        <v>76</v>
      </c>
      <c r="P1210" t="s">
        <v>64</v>
      </c>
      <c r="Q1210" t="s">
        <v>28</v>
      </c>
      <c r="R1210" t="s">
        <v>29</v>
      </c>
      <c r="S1210">
        <v>2025</v>
      </c>
      <c r="T1210" t="s">
        <v>2759</v>
      </c>
      <c r="U1210" t="s">
        <v>2760</v>
      </c>
      <c r="V1210" s="4">
        <v>0</v>
      </c>
      <c r="W1210" s="4">
        <v>1</v>
      </c>
    </row>
    <row r="1211" spans="1:23">
      <c r="A1211" t="s">
        <v>1342</v>
      </c>
      <c r="B1211" s="2">
        <v>46057</v>
      </c>
      <c r="C1211" t="s">
        <v>37</v>
      </c>
      <c r="D1211" t="s">
        <v>38</v>
      </c>
      <c r="E1211" t="s">
        <v>39</v>
      </c>
      <c r="F1211" t="s">
        <v>40</v>
      </c>
      <c r="G1211" t="s">
        <v>41</v>
      </c>
      <c r="H1211" t="s">
        <v>42</v>
      </c>
      <c r="I1211">
        <v>14</v>
      </c>
      <c r="J1211" s="3">
        <v>6020.47</v>
      </c>
      <c r="K1211" s="3">
        <v>84286.58</v>
      </c>
      <c r="L1211" t="s">
        <v>25</v>
      </c>
      <c r="M1211" s="2">
        <v>46070</v>
      </c>
      <c r="N1211" s="2">
        <v>46068</v>
      </c>
      <c r="O1211" t="s">
        <v>60</v>
      </c>
      <c r="P1211" t="s">
        <v>64</v>
      </c>
      <c r="Q1211" t="s">
        <v>28</v>
      </c>
      <c r="R1211" t="s">
        <v>29</v>
      </c>
      <c r="S1211">
        <v>2026</v>
      </c>
      <c r="T1211" t="s">
        <v>2751</v>
      </c>
      <c r="U1211" t="s">
        <v>2765</v>
      </c>
      <c r="V1211" s="4">
        <v>0</v>
      </c>
      <c r="W1211" s="4">
        <v>1</v>
      </c>
    </row>
    <row r="1212" spans="1:23">
      <c r="A1212" t="s">
        <v>1343</v>
      </c>
      <c r="B1212" s="2">
        <v>45673</v>
      </c>
      <c r="C1212" t="s">
        <v>71</v>
      </c>
      <c r="D1212" t="s">
        <v>72</v>
      </c>
      <c r="E1212" t="s">
        <v>31</v>
      </c>
      <c r="F1212" t="s">
        <v>57</v>
      </c>
      <c r="G1212" t="s">
        <v>74</v>
      </c>
      <c r="H1212" t="s">
        <v>75</v>
      </c>
      <c r="I1212">
        <v>3</v>
      </c>
      <c r="J1212" s="3">
        <v>8497.85</v>
      </c>
      <c r="K1212" s="3">
        <v>25493.55</v>
      </c>
      <c r="L1212" t="s">
        <v>34</v>
      </c>
      <c r="M1212" s="2">
        <v>45681</v>
      </c>
      <c r="N1212" s="2">
        <v>45680</v>
      </c>
      <c r="O1212" t="s">
        <v>76</v>
      </c>
      <c r="P1212" t="s">
        <v>35</v>
      </c>
      <c r="Q1212" t="s">
        <v>28</v>
      </c>
      <c r="R1212" t="s">
        <v>29</v>
      </c>
      <c r="S1212">
        <v>2025</v>
      </c>
      <c r="T1212" t="s">
        <v>2757</v>
      </c>
      <c r="U1212" t="s">
        <v>2768</v>
      </c>
      <c r="V1212" s="4">
        <v>0</v>
      </c>
      <c r="W1212" s="4">
        <v>1</v>
      </c>
    </row>
    <row r="1213" spans="1:23">
      <c r="A1213" t="s">
        <v>1344</v>
      </c>
      <c r="B1213" s="2">
        <v>45937</v>
      </c>
      <c r="C1213" t="s">
        <v>147</v>
      </c>
      <c r="D1213" t="s">
        <v>148</v>
      </c>
      <c r="E1213" t="s">
        <v>112</v>
      </c>
      <c r="F1213" t="s">
        <v>40</v>
      </c>
      <c r="G1213" t="s">
        <v>136</v>
      </c>
      <c r="H1213" t="s">
        <v>137</v>
      </c>
      <c r="I1213">
        <v>32</v>
      </c>
      <c r="J1213" s="3">
        <v>1611.68</v>
      </c>
      <c r="K1213" s="3">
        <v>51573.760000000002</v>
      </c>
      <c r="L1213" t="s">
        <v>52</v>
      </c>
      <c r="M1213" s="2">
        <v>45943</v>
      </c>
      <c r="N1213" s="2">
        <v>45946</v>
      </c>
      <c r="O1213" t="s">
        <v>43</v>
      </c>
      <c r="P1213" t="s">
        <v>115</v>
      </c>
      <c r="Q1213" t="s">
        <v>28</v>
      </c>
      <c r="R1213" t="s">
        <v>129</v>
      </c>
      <c r="S1213">
        <v>2025</v>
      </c>
      <c r="T1213" t="s">
        <v>2749</v>
      </c>
      <c r="U1213" t="s">
        <v>2750</v>
      </c>
      <c r="V1213" s="4">
        <v>3</v>
      </c>
      <c r="W1213" s="4">
        <v>0</v>
      </c>
    </row>
    <row r="1214" spans="1:23">
      <c r="A1214" t="s">
        <v>1345</v>
      </c>
      <c r="B1214" s="2">
        <v>46199</v>
      </c>
      <c r="C1214" t="s">
        <v>104</v>
      </c>
      <c r="D1214" t="s">
        <v>105</v>
      </c>
      <c r="E1214" t="s">
        <v>48</v>
      </c>
      <c r="F1214" t="s">
        <v>49</v>
      </c>
      <c r="G1214" t="s">
        <v>165</v>
      </c>
      <c r="H1214" t="s">
        <v>166</v>
      </c>
      <c r="I1214">
        <v>3</v>
      </c>
      <c r="J1214" s="3">
        <v>44600.160000000003</v>
      </c>
      <c r="K1214" s="3">
        <v>133800.48000000001</v>
      </c>
      <c r="L1214" t="s">
        <v>25</v>
      </c>
      <c r="M1214" s="2">
        <v>46215</v>
      </c>
      <c r="N1214" s="2">
        <v>46215</v>
      </c>
      <c r="O1214" t="s">
        <v>26</v>
      </c>
      <c r="P1214" t="s">
        <v>53</v>
      </c>
      <c r="Q1214" t="s">
        <v>28</v>
      </c>
      <c r="R1214" t="s">
        <v>29</v>
      </c>
      <c r="S1214">
        <v>2026</v>
      </c>
      <c r="T1214" t="s">
        <v>2743</v>
      </c>
      <c r="U1214" t="s">
        <v>2744</v>
      </c>
      <c r="V1214" s="4">
        <v>0</v>
      </c>
      <c r="W1214" s="4">
        <v>1</v>
      </c>
    </row>
    <row r="1215" spans="1:23">
      <c r="A1215" t="s">
        <v>1346</v>
      </c>
      <c r="B1215" s="2">
        <v>45837</v>
      </c>
      <c r="C1215" t="s">
        <v>80</v>
      </c>
      <c r="D1215" t="s">
        <v>81</v>
      </c>
      <c r="E1215" t="s">
        <v>39</v>
      </c>
      <c r="F1215" t="s">
        <v>82</v>
      </c>
      <c r="G1215" t="s">
        <v>197</v>
      </c>
      <c r="H1215" t="s">
        <v>198</v>
      </c>
      <c r="I1215">
        <v>21</v>
      </c>
      <c r="J1215" s="3">
        <v>2005.6</v>
      </c>
      <c r="K1215" s="3">
        <v>42117.599999999999</v>
      </c>
      <c r="L1215" t="s">
        <v>25</v>
      </c>
      <c r="M1215" s="2">
        <v>45847</v>
      </c>
      <c r="N1215" s="2">
        <v>45845</v>
      </c>
      <c r="O1215" t="s">
        <v>60</v>
      </c>
      <c r="P1215" t="s">
        <v>44</v>
      </c>
      <c r="Q1215" t="s">
        <v>28</v>
      </c>
      <c r="R1215" t="s">
        <v>29</v>
      </c>
      <c r="S1215">
        <v>2025</v>
      </c>
      <c r="T1215" t="s">
        <v>2743</v>
      </c>
      <c r="U1215" t="s">
        <v>2756</v>
      </c>
      <c r="V1215" s="4">
        <v>0</v>
      </c>
      <c r="W1215" s="4">
        <v>1</v>
      </c>
    </row>
    <row r="1216" spans="1:23">
      <c r="A1216" t="s">
        <v>1347</v>
      </c>
      <c r="B1216" s="2">
        <v>45970</v>
      </c>
      <c r="C1216" t="s">
        <v>46</v>
      </c>
      <c r="D1216" t="s">
        <v>47</v>
      </c>
      <c r="E1216" t="s">
        <v>21</v>
      </c>
      <c r="F1216" t="s">
        <v>49</v>
      </c>
      <c r="G1216" t="s">
        <v>165</v>
      </c>
      <c r="H1216" t="s">
        <v>166</v>
      </c>
      <c r="I1216">
        <v>1</v>
      </c>
      <c r="J1216" s="3">
        <v>49526.35</v>
      </c>
      <c r="K1216" s="3">
        <v>49526.35</v>
      </c>
      <c r="L1216" t="s">
        <v>25</v>
      </c>
      <c r="M1216" s="2">
        <v>45976</v>
      </c>
      <c r="N1216" s="2">
        <v>45975</v>
      </c>
      <c r="O1216" t="s">
        <v>60</v>
      </c>
      <c r="P1216" t="s">
        <v>27</v>
      </c>
      <c r="Q1216" t="s">
        <v>28</v>
      </c>
      <c r="R1216" t="s">
        <v>29</v>
      </c>
      <c r="S1216">
        <v>2025</v>
      </c>
      <c r="T1216" t="s">
        <v>2763</v>
      </c>
      <c r="U1216" t="s">
        <v>2764</v>
      </c>
      <c r="V1216" s="4">
        <v>0</v>
      </c>
      <c r="W1216" s="4">
        <v>1</v>
      </c>
    </row>
    <row r="1217" spans="1:23">
      <c r="A1217" t="s">
        <v>1348</v>
      </c>
      <c r="B1217" s="2">
        <v>45744</v>
      </c>
      <c r="C1217" t="s">
        <v>37</v>
      </c>
      <c r="D1217" t="s">
        <v>38</v>
      </c>
      <c r="E1217" t="s">
        <v>112</v>
      </c>
      <c r="F1217" t="s">
        <v>40</v>
      </c>
      <c r="G1217" t="s">
        <v>149</v>
      </c>
      <c r="H1217" t="s">
        <v>150</v>
      </c>
      <c r="I1217">
        <v>46</v>
      </c>
      <c r="J1217" s="3">
        <v>1424.87</v>
      </c>
      <c r="K1217" s="3">
        <v>65544.02</v>
      </c>
      <c r="L1217" t="s">
        <v>25</v>
      </c>
      <c r="M1217" s="2">
        <v>45759</v>
      </c>
      <c r="N1217" s="2">
        <v>45756</v>
      </c>
      <c r="O1217" t="s">
        <v>26</v>
      </c>
      <c r="P1217" t="s">
        <v>115</v>
      </c>
      <c r="Q1217" t="s">
        <v>28</v>
      </c>
      <c r="R1217" t="s">
        <v>29</v>
      </c>
      <c r="S1217">
        <v>2025</v>
      </c>
      <c r="T1217" t="s">
        <v>2747</v>
      </c>
      <c r="U1217" t="s">
        <v>2748</v>
      </c>
      <c r="V1217" s="4">
        <v>0</v>
      </c>
      <c r="W1217" s="4">
        <v>1</v>
      </c>
    </row>
    <row r="1218" spans="1:23">
      <c r="A1218" t="s">
        <v>1349</v>
      </c>
      <c r="B1218" s="2">
        <v>46144</v>
      </c>
      <c r="C1218" t="s">
        <v>80</v>
      </c>
      <c r="D1218" t="s">
        <v>81</v>
      </c>
      <c r="E1218" t="s">
        <v>39</v>
      </c>
      <c r="F1218" t="s">
        <v>82</v>
      </c>
      <c r="G1218" t="s">
        <v>83</v>
      </c>
      <c r="H1218" t="s">
        <v>84</v>
      </c>
      <c r="I1218">
        <v>55</v>
      </c>
      <c r="J1218" s="3">
        <v>660.78</v>
      </c>
      <c r="K1218" s="3">
        <v>36342.9</v>
      </c>
      <c r="L1218" t="s">
        <v>25</v>
      </c>
      <c r="M1218" s="2">
        <v>46155</v>
      </c>
      <c r="N1218" s="2">
        <v>46155</v>
      </c>
      <c r="O1218" t="s">
        <v>26</v>
      </c>
      <c r="P1218" t="s">
        <v>64</v>
      </c>
      <c r="Q1218" t="s">
        <v>28</v>
      </c>
      <c r="R1218" t="s">
        <v>29</v>
      </c>
      <c r="S1218">
        <v>2026</v>
      </c>
      <c r="T1218" t="s">
        <v>2766</v>
      </c>
      <c r="U1218" t="s">
        <v>2769</v>
      </c>
      <c r="V1218" s="4">
        <v>0</v>
      </c>
      <c r="W1218" s="4">
        <v>1</v>
      </c>
    </row>
    <row r="1219" spans="1:23">
      <c r="A1219" t="s">
        <v>1350</v>
      </c>
      <c r="B1219" s="2">
        <v>46053</v>
      </c>
      <c r="C1219" t="s">
        <v>71</v>
      </c>
      <c r="D1219" t="s">
        <v>72</v>
      </c>
      <c r="E1219" t="s">
        <v>48</v>
      </c>
      <c r="F1219" t="s">
        <v>57</v>
      </c>
      <c r="G1219" t="s">
        <v>58</v>
      </c>
      <c r="H1219" t="s">
        <v>59</v>
      </c>
      <c r="I1219">
        <v>3</v>
      </c>
      <c r="J1219" s="3">
        <v>53515.75</v>
      </c>
      <c r="K1219" s="3">
        <v>160547.25</v>
      </c>
      <c r="L1219" t="s">
        <v>25</v>
      </c>
      <c r="M1219" s="2">
        <v>46062</v>
      </c>
      <c r="N1219" s="2">
        <v>46061</v>
      </c>
      <c r="O1219" t="s">
        <v>26</v>
      </c>
      <c r="P1219" t="s">
        <v>53</v>
      </c>
      <c r="Q1219" t="s">
        <v>28</v>
      </c>
      <c r="R1219" t="s">
        <v>29</v>
      </c>
      <c r="S1219">
        <v>2026</v>
      </c>
      <c r="T1219" t="s">
        <v>2757</v>
      </c>
      <c r="U1219" t="s">
        <v>2758</v>
      </c>
      <c r="V1219" s="4">
        <v>0</v>
      </c>
      <c r="W1219" s="4">
        <v>1</v>
      </c>
    </row>
    <row r="1220" spans="1:23">
      <c r="A1220" t="s">
        <v>1351</v>
      </c>
      <c r="B1220" s="2">
        <v>45670</v>
      </c>
      <c r="C1220" t="s">
        <v>46</v>
      </c>
      <c r="D1220" t="s">
        <v>47</v>
      </c>
      <c r="E1220" t="s">
        <v>112</v>
      </c>
      <c r="F1220" t="s">
        <v>49</v>
      </c>
      <c r="G1220" t="s">
        <v>113</v>
      </c>
      <c r="H1220" t="s">
        <v>114</v>
      </c>
      <c r="I1220">
        <v>2</v>
      </c>
      <c r="J1220" s="3">
        <v>41261.379999999997</v>
      </c>
      <c r="K1220" s="3">
        <v>82522.759999999995</v>
      </c>
      <c r="L1220" t="s">
        <v>25</v>
      </c>
      <c r="M1220" s="2">
        <v>45682</v>
      </c>
      <c r="N1220" s="2">
        <v>45680</v>
      </c>
      <c r="O1220" t="s">
        <v>43</v>
      </c>
      <c r="P1220" t="s">
        <v>115</v>
      </c>
      <c r="Q1220" t="s">
        <v>28</v>
      </c>
      <c r="R1220" t="s">
        <v>29</v>
      </c>
      <c r="S1220">
        <v>2025</v>
      </c>
      <c r="T1220" t="s">
        <v>2757</v>
      </c>
      <c r="U1220" t="s">
        <v>2768</v>
      </c>
      <c r="V1220" s="4">
        <v>0</v>
      </c>
      <c r="W1220" s="4">
        <v>1</v>
      </c>
    </row>
    <row r="1221" spans="1:23">
      <c r="A1221" t="s">
        <v>1352</v>
      </c>
      <c r="B1221" s="2">
        <v>45943</v>
      </c>
      <c r="C1221" t="s">
        <v>37</v>
      </c>
      <c r="D1221" t="s">
        <v>38</v>
      </c>
      <c r="E1221" t="s">
        <v>112</v>
      </c>
      <c r="F1221" t="s">
        <v>40</v>
      </c>
      <c r="G1221" t="s">
        <v>136</v>
      </c>
      <c r="H1221" t="s">
        <v>137</v>
      </c>
      <c r="I1221">
        <v>39</v>
      </c>
      <c r="J1221" s="3">
        <v>1703.38</v>
      </c>
      <c r="K1221" s="3">
        <v>66431.820000000007</v>
      </c>
      <c r="L1221" t="s">
        <v>34</v>
      </c>
      <c r="M1221" s="2">
        <v>45951</v>
      </c>
      <c r="N1221" s="2">
        <v>45949</v>
      </c>
      <c r="O1221" t="s">
        <v>60</v>
      </c>
      <c r="P1221" t="s">
        <v>115</v>
      </c>
      <c r="Q1221" t="s">
        <v>28</v>
      </c>
      <c r="R1221" t="s">
        <v>29</v>
      </c>
      <c r="S1221">
        <v>2025</v>
      </c>
      <c r="T1221" t="s">
        <v>2749</v>
      </c>
      <c r="U1221" t="s">
        <v>2750</v>
      </c>
      <c r="V1221" s="4">
        <v>0</v>
      </c>
      <c r="W1221" s="4">
        <v>1</v>
      </c>
    </row>
    <row r="1222" spans="1:23">
      <c r="A1222" t="s">
        <v>1353</v>
      </c>
      <c r="B1222" s="2">
        <v>45767</v>
      </c>
      <c r="C1222" t="s">
        <v>46</v>
      </c>
      <c r="D1222" t="s">
        <v>47</v>
      </c>
      <c r="E1222" t="s">
        <v>48</v>
      </c>
      <c r="F1222" t="s">
        <v>49</v>
      </c>
      <c r="G1222" t="s">
        <v>50</v>
      </c>
      <c r="H1222" t="s">
        <v>51</v>
      </c>
      <c r="I1222">
        <v>3</v>
      </c>
      <c r="J1222" s="3">
        <v>53527.03</v>
      </c>
      <c r="K1222" s="3">
        <v>160581.09</v>
      </c>
      <c r="L1222" t="s">
        <v>52</v>
      </c>
      <c r="M1222" s="2">
        <v>45779</v>
      </c>
      <c r="N1222" s="2">
        <v>45777</v>
      </c>
      <c r="O1222" t="s">
        <v>60</v>
      </c>
      <c r="P1222" t="s">
        <v>53</v>
      </c>
      <c r="Q1222" t="s">
        <v>28</v>
      </c>
      <c r="R1222" t="s">
        <v>29</v>
      </c>
      <c r="S1222">
        <v>2025</v>
      </c>
      <c r="T1222" t="s">
        <v>2741</v>
      </c>
      <c r="U1222" t="s">
        <v>2742</v>
      </c>
      <c r="V1222" s="4">
        <v>0</v>
      </c>
      <c r="W1222" s="4">
        <v>1</v>
      </c>
    </row>
    <row r="1223" spans="1:23">
      <c r="A1223" t="s">
        <v>1354</v>
      </c>
      <c r="B1223" s="2">
        <v>46198</v>
      </c>
      <c r="C1223" t="s">
        <v>96</v>
      </c>
      <c r="D1223" t="s">
        <v>97</v>
      </c>
      <c r="E1223" t="s">
        <v>39</v>
      </c>
      <c r="F1223" t="s">
        <v>82</v>
      </c>
      <c r="G1223" t="s">
        <v>197</v>
      </c>
      <c r="H1223" t="s">
        <v>198</v>
      </c>
      <c r="I1223">
        <v>25</v>
      </c>
      <c r="J1223" s="3">
        <v>2225.75</v>
      </c>
      <c r="K1223" s="3">
        <v>55643.75</v>
      </c>
      <c r="L1223" t="s">
        <v>25</v>
      </c>
      <c r="M1223" s="2">
        <v>46210</v>
      </c>
      <c r="N1223" s="2">
        <v>46209</v>
      </c>
      <c r="O1223" t="s">
        <v>60</v>
      </c>
      <c r="P1223" t="s">
        <v>64</v>
      </c>
      <c r="Q1223" t="s">
        <v>28</v>
      </c>
      <c r="R1223" t="s">
        <v>29</v>
      </c>
      <c r="S1223">
        <v>2026</v>
      </c>
      <c r="T1223" t="s">
        <v>2743</v>
      </c>
      <c r="U1223" t="s">
        <v>2744</v>
      </c>
      <c r="V1223" s="4">
        <v>0</v>
      </c>
      <c r="W1223" s="4">
        <v>1</v>
      </c>
    </row>
    <row r="1224" spans="1:23">
      <c r="A1224" t="s">
        <v>1355</v>
      </c>
      <c r="B1224" s="2">
        <v>45917</v>
      </c>
      <c r="C1224" t="s">
        <v>37</v>
      </c>
      <c r="D1224" t="s">
        <v>38</v>
      </c>
      <c r="E1224" t="s">
        <v>39</v>
      </c>
      <c r="F1224" t="s">
        <v>22</v>
      </c>
      <c r="G1224" t="s">
        <v>32</v>
      </c>
      <c r="H1224" t="s">
        <v>33</v>
      </c>
      <c r="I1224">
        <v>7</v>
      </c>
      <c r="J1224" s="3">
        <v>8418.11</v>
      </c>
      <c r="K1224" s="3">
        <v>58926.77</v>
      </c>
      <c r="L1224" t="s">
        <v>25</v>
      </c>
      <c r="M1224" s="2">
        <v>45933</v>
      </c>
      <c r="N1224" s="2">
        <v>45931</v>
      </c>
      <c r="O1224" t="s">
        <v>26</v>
      </c>
      <c r="P1224" t="s">
        <v>64</v>
      </c>
      <c r="Q1224" t="s">
        <v>28</v>
      </c>
      <c r="R1224" t="s">
        <v>29</v>
      </c>
      <c r="S1224">
        <v>2025</v>
      </c>
      <c r="T1224" t="s">
        <v>2753</v>
      </c>
      <c r="U1224" t="s">
        <v>2754</v>
      </c>
      <c r="V1224" s="4">
        <v>0</v>
      </c>
      <c r="W1224" s="4">
        <v>1</v>
      </c>
    </row>
    <row r="1225" spans="1:23">
      <c r="A1225" t="s">
        <v>1356</v>
      </c>
      <c r="B1225" s="2">
        <v>46118</v>
      </c>
      <c r="C1225" t="s">
        <v>96</v>
      </c>
      <c r="D1225" t="s">
        <v>97</v>
      </c>
      <c r="E1225" t="s">
        <v>39</v>
      </c>
      <c r="F1225" t="s">
        <v>82</v>
      </c>
      <c r="G1225" t="s">
        <v>83</v>
      </c>
      <c r="H1225" t="s">
        <v>84</v>
      </c>
      <c r="I1225">
        <v>46</v>
      </c>
      <c r="J1225" s="3">
        <v>705.49</v>
      </c>
      <c r="K1225" s="3">
        <v>32452.54</v>
      </c>
      <c r="L1225" t="s">
        <v>25</v>
      </c>
      <c r="M1225" s="2">
        <v>46133</v>
      </c>
      <c r="N1225" s="2">
        <v>46133</v>
      </c>
      <c r="O1225" t="s">
        <v>26</v>
      </c>
      <c r="P1225" t="s">
        <v>64</v>
      </c>
      <c r="Q1225" t="s">
        <v>28</v>
      </c>
      <c r="R1225" t="s">
        <v>29</v>
      </c>
      <c r="S1225">
        <v>2026</v>
      </c>
      <c r="T1225" t="s">
        <v>2741</v>
      </c>
      <c r="U1225" t="s">
        <v>2770</v>
      </c>
      <c r="V1225" s="4">
        <v>0</v>
      </c>
      <c r="W1225" s="4">
        <v>1</v>
      </c>
    </row>
    <row r="1226" spans="1:23">
      <c r="A1226" t="s">
        <v>1357</v>
      </c>
      <c r="B1226" s="2">
        <v>45834</v>
      </c>
      <c r="C1226" t="s">
        <v>89</v>
      </c>
      <c r="D1226" t="s">
        <v>90</v>
      </c>
      <c r="E1226" t="s">
        <v>31</v>
      </c>
      <c r="F1226" t="s">
        <v>91</v>
      </c>
      <c r="G1226" t="s">
        <v>92</v>
      </c>
      <c r="H1226" t="s">
        <v>93</v>
      </c>
      <c r="I1226">
        <v>1</v>
      </c>
      <c r="J1226" s="3">
        <v>40777.86</v>
      </c>
      <c r="K1226" s="3">
        <v>40777.86</v>
      </c>
      <c r="L1226" t="s">
        <v>52</v>
      </c>
      <c r="M1226" s="2">
        <v>45839</v>
      </c>
      <c r="N1226" s="2">
        <v>45838</v>
      </c>
      <c r="O1226" t="s">
        <v>43</v>
      </c>
      <c r="P1226" t="s">
        <v>94</v>
      </c>
      <c r="Q1226" t="s">
        <v>28</v>
      </c>
      <c r="R1226" t="s">
        <v>29</v>
      </c>
      <c r="S1226">
        <v>2025</v>
      </c>
      <c r="T1226" t="s">
        <v>2743</v>
      </c>
      <c r="U1226" t="s">
        <v>2756</v>
      </c>
      <c r="V1226" s="4">
        <v>0</v>
      </c>
      <c r="W1226" s="4">
        <v>1</v>
      </c>
    </row>
    <row r="1227" spans="1:23">
      <c r="A1227" t="s">
        <v>1358</v>
      </c>
      <c r="B1227" s="2">
        <v>46192</v>
      </c>
      <c r="C1227" t="s">
        <v>37</v>
      </c>
      <c r="D1227" t="s">
        <v>38</v>
      </c>
      <c r="E1227" t="s">
        <v>73</v>
      </c>
      <c r="F1227" t="s">
        <v>22</v>
      </c>
      <c r="G1227" t="s">
        <v>23</v>
      </c>
      <c r="H1227" t="s">
        <v>24</v>
      </c>
      <c r="I1227">
        <v>45</v>
      </c>
      <c r="J1227" s="3">
        <v>263.64999999999998</v>
      </c>
      <c r="K1227" s="3">
        <v>11864.25</v>
      </c>
      <c r="L1227" t="s">
        <v>25</v>
      </c>
      <c r="M1227" s="2">
        <v>46206</v>
      </c>
      <c r="N1227" s="2">
        <v>46203</v>
      </c>
      <c r="O1227" t="s">
        <v>43</v>
      </c>
      <c r="P1227" t="s">
        <v>77</v>
      </c>
      <c r="Q1227" t="s">
        <v>28</v>
      </c>
      <c r="R1227" t="s">
        <v>29</v>
      </c>
      <c r="S1227">
        <v>2026</v>
      </c>
      <c r="T1227" t="s">
        <v>2743</v>
      </c>
      <c r="U1227" t="s">
        <v>2744</v>
      </c>
      <c r="V1227" s="4">
        <v>0</v>
      </c>
      <c r="W1227" s="4">
        <v>1</v>
      </c>
    </row>
    <row r="1228" spans="1:23">
      <c r="A1228" t="s">
        <v>1359</v>
      </c>
      <c r="B1228" s="2">
        <v>45851</v>
      </c>
      <c r="C1228" t="s">
        <v>66</v>
      </c>
      <c r="D1228" t="s">
        <v>67</v>
      </c>
      <c r="E1228" t="s">
        <v>48</v>
      </c>
      <c r="F1228" t="s">
        <v>49</v>
      </c>
      <c r="G1228" t="s">
        <v>113</v>
      </c>
      <c r="H1228" t="s">
        <v>114</v>
      </c>
      <c r="I1228">
        <v>3</v>
      </c>
      <c r="J1228" s="3">
        <v>36165.96</v>
      </c>
      <c r="K1228" s="3">
        <v>108497.88</v>
      </c>
      <c r="L1228" t="s">
        <v>34</v>
      </c>
      <c r="M1228" s="2">
        <v>45860</v>
      </c>
      <c r="N1228" s="2">
        <v>45859</v>
      </c>
      <c r="O1228" t="s">
        <v>43</v>
      </c>
      <c r="P1228" t="s">
        <v>53</v>
      </c>
      <c r="Q1228" t="s">
        <v>28</v>
      </c>
      <c r="R1228" t="s">
        <v>29</v>
      </c>
      <c r="S1228">
        <v>2025</v>
      </c>
      <c r="T1228" t="s">
        <v>2759</v>
      </c>
      <c r="U1228" t="s">
        <v>2760</v>
      </c>
      <c r="V1228" s="4">
        <v>0</v>
      </c>
      <c r="W1228" s="4">
        <v>1</v>
      </c>
    </row>
    <row r="1229" spans="1:23">
      <c r="A1229" t="s">
        <v>1360</v>
      </c>
      <c r="B1229" s="2">
        <v>46152</v>
      </c>
      <c r="C1229" t="s">
        <v>55</v>
      </c>
      <c r="D1229" t="s">
        <v>56</v>
      </c>
      <c r="E1229" t="s">
        <v>48</v>
      </c>
      <c r="F1229" t="s">
        <v>57</v>
      </c>
      <c r="G1229" t="s">
        <v>86</v>
      </c>
      <c r="H1229" t="s">
        <v>87</v>
      </c>
      <c r="I1229">
        <v>6</v>
      </c>
      <c r="J1229" s="3">
        <v>12057.05</v>
      </c>
      <c r="K1229" s="3">
        <v>72342.3</v>
      </c>
      <c r="L1229" t="s">
        <v>25</v>
      </c>
      <c r="M1229" s="2">
        <v>46170</v>
      </c>
      <c r="N1229" s="2">
        <v>46170</v>
      </c>
      <c r="O1229" t="s">
        <v>26</v>
      </c>
      <c r="P1229" t="s">
        <v>53</v>
      </c>
      <c r="Q1229" t="s">
        <v>28</v>
      </c>
      <c r="R1229" t="s">
        <v>29</v>
      </c>
      <c r="S1229">
        <v>2026</v>
      </c>
      <c r="T1229" t="s">
        <v>2766</v>
      </c>
      <c r="U1229" t="s">
        <v>2769</v>
      </c>
      <c r="V1229" s="4">
        <v>0</v>
      </c>
      <c r="W1229" s="4">
        <v>1</v>
      </c>
    </row>
    <row r="1230" spans="1:23">
      <c r="A1230" t="s">
        <v>1361</v>
      </c>
      <c r="B1230" s="2">
        <v>45661</v>
      </c>
      <c r="C1230" t="s">
        <v>104</v>
      </c>
      <c r="D1230" t="s">
        <v>105</v>
      </c>
      <c r="E1230" t="s">
        <v>48</v>
      </c>
      <c r="F1230" t="s">
        <v>49</v>
      </c>
      <c r="G1230" t="s">
        <v>68</v>
      </c>
      <c r="H1230" t="s">
        <v>69</v>
      </c>
      <c r="I1230">
        <v>1</v>
      </c>
      <c r="J1230" s="3">
        <v>46401.98</v>
      </c>
      <c r="K1230" s="3">
        <v>46401.98</v>
      </c>
      <c r="L1230" t="s">
        <v>52</v>
      </c>
      <c r="M1230" s="2">
        <v>45677</v>
      </c>
      <c r="N1230" s="2">
        <v>45685</v>
      </c>
      <c r="O1230" t="s">
        <v>60</v>
      </c>
      <c r="P1230" t="s">
        <v>53</v>
      </c>
      <c r="Q1230" t="s">
        <v>28</v>
      </c>
      <c r="R1230" t="s">
        <v>129</v>
      </c>
      <c r="S1230">
        <v>2025</v>
      </c>
      <c r="T1230" t="s">
        <v>2757</v>
      </c>
      <c r="U1230" t="s">
        <v>2768</v>
      </c>
      <c r="V1230" s="4">
        <v>8</v>
      </c>
      <c r="W1230" s="4">
        <v>0</v>
      </c>
    </row>
    <row r="1231" spans="1:23">
      <c r="A1231" t="s">
        <v>1362</v>
      </c>
      <c r="B1231" s="2">
        <v>45933</v>
      </c>
      <c r="C1231" t="s">
        <v>80</v>
      </c>
      <c r="D1231" t="s">
        <v>81</v>
      </c>
      <c r="E1231" t="s">
        <v>39</v>
      </c>
      <c r="F1231" t="s">
        <v>82</v>
      </c>
      <c r="G1231" t="s">
        <v>98</v>
      </c>
      <c r="H1231" t="s">
        <v>99</v>
      </c>
      <c r="I1231">
        <v>10</v>
      </c>
      <c r="J1231" s="3">
        <v>1078.21</v>
      </c>
      <c r="K1231" s="3">
        <v>10782.1</v>
      </c>
      <c r="L1231" t="s">
        <v>52</v>
      </c>
      <c r="M1231" s="2">
        <v>45949</v>
      </c>
      <c r="N1231" s="2">
        <v>45964</v>
      </c>
      <c r="O1231" t="s">
        <v>26</v>
      </c>
      <c r="P1231" t="s">
        <v>44</v>
      </c>
      <c r="Q1231" t="s">
        <v>28</v>
      </c>
      <c r="R1231" t="s">
        <v>129</v>
      </c>
      <c r="S1231">
        <v>2025</v>
      </c>
      <c r="T1231" t="s">
        <v>2749</v>
      </c>
      <c r="U1231" t="s">
        <v>2750</v>
      </c>
      <c r="V1231" s="4">
        <v>15</v>
      </c>
      <c r="W1231" s="4">
        <v>0</v>
      </c>
    </row>
    <row r="1232" spans="1:23">
      <c r="A1232" t="s">
        <v>1363</v>
      </c>
      <c r="B1232" s="2">
        <v>45989</v>
      </c>
      <c r="C1232" t="s">
        <v>19</v>
      </c>
      <c r="D1232" t="s">
        <v>20</v>
      </c>
      <c r="E1232" t="s">
        <v>31</v>
      </c>
      <c r="F1232" t="s">
        <v>22</v>
      </c>
      <c r="G1232" t="s">
        <v>160</v>
      </c>
      <c r="H1232" t="s">
        <v>161</v>
      </c>
      <c r="I1232">
        <v>9</v>
      </c>
      <c r="J1232" s="3">
        <v>2936.09</v>
      </c>
      <c r="K1232" s="3">
        <v>26424.81</v>
      </c>
      <c r="L1232" t="s">
        <v>34</v>
      </c>
      <c r="M1232" s="2">
        <v>46003</v>
      </c>
      <c r="N1232" s="2">
        <v>46017</v>
      </c>
      <c r="O1232" t="s">
        <v>26</v>
      </c>
      <c r="P1232" t="s">
        <v>35</v>
      </c>
      <c r="Q1232" t="s">
        <v>28</v>
      </c>
      <c r="R1232" t="s">
        <v>129</v>
      </c>
      <c r="S1232">
        <v>2025</v>
      </c>
      <c r="T1232" t="s">
        <v>2763</v>
      </c>
      <c r="U1232" t="s">
        <v>2764</v>
      </c>
      <c r="V1232" s="4">
        <v>14</v>
      </c>
      <c r="W1232" s="4">
        <v>0</v>
      </c>
    </row>
    <row r="1233" spans="1:23">
      <c r="A1233" t="s">
        <v>1364</v>
      </c>
      <c r="B1233" s="2">
        <v>46087</v>
      </c>
      <c r="C1233" t="s">
        <v>19</v>
      </c>
      <c r="D1233" t="s">
        <v>20</v>
      </c>
      <c r="E1233" t="s">
        <v>21</v>
      </c>
      <c r="F1233" t="s">
        <v>22</v>
      </c>
      <c r="G1233" t="s">
        <v>160</v>
      </c>
      <c r="H1233" t="s">
        <v>161</v>
      </c>
      <c r="I1233">
        <v>10</v>
      </c>
      <c r="J1233" s="3">
        <v>2961.94</v>
      </c>
      <c r="K1233" s="3">
        <v>29619.4</v>
      </c>
      <c r="L1233" t="s">
        <v>25</v>
      </c>
      <c r="M1233" s="2">
        <v>46098</v>
      </c>
      <c r="N1233" s="2">
        <v>46109</v>
      </c>
      <c r="O1233" t="s">
        <v>43</v>
      </c>
      <c r="P1233" t="s">
        <v>27</v>
      </c>
      <c r="Q1233" t="s">
        <v>28</v>
      </c>
      <c r="R1233" t="s">
        <v>129</v>
      </c>
      <c r="S1233">
        <v>2026</v>
      </c>
      <c r="T1233" t="s">
        <v>2747</v>
      </c>
      <c r="U1233" t="s">
        <v>2755</v>
      </c>
      <c r="V1233" s="4">
        <v>11</v>
      </c>
      <c r="W1233" s="4">
        <v>0</v>
      </c>
    </row>
    <row r="1234" spans="1:23">
      <c r="A1234" t="s">
        <v>1365</v>
      </c>
      <c r="B1234" s="2">
        <v>46101</v>
      </c>
      <c r="C1234" t="s">
        <v>142</v>
      </c>
      <c r="D1234" t="s">
        <v>143</v>
      </c>
      <c r="E1234" t="s">
        <v>31</v>
      </c>
      <c r="F1234" t="s">
        <v>22</v>
      </c>
      <c r="G1234" t="s">
        <v>32</v>
      </c>
      <c r="H1234" t="s">
        <v>33</v>
      </c>
      <c r="I1234">
        <v>11</v>
      </c>
      <c r="J1234" s="3">
        <v>7859.46</v>
      </c>
      <c r="K1234" s="3">
        <v>86454.06</v>
      </c>
      <c r="L1234" t="s">
        <v>25</v>
      </c>
      <c r="M1234" s="2">
        <v>46116</v>
      </c>
      <c r="N1234" s="2">
        <v>46116</v>
      </c>
      <c r="O1234" t="s">
        <v>76</v>
      </c>
      <c r="P1234" t="s">
        <v>35</v>
      </c>
      <c r="Q1234" t="s">
        <v>28</v>
      </c>
      <c r="R1234" t="s">
        <v>29</v>
      </c>
      <c r="S1234">
        <v>2026</v>
      </c>
      <c r="T1234" t="s">
        <v>2747</v>
      </c>
      <c r="U1234" t="s">
        <v>2755</v>
      </c>
      <c r="V1234" s="4">
        <v>0</v>
      </c>
      <c r="W1234" s="4">
        <v>1</v>
      </c>
    </row>
    <row r="1235" spans="1:23">
      <c r="A1235" t="s">
        <v>1366</v>
      </c>
      <c r="B1235" s="2">
        <v>45842</v>
      </c>
      <c r="C1235" t="s">
        <v>104</v>
      </c>
      <c r="D1235" t="s">
        <v>105</v>
      </c>
      <c r="E1235" t="s">
        <v>48</v>
      </c>
      <c r="F1235" t="s">
        <v>49</v>
      </c>
      <c r="G1235" t="s">
        <v>68</v>
      </c>
      <c r="H1235" t="s">
        <v>69</v>
      </c>
      <c r="I1235">
        <v>1</v>
      </c>
      <c r="J1235" s="3">
        <v>48649.11</v>
      </c>
      <c r="K1235" s="3">
        <v>48649.11</v>
      </c>
      <c r="L1235" t="s">
        <v>25</v>
      </c>
      <c r="M1235" s="2">
        <v>45847</v>
      </c>
      <c r="N1235" s="2">
        <v>45846</v>
      </c>
      <c r="O1235" t="s">
        <v>76</v>
      </c>
      <c r="P1235" t="s">
        <v>53</v>
      </c>
      <c r="Q1235" t="s">
        <v>28</v>
      </c>
      <c r="R1235" t="s">
        <v>29</v>
      </c>
      <c r="S1235">
        <v>2025</v>
      </c>
      <c r="T1235" t="s">
        <v>2759</v>
      </c>
      <c r="U1235" t="s">
        <v>2760</v>
      </c>
      <c r="V1235" s="4">
        <v>0</v>
      </c>
      <c r="W1235" s="4">
        <v>1</v>
      </c>
    </row>
    <row r="1236" spans="1:23">
      <c r="A1236" t="s">
        <v>1367</v>
      </c>
      <c r="B1236" s="2">
        <v>46192</v>
      </c>
      <c r="C1236" t="s">
        <v>117</v>
      </c>
      <c r="D1236" t="s">
        <v>118</v>
      </c>
      <c r="E1236" t="s">
        <v>48</v>
      </c>
      <c r="F1236" t="s">
        <v>57</v>
      </c>
      <c r="G1236" t="s">
        <v>74</v>
      </c>
      <c r="H1236" t="s">
        <v>75</v>
      </c>
      <c r="I1236">
        <v>9</v>
      </c>
      <c r="J1236" s="3">
        <v>9140.66</v>
      </c>
      <c r="K1236" s="3">
        <v>82265.94</v>
      </c>
      <c r="L1236" t="s">
        <v>25</v>
      </c>
      <c r="M1236" s="2">
        <v>46210</v>
      </c>
      <c r="N1236" s="2">
        <v>46221</v>
      </c>
      <c r="O1236" t="s">
        <v>43</v>
      </c>
      <c r="P1236" t="s">
        <v>53</v>
      </c>
      <c r="Q1236" t="s">
        <v>28</v>
      </c>
      <c r="R1236" t="s">
        <v>129</v>
      </c>
      <c r="S1236">
        <v>2026</v>
      </c>
      <c r="T1236" t="s">
        <v>2743</v>
      </c>
      <c r="U1236" t="s">
        <v>2744</v>
      </c>
      <c r="V1236" s="4">
        <v>11</v>
      </c>
      <c r="W1236" s="4">
        <v>0</v>
      </c>
    </row>
    <row r="1237" spans="1:23">
      <c r="A1237" t="s">
        <v>1368</v>
      </c>
      <c r="B1237" s="2">
        <v>46027</v>
      </c>
      <c r="C1237" t="s">
        <v>19</v>
      </c>
      <c r="D1237" t="s">
        <v>20</v>
      </c>
      <c r="E1237" t="s">
        <v>21</v>
      </c>
      <c r="F1237" t="s">
        <v>22</v>
      </c>
      <c r="G1237" t="s">
        <v>160</v>
      </c>
      <c r="H1237" t="s">
        <v>161</v>
      </c>
      <c r="I1237">
        <v>2</v>
      </c>
      <c r="J1237" s="3">
        <v>2888.99</v>
      </c>
      <c r="K1237" s="3">
        <v>5777.98</v>
      </c>
      <c r="L1237" t="s">
        <v>25</v>
      </c>
      <c r="M1237" s="2">
        <v>46042</v>
      </c>
      <c r="N1237" s="2">
        <v>46039</v>
      </c>
      <c r="O1237" t="s">
        <v>26</v>
      </c>
      <c r="P1237" t="s">
        <v>27</v>
      </c>
      <c r="Q1237" t="s">
        <v>28</v>
      </c>
      <c r="R1237" t="s">
        <v>29</v>
      </c>
      <c r="S1237">
        <v>2026</v>
      </c>
      <c r="T1237" t="s">
        <v>2757</v>
      </c>
      <c r="U1237" t="s">
        <v>2758</v>
      </c>
      <c r="V1237" s="4">
        <v>0</v>
      </c>
      <c r="W1237" s="4">
        <v>1</v>
      </c>
    </row>
    <row r="1238" spans="1:23">
      <c r="A1238" t="s">
        <v>1369</v>
      </c>
      <c r="B1238" s="2">
        <v>45756</v>
      </c>
      <c r="C1238" t="s">
        <v>117</v>
      </c>
      <c r="D1238" t="s">
        <v>118</v>
      </c>
      <c r="E1238" t="s">
        <v>48</v>
      </c>
      <c r="F1238" t="s">
        <v>57</v>
      </c>
      <c r="G1238" t="s">
        <v>58</v>
      </c>
      <c r="H1238" t="s">
        <v>59</v>
      </c>
      <c r="I1238">
        <v>7</v>
      </c>
      <c r="J1238" s="3">
        <v>58714.48</v>
      </c>
      <c r="K1238" s="3">
        <v>411001.36</v>
      </c>
      <c r="L1238" t="s">
        <v>25</v>
      </c>
      <c r="M1238" s="2">
        <v>45763</v>
      </c>
      <c r="N1238" s="2">
        <v>45762</v>
      </c>
      <c r="O1238" t="s">
        <v>60</v>
      </c>
      <c r="P1238" t="s">
        <v>53</v>
      </c>
      <c r="Q1238" t="s">
        <v>28</v>
      </c>
      <c r="R1238" t="s">
        <v>29</v>
      </c>
      <c r="S1238">
        <v>2025</v>
      </c>
      <c r="T1238" t="s">
        <v>2741</v>
      </c>
      <c r="U1238" t="s">
        <v>2742</v>
      </c>
      <c r="V1238" s="4">
        <v>0</v>
      </c>
      <c r="W1238" s="4">
        <v>1</v>
      </c>
    </row>
    <row r="1239" spans="1:23">
      <c r="A1239" t="s">
        <v>1370</v>
      </c>
      <c r="B1239" s="2">
        <v>46182</v>
      </c>
      <c r="C1239" t="s">
        <v>71</v>
      </c>
      <c r="D1239" t="s">
        <v>72</v>
      </c>
      <c r="E1239" t="s">
        <v>73</v>
      </c>
      <c r="F1239" t="s">
        <v>57</v>
      </c>
      <c r="G1239" t="s">
        <v>58</v>
      </c>
      <c r="H1239" t="s">
        <v>59</v>
      </c>
      <c r="I1239">
        <v>3</v>
      </c>
      <c r="J1239" s="3">
        <v>52861.279999999999</v>
      </c>
      <c r="K1239" s="3">
        <v>158583.84</v>
      </c>
      <c r="L1239" t="s">
        <v>34</v>
      </c>
      <c r="M1239" s="2">
        <v>46188</v>
      </c>
      <c r="N1239" s="2">
        <v>46186</v>
      </c>
      <c r="O1239" t="s">
        <v>76</v>
      </c>
      <c r="P1239" t="s">
        <v>77</v>
      </c>
      <c r="Q1239" t="s">
        <v>28</v>
      </c>
      <c r="R1239" t="s">
        <v>29</v>
      </c>
      <c r="S1239">
        <v>2026</v>
      </c>
      <c r="T1239" t="s">
        <v>2743</v>
      </c>
      <c r="U1239" t="s">
        <v>2744</v>
      </c>
      <c r="V1239" s="4">
        <v>0</v>
      </c>
      <c r="W1239" s="4">
        <v>1</v>
      </c>
    </row>
    <row r="1240" spans="1:23">
      <c r="A1240" t="s">
        <v>1371</v>
      </c>
      <c r="B1240" s="2">
        <v>45704</v>
      </c>
      <c r="C1240" t="s">
        <v>71</v>
      </c>
      <c r="D1240" t="s">
        <v>72</v>
      </c>
      <c r="E1240" t="s">
        <v>48</v>
      </c>
      <c r="F1240" t="s">
        <v>57</v>
      </c>
      <c r="G1240" t="s">
        <v>101</v>
      </c>
      <c r="H1240" t="s">
        <v>102</v>
      </c>
      <c r="I1240">
        <v>59</v>
      </c>
      <c r="J1240" s="3">
        <v>1637.6</v>
      </c>
      <c r="K1240" s="3">
        <v>96618.4</v>
      </c>
      <c r="L1240" t="s">
        <v>34</v>
      </c>
      <c r="M1240" s="2">
        <v>45722</v>
      </c>
      <c r="N1240" s="2">
        <v>45722</v>
      </c>
      <c r="O1240" t="s">
        <v>43</v>
      </c>
      <c r="P1240" t="s">
        <v>53</v>
      </c>
      <c r="Q1240" t="s">
        <v>28</v>
      </c>
      <c r="R1240" t="s">
        <v>29</v>
      </c>
      <c r="S1240">
        <v>2025</v>
      </c>
      <c r="T1240" t="s">
        <v>2751</v>
      </c>
      <c r="U1240" t="s">
        <v>2752</v>
      </c>
      <c r="V1240" s="4">
        <v>0</v>
      </c>
      <c r="W1240" s="4">
        <v>1</v>
      </c>
    </row>
    <row r="1241" spans="1:23">
      <c r="A1241" t="s">
        <v>1372</v>
      </c>
      <c r="B1241" s="2">
        <v>45722</v>
      </c>
      <c r="C1241" t="s">
        <v>96</v>
      </c>
      <c r="D1241" t="s">
        <v>97</v>
      </c>
      <c r="E1241" t="s">
        <v>39</v>
      </c>
      <c r="F1241" t="s">
        <v>82</v>
      </c>
      <c r="G1241" t="s">
        <v>98</v>
      </c>
      <c r="H1241" t="s">
        <v>99</v>
      </c>
      <c r="I1241">
        <v>34</v>
      </c>
      <c r="J1241" s="3">
        <v>1214.42</v>
      </c>
      <c r="K1241" s="3">
        <v>41290.28</v>
      </c>
      <c r="L1241" t="s">
        <v>25</v>
      </c>
      <c r="M1241" s="2">
        <v>45729</v>
      </c>
      <c r="N1241" s="2">
        <v>45728</v>
      </c>
      <c r="O1241" t="s">
        <v>60</v>
      </c>
      <c r="P1241" t="s">
        <v>64</v>
      </c>
      <c r="Q1241" t="s">
        <v>28</v>
      </c>
      <c r="R1241" t="s">
        <v>29</v>
      </c>
      <c r="S1241">
        <v>2025</v>
      </c>
      <c r="T1241" t="s">
        <v>2747</v>
      </c>
      <c r="U1241" t="s">
        <v>2748</v>
      </c>
      <c r="V1241" s="4">
        <v>0</v>
      </c>
      <c r="W1241" s="4">
        <v>1</v>
      </c>
    </row>
    <row r="1242" spans="1:23">
      <c r="A1242" t="s">
        <v>1373</v>
      </c>
      <c r="B1242" s="2">
        <v>46173</v>
      </c>
      <c r="C1242" t="s">
        <v>131</v>
      </c>
      <c r="D1242" t="s">
        <v>132</v>
      </c>
      <c r="E1242" t="s">
        <v>31</v>
      </c>
      <c r="F1242" t="s">
        <v>57</v>
      </c>
      <c r="G1242" t="s">
        <v>120</v>
      </c>
      <c r="H1242" t="s">
        <v>121</v>
      </c>
      <c r="I1242">
        <v>1</v>
      </c>
      <c r="J1242" s="3">
        <v>22610.34</v>
      </c>
      <c r="K1242" s="3">
        <v>22610.34</v>
      </c>
      <c r="L1242" t="s">
        <v>25</v>
      </c>
      <c r="M1242" s="2">
        <v>46179</v>
      </c>
      <c r="N1242" s="2">
        <v>46178</v>
      </c>
      <c r="O1242" t="s">
        <v>76</v>
      </c>
      <c r="P1242" t="s">
        <v>35</v>
      </c>
      <c r="Q1242" t="s">
        <v>28</v>
      </c>
      <c r="R1242" t="s">
        <v>29</v>
      </c>
      <c r="S1242">
        <v>2026</v>
      </c>
      <c r="T1242" t="s">
        <v>2766</v>
      </c>
      <c r="U1242" t="s">
        <v>2769</v>
      </c>
      <c r="V1242" s="4">
        <v>0</v>
      </c>
      <c r="W1242" s="4">
        <v>1</v>
      </c>
    </row>
    <row r="1243" spans="1:23">
      <c r="A1243" t="s">
        <v>1374</v>
      </c>
      <c r="B1243" s="2">
        <v>45904</v>
      </c>
      <c r="C1243" t="s">
        <v>37</v>
      </c>
      <c r="D1243" t="s">
        <v>38</v>
      </c>
      <c r="E1243" t="s">
        <v>112</v>
      </c>
      <c r="F1243" t="s">
        <v>22</v>
      </c>
      <c r="G1243" t="s">
        <v>160</v>
      </c>
      <c r="H1243" t="s">
        <v>161</v>
      </c>
      <c r="I1243">
        <v>15</v>
      </c>
      <c r="J1243" s="3">
        <v>3604.18</v>
      </c>
      <c r="K1243" s="3">
        <v>54062.7</v>
      </c>
      <c r="L1243" t="s">
        <v>25</v>
      </c>
      <c r="M1243" s="2">
        <v>45921</v>
      </c>
      <c r="N1243" s="2">
        <v>45921</v>
      </c>
      <c r="O1243" t="s">
        <v>43</v>
      </c>
      <c r="P1243" t="s">
        <v>115</v>
      </c>
      <c r="Q1243" t="s">
        <v>28</v>
      </c>
      <c r="R1243" t="s">
        <v>29</v>
      </c>
      <c r="S1243">
        <v>2025</v>
      </c>
      <c r="T1243" t="s">
        <v>2753</v>
      </c>
      <c r="U1243" t="s">
        <v>2754</v>
      </c>
      <c r="V1243" s="4">
        <v>0</v>
      </c>
      <c r="W1243" s="4">
        <v>1</v>
      </c>
    </row>
    <row r="1244" spans="1:23">
      <c r="A1244" t="s">
        <v>1375</v>
      </c>
      <c r="B1244" s="2">
        <v>45718</v>
      </c>
      <c r="C1244" t="s">
        <v>107</v>
      </c>
      <c r="D1244" t="s">
        <v>108</v>
      </c>
      <c r="E1244" t="s">
        <v>31</v>
      </c>
      <c r="F1244" t="s">
        <v>91</v>
      </c>
      <c r="G1244" t="s">
        <v>92</v>
      </c>
      <c r="H1244" t="s">
        <v>93</v>
      </c>
      <c r="I1244">
        <v>1</v>
      </c>
      <c r="J1244" s="3">
        <v>48035.61</v>
      </c>
      <c r="K1244" s="3">
        <v>48035.61</v>
      </c>
      <c r="L1244" t="s">
        <v>25</v>
      </c>
      <c r="M1244" s="2">
        <v>45736</v>
      </c>
      <c r="N1244" s="2">
        <v>45734</v>
      </c>
      <c r="O1244" t="s">
        <v>43</v>
      </c>
      <c r="P1244" t="s">
        <v>94</v>
      </c>
      <c r="Q1244" t="s">
        <v>28</v>
      </c>
      <c r="R1244" t="s">
        <v>29</v>
      </c>
      <c r="S1244">
        <v>2025</v>
      </c>
      <c r="T1244" t="s">
        <v>2747</v>
      </c>
      <c r="U1244" t="s">
        <v>2748</v>
      </c>
      <c r="V1244" s="4">
        <v>0</v>
      </c>
      <c r="W1244" s="4">
        <v>1</v>
      </c>
    </row>
    <row r="1245" spans="1:23">
      <c r="A1245" t="s">
        <v>1376</v>
      </c>
      <c r="B1245" s="2">
        <v>46029</v>
      </c>
      <c r="C1245" t="s">
        <v>66</v>
      </c>
      <c r="D1245" t="s">
        <v>67</v>
      </c>
      <c r="E1245" t="s">
        <v>48</v>
      </c>
      <c r="F1245" t="s">
        <v>49</v>
      </c>
      <c r="G1245" t="s">
        <v>113</v>
      </c>
      <c r="H1245" t="s">
        <v>114</v>
      </c>
      <c r="I1245">
        <v>1</v>
      </c>
      <c r="J1245" s="3">
        <v>35837.31</v>
      </c>
      <c r="K1245" s="3">
        <v>35837.31</v>
      </c>
      <c r="L1245" t="s">
        <v>34</v>
      </c>
      <c r="M1245" s="2">
        <v>46034</v>
      </c>
      <c r="N1245" s="2">
        <v>46031</v>
      </c>
      <c r="O1245" t="s">
        <v>43</v>
      </c>
      <c r="P1245" t="s">
        <v>53</v>
      </c>
      <c r="Q1245" t="s">
        <v>28</v>
      </c>
      <c r="R1245" t="s">
        <v>29</v>
      </c>
      <c r="S1245">
        <v>2026</v>
      </c>
      <c r="T1245" t="s">
        <v>2757</v>
      </c>
      <c r="U1245" t="s">
        <v>2758</v>
      </c>
      <c r="V1245" s="4">
        <v>0</v>
      </c>
      <c r="W1245" s="4">
        <v>1</v>
      </c>
    </row>
    <row r="1246" spans="1:23">
      <c r="A1246" t="s">
        <v>1377</v>
      </c>
      <c r="B1246" s="2">
        <v>46153</v>
      </c>
      <c r="C1246" t="s">
        <v>71</v>
      </c>
      <c r="D1246" t="s">
        <v>72</v>
      </c>
      <c r="E1246" t="s">
        <v>48</v>
      </c>
      <c r="F1246" t="s">
        <v>57</v>
      </c>
      <c r="G1246" t="s">
        <v>127</v>
      </c>
      <c r="H1246" t="s">
        <v>128</v>
      </c>
      <c r="I1246">
        <v>6</v>
      </c>
      <c r="J1246" s="3">
        <v>15106.12</v>
      </c>
      <c r="K1246" s="3">
        <v>90636.72</v>
      </c>
      <c r="L1246" t="s">
        <v>34</v>
      </c>
      <c r="M1246" s="2">
        <v>46169</v>
      </c>
      <c r="N1246" s="2">
        <v>46168</v>
      </c>
      <c r="O1246" t="s">
        <v>60</v>
      </c>
      <c r="P1246" t="s">
        <v>53</v>
      </c>
      <c r="Q1246" t="s">
        <v>28</v>
      </c>
      <c r="R1246" t="s">
        <v>29</v>
      </c>
      <c r="S1246">
        <v>2026</v>
      </c>
      <c r="T1246" t="s">
        <v>2766</v>
      </c>
      <c r="U1246" t="s">
        <v>2769</v>
      </c>
      <c r="V1246" s="4">
        <v>0</v>
      </c>
      <c r="W1246" s="4">
        <v>1</v>
      </c>
    </row>
    <row r="1247" spans="1:23">
      <c r="A1247" t="s">
        <v>1378</v>
      </c>
      <c r="B1247" s="2">
        <v>46080</v>
      </c>
      <c r="C1247" t="s">
        <v>71</v>
      </c>
      <c r="D1247" t="s">
        <v>72</v>
      </c>
      <c r="E1247" t="s">
        <v>31</v>
      </c>
      <c r="F1247" t="s">
        <v>57</v>
      </c>
      <c r="G1247" t="s">
        <v>74</v>
      </c>
      <c r="H1247" t="s">
        <v>75</v>
      </c>
      <c r="I1247">
        <v>12</v>
      </c>
      <c r="J1247" s="3">
        <v>8076.39</v>
      </c>
      <c r="K1247" s="3">
        <v>96916.68</v>
      </c>
      <c r="L1247" t="s">
        <v>52</v>
      </c>
      <c r="M1247" s="2">
        <v>46086</v>
      </c>
      <c r="N1247" s="2">
        <v>46085</v>
      </c>
      <c r="O1247" t="s">
        <v>26</v>
      </c>
      <c r="P1247" t="s">
        <v>35</v>
      </c>
      <c r="Q1247" t="s">
        <v>28</v>
      </c>
      <c r="R1247" t="s">
        <v>29</v>
      </c>
      <c r="S1247">
        <v>2026</v>
      </c>
      <c r="T1247" t="s">
        <v>2751</v>
      </c>
      <c r="U1247" t="s">
        <v>2765</v>
      </c>
      <c r="V1247" s="4">
        <v>0</v>
      </c>
      <c r="W1247" s="4">
        <v>1</v>
      </c>
    </row>
    <row r="1248" spans="1:23">
      <c r="A1248" t="s">
        <v>1379</v>
      </c>
      <c r="B1248" s="2">
        <v>45742</v>
      </c>
      <c r="C1248" t="s">
        <v>55</v>
      </c>
      <c r="D1248" t="s">
        <v>56</v>
      </c>
      <c r="E1248" t="s">
        <v>48</v>
      </c>
      <c r="F1248" t="s">
        <v>57</v>
      </c>
      <c r="G1248" t="s">
        <v>101</v>
      </c>
      <c r="H1248" t="s">
        <v>102</v>
      </c>
      <c r="I1248">
        <v>27</v>
      </c>
      <c r="J1248" s="3">
        <v>1926.24</v>
      </c>
      <c r="K1248" s="3">
        <v>52008.480000000003</v>
      </c>
      <c r="L1248" t="s">
        <v>25</v>
      </c>
      <c r="M1248" s="2">
        <v>45759</v>
      </c>
      <c r="N1248" s="2">
        <v>45756</v>
      </c>
      <c r="O1248" t="s">
        <v>26</v>
      </c>
      <c r="P1248" t="s">
        <v>53</v>
      </c>
      <c r="Q1248" t="s">
        <v>28</v>
      </c>
      <c r="R1248" t="s">
        <v>29</v>
      </c>
      <c r="S1248">
        <v>2025</v>
      </c>
      <c r="T1248" t="s">
        <v>2747</v>
      </c>
      <c r="U1248" t="s">
        <v>2748</v>
      </c>
      <c r="V1248" s="4">
        <v>0</v>
      </c>
      <c r="W1248" s="4">
        <v>1</v>
      </c>
    </row>
    <row r="1249" spans="1:23">
      <c r="A1249" t="s">
        <v>1380</v>
      </c>
      <c r="B1249" s="2">
        <v>46026</v>
      </c>
      <c r="C1249" t="s">
        <v>107</v>
      </c>
      <c r="D1249" t="s">
        <v>108</v>
      </c>
      <c r="E1249" t="s">
        <v>31</v>
      </c>
      <c r="F1249" t="s">
        <v>91</v>
      </c>
      <c r="G1249" t="s">
        <v>109</v>
      </c>
      <c r="H1249" t="s">
        <v>110</v>
      </c>
      <c r="I1249">
        <v>3</v>
      </c>
      <c r="J1249" s="3">
        <v>13387.34</v>
      </c>
      <c r="K1249" s="3">
        <v>40162.019999999997</v>
      </c>
      <c r="L1249" t="s">
        <v>52</v>
      </c>
      <c r="M1249" s="2">
        <v>46031</v>
      </c>
      <c r="N1249" s="2">
        <v>46029</v>
      </c>
      <c r="O1249" t="s">
        <v>60</v>
      </c>
      <c r="P1249" t="s">
        <v>94</v>
      </c>
      <c r="Q1249" t="s">
        <v>28</v>
      </c>
      <c r="R1249" t="s">
        <v>29</v>
      </c>
      <c r="S1249">
        <v>2026</v>
      </c>
      <c r="T1249" t="s">
        <v>2757</v>
      </c>
      <c r="U1249" t="s">
        <v>2758</v>
      </c>
      <c r="V1249" s="4">
        <v>0</v>
      </c>
      <c r="W1249" s="4">
        <v>1</v>
      </c>
    </row>
    <row r="1250" spans="1:23">
      <c r="A1250" t="s">
        <v>1381</v>
      </c>
      <c r="B1250" s="2">
        <v>46097</v>
      </c>
      <c r="C1250" t="s">
        <v>107</v>
      </c>
      <c r="D1250" t="s">
        <v>108</v>
      </c>
      <c r="E1250" t="s">
        <v>31</v>
      </c>
      <c r="F1250" t="s">
        <v>91</v>
      </c>
      <c r="G1250" t="s">
        <v>109</v>
      </c>
      <c r="H1250" t="s">
        <v>110</v>
      </c>
      <c r="I1250">
        <v>3</v>
      </c>
      <c r="J1250" s="3">
        <v>14352.05</v>
      </c>
      <c r="K1250" s="3">
        <v>43056.15</v>
      </c>
      <c r="L1250" t="s">
        <v>25</v>
      </c>
      <c r="M1250" s="2">
        <v>46105</v>
      </c>
      <c r="N1250" s="2">
        <v>46104</v>
      </c>
      <c r="O1250" t="s">
        <v>26</v>
      </c>
      <c r="P1250" t="s">
        <v>35</v>
      </c>
      <c r="Q1250" t="s">
        <v>28</v>
      </c>
      <c r="R1250" t="s">
        <v>29</v>
      </c>
      <c r="S1250">
        <v>2026</v>
      </c>
      <c r="T1250" t="s">
        <v>2747</v>
      </c>
      <c r="U1250" t="s">
        <v>2755</v>
      </c>
      <c r="V1250" s="4">
        <v>0</v>
      </c>
      <c r="W1250" s="4">
        <v>1</v>
      </c>
    </row>
    <row r="1251" spans="1:23">
      <c r="A1251" t="s">
        <v>1382</v>
      </c>
      <c r="B1251" s="2">
        <v>45963</v>
      </c>
      <c r="C1251" t="s">
        <v>142</v>
      </c>
      <c r="D1251" t="s">
        <v>143</v>
      </c>
      <c r="E1251" t="s">
        <v>39</v>
      </c>
      <c r="F1251" t="s">
        <v>22</v>
      </c>
      <c r="G1251" t="s">
        <v>160</v>
      </c>
      <c r="H1251" t="s">
        <v>161</v>
      </c>
      <c r="I1251">
        <v>8</v>
      </c>
      <c r="J1251" s="3">
        <v>3150.3</v>
      </c>
      <c r="K1251" s="3">
        <v>25202.400000000001</v>
      </c>
      <c r="L1251" t="s">
        <v>25</v>
      </c>
      <c r="M1251" s="2">
        <v>45972</v>
      </c>
      <c r="N1251" s="2">
        <v>45969</v>
      </c>
      <c r="O1251" t="s">
        <v>76</v>
      </c>
      <c r="P1251" t="s">
        <v>44</v>
      </c>
      <c r="Q1251" t="s">
        <v>28</v>
      </c>
      <c r="R1251" t="s">
        <v>29</v>
      </c>
      <c r="S1251">
        <v>2025</v>
      </c>
      <c r="T1251" t="s">
        <v>2763</v>
      </c>
      <c r="U1251" t="s">
        <v>2764</v>
      </c>
      <c r="V1251" s="4">
        <v>0</v>
      </c>
      <c r="W1251" s="4">
        <v>1</v>
      </c>
    </row>
    <row r="1252" spans="1:23">
      <c r="A1252" t="s">
        <v>1383</v>
      </c>
      <c r="B1252" s="2">
        <v>45739</v>
      </c>
      <c r="C1252" t="s">
        <v>142</v>
      </c>
      <c r="D1252" t="s">
        <v>143</v>
      </c>
      <c r="E1252" t="s">
        <v>73</v>
      </c>
      <c r="F1252" t="s">
        <v>22</v>
      </c>
      <c r="G1252" t="s">
        <v>32</v>
      </c>
      <c r="H1252" t="s">
        <v>33</v>
      </c>
      <c r="I1252">
        <v>10</v>
      </c>
      <c r="J1252" s="3">
        <v>8066.91</v>
      </c>
      <c r="K1252" s="3">
        <v>80669.100000000006</v>
      </c>
      <c r="L1252" t="s">
        <v>52</v>
      </c>
      <c r="M1252" s="2">
        <v>45744</v>
      </c>
      <c r="N1252" s="2">
        <v>45742</v>
      </c>
      <c r="O1252" t="s">
        <v>76</v>
      </c>
      <c r="P1252" t="s">
        <v>77</v>
      </c>
      <c r="Q1252" t="s">
        <v>28</v>
      </c>
      <c r="R1252" t="s">
        <v>29</v>
      </c>
      <c r="S1252">
        <v>2025</v>
      </c>
      <c r="T1252" t="s">
        <v>2747</v>
      </c>
      <c r="U1252" t="s">
        <v>2748</v>
      </c>
      <c r="V1252" s="4">
        <v>0</v>
      </c>
      <c r="W1252" s="4">
        <v>1</v>
      </c>
    </row>
    <row r="1253" spans="1:23">
      <c r="A1253" t="s">
        <v>1384</v>
      </c>
      <c r="B1253" s="2">
        <v>45701</v>
      </c>
      <c r="C1253" t="s">
        <v>131</v>
      </c>
      <c r="D1253" t="s">
        <v>132</v>
      </c>
      <c r="E1253" t="s">
        <v>48</v>
      </c>
      <c r="F1253" t="s">
        <v>57</v>
      </c>
      <c r="G1253" t="s">
        <v>120</v>
      </c>
      <c r="H1253" t="s">
        <v>121</v>
      </c>
      <c r="I1253">
        <v>4</v>
      </c>
      <c r="J1253" s="3">
        <v>22242.1</v>
      </c>
      <c r="K1253" s="3">
        <v>88968.4</v>
      </c>
      <c r="L1253" t="s">
        <v>25</v>
      </c>
      <c r="M1253" s="2">
        <v>45707</v>
      </c>
      <c r="N1253" s="2">
        <v>45707</v>
      </c>
      <c r="O1253" t="s">
        <v>60</v>
      </c>
      <c r="P1253" t="s">
        <v>53</v>
      </c>
      <c r="Q1253" t="s">
        <v>28</v>
      </c>
      <c r="R1253" t="s">
        <v>29</v>
      </c>
      <c r="S1253">
        <v>2025</v>
      </c>
      <c r="T1253" t="s">
        <v>2751</v>
      </c>
      <c r="U1253" t="s">
        <v>2752</v>
      </c>
      <c r="V1253" s="4">
        <v>0</v>
      </c>
      <c r="W1253" s="4">
        <v>1</v>
      </c>
    </row>
    <row r="1254" spans="1:23">
      <c r="A1254" t="s">
        <v>1385</v>
      </c>
      <c r="B1254" s="2">
        <v>45677</v>
      </c>
      <c r="C1254" t="s">
        <v>104</v>
      </c>
      <c r="D1254" t="s">
        <v>105</v>
      </c>
      <c r="E1254" t="s">
        <v>48</v>
      </c>
      <c r="F1254" t="s">
        <v>49</v>
      </c>
      <c r="G1254" t="s">
        <v>68</v>
      </c>
      <c r="H1254" t="s">
        <v>69</v>
      </c>
      <c r="I1254">
        <v>1</v>
      </c>
      <c r="J1254" s="3">
        <v>49115.65</v>
      </c>
      <c r="K1254" s="3">
        <v>49115.65</v>
      </c>
      <c r="L1254" t="s">
        <v>34</v>
      </c>
      <c r="M1254" s="2">
        <v>45692</v>
      </c>
      <c r="N1254" s="2">
        <v>45705</v>
      </c>
      <c r="O1254" t="s">
        <v>26</v>
      </c>
      <c r="P1254" t="s">
        <v>53</v>
      </c>
      <c r="Q1254" t="s">
        <v>28</v>
      </c>
      <c r="R1254" t="s">
        <v>129</v>
      </c>
      <c r="S1254">
        <v>2025</v>
      </c>
      <c r="T1254" t="s">
        <v>2757</v>
      </c>
      <c r="U1254" t="s">
        <v>2768</v>
      </c>
      <c r="V1254" s="4">
        <v>13</v>
      </c>
      <c r="W1254" s="4">
        <v>0</v>
      </c>
    </row>
    <row r="1255" spans="1:23">
      <c r="A1255" t="s">
        <v>1386</v>
      </c>
      <c r="B1255" s="2">
        <v>45932</v>
      </c>
      <c r="C1255" t="s">
        <v>37</v>
      </c>
      <c r="D1255" t="s">
        <v>38</v>
      </c>
      <c r="E1255" t="s">
        <v>39</v>
      </c>
      <c r="F1255" t="s">
        <v>22</v>
      </c>
      <c r="G1255" t="s">
        <v>23</v>
      </c>
      <c r="H1255" t="s">
        <v>24</v>
      </c>
      <c r="I1255">
        <v>16</v>
      </c>
      <c r="J1255" s="3">
        <v>267.39999999999998</v>
      </c>
      <c r="K1255" s="3">
        <v>4278.3999999999996</v>
      </c>
      <c r="L1255" t="s">
        <v>52</v>
      </c>
      <c r="M1255" s="2">
        <v>45944</v>
      </c>
      <c r="N1255" s="2">
        <v>45942</v>
      </c>
      <c r="O1255" t="s">
        <v>43</v>
      </c>
      <c r="P1255" t="s">
        <v>64</v>
      </c>
      <c r="Q1255" t="s">
        <v>28</v>
      </c>
      <c r="R1255" t="s">
        <v>29</v>
      </c>
      <c r="S1255">
        <v>2025</v>
      </c>
      <c r="T1255" t="s">
        <v>2749</v>
      </c>
      <c r="U1255" t="s">
        <v>2750</v>
      </c>
      <c r="V1255" s="4">
        <v>0</v>
      </c>
      <c r="W1255" s="4">
        <v>1</v>
      </c>
    </row>
    <row r="1256" spans="1:23">
      <c r="A1256" t="s">
        <v>1388</v>
      </c>
      <c r="B1256" s="2">
        <v>45709</v>
      </c>
      <c r="C1256" t="s">
        <v>37</v>
      </c>
      <c r="D1256" t="s">
        <v>38</v>
      </c>
      <c r="E1256" t="s">
        <v>39</v>
      </c>
      <c r="F1256" t="s">
        <v>22</v>
      </c>
      <c r="G1256" t="s">
        <v>32</v>
      </c>
      <c r="H1256" t="s">
        <v>33</v>
      </c>
      <c r="I1256">
        <v>6</v>
      </c>
      <c r="J1256" s="3">
        <v>8693.07</v>
      </c>
      <c r="K1256" s="3">
        <v>52158.42</v>
      </c>
      <c r="L1256" t="s">
        <v>25</v>
      </c>
      <c r="M1256" s="2">
        <v>45726</v>
      </c>
      <c r="N1256" s="2">
        <v>45724</v>
      </c>
      <c r="O1256" t="s">
        <v>76</v>
      </c>
      <c r="P1256" t="s">
        <v>64</v>
      </c>
      <c r="Q1256" t="s">
        <v>28</v>
      </c>
      <c r="R1256" t="s">
        <v>29</v>
      </c>
      <c r="S1256">
        <v>2025</v>
      </c>
      <c r="T1256" t="s">
        <v>2751</v>
      </c>
      <c r="U1256" t="s">
        <v>2752</v>
      </c>
      <c r="V1256" s="4">
        <v>0</v>
      </c>
      <c r="W1256" s="4">
        <v>1</v>
      </c>
    </row>
    <row r="1257" spans="1:23">
      <c r="A1257" t="s">
        <v>1389</v>
      </c>
      <c r="B1257" s="2">
        <v>46106</v>
      </c>
      <c r="C1257" t="s">
        <v>147</v>
      </c>
      <c r="D1257" t="s">
        <v>148</v>
      </c>
      <c r="E1257" t="s">
        <v>112</v>
      </c>
      <c r="F1257" t="s">
        <v>40</v>
      </c>
      <c r="G1257" t="s">
        <v>41</v>
      </c>
      <c r="H1257" t="s">
        <v>42</v>
      </c>
      <c r="I1257">
        <v>14</v>
      </c>
      <c r="J1257" s="3">
        <v>5305.18</v>
      </c>
      <c r="K1257" s="3">
        <v>74272.52</v>
      </c>
      <c r="L1257" t="s">
        <v>52</v>
      </c>
      <c r="M1257" s="2">
        <v>46113</v>
      </c>
      <c r="N1257" s="2">
        <v>46113</v>
      </c>
      <c r="O1257" t="s">
        <v>76</v>
      </c>
      <c r="P1257" t="s">
        <v>115</v>
      </c>
      <c r="Q1257" t="s">
        <v>28</v>
      </c>
      <c r="R1257" t="s">
        <v>29</v>
      </c>
      <c r="S1257">
        <v>2026</v>
      </c>
      <c r="T1257" t="s">
        <v>2747</v>
      </c>
      <c r="U1257" t="s">
        <v>2755</v>
      </c>
      <c r="V1257" s="4">
        <v>0</v>
      </c>
      <c r="W1257" s="4">
        <v>1</v>
      </c>
    </row>
    <row r="1258" spans="1:23">
      <c r="A1258" t="s">
        <v>1390</v>
      </c>
      <c r="B1258" s="2">
        <v>45725</v>
      </c>
      <c r="C1258" t="s">
        <v>147</v>
      </c>
      <c r="D1258" t="s">
        <v>148</v>
      </c>
      <c r="E1258" t="s">
        <v>112</v>
      </c>
      <c r="F1258" t="s">
        <v>40</v>
      </c>
      <c r="G1258" t="s">
        <v>149</v>
      </c>
      <c r="H1258" t="s">
        <v>150</v>
      </c>
      <c r="I1258">
        <v>5</v>
      </c>
      <c r="J1258" s="3">
        <v>1334.31</v>
      </c>
      <c r="K1258" s="3">
        <v>6671.55</v>
      </c>
      <c r="L1258" t="s">
        <v>25</v>
      </c>
      <c r="M1258" s="2">
        <v>45733</v>
      </c>
      <c r="N1258" s="2">
        <v>45733</v>
      </c>
      <c r="O1258" t="s">
        <v>76</v>
      </c>
      <c r="P1258" t="s">
        <v>115</v>
      </c>
      <c r="Q1258" t="s">
        <v>28</v>
      </c>
      <c r="R1258" t="s">
        <v>29</v>
      </c>
      <c r="S1258">
        <v>2025</v>
      </c>
      <c r="T1258" t="s">
        <v>2747</v>
      </c>
      <c r="U1258" t="s">
        <v>2748</v>
      </c>
      <c r="V1258" s="4">
        <v>0</v>
      </c>
      <c r="W1258" s="4">
        <v>1</v>
      </c>
    </row>
    <row r="1259" spans="1:23">
      <c r="A1259" t="s">
        <v>1391</v>
      </c>
      <c r="B1259" s="2">
        <v>46096</v>
      </c>
      <c r="C1259" t="s">
        <v>117</v>
      </c>
      <c r="D1259" t="s">
        <v>118</v>
      </c>
      <c r="E1259" t="s">
        <v>31</v>
      </c>
      <c r="F1259" t="s">
        <v>57</v>
      </c>
      <c r="G1259" t="s">
        <v>101</v>
      </c>
      <c r="H1259" t="s">
        <v>102</v>
      </c>
      <c r="I1259">
        <v>44</v>
      </c>
      <c r="J1259" s="3">
        <v>1789.41</v>
      </c>
      <c r="K1259" s="3">
        <v>78734.039999999994</v>
      </c>
      <c r="L1259" t="s">
        <v>52</v>
      </c>
      <c r="M1259" s="2">
        <v>46102</v>
      </c>
      <c r="N1259" s="2">
        <v>46100</v>
      </c>
      <c r="O1259" t="s">
        <v>26</v>
      </c>
      <c r="P1259" t="s">
        <v>35</v>
      </c>
      <c r="Q1259" t="s">
        <v>28</v>
      </c>
      <c r="R1259" t="s">
        <v>29</v>
      </c>
      <c r="S1259">
        <v>2026</v>
      </c>
      <c r="T1259" t="s">
        <v>2747</v>
      </c>
      <c r="U1259" t="s">
        <v>2755</v>
      </c>
      <c r="V1259" s="4">
        <v>0</v>
      </c>
      <c r="W1259" s="4">
        <v>1</v>
      </c>
    </row>
    <row r="1260" spans="1:23">
      <c r="A1260" t="s">
        <v>1392</v>
      </c>
      <c r="B1260" s="2">
        <v>46006</v>
      </c>
      <c r="C1260" t="s">
        <v>142</v>
      </c>
      <c r="D1260" t="s">
        <v>143</v>
      </c>
      <c r="E1260" t="s">
        <v>73</v>
      </c>
      <c r="F1260" t="s">
        <v>22</v>
      </c>
      <c r="G1260" t="s">
        <v>23</v>
      </c>
      <c r="H1260" t="s">
        <v>24</v>
      </c>
      <c r="I1260">
        <v>41</v>
      </c>
      <c r="J1260" s="3">
        <v>256.45</v>
      </c>
      <c r="K1260" s="3">
        <v>10514.45</v>
      </c>
      <c r="L1260" t="s">
        <v>25</v>
      </c>
      <c r="M1260" s="2">
        <v>46020</v>
      </c>
      <c r="N1260" s="2">
        <v>46022</v>
      </c>
      <c r="O1260" t="s">
        <v>60</v>
      </c>
      <c r="P1260" t="s">
        <v>77</v>
      </c>
      <c r="Q1260" t="s">
        <v>28</v>
      </c>
      <c r="R1260" t="s">
        <v>129</v>
      </c>
      <c r="S1260">
        <v>2025</v>
      </c>
      <c r="T1260" t="s">
        <v>2745</v>
      </c>
      <c r="U1260" t="s">
        <v>2746</v>
      </c>
      <c r="V1260" s="4">
        <v>2</v>
      </c>
      <c r="W1260" s="4">
        <v>0</v>
      </c>
    </row>
    <row r="1261" spans="1:23">
      <c r="A1261" t="s">
        <v>1393</v>
      </c>
      <c r="B1261" s="2">
        <v>45733</v>
      </c>
      <c r="C1261" t="s">
        <v>104</v>
      </c>
      <c r="D1261" t="s">
        <v>105</v>
      </c>
      <c r="E1261" t="s">
        <v>48</v>
      </c>
      <c r="F1261" t="s">
        <v>49</v>
      </c>
      <c r="G1261" t="s">
        <v>165</v>
      </c>
      <c r="H1261" t="s">
        <v>166</v>
      </c>
      <c r="I1261">
        <v>1</v>
      </c>
      <c r="J1261" s="3">
        <v>46016.58</v>
      </c>
      <c r="K1261" s="3">
        <v>46016.58</v>
      </c>
      <c r="L1261" t="s">
        <v>34</v>
      </c>
      <c r="M1261" s="2">
        <v>45745</v>
      </c>
      <c r="N1261" s="2">
        <v>45744</v>
      </c>
      <c r="O1261" t="s">
        <v>26</v>
      </c>
      <c r="P1261" t="s">
        <v>53</v>
      </c>
      <c r="Q1261" t="s">
        <v>28</v>
      </c>
      <c r="R1261" t="s">
        <v>29</v>
      </c>
      <c r="S1261">
        <v>2025</v>
      </c>
      <c r="T1261" t="s">
        <v>2747</v>
      </c>
      <c r="U1261" t="s">
        <v>2748</v>
      </c>
      <c r="V1261" s="4">
        <v>0</v>
      </c>
      <c r="W1261" s="4">
        <v>1</v>
      </c>
    </row>
    <row r="1262" spans="1:23">
      <c r="A1262" t="s">
        <v>1394</v>
      </c>
      <c r="B1262" s="2">
        <v>45953</v>
      </c>
      <c r="C1262" t="s">
        <v>104</v>
      </c>
      <c r="D1262" t="s">
        <v>105</v>
      </c>
      <c r="E1262" t="s">
        <v>48</v>
      </c>
      <c r="F1262" t="s">
        <v>49</v>
      </c>
      <c r="G1262" t="s">
        <v>50</v>
      </c>
      <c r="H1262" t="s">
        <v>51</v>
      </c>
      <c r="I1262">
        <v>2</v>
      </c>
      <c r="J1262" s="3">
        <v>51757.51</v>
      </c>
      <c r="K1262" s="3">
        <v>103515.02</v>
      </c>
      <c r="L1262" t="s">
        <v>25</v>
      </c>
      <c r="M1262" s="2">
        <v>45964</v>
      </c>
      <c r="N1262" s="2">
        <v>45963</v>
      </c>
      <c r="O1262" t="s">
        <v>43</v>
      </c>
      <c r="P1262" t="s">
        <v>53</v>
      </c>
      <c r="Q1262" t="s">
        <v>28</v>
      </c>
      <c r="R1262" t="s">
        <v>29</v>
      </c>
      <c r="S1262">
        <v>2025</v>
      </c>
      <c r="T1262" t="s">
        <v>2749</v>
      </c>
      <c r="U1262" t="s">
        <v>2750</v>
      </c>
      <c r="V1262" s="4">
        <v>0</v>
      </c>
      <c r="W1262" s="4">
        <v>1</v>
      </c>
    </row>
    <row r="1263" spans="1:23">
      <c r="A1263" t="s">
        <v>1395</v>
      </c>
      <c r="B1263" s="2">
        <v>45822</v>
      </c>
      <c r="C1263" t="s">
        <v>117</v>
      </c>
      <c r="D1263" t="s">
        <v>118</v>
      </c>
      <c r="E1263" t="s">
        <v>48</v>
      </c>
      <c r="F1263" t="s">
        <v>57</v>
      </c>
      <c r="G1263" t="s">
        <v>74</v>
      </c>
      <c r="H1263" t="s">
        <v>75</v>
      </c>
      <c r="I1263">
        <v>5</v>
      </c>
      <c r="J1263" s="3">
        <v>8671.01</v>
      </c>
      <c r="K1263" s="3">
        <v>43355.05</v>
      </c>
      <c r="L1263" t="s">
        <v>25</v>
      </c>
      <c r="M1263" s="2">
        <v>45829</v>
      </c>
      <c r="N1263" s="2">
        <v>45828</v>
      </c>
      <c r="O1263" t="s">
        <v>60</v>
      </c>
      <c r="P1263" t="s">
        <v>53</v>
      </c>
      <c r="Q1263" t="s">
        <v>28</v>
      </c>
      <c r="R1263" t="s">
        <v>29</v>
      </c>
      <c r="S1263">
        <v>2025</v>
      </c>
      <c r="T1263" t="s">
        <v>2743</v>
      </c>
      <c r="U1263" t="s">
        <v>2756</v>
      </c>
      <c r="V1263" s="4">
        <v>0</v>
      </c>
      <c r="W1263" s="4">
        <v>1</v>
      </c>
    </row>
    <row r="1264" spans="1:23">
      <c r="A1264" t="s">
        <v>1396</v>
      </c>
      <c r="B1264" s="2">
        <v>45846</v>
      </c>
      <c r="C1264" t="s">
        <v>19</v>
      </c>
      <c r="D1264" t="s">
        <v>20</v>
      </c>
      <c r="E1264" t="s">
        <v>31</v>
      </c>
      <c r="F1264" t="s">
        <v>22</v>
      </c>
      <c r="G1264" t="s">
        <v>32</v>
      </c>
      <c r="H1264" t="s">
        <v>33</v>
      </c>
      <c r="I1264">
        <v>13</v>
      </c>
      <c r="J1264" s="3">
        <v>7061.41</v>
      </c>
      <c r="K1264" s="3">
        <v>91798.33</v>
      </c>
      <c r="L1264" t="s">
        <v>25</v>
      </c>
      <c r="M1264" s="2">
        <v>45854</v>
      </c>
      <c r="N1264" s="2">
        <v>45854</v>
      </c>
      <c r="O1264" t="s">
        <v>43</v>
      </c>
      <c r="P1264" t="s">
        <v>94</v>
      </c>
      <c r="Q1264" t="s">
        <v>28</v>
      </c>
      <c r="R1264" t="s">
        <v>29</v>
      </c>
      <c r="S1264">
        <v>2025</v>
      </c>
      <c r="T1264" t="s">
        <v>2759</v>
      </c>
      <c r="U1264" t="s">
        <v>2760</v>
      </c>
      <c r="V1264" s="4">
        <v>0</v>
      </c>
      <c r="W1264" s="4">
        <v>1</v>
      </c>
    </row>
    <row r="1265" spans="1:23">
      <c r="A1265" t="s">
        <v>1397</v>
      </c>
      <c r="B1265" s="2">
        <v>45705</v>
      </c>
      <c r="C1265" t="s">
        <v>80</v>
      </c>
      <c r="D1265" t="s">
        <v>81</v>
      </c>
      <c r="E1265" t="s">
        <v>39</v>
      </c>
      <c r="F1265" t="s">
        <v>82</v>
      </c>
      <c r="G1265" t="s">
        <v>197</v>
      </c>
      <c r="H1265" t="s">
        <v>198</v>
      </c>
      <c r="I1265">
        <v>20</v>
      </c>
      <c r="J1265" s="3">
        <v>2006.85</v>
      </c>
      <c r="K1265" s="3">
        <v>40137</v>
      </c>
      <c r="L1265" t="s">
        <v>25</v>
      </c>
      <c r="M1265" s="2">
        <v>45710</v>
      </c>
      <c r="N1265" s="2">
        <v>45710</v>
      </c>
      <c r="O1265" t="s">
        <v>60</v>
      </c>
      <c r="P1265" t="s">
        <v>44</v>
      </c>
      <c r="Q1265" t="s">
        <v>28</v>
      </c>
      <c r="R1265" t="s">
        <v>29</v>
      </c>
      <c r="S1265">
        <v>2025</v>
      </c>
      <c r="T1265" t="s">
        <v>2751</v>
      </c>
      <c r="U1265" t="s">
        <v>2752</v>
      </c>
      <c r="V1265" s="4">
        <v>0</v>
      </c>
      <c r="W1265" s="4">
        <v>1</v>
      </c>
    </row>
    <row r="1266" spans="1:23">
      <c r="A1266" t="s">
        <v>1398</v>
      </c>
      <c r="B1266" s="2">
        <v>45664</v>
      </c>
      <c r="C1266" t="s">
        <v>66</v>
      </c>
      <c r="D1266" t="s">
        <v>67</v>
      </c>
      <c r="E1266" t="s">
        <v>48</v>
      </c>
      <c r="F1266" t="s">
        <v>49</v>
      </c>
      <c r="G1266" t="s">
        <v>165</v>
      </c>
      <c r="H1266" t="s">
        <v>166</v>
      </c>
      <c r="I1266">
        <v>3</v>
      </c>
      <c r="J1266" s="3">
        <v>45816.87</v>
      </c>
      <c r="K1266" s="3">
        <v>137450.60999999999</v>
      </c>
      <c r="L1266" t="s">
        <v>25</v>
      </c>
      <c r="M1266" s="2">
        <v>45681</v>
      </c>
      <c r="N1266" s="2">
        <v>45678</v>
      </c>
      <c r="O1266" t="s">
        <v>26</v>
      </c>
      <c r="P1266" t="s">
        <v>53</v>
      </c>
      <c r="Q1266" t="s">
        <v>28</v>
      </c>
      <c r="R1266" t="s">
        <v>29</v>
      </c>
      <c r="S1266">
        <v>2025</v>
      </c>
      <c r="T1266" t="s">
        <v>2757</v>
      </c>
      <c r="U1266" t="s">
        <v>2768</v>
      </c>
      <c r="V1266" s="4">
        <v>0</v>
      </c>
      <c r="W1266" s="4">
        <v>1</v>
      </c>
    </row>
    <row r="1267" spans="1:23">
      <c r="A1267" t="s">
        <v>1399</v>
      </c>
      <c r="B1267" s="2">
        <v>45833</v>
      </c>
      <c r="C1267" t="s">
        <v>117</v>
      </c>
      <c r="D1267" t="s">
        <v>118</v>
      </c>
      <c r="E1267" t="s">
        <v>31</v>
      </c>
      <c r="F1267" t="s">
        <v>57</v>
      </c>
      <c r="G1267" t="s">
        <v>58</v>
      </c>
      <c r="H1267" t="s">
        <v>59</v>
      </c>
      <c r="I1267">
        <v>4</v>
      </c>
      <c r="J1267" s="3">
        <v>55276.35</v>
      </c>
      <c r="K1267" s="3">
        <v>221105.4</v>
      </c>
      <c r="L1267" t="s">
        <v>34</v>
      </c>
      <c r="M1267" s="2">
        <v>45844</v>
      </c>
      <c r="N1267" s="2">
        <v>45843</v>
      </c>
      <c r="O1267" t="s">
        <v>26</v>
      </c>
      <c r="P1267" t="s">
        <v>35</v>
      </c>
      <c r="Q1267" t="s">
        <v>28</v>
      </c>
      <c r="R1267" t="s">
        <v>29</v>
      </c>
      <c r="S1267">
        <v>2025</v>
      </c>
      <c r="T1267" t="s">
        <v>2743</v>
      </c>
      <c r="U1267" t="s">
        <v>2756</v>
      </c>
      <c r="V1267" s="4">
        <v>0</v>
      </c>
      <c r="W1267" s="4">
        <v>1</v>
      </c>
    </row>
    <row r="1268" spans="1:23">
      <c r="A1268" t="s">
        <v>1400</v>
      </c>
      <c r="B1268" s="2">
        <v>46036</v>
      </c>
      <c r="C1268" t="s">
        <v>147</v>
      </c>
      <c r="D1268" t="s">
        <v>148</v>
      </c>
      <c r="E1268" t="s">
        <v>39</v>
      </c>
      <c r="F1268" t="s">
        <v>40</v>
      </c>
      <c r="G1268" t="s">
        <v>62</v>
      </c>
      <c r="H1268" t="s">
        <v>63</v>
      </c>
      <c r="I1268">
        <v>3</v>
      </c>
      <c r="J1268" s="3">
        <v>18472.060000000001</v>
      </c>
      <c r="K1268" s="3">
        <v>55416.18</v>
      </c>
      <c r="L1268" t="s">
        <v>25</v>
      </c>
      <c r="M1268" s="2">
        <v>46041</v>
      </c>
      <c r="N1268" s="2">
        <v>46041</v>
      </c>
      <c r="O1268" t="s">
        <v>76</v>
      </c>
      <c r="P1268" t="s">
        <v>64</v>
      </c>
      <c r="Q1268" t="s">
        <v>28</v>
      </c>
      <c r="R1268" t="s">
        <v>29</v>
      </c>
      <c r="S1268">
        <v>2026</v>
      </c>
      <c r="T1268" t="s">
        <v>2757</v>
      </c>
      <c r="U1268" t="s">
        <v>2758</v>
      </c>
      <c r="V1268" s="4">
        <v>0</v>
      </c>
      <c r="W1268" s="4">
        <v>1</v>
      </c>
    </row>
    <row r="1269" spans="1:23">
      <c r="A1269" t="s">
        <v>1401</v>
      </c>
      <c r="B1269" s="2">
        <v>45664</v>
      </c>
      <c r="C1269" t="s">
        <v>19</v>
      </c>
      <c r="D1269" t="s">
        <v>20</v>
      </c>
      <c r="E1269" t="s">
        <v>73</v>
      </c>
      <c r="F1269" t="s">
        <v>22</v>
      </c>
      <c r="G1269" t="s">
        <v>23</v>
      </c>
      <c r="H1269" t="s">
        <v>24</v>
      </c>
      <c r="I1269">
        <v>47</v>
      </c>
      <c r="J1269" s="3">
        <v>231.2</v>
      </c>
      <c r="K1269" s="3">
        <v>10866.4</v>
      </c>
      <c r="L1269" t="s">
        <v>34</v>
      </c>
      <c r="M1269" s="2">
        <v>45671</v>
      </c>
      <c r="N1269" s="2">
        <v>45681</v>
      </c>
      <c r="O1269" t="s">
        <v>60</v>
      </c>
      <c r="P1269" t="s">
        <v>77</v>
      </c>
      <c r="Q1269" t="s">
        <v>28</v>
      </c>
      <c r="R1269" t="s">
        <v>129</v>
      </c>
      <c r="S1269">
        <v>2025</v>
      </c>
      <c r="T1269" t="s">
        <v>2757</v>
      </c>
      <c r="U1269" t="s">
        <v>2768</v>
      </c>
      <c r="V1269" s="4">
        <v>10</v>
      </c>
      <c r="W1269" s="4">
        <v>0</v>
      </c>
    </row>
    <row r="1270" spans="1:23">
      <c r="A1270" t="s">
        <v>1402</v>
      </c>
      <c r="B1270" s="2">
        <v>46032</v>
      </c>
      <c r="C1270" t="s">
        <v>142</v>
      </c>
      <c r="D1270" t="s">
        <v>143</v>
      </c>
      <c r="E1270" t="s">
        <v>73</v>
      </c>
      <c r="F1270" t="s">
        <v>22</v>
      </c>
      <c r="G1270" t="s">
        <v>32</v>
      </c>
      <c r="H1270" t="s">
        <v>33</v>
      </c>
      <c r="I1270">
        <v>6</v>
      </c>
      <c r="J1270" s="3">
        <v>7863.94</v>
      </c>
      <c r="K1270" s="3">
        <v>47183.64</v>
      </c>
      <c r="L1270" t="s">
        <v>34</v>
      </c>
      <c r="M1270" s="2">
        <v>46045</v>
      </c>
      <c r="N1270" s="2">
        <v>46043</v>
      </c>
      <c r="O1270" t="s">
        <v>60</v>
      </c>
      <c r="P1270" t="s">
        <v>77</v>
      </c>
      <c r="Q1270" t="s">
        <v>28</v>
      </c>
      <c r="R1270" t="s">
        <v>29</v>
      </c>
      <c r="S1270">
        <v>2026</v>
      </c>
      <c r="T1270" t="s">
        <v>2757</v>
      </c>
      <c r="U1270" t="s">
        <v>2758</v>
      </c>
      <c r="V1270" s="4">
        <v>0</v>
      </c>
      <c r="W1270" s="4">
        <v>1</v>
      </c>
    </row>
    <row r="1271" spans="1:23">
      <c r="A1271" t="s">
        <v>1403</v>
      </c>
      <c r="B1271" s="2">
        <v>45754</v>
      </c>
      <c r="C1271" t="s">
        <v>19</v>
      </c>
      <c r="D1271" t="s">
        <v>20</v>
      </c>
      <c r="E1271" t="s">
        <v>31</v>
      </c>
      <c r="F1271" t="s">
        <v>22</v>
      </c>
      <c r="G1271" t="s">
        <v>23</v>
      </c>
      <c r="H1271" t="s">
        <v>24</v>
      </c>
      <c r="I1271">
        <v>20</v>
      </c>
      <c r="J1271" s="3">
        <v>234.59</v>
      </c>
      <c r="K1271" s="3">
        <v>4691.8</v>
      </c>
      <c r="L1271" t="s">
        <v>25</v>
      </c>
      <c r="M1271" s="2">
        <v>45766</v>
      </c>
      <c r="N1271" s="2">
        <v>45765</v>
      </c>
      <c r="O1271" t="s">
        <v>60</v>
      </c>
      <c r="P1271" t="s">
        <v>94</v>
      </c>
      <c r="Q1271" t="s">
        <v>28</v>
      </c>
      <c r="R1271" t="s">
        <v>29</v>
      </c>
      <c r="S1271">
        <v>2025</v>
      </c>
      <c r="T1271" t="s">
        <v>2741</v>
      </c>
      <c r="U1271" t="s">
        <v>2742</v>
      </c>
      <c r="V1271" s="4">
        <v>0</v>
      </c>
      <c r="W1271" s="4">
        <v>1</v>
      </c>
    </row>
    <row r="1272" spans="1:23">
      <c r="A1272" t="s">
        <v>1404</v>
      </c>
      <c r="B1272" s="2">
        <v>46179</v>
      </c>
      <c r="C1272" t="s">
        <v>134</v>
      </c>
      <c r="D1272" t="s">
        <v>135</v>
      </c>
      <c r="E1272" t="s">
        <v>112</v>
      </c>
      <c r="F1272" t="s">
        <v>40</v>
      </c>
      <c r="G1272" t="s">
        <v>41</v>
      </c>
      <c r="H1272" t="s">
        <v>42</v>
      </c>
      <c r="I1272">
        <v>3</v>
      </c>
      <c r="J1272" s="3">
        <v>5667.78</v>
      </c>
      <c r="K1272" s="3">
        <v>17003.34</v>
      </c>
      <c r="L1272" t="s">
        <v>25</v>
      </c>
      <c r="M1272" s="2">
        <v>46186</v>
      </c>
      <c r="N1272" s="2">
        <v>46183</v>
      </c>
      <c r="O1272" t="s">
        <v>43</v>
      </c>
      <c r="P1272" t="s">
        <v>115</v>
      </c>
      <c r="Q1272" t="s">
        <v>28</v>
      </c>
      <c r="R1272" t="s">
        <v>29</v>
      </c>
      <c r="S1272">
        <v>2026</v>
      </c>
      <c r="T1272" t="s">
        <v>2743</v>
      </c>
      <c r="U1272" t="s">
        <v>2744</v>
      </c>
      <c r="V1272" s="4">
        <v>0</v>
      </c>
      <c r="W1272" s="4">
        <v>1</v>
      </c>
    </row>
    <row r="1273" spans="1:23">
      <c r="A1273" t="s">
        <v>1405</v>
      </c>
      <c r="B1273" s="2">
        <v>45876</v>
      </c>
      <c r="C1273" t="s">
        <v>142</v>
      </c>
      <c r="D1273" t="s">
        <v>143</v>
      </c>
      <c r="E1273" t="s">
        <v>31</v>
      </c>
      <c r="F1273" t="s">
        <v>22</v>
      </c>
      <c r="G1273" t="s">
        <v>23</v>
      </c>
      <c r="H1273" t="s">
        <v>24</v>
      </c>
      <c r="I1273">
        <v>8</v>
      </c>
      <c r="J1273" s="3">
        <v>256.05</v>
      </c>
      <c r="K1273" s="3">
        <v>2048.4</v>
      </c>
      <c r="L1273" t="s">
        <v>25</v>
      </c>
      <c r="M1273" s="2">
        <v>45885</v>
      </c>
      <c r="N1273" s="2">
        <v>45883</v>
      </c>
      <c r="O1273" t="s">
        <v>76</v>
      </c>
      <c r="P1273" t="s">
        <v>94</v>
      </c>
      <c r="Q1273" t="s">
        <v>28</v>
      </c>
      <c r="R1273" t="s">
        <v>29</v>
      </c>
      <c r="S1273">
        <v>2025</v>
      </c>
      <c r="T1273" t="s">
        <v>2761</v>
      </c>
      <c r="U1273" t="s">
        <v>2762</v>
      </c>
      <c r="V1273" s="4">
        <v>0</v>
      </c>
      <c r="W1273" s="4">
        <v>1</v>
      </c>
    </row>
    <row r="1274" spans="1:23">
      <c r="A1274" t="s">
        <v>1406</v>
      </c>
      <c r="B1274" s="2">
        <v>45725</v>
      </c>
      <c r="C1274" t="s">
        <v>147</v>
      </c>
      <c r="D1274" t="s">
        <v>148</v>
      </c>
      <c r="E1274" t="s">
        <v>112</v>
      </c>
      <c r="F1274" t="s">
        <v>40</v>
      </c>
      <c r="G1274" t="s">
        <v>149</v>
      </c>
      <c r="H1274" t="s">
        <v>150</v>
      </c>
      <c r="I1274">
        <v>52</v>
      </c>
      <c r="J1274" s="3">
        <v>1322.67</v>
      </c>
      <c r="K1274" s="3">
        <v>68778.84</v>
      </c>
      <c r="L1274" t="s">
        <v>25</v>
      </c>
      <c r="M1274" s="2">
        <v>45740</v>
      </c>
      <c r="N1274" s="2">
        <v>45739</v>
      </c>
      <c r="O1274" t="s">
        <v>26</v>
      </c>
      <c r="P1274" t="s">
        <v>115</v>
      </c>
      <c r="Q1274" t="s">
        <v>28</v>
      </c>
      <c r="R1274" t="s">
        <v>29</v>
      </c>
      <c r="S1274">
        <v>2025</v>
      </c>
      <c r="T1274" t="s">
        <v>2747</v>
      </c>
      <c r="U1274" t="s">
        <v>2748</v>
      </c>
      <c r="V1274" s="4">
        <v>0</v>
      </c>
      <c r="W1274" s="4">
        <v>1</v>
      </c>
    </row>
    <row r="1275" spans="1:23">
      <c r="A1275" t="s">
        <v>1407</v>
      </c>
      <c r="B1275" s="2">
        <v>45810</v>
      </c>
      <c r="C1275" t="s">
        <v>96</v>
      </c>
      <c r="D1275" t="s">
        <v>97</v>
      </c>
      <c r="E1275" t="s">
        <v>39</v>
      </c>
      <c r="F1275" t="s">
        <v>82</v>
      </c>
      <c r="G1275" t="s">
        <v>98</v>
      </c>
      <c r="H1275" t="s">
        <v>99</v>
      </c>
      <c r="I1275">
        <v>13</v>
      </c>
      <c r="J1275" s="3">
        <v>1203.95</v>
      </c>
      <c r="K1275" s="3">
        <v>15651.35</v>
      </c>
      <c r="L1275" t="s">
        <v>25</v>
      </c>
      <c r="M1275" s="2">
        <v>45826</v>
      </c>
      <c r="N1275" s="2">
        <v>45825</v>
      </c>
      <c r="O1275" t="s">
        <v>26</v>
      </c>
      <c r="P1275" t="s">
        <v>64</v>
      </c>
      <c r="Q1275" t="s">
        <v>28</v>
      </c>
      <c r="R1275" t="s">
        <v>29</v>
      </c>
      <c r="S1275">
        <v>2025</v>
      </c>
      <c r="T1275" t="s">
        <v>2743</v>
      </c>
      <c r="U1275" t="s">
        <v>2756</v>
      </c>
      <c r="V1275" s="4">
        <v>0</v>
      </c>
      <c r="W1275" s="4">
        <v>1</v>
      </c>
    </row>
    <row r="1276" spans="1:23">
      <c r="A1276" t="s">
        <v>1408</v>
      </c>
      <c r="B1276" s="2">
        <v>45791</v>
      </c>
      <c r="C1276" t="s">
        <v>142</v>
      </c>
      <c r="D1276" t="s">
        <v>143</v>
      </c>
      <c r="E1276" t="s">
        <v>73</v>
      </c>
      <c r="F1276" t="s">
        <v>22</v>
      </c>
      <c r="G1276" t="s">
        <v>160</v>
      </c>
      <c r="H1276" t="s">
        <v>161</v>
      </c>
      <c r="I1276">
        <v>11</v>
      </c>
      <c r="J1276" s="3">
        <v>3079.86</v>
      </c>
      <c r="K1276" s="3">
        <v>33878.46</v>
      </c>
      <c r="L1276" t="s">
        <v>34</v>
      </c>
      <c r="M1276" s="2">
        <v>45809</v>
      </c>
      <c r="N1276" s="2">
        <v>45822</v>
      </c>
      <c r="O1276" t="s">
        <v>26</v>
      </c>
      <c r="P1276" t="s">
        <v>77</v>
      </c>
      <c r="Q1276" t="s">
        <v>28</v>
      </c>
      <c r="R1276" t="s">
        <v>129</v>
      </c>
      <c r="S1276">
        <v>2025</v>
      </c>
      <c r="T1276" t="s">
        <v>2766</v>
      </c>
      <c r="U1276" t="s">
        <v>2767</v>
      </c>
      <c r="V1276" s="4">
        <v>13</v>
      </c>
      <c r="W1276" s="4">
        <v>0</v>
      </c>
    </row>
    <row r="1277" spans="1:23">
      <c r="A1277" t="s">
        <v>1409</v>
      </c>
      <c r="B1277" s="2">
        <v>46125</v>
      </c>
      <c r="C1277" t="s">
        <v>71</v>
      </c>
      <c r="D1277" t="s">
        <v>72</v>
      </c>
      <c r="E1277" t="s">
        <v>73</v>
      </c>
      <c r="F1277" t="s">
        <v>57</v>
      </c>
      <c r="G1277" t="s">
        <v>101</v>
      </c>
      <c r="H1277" t="s">
        <v>102</v>
      </c>
      <c r="I1277">
        <v>54</v>
      </c>
      <c r="J1277" s="3">
        <v>1650.14</v>
      </c>
      <c r="K1277" s="3">
        <v>89107.56</v>
      </c>
      <c r="L1277" t="s">
        <v>52</v>
      </c>
      <c r="M1277" s="2">
        <v>46131</v>
      </c>
      <c r="N1277" s="2">
        <v>46130</v>
      </c>
      <c r="O1277" t="s">
        <v>43</v>
      </c>
      <c r="P1277" t="s">
        <v>77</v>
      </c>
      <c r="Q1277" t="s">
        <v>28</v>
      </c>
      <c r="R1277" t="s">
        <v>29</v>
      </c>
      <c r="S1277">
        <v>2026</v>
      </c>
      <c r="T1277" t="s">
        <v>2741</v>
      </c>
      <c r="U1277" t="s">
        <v>2770</v>
      </c>
      <c r="V1277" s="4">
        <v>0</v>
      </c>
      <c r="W1277" s="4">
        <v>1</v>
      </c>
    </row>
    <row r="1278" spans="1:23">
      <c r="A1278" t="s">
        <v>1410</v>
      </c>
      <c r="B1278" s="2">
        <v>45733</v>
      </c>
      <c r="C1278" t="s">
        <v>131</v>
      </c>
      <c r="D1278" t="s">
        <v>132</v>
      </c>
      <c r="E1278" t="s">
        <v>73</v>
      </c>
      <c r="F1278" t="s">
        <v>57</v>
      </c>
      <c r="G1278" t="s">
        <v>101</v>
      </c>
      <c r="H1278" t="s">
        <v>102</v>
      </c>
      <c r="I1278">
        <v>52</v>
      </c>
      <c r="J1278" s="3">
        <v>1838.54</v>
      </c>
      <c r="K1278" s="3">
        <v>95604.08</v>
      </c>
      <c r="L1278" t="s">
        <v>25</v>
      </c>
      <c r="M1278" s="2">
        <v>45746</v>
      </c>
      <c r="N1278" s="2">
        <v>45746</v>
      </c>
      <c r="O1278" t="s">
        <v>76</v>
      </c>
      <c r="P1278" t="s">
        <v>77</v>
      </c>
      <c r="Q1278" t="s">
        <v>28</v>
      </c>
      <c r="R1278" t="s">
        <v>29</v>
      </c>
      <c r="S1278">
        <v>2025</v>
      </c>
      <c r="T1278" t="s">
        <v>2747</v>
      </c>
      <c r="U1278" t="s">
        <v>2748</v>
      </c>
      <c r="V1278" s="4">
        <v>0</v>
      </c>
      <c r="W1278" s="4">
        <v>1</v>
      </c>
    </row>
    <row r="1279" spans="1:23">
      <c r="A1279" t="s">
        <v>1411</v>
      </c>
      <c r="B1279" s="2">
        <v>46054</v>
      </c>
      <c r="C1279" t="s">
        <v>37</v>
      </c>
      <c r="D1279" t="s">
        <v>38</v>
      </c>
      <c r="E1279" t="s">
        <v>39</v>
      </c>
      <c r="F1279" t="s">
        <v>22</v>
      </c>
      <c r="G1279" t="s">
        <v>23</v>
      </c>
      <c r="H1279" t="s">
        <v>24</v>
      </c>
      <c r="I1279">
        <v>5</v>
      </c>
      <c r="J1279" s="3">
        <v>261.57</v>
      </c>
      <c r="K1279" s="3">
        <v>1307.8499999999999</v>
      </c>
      <c r="L1279" t="s">
        <v>34</v>
      </c>
      <c r="M1279" s="2">
        <v>46067</v>
      </c>
      <c r="N1279" s="2">
        <v>46075</v>
      </c>
      <c r="O1279" t="s">
        <v>76</v>
      </c>
      <c r="P1279" t="s">
        <v>44</v>
      </c>
      <c r="Q1279" t="s">
        <v>28</v>
      </c>
      <c r="R1279" t="s">
        <v>129</v>
      </c>
      <c r="S1279">
        <v>2026</v>
      </c>
      <c r="T1279" t="s">
        <v>2751</v>
      </c>
      <c r="U1279" t="s">
        <v>2765</v>
      </c>
      <c r="V1279" s="4">
        <v>8</v>
      </c>
      <c r="W1279" s="4">
        <v>0</v>
      </c>
    </row>
    <row r="1280" spans="1:23">
      <c r="A1280" t="s">
        <v>1412</v>
      </c>
      <c r="B1280" s="2">
        <v>46060</v>
      </c>
      <c r="C1280" t="s">
        <v>55</v>
      </c>
      <c r="D1280" t="s">
        <v>56</v>
      </c>
      <c r="E1280" t="s">
        <v>48</v>
      </c>
      <c r="F1280" t="s">
        <v>57</v>
      </c>
      <c r="G1280" t="s">
        <v>74</v>
      </c>
      <c r="H1280" t="s">
        <v>75</v>
      </c>
      <c r="I1280">
        <v>3</v>
      </c>
      <c r="J1280" s="3">
        <v>9568.36</v>
      </c>
      <c r="K1280" s="3">
        <v>28705.08</v>
      </c>
      <c r="L1280" t="s">
        <v>25</v>
      </c>
      <c r="M1280" s="2">
        <v>46066</v>
      </c>
      <c r="N1280" s="2">
        <v>46063</v>
      </c>
      <c r="O1280" t="s">
        <v>43</v>
      </c>
      <c r="P1280" t="s">
        <v>53</v>
      </c>
      <c r="Q1280" t="s">
        <v>28</v>
      </c>
      <c r="R1280" t="s">
        <v>29</v>
      </c>
      <c r="S1280">
        <v>2026</v>
      </c>
      <c r="T1280" t="s">
        <v>2751</v>
      </c>
      <c r="U1280" t="s">
        <v>2765</v>
      </c>
      <c r="V1280" s="4">
        <v>0</v>
      </c>
      <c r="W1280" s="4">
        <v>1</v>
      </c>
    </row>
    <row r="1281" spans="1:23">
      <c r="A1281" t="s">
        <v>1413</v>
      </c>
      <c r="B1281" s="2">
        <v>45951</v>
      </c>
      <c r="C1281" t="s">
        <v>104</v>
      </c>
      <c r="D1281" t="s">
        <v>105</v>
      </c>
      <c r="E1281" t="s">
        <v>48</v>
      </c>
      <c r="F1281" t="s">
        <v>49</v>
      </c>
      <c r="G1281" t="s">
        <v>113</v>
      </c>
      <c r="H1281" t="s">
        <v>114</v>
      </c>
      <c r="I1281">
        <v>1</v>
      </c>
      <c r="J1281" s="3">
        <v>37955.68</v>
      </c>
      <c r="K1281" s="3">
        <v>37955.68</v>
      </c>
      <c r="L1281" t="s">
        <v>34</v>
      </c>
      <c r="M1281" s="2">
        <v>45966</v>
      </c>
      <c r="N1281" s="2">
        <v>45965</v>
      </c>
      <c r="O1281" t="s">
        <v>60</v>
      </c>
      <c r="P1281" t="s">
        <v>53</v>
      </c>
      <c r="Q1281" t="s">
        <v>28</v>
      </c>
      <c r="R1281" t="s">
        <v>29</v>
      </c>
      <c r="S1281">
        <v>2025</v>
      </c>
      <c r="T1281" t="s">
        <v>2749</v>
      </c>
      <c r="U1281" t="s">
        <v>2750</v>
      </c>
      <c r="V1281" s="4">
        <v>0</v>
      </c>
      <c r="W1281" s="4">
        <v>1</v>
      </c>
    </row>
    <row r="1282" spans="1:23">
      <c r="A1282" t="s">
        <v>1414</v>
      </c>
      <c r="B1282" s="2">
        <v>45666</v>
      </c>
      <c r="C1282" t="s">
        <v>89</v>
      </c>
      <c r="D1282" t="s">
        <v>90</v>
      </c>
      <c r="E1282" t="s">
        <v>31</v>
      </c>
      <c r="F1282" t="s">
        <v>91</v>
      </c>
      <c r="G1282" t="s">
        <v>109</v>
      </c>
      <c r="H1282" t="s">
        <v>110</v>
      </c>
      <c r="I1282">
        <v>2</v>
      </c>
      <c r="J1282" s="3">
        <v>12952.32</v>
      </c>
      <c r="K1282" s="3">
        <v>25904.639999999999</v>
      </c>
      <c r="L1282" t="s">
        <v>25</v>
      </c>
      <c r="M1282" s="2">
        <v>45673</v>
      </c>
      <c r="N1282" s="2">
        <v>45673</v>
      </c>
      <c r="O1282" t="s">
        <v>26</v>
      </c>
      <c r="P1282" t="s">
        <v>35</v>
      </c>
      <c r="Q1282" t="s">
        <v>28</v>
      </c>
      <c r="R1282" t="s">
        <v>29</v>
      </c>
      <c r="S1282">
        <v>2025</v>
      </c>
      <c r="T1282" t="s">
        <v>2757</v>
      </c>
      <c r="U1282" t="s">
        <v>2768</v>
      </c>
      <c r="V1282" s="4">
        <v>0</v>
      </c>
      <c r="W1282" s="4">
        <v>1</v>
      </c>
    </row>
    <row r="1283" spans="1:23">
      <c r="A1283" t="s">
        <v>1415</v>
      </c>
      <c r="B1283" s="2">
        <v>45986</v>
      </c>
      <c r="C1283" t="s">
        <v>80</v>
      </c>
      <c r="D1283" t="s">
        <v>81</v>
      </c>
      <c r="E1283" t="s">
        <v>39</v>
      </c>
      <c r="F1283" t="s">
        <v>82</v>
      </c>
      <c r="G1283" t="s">
        <v>197</v>
      </c>
      <c r="H1283" t="s">
        <v>198</v>
      </c>
      <c r="I1283">
        <v>7</v>
      </c>
      <c r="J1283" s="3">
        <v>2029.44</v>
      </c>
      <c r="K1283" s="3">
        <v>14206.08</v>
      </c>
      <c r="L1283" t="s">
        <v>34</v>
      </c>
      <c r="M1283" s="2">
        <v>45999</v>
      </c>
      <c r="N1283" s="2">
        <v>45999</v>
      </c>
      <c r="O1283" t="s">
        <v>60</v>
      </c>
      <c r="P1283" t="s">
        <v>64</v>
      </c>
      <c r="Q1283" t="s">
        <v>28</v>
      </c>
      <c r="R1283" t="s">
        <v>29</v>
      </c>
      <c r="S1283">
        <v>2025</v>
      </c>
      <c r="T1283" t="s">
        <v>2763</v>
      </c>
      <c r="U1283" t="s">
        <v>2764</v>
      </c>
      <c r="V1283" s="4">
        <v>0</v>
      </c>
      <c r="W1283" s="4">
        <v>1</v>
      </c>
    </row>
    <row r="1284" spans="1:23">
      <c r="A1284" t="s">
        <v>1416</v>
      </c>
      <c r="B1284" s="2">
        <v>45744</v>
      </c>
      <c r="C1284" t="s">
        <v>55</v>
      </c>
      <c r="D1284" t="s">
        <v>56</v>
      </c>
      <c r="E1284" t="s">
        <v>31</v>
      </c>
      <c r="F1284" t="s">
        <v>57</v>
      </c>
      <c r="G1284" t="s">
        <v>58</v>
      </c>
      <c r="H1284" t="s">
        <v>59</v>
      </c>
      <c r="I1284">
        <v>4</v>
      </c>
      <c r="J1284" s="3">
        <v>63835.4</v>
      </c>
      <c r="K1284" s="3">
        <v>255341.6</v>
      </c>
      <c r="L1284" t="s">
        <v>52</v>
      </c>
      <c r="M1284" s="2">
        <v>45751</v>
      </c>
      <c r="N1284" s="2">
        <v>45749</v>
      </c>
      <c r="O1284" t="s">
        <v>26</v>
      </c>
      <c r="P1284" t="s">
        <v>35</v>
      </c>
      <c r="Q1284" t="s">
        <v>28</v>
      </c>
      <c r="R1284" t="s">
        <v>29</v>
      </c>
      <c r="S1284">
        <v>2025</v>
      </c>
      <c r="T1284" t="s">
        <v>2747</v>
      </c>
      <c r="U1284" t="s">
        <v>2748</v>
      </c>
      <c r="V1284" s="4">
        <v>0</v>
      </c>
      <c r="W1284" s="4">
        <v>1</v>
      </c>
    </row>
    <row r="1285" spans="1:23">
      <c r="A1285" t="s">
        <v>1417</v>
      </c>
      <c r="B1285" s="2">
        <v>45716</v>
      </c>
      <c r="C1285" t="s">
        <v>37</v>
      </c>
      <c r="D1285" t="s">
        <v>38</v>
      </c>
      <c r="E1285" t="s">
        <v>39</v>
      </c>
      <c r="F1285" t="s">
        <v>22</v>
      </c>
      <c r="G1285" t="s">
        <v>160</v>
      </c>
      <c r="H1285" t="s">
        <v>161</v>
      </c>
      <c r="I1285">
        <v>1</v>
      </c>
      <c r="J1285" s="3">
        <v>3523.66</v>
      </c>
      <c r="K1285" s="3">
        <v>3523.66</v>
      </c>
      <c r="L1285" t="s">
        <v>25</v>
      </c>
      <c r="M1285" s="2">
        <v>45733</v>
      </c>
      <c r="N1285" s="2">
        <v>45733</v>
      </c>
      <c r="O1285" t="s">
        <v>76</v>
      </c>
      <c r="P1285" t="s">
        <v>44</v>
      </c>
      <c r="Q1285" t="s">
        <v>28</v>
      </c>
      <c r="R1285" t="s">
        <v>29</v>
      </c>
      <c r="S1285">
        <v>2025</v>
      </c>
      <c r="T1285" t="s">
        <v>2751</v>
      </c>
      <c r="U1285" t="s">
        <v>2752</v>
      </c>
      <c r="V1285" s="4">
        <v>0</v>
      </c>
      <c r="W1285" s="4">
        <v>1</v>
      </c>
    </row>
    <row r="1286" spans="1:23">
      <c r="A1286" t="s">
        <v>1418</v>
      </c>
      <c r="B1286" s="2">
        <v>46073</v>
      </c>
      <c r="C1286" t="s">
        <v>147</v>
      </c>
      <c r="D1286" t="s">
        <v>148</v>
      </c>
      <c r="E1286" t="s">
        <v>112</v>
      </c>
      <c r="F1286" t="s">
        <v>40</v>
      </c>
      <c r="G1286" t="s">
        <v>136</v>
      </c>
      <c r="H1286" t="s">
        <v>137</v>
      </c>
      <c r="I1286">
        <v>29</v>
      </c>
      <c r="J1286" s="3">
        <v>1631.6</v>
      </c>
      <c r="K1286" s="3">
        <v>47316.4</v>
      </c>
      <c r="L1286" t="s">
        <v>25</v>
      </c>
      <c r="M1286" s="2">
        <v>46089</v>
      </c>
      <c r="N1286" s="2">
        <v>46087</v>
      </c>
      <c r="O1286" t="s">
        <v>60</v>
      </c>
      <c r="P1286" t="s">
        <v>115</v>
      </c>
      <c r="Q1286" t="s">
        <v>28</v>
      </c>
      <c r="R1286" t="s">
        <v>29</v>
      </c>
      <c r="S1286">
        <v>2026</v>
      </c>
      <c r="T1286" t="s">
        <v>2751</v>
      </c>
      <c r="U1286" t="s">
        <v>2765</v>
      </c>
      <c r="V1286" s="4">
        <v>0</v>
      </c>
      <c r="W1286" s="4">
        <v>1</v>
      </c>
    </row>
    <row r="1287" spans="1:23">
      <c r="A1287" t="s">
        <v>1419</v>
      </c>
      <c r="B1287" s="2">
        <v>45932</v>
      </c>
      <c r="C1287" t="s">
        <v>66</v>
      </c>
      <c r="D1287" t="s">
        <v>67</v>
      </c>
      <c r="E1287" t="s">
        <v>112</v>
      </c>
      <c r="F1287" t="s">
        <v>49</v>
      </c>
      <c r="G1287" t="s">
        <v>165</v>
      </c>
      <c r="H1287" t="s">
        <v>166</v>
      </c>
      <c r="I1287">
        <v>1</v>
      </c>
      <c r="J1287" s="3">
        <v>43320.2</v>
      </c>
      <c r="K1287" s="3">
        <v>43320.2</v>
      </c>
      <c r="L1287" t="s">
        <v>52</v>
      </c>
      <c r="M1287" s="2">
        <v>45943</v>
      </c>
      <c r="N1287" s="2">
        <v>45940</v>
      </c>
      <c r="O1287" t="s">
        <v>76</v>
      </c>
      <c r="P1287" t="s">
        <v>115</v>
      </c>
      <c r="Q1287" t="s">
        <v>28</v>
      </c>
      <c r="R1287" t="s">
        <v>29</v>
      </c>
      <c r="S1287">
        <v>2025</v>
      </c>
      <c r="T1287" t="s">
        <v>2749</v>
      </c>
      <c r="U1287" t="s">
        <v>2750</v>
      </c>
      <c r="V1287" s="4">
        <v>0</v>
      </c>
      <c r="W1287" s="4">
        <v>1</v>
      </c>
    </row>
    <row r="1288" spans="1:23">
      <c r="A1288" t="s">
        <v>1420</v>
      </c>
      <c r="B1288" s="2">
        <v>46172</v>
      </c>
      <c r="C1288" t="s">
        <v>66</v>
      </c>
      <c r="D1288" t="s">
        <v>67</v>
      </c>
      <c r="E1288" t="s">
        <v>48</v>
      </c>
      <c r="F1288" t="s">
        <v>49</v>
      </c>
      <c r="G1288" t="s">
        <v>50</v>
      </c>
      <c r="H1288" t="s">
        <v>51</v>
      </c>
      <c r="I1288">
        <v>1</v>
      </c>
      <c r="J1288" s="3">
        <v>48996.54</v>
      </c>
      <c r="K1288" s="3">
        <v>48996.54</v>
      </c>
      <c r="L1288" t="s">
        <v>25</v>
      </c>
      <c r="M1288" s="2">
        <v>46182</v>
      </c>
      <c r="N1288" s="2">
        <v>46182</v>
      </c>
      <c r="O1288" t="s">
        <v>43</v>
      </c>
      <c r="P1288" t="s">
        <v>53</v>
      </c>
      <c r="Q1288" t="s">
        <v>28</v>
      </c>
      <c r="R1288" t="s">
        <v>29</v>
      </c>
      <c r="S1288">
        <v>2026</v>
      </c>
      <c r="T1288" t="s">
        <v>2766</v>
      </c>
      <c r="U1288" t="s">
        <v>2769</v>
      </c>
      <c r="V1288" s="4">
        <v>0</v>
      </c>
      <c r="W1288" s="4">
        <v>1</v>
      </c>
    </row>
    <row r="1289" spans="1:23">
      <c r="A1289" t="s">
        <v>1421</v>
      </c>
      <c r="B1289" s="2">
        <v>45971</v>
      </c>
      <c r="C1289" t="s">
        <v>71</v>
      </c>
      <c r="D1289" t="s">
        <v>72</v>
      </c>
      <c r="E1289" t="s">
        <v>48</v>
      </c>
      <c r="F1289" t="s">
        <v>57</v>
      </c>
      <c r="G1289" t="s">
        <v>74</v>
      </c>
      <c r="H1289" t="s">
        <v>75</v>
      </c>
      <c r="I1289">
        <v>6</v>
      </c>
      <c r="J1289" s="3">
        <v>8010.55</v>
      </c>
      <c r="K1289" s="3">
        <v>48063.3</v>
      </c>
      <c r="L1289" t="s">
        <v>34</v>
      </c>
      <c r="M1289" s="2">
        <v>45985</v>
      </c>
      <c r="N1289" s="2">
        <v>45983</v>
      </c>
      <c r="O1289" t="s">
        <v>26</v>
      </c>
      <c r="P1289" t="s">
        <v>53</v>
      </c>
      <c r="Q1289" t="s">
        <v>28</v>
      </c>
      <c r="R1289" t="s">
        <v>29</v>
      </c>
      <c r="S1289">
        <v>2025</v>
      </c>
      <c r="T1289" t="s">
        <v>2763</v>
      </c>
      <c r="U1289" t="s">
        <v>2764</v>
      </c>
      <c r="V1289" s="4">
        <v>0</v>
      </c>
      <c r="W1289" s="4">
        <v>1</v>
      </c>
    </row>
    <row r="1290" spans="1:23">
      <c r="A1290" t="s">
        <v>1422</v>
      </c>
      <c r="B1290" s="2">
        <v>45903</v>
      </c>
      <c r="C1290" t="s">
        <v>37</v>
      </c>
      <c r="D1290" t="s">
        <v>38</v>
      </c>
      <c r="E1290" t="s">
        <v>112</v>
      </c>
      <c r="F1290" t="s">
        <v>40</v>
      </c>
      <c r="G1290" t="s">
        <v>149</v>
      </c>
      <c r="H1290" t="s">
        <v>150</v>
      </c>
      <c r="I1290">
        <v>42</v>
      </c>
      <c r="J1290" s="3">
        <v>1487.72</v>
      </c>
      <c r="K1290" s="3">
        <v>62484.24</v>
      </c>
      <c r="L1290" t="s">
        <v>25</v>
      </c>
      <c r="M1290" s="2">
        <v>45909</v>
      </c>
      <c r="N1290" s="2">
        <v>45906</v>
      </c>
      <c r="O1290" t="s">
        <v>76</v>
      </c>
      <c r="P1290" t="s">
        <v>115</v>
      </c>
      <c r="Q1290" t="s">
        <v>28</v>
      </c>
      <c r="R1290" t="s">
        <v>29</v>
      </c>
      <c r="S1290">
        <v>2025</v>
      </c>
      <c r="T1290" t="s">
        <v>2753</v>
      </c>
      <c r="U1290" t="s">
        <v>2754</v>
      </c>
      <c r="V1290" s="4">
        <v>0</v>
      </c>
      <c r="W1290" s="4">
        <v>1</v>
      </c>
    </row>
    <row r="1291" spans="1:23">
      <c r="A1291" t="s">
        <v>1423</v>
      </c>
      <c r="B1291" s="2">
        <v>45858</v>
      </c>
      <c r="C1291" t="s">
        <v>37</v>
      </c>
      <c r="D1291" t="s">
        <v>38</v>
      </c>
      <c r="E1291" t="s">
        <v>112</v>
      </c>
      <c r="F1291" t="s">
        <v>40</v>
      </c>
      <c r="G1291" t="s">
        <v>41</v>
      </c>
      <c r="H1291" t="s">
        <v>42</v>
      </c>
      <c r="I1291">
        <v>5</v>
      </c>
      <c r="J1291" s="3">
        <v>5711.59</v>
      </c>
      <c r="K1291" s="3">
        <v>28557.95</v>
      </c>
      <c r="L1291" t="s">
        <v>25</v>
      </c>
      <c r="M1291" s="2">
        <v>45866</v>
      </c>
      <c r="N1291" s="2">
        <v>45866</v>
      </c>
      <c r="O1291" t="s">
        <v>60</v>
      </c>
      <c r="P1291" t="s">
        <v>115</v>
      </c>
      <c r="Q1291" t="s">
        <v>28</v>
      </c>
      <c r="R1291" t="s">
        <v>29</v>
      </c>
      <c r="S1291">
        <v>2025</v>
      </c>
      <c r="T1291" t="s">
        <v>2759</v>
      </c>
      <c r="U1291" t="s">
        <v>2760</v>
      </c>
      <c r="V1291" s="4">
        <v>0</v>
      </c>
      <c r="W1291" s="4">
        <v>1</v>
      </c>
    </row>
    <row r="1292" spans="1:23">
      <c r="A1292" t="s">
        <v>1424</v>
      </c>
      <c r="B1292" s="2">
        <v>46126</v>
      </c>
      <c r="C1292" t="s">
        <v>104</v>
      </c>
      <c r="D1292" t="s">
        <v>105</v>
      </c>
      <c r="E1292" t="s">
        <v>112</v>
      </c>
      <c r="F1292" t="s">
        <v>49</v>
      </c>
      <c r="G1292" t="s">
        <v>113</v>
      </c>
      <c r="H1292" t="s">
        <v>114</v>
      </c>
      <c r="I1292">
        <v>1</v>
      </c>
      <c r="J1292" s="3">
        <v>38688.01</v>
      </c>
      <c r="K1292" s="3">
        <v>38688.01</v>
      </c>
      <c r="L1292" t="s">
        <v>52</v>
      </c>
      <c r="M1292" s="2">
        <v>46138</v>
      </c>
      <c r="N1292" s="2">
        <v>46136</v>
      </c>
      <c r="O1292" t="s">
        <v>26</v>
      </c>
      <c r="P1292" t="s">
        <v>115</v>
      </c>
      <c r="Q1292" t="s">
        <v>28</v>
      </c>
      <c r="R1292" t="s">
        <v>29</v>
      </c>
      <c r="S1292">
        <v>2026</v>
      </c>
      <c r="T1292" t="s">
        <v>2741</v>
      </c>
      <c r="U1292" t="s">
        <v>2770</v>
      </c>
      <c r="V1292" s="4">
        <v>0</v>
      </c>
      <c r="W1292" s="4">
        <v>1</v>
      </c>
    </row>
    <row r="1293" spans="1:23">
      <c r="A1293" t="s">
        <v>1425</v>
      </c>
      <c r="B1293" s="2">
        <v>45739</v>
      </c>
      <c r="C1293" t="s">
        <v>89</v>
      </c>
      <c r="D1293" t="s">
        <v>90</v>
      </c>
      <c r="E1293" t="s">
        <v>31</v>
      </c>
      <c r="F1293" t="s">
        <v>91</v>
      </c>
      <c r="G1293" t="s">
        <v>109</v>
      </c>
      <c r="H1293" t="s">
        <v>110</v>
      </c>
      <c r="I1293">
        <v>1</v>
      </c>
      <c r="J1293" s="3">
        <v>12235.25</v>
      </c>
      <c r="K1293" s="3">
        <v>12235.25</v>
      </c>
      <c r="L1293" t="s">
        <v>52</v>
      </c>
      <c r="M1293" s="2">
        <v>45755</v>
      </c>
      <c r="N1293" s="2">
        <v>45752</v>
      </c>
      <c r="O1293" t="s">
        <v>60</v>
      </c>
      <c r="P1293" t="s">
        <v>35</v>
      </c>
      <c r="Q1293" t="s">
        <v>28</v>
      </c>
      <c r="R1293" t="s">
        <v>29</v>
      </c>
      <c r="S1293">
        <v>2025</v>
      </c>
      <c r="T1293" t="s">
        <v>2747</v>
      </c>
      <c r="U1293" t="s">
        <v>2748</v>
      </c>
      <c r="V1293" s="4">
        <v>0</v>
      </c>
      <c r="W1293" s="4">
        <v>1</v>
      </c>
    </row>
    <row r="1294" spans="1:23">
      <c r="A1294" t="s">
        <v>1426</v>
      </c>
      <c r="B1294" s="2">
        <v>46168</v>
      </c>
      <c r="C1294" t="s">
        <v>37</v>
      </c>
      <c r="D1294" t="s">
        <v>38</v>
      </c>
      <c r="E1294" t="s">
        <v>31</v>
      </c>
      <c r="F1294" t="s">
        <v>22</v>
      </c>
      <c r="G1294" t="s">
        <v>23</v>
      </c>
      <c r="H1294" t="s">
        <v>24</v>
      </c>
      <c r="I1294">
        <v>48</v>
      </c>
      <c r="J1294" s="3">
        <v>273.69</v>
      </c>
      <c r="K1294" s="3">
        <v>13137.12</v>
      </c>
      <c r="L1294" t="s">
        <v>34</v>
      </c>
      <c r="M1294" s="2">
        <v>46173</v>
      </c>
      <c r="N1294" s="2">
        <v>46170</v>
      </c>
      <c r="O1294" t="s">
        <v>26</v>
      </c>
      <c r="P1294" t="s">
        <v>94</v>
      </c>
      <c r="Q1294" t="s">
        <v>28</v>
      </c>
      <c r="R1294" t="s">
        <v>29</v>
      </c>
      <c r="S1294">
        <v>2026</v>
      </c>
      <c r="T1294" t="s">
        <v>2766</v>
      </c>
      <c r="U1294" t="s">
        <v>2769</v>
      </c>
      <c r="V1294" s="4">
        <v>0</v>
      </c>
      <c r="W1294" s="4">
        <v>1</v>
      </c>
    </row>
    <row r="1295" spans="1:23">
      <c r="A1295" t="s">
        <v>1427</v>
      </c>
      <c r="B1295" s="2">
        <v>46113</v>
      </c>
      <c r="C1295" t="s">
        <v>147</v>
      </c>
      <c r="D1295" t="s">
        <v>148</v>
      </c>
      <c r="E1295" t="s">
        <v>39</v>
      </c>
      <c r="F1295" t="s">
        <v>40</v>
      </c>
      <c r="G1295" t="s">
        <v>62</v>
      </c>
      <c r="H1295" t="s">
        <v>63</v>
      </c>
      <c r="I1295">
        <v>4</v>
      </c>
      <c r="J1295" s="3">
        <v>17699.73</v>
      </c>
      <c r="K1295" s="3">
        <v>70798.92</v>
      </c>
      <c r="L1295" t="s">
        <v>52</v>
      </c>
      <c r="M1295" s="2">
        <v>46125</v>
      </c>
      <c r="N1295" s="2">
        <v>46131</v>
      </c>
      <c r="O1295" t="s">
        <v>43</v>
      </c>
      <c r="P1295" t="s">
        <v>44</v>
      </c>
      <c r="Q1295" t="s">
        <v>28</v>
      </c>
      <c r="R1295" t="s">
        <v>129</v>
      </c>
      <c r="S1295">
        <v>2026</v>
      </c>
      <c r="T1295" t="s">
        <v>2741</v>
      </c>
      <c r="U1295" t="s">
        <v>2770</v>
      </c>
      <c r="V1295" s="4">
        <v>6</v>
      </c>
      <c r="W1295" s="4">
        <v>0</v>
      </c>
    </row>
    <row r="1296" spans="1:23">
      <c r="A1296" t="s">
        <v>1428</v>
      </c>
      <c r="B1296" s="2">
        <v>45722</v>
      </c>
      <c r="C1296" t="s">
        <v>37</v>
      </c>
      <c r="D1296" t="s">
        <v>38</v>
      </c>
      <c r="E1296" t="s">
        <v>112</v>
      </c>
      <c r="F1296" t="s">
        <v>40</v>
      </c>
      <c r="G1296" t="s">
        <v>41</v>
      </c>
      <c r="H1296" t="s">
        <v>42</v>
      </c>
      <c r="I1296">
        <v>8</v>
      </c>
      <c r="J1296" s="3">
        <v>6025.7</v>
      </c>
      <c r="K1296" s="3">
        <v>48205.599999999999</v>
      </c>
      <c r="L1296" t="s">
        <v>25</v>
      </c>
      <c r="M1296" s="2">
        <v>45740</v>
      </c>
      <c r="N1296" s="2">
        <v>45739</v>
      </c>
      <c r="O1296" t="s">
        <v>26</v>
      </c>
      <c r="P1296" t="s">
        <v>115</v>
      </c>
      <c r="Q1296" t="s">
        <v>28</v>
      </c>
      <c r="R1296" t="s">
        <v>29</v>
      </c>
      <c r="S1296">
        <v>2025</v>
      </c>
      <c r="T1296" t="s">
        <v>2747</v>
      </c>
      <c r="U1296" t="s">
        <v>2748</v>
      </c>
      <c r="V1296" s="4">
        <v>0</v>
      </c>
      <c r="W1296" s="4">
        <v>1</v>
      </c>
    </row>
    <row r="1297" spans="1:23">
      <c r="A1297" t="s">
        <v>1429</v>
      </c>
      <c r="B1297" s="2">
        <v>45857</v>
      </c>
      <c r="C1297" t="s">
        <v>147</v>
      </c>
      <c r="D1297" t="s">
        <v>148</v>
      </c>
      <c r="E1297" t="s">
        <v>39</v>
      </c>
      <c r="F1297" t="s">
        <v>40</v>
      </c>
      <c r="G1297" t="s">
        <v>149</v>
      </c>
      <c r="H1297" t="s">
        <v>150</v>
      </c>
      <c r="I1297">
        <v>12</v>
      </c>
      <c r="J1297" s="3">
        <v>1324.91</v>
      </c>
      <c r="K1297" s="3">
        <v>15898.92</v>
      </c>
      <c r="L1297" t="s">
        <v>25</v>
      </c>
      <c r="M1297" s="2">
        <v>45874</v>
      </c>
      <c r="N1297" s="2">
        <v>45871</v>
      </c>
      <c r="O1297" t="s">
        <v>43</v>
      </c>
      <c r="P1297" t="s">
        <v>44</v>
      </c>
      <c r="Q1297" t="s">
        <v>28</v>
      </c>
      <c r="R1297" t="s">
        <v>29</v>
      </c>
      <c r="S1297">
        <v>2025</v>
      </c>
      <c r="T1297" t="s">
        <v>2759</v>
      </c>
      <c r="U1297" t="s">
        <v>2760</v>
      </c>
      <c r="V1297" s="4">
        <v>0</v>
      </c>
      <c r="W1297" s="4">
        <v>1</v>
      </c>
    </row>
    <row r="1298" spans="1:23">
      <c r="A1298" t="s">
        <v>1430</v>
      </c>
      <c r="B1298" s="2">
        <v>45861</v>
      </c>
      <c r="C1298" t="s">
        <v>46</v>
      </c>
      <c r="D1298" t="s">
        <v>47</v>
      </c>
      <c r="E1298" t="s">
        <v>73</v>
      </c>
      <c r="F1298" t="s">
        <v>49</v>
      </c>
      <c r="G1298" t="s">
        <v>165</v>
      </c>
      <c r="H1298" t="s">
        <v>166</v>
      </c>
      <c r="I1298">
        <v>2</v>
      </c>
      <c r="J1298" s="3">
        <v>48016.19</v>
      </c>
      <c r="K1298" s="3">
        <v>96032.38</v>
      </c>
      <c r="L1298" t="s">
        <v>34</v>
      </c>
      <c r="M1298" s="2">
        <v>45868</v>
      </c>
      <c r="N1298" s="2">
        <v>45868</v>
      </c>
      <c r="O1298" t="s">
        <v>26</v>
      </c>
      <c r="P1298" t="s">
        <v>77</v>
      </c>
      <c r="Q1298" t="s">
        <v>28</v>
      </c>
      <c r="R1298" t="s">
        <v>29</v>
      </c>
      <c r="S1298">
        <v>2025</v>
      </c>
      <c r="T1298" t="s">
        <v>2759</v>
      </c>
      <c r="U1298" t="s">
        <v>2760</v>
      </c>
      <c r="V1298" s="4">
        <v>0</v>
      </c>
      <c r="W1298" s="4">
        <v>1</v>
      </c>
    </row>
    <row r="1299" spans="1:23">
      <c r="A1299" t="s">
        <v>1431</v>
      </c>
      <c r="B1299" s="2">
        <v>45910</v>
      </c>
      <c r="C1299" t="s">
        <v>66</v>
      </c>
      <c r="D1299" t="s">
        <v>67</v>
      </c>
      <c r="E1299" t="s">
        <v>48</v>
      </c>
      <c r="F1299" t="s">
        <v>49</v>
      </c>
      <c r="G1299" t="s">
        <v>50</v>
      </c>
      <c r="H1299" t="s">
        <v>51</v>
      </c>
      <c r="I1299">
        <v>1</v>
      </c>
      <c r="J1299" s="3">
        <v>49095.89</v>
      </c>
      <c r="K1299" s="3">
        <v>49095.89</v>
      </c>
      <c r="L1299" t="s">
        <v>25</v>
      </c>
      <c r="M1299" s="2">
        <v>45925</v>
      </c>
      <c r="N1299" s="2">
        <v>45922</v>
      </c>
      <c r="O1299" t="s">
        <v>26</v>
      </c>
      <c r="P1299" t="s">
        <v>53</v>
      </c>
      <c r="Q1299" t="s">
        <v>28</v>
      </c>
      <c r="R1299" t="s">
        <v>29</v>
      </c>
      <c r="S1299">
        <v>2025</v>
      </c>
      <c r="T1299" t="s">
        <v>2753</v>
      </c>
      <c r="U1299" t="s">
        <v>2754</v>
      </c>
      <c r="V1299" s="4">
        <v>0</v>
      </c>
      <c r="W1299" s="4">
        <v>1</v>
      </c>
    </row>
    <row r="1300" spans="1:23">
      <c r="A1300" t="s">
        <v>1432</v>
      </c>
      <c r="B1300" s="2">
        <v>45659</v>
      </c>
      <c r="C1300" t="s">
        <v>66</v>
      </c>
      <c r="D1300" t="s">
        <v>67</v>
      </c>
      <c r="E1300" t="s">
        <v>112</v>
      </c>
      <c r="F1300" t="s">
        <v>49</v>
      </c>
      <c r="G1300" t="s">
        <v>50</v>
      </c>
      <c r="H1300" t="s">
        <v>51</v>
      </c>
      <c r="I1300">
        <v>1</v>
      </c>
      <c r="J1300" s="3">
        <v>49446.09</v>
      </c>
      <c r="K1300" s="3">
        <v>49446.09</v>
      </c>
      <c r="L1300" t="s">
        <v>52</v>
      </c>
      <c r="M1300" s="2">
        <v>45670</v>
      </c>
      <c r="N1300" s="2">
        <v>45668</v>
      </c>
      <c r="O1300" t="s">
        <v>60</v>
      </c>
      <c r="P1300" t="s">
        <v>115</v>
      </c>
      <c r="Q1300" t="s">
        <v>28</v>
      </c>
      <c r="R1300" t="s">
        <v>29</v>
      </c>
      <c r="S1300">
        <v>2025</v>
      </c>
      <c r="T1300" t="s">
        <v>2757</v>
      </c>
      <c r="U1300" t="s">
        <v>2768</v>
      </c>
      <c r="V1300" s="4">
        <v>0</v>
      </c>
      <c r="W1300" s="4">
        <v>1</v>
      </c>
    </row>
    <row r="1301" spans="1:23">
      <c r="A1301" t="s">
        <v>1433</v>
      </c>
      <c r="B1301" s="2">
        <v>46128</v>
      </c>
      <c r="C1301" t="s">
        <v>80</v>
      </c>
      <c r="D1301" t="s">
        <v>81</v>
      </c>
      <c r="E1301" t="s">
        <v>39</v>
      </c>
      <c r="F1301" t="s">
        <v>82</v>
      </c>
      <c r="G1301" t="s">
        <v>98</v>
      </c>
      <c r="H1301" t="s">
        <v>99</v>
      </c>
      <c r="I1301">
        <v>37</v>
      </c>
      <c r="J1301" s="3">
        <v>1060.68</v>
      </c>
      <c r="K1301" s="3">
        <v>39245.160000000003</v>
      </c>
      <c r="L1301" t="s">
        <v>25</v>
      </c>
      <c r="M1301" s="2">
        <v>46145</v>
      </c>
      <c r="N1301" s="2">
        <v>46144</v>
      </c>
      <c r="O1301" t="s">
        <v>43</v>
      </c>
      <c r="P1301" t="s">
        <v>64</v>
      </c>
      <c r="Q1301" t="s">
        <v>28</v>
      </c>
      <c r="R1301" t="s">
        <v>29</v>
      </c>
      <c r="S1301">
        <v>2026</v>
      </c>
      <c r="T1301" t="s">
        <v>2741</v>
      </c>
      <c r="U1301" t="s">
        <v>2770</v>
      </c>
      <c r="V1301" s="4">
        <v>0</v>
      </c>
      <c r="W1301" s="4">
        <v>1</v>
      </c>
    </row>
    <row r="1302" spans="1:23">
      <c r="A1302" t="s">
        <v>1434</v>
      </c>
      <c r="B1302" s="2">
        <v>46161</v>
      </c>
      <c r="C1302" t="s">
        <v>66</v>
      </c>
      <c r="D1302" t="s">
        <v>67</v>
      </c>
      <c r="E1302" t="s">
        <v>73</v>
      </c>
      <c r="F1302" t="s">
        <v>49</v>
      </c>
      <c r="G1302" t="s">
        <v>50</v>
      </c>
      <c r="H1302" t="s">
        <v>51</v>
      </c>
      <c r="I1302">
        <v>3</v>
      </c>
      <c r="J1302" s="3">
        <v>50956.75</v>
      </c>
      <c r="K1302" s="3">
        <v>152870.25</v>
      </c>
      <c r="L1302" t="s">
        <v>52</v>
      </c>
      <c r="M1302" s="2">
        <v>46176</v>
      </c>
      <c r="N1302" s="2">
        <v>46176</v>
      </c>
      <c r="O1302" t="s">
        <v>60</v>
      </c>
      <c r="P1302" t="s">
        <v>77</v>
      </c>
      <c r="Q1302" t="s">
        <v>28</v>
      </c>
      <c r="R1302" t="s">
        <v>29</v>
      </c>
      <c r="S1302">
        <v>2026</v>
      </c>
      <c r="T1302" t="s">
        <v>2766</v>
      </c>
      <c r="U1302" t="s">
        <v>2769</v>
      </c>
      <c r="V1302" s="4">
        <v>0</v>
      </c>
      <c r="W1302" s="4">
        <v>1</v>
      </c>
    </row>
    <row r="1303" spans="1:23">
      <c r="A1303" t="s">
        <v>1435</v>
      </c>
      <c r="B1303" s="2">
        <v>45926</v>
      </c>
      <c r="C1303" t="s">
        <v>104</v>
      </c>
      <c r="D1303" t="s">
        <v>105</v>
      </c>
      <c r="E1303" t="s">
        <v>21</v>
      </c>
      <c r="F1303" t="s">
        <v>49</v>
      </c>
      <c r="G1303" t="s">
        <v>68</v>
      </c>
      <c r="H1303" t="s">
        <v>69</v>
      </c>
      <c r="I1303">
        <v>1</v>
      </c>
      <c r="J1303" s="3">
        <v>47992.1</v>
      </c>
      <c r="K1303" s="3">
        <v>47992.1</v>
      </c>
      <c r="L1303" t="s">
        <v>52</v>
      </c>
      <c r="M1303" s="2">
        <v>45933</v>
      </c>
      <c r="N1303" s="2">
        <v>45932</v>
      </c>
      <c r="O1303" t="s">
        <v>26</v>
      </c>
      <c r="P1303" t="s">
        <v>27</v>
      </c>
      <c r="Q1303" t="s">
        <v>28</v>
      </c>
      <c r="R1303" t="s">
        <v>29</v>
      </c>
      <c r="S1303">
        <v>2025</v>
      </c>
      <c r="T1303" t="s">
        <v>2753</v>
      </c>
      <c r="U1303" t="s">
        <v>2754</v>
      </c>
      <c r="V1303" s="4">
        <v>0</v>
      </c>
      <c r="W1303" s="4">
        <v>1</v>
      </c>
    </row>
    <row r="1304" spans="1:23">
      <c r="A1304" t="s">
        <v>1436</v>
      </c>
      <c r="B1304" s="2">
        <v>46178</v>
      </c>
      <c r="C1304" t="s">
        <v>96</v>
      </c>
      <c r="D1304" t="s">
        <v>97</v>
      </c>
      <c r="E1304" t="s">
        <v>39</v>
      </c>
      <c r="F1304" t="s">
        <v>82</v>
      </c>
      <c r="G1304" t="s">
        <v>98</v>
      </c>
      <c r="H1304" t="s">
        <v>99</v>
      </c>
      <c r="I1304">
        <v>40</v>
      </c>
      <c r="J1304" s="3">
        <v>1131.1400000000001</v>
      </c>
      <c r="K1304" s="3">
        <v>45245.599999999999</v>
      </c>
      <c r="L1304" t="s">
        <v>34</v>
      </c>
      <c r="M1304" s="2">
        <v>46193</v>
      </c>
      <c r="N1304" s="2">
        <v>46192</v>
      </c>
      <c r="O1304" t="s">
        <v>26</v>
      </c>
      <c r="P1304" t="s">
        <v>64</v>
      </c>
      <c r="Q1304" t="s">
        <v>28</v>
      </c>
      <c r="R1304" t="s">
        <v>29</v>
      </c>
      <c r="S1304">
        <v>2026</v>
      </c>
      <c r="T1304" t="s">
        <v>2743</v>
      </c>
      <c r="U1304" t="s">
        <v>2744</v>
      </c>
      <c r="V1304" s="4">
        <v>0</v>
      </c>
      <c r="W1304" s="4">
        <v>1</v>
      </c>
    </row>
    <row r="1305" spans="1:23">
      <c r="A1305" t="s">
        <v>1437</v>
      </c>
      <c r="B1305" s="2">
        <v>46020</v>
      </c>
      <c r="C1305" t="s">
        <v>117</v>
      </c>
      <c r="D1305" t="s">
        <v>118</v>
      </c>
      <c r="E1305" t="s">
        <v>73</v>
      </c>
      <c r="F1305" t="s">
        <v>57</v>
      </c>
      <c r="G1305" t="s">
        <v>58</v>
      </c>
      <c r="H1305" t="s">
        <v>59</v>
      </c>
      <c r="I1305">
        <v>7</v>
      </c>
      <c r="J1305" s="3">
        <v>58422.03</v>
      </c>
      <c r="K1305" s="3">
        <v>408954.21</v>
      </c>
      <c r="L1305" t="s">
        <v>52</v>
      </c>
      <c r="M1305" s="2">
        <v>46028</v>
      </c>
      <c r="N1305" s="2">
        <v>46025</v>
      </c>
      <c r="O1305" t="s">
        <v>26</v>
      </c>
      <c r="P1305" t="s">
        <v>77</v>
      </c>
      <c r="Q1305" t="s">
        <v>28</v>
      </c>
      <c r="R1305" t="s">
        <v>29</v>
      </c>
      <c r="S1305">
        <v>2025</v>
      </c>
      <c r="T1305" t="s">
        <v>2745</v>
      </c>
      <c r="U1305" t="s">
        <v>2746</v>
      </c>
      <c r="V1305" s="4">
        <v>0</v>
      </c>
      <c r="W1305" s="4">
        <v>1</v>
      </c>
    </row>
    <row r="1306" spans="1:23">
      <c r="A1306" t="s">
        <v>1438</v>
      </c>
      <c r="B1306" s="2">
        <v>45775</v>
      </c>
      <c r="C1306" t="s">
        <v>55</v>
      </c>
      <c r="D1306" t="s">
        <v>56</v>
      </c>
      <c r="E1306" t="s">
        <v>21</v>
      </c>
      <c r="F1306" t="s">
        <v>57</v>
      </c>
      <c r="G1306" t="s">
        <v>74</v>
      </c>
      <c r="H1306" t="s">
        <v>75</v>
      </c>
      <c r="I1306">
        <v>1</v>
      </c>
      <c r="J1306" s="3">
        <v>9943.52</v>
      </c>
      <c r="K1306" s="3">
        <v>9943.52</v>
      </c>
      <c r="L1306" t="s">
        <v>52</v>
      </c>
      <c r="M1306" s="2">
        <v>45787</v>
      </c>
      <c r="N1306" s="2">
        <v>45786</v>
      </c>
      <c r="O1306" t="s">
        <v>76</v>
      </c>
      <c r="P1306" t="s">
        <v>27</v>
      </c>
      <c r="Q1306" t="s">
        <v>28</v>
      </c>
      <c r="R1306" t="s">
        <v>29</v>
      </c>
      <c r="S1306">
        <v>2025</v>
      </c>
      <c r="T1306" t="s">
        <v>2741</v>
      </c>
      <c r="U1306" t="s">
        <v>2742</v>
      </c>
      <c r="V1306" s="4">
        <v>0</v>
      </c>
      <c r="W1306" s="4">
        <v>1</v>
      </c>
    </row>
    <row r="1307" spans="1:23">
      <c r="A1307" t="s">
        <v>1439</v>
      </c>
      <c r="B1307" s="2">
        <v>45989</v>
      </c>
      <c r="C1307" t="s">
        <v>19</v>
      </c>
      <c r="D1307" t="s">
        <v>20</v>
      </c>
      <c r="E1307" t="s">
        <v>112</v>
      </c>
      <c r="F1307" t="s">
        <v>22</v>
      </c>
      <c r="G1307" t="s">
        <v>23</v>
      </c>
      <c r="H1307" t="s">
        <v>24</v>
      </c>
      <c r="I1307">
        <v>47</v>
      </c>
      <c r="J1307" s="3">
        <v>235.65</v>
      </c>
      <c r="K1307" s="3">
        <v>11075.55</v>
      </c>
      <c r="L1307" t="s">
        <v>34</v>
      </c>
      <c r="M1307" s="2">
        <v>45994</v>
      </c>
      <c r="N1307" s="2">
        <v>45992</v>
      </c>
      <c r="O1307" t="s">
        <v>26</v>
      </c>
      <c r="P1307" t="s">
        <v>115</v>
      </c>
      <c r="Q1307" t="s">
        <v>28</v>
      </c>
      <c r="R1307" t="s">
        <v>29</v>
      </c>
      <c r="S1307">
        <v>2025</v>
      </c>
      <c r="T1307" t="s">
        <v>2763</v>
      </c>
      <c r="U1307" t="s">
        <v>2764</v>
      </c>
      <c r="V1307" s="4">
        <v>0</v>
      </c>
      <c r="W1307" s="4">
        <v>1</v>
      </c>
    </row>
    <row r="1308" spans="1:23">
      <c r="A1308" t="s">
        <v>1440</v>
      </c>
      <c r="B1308" s="2">
        <v>46032</v>
      </c>
      <c r="C1308" t="s">
        <v>104</v>
      </c>
      <c r="D1308" t="s">
        <v>105</v>
      </c>
      <c r="E1308" t="s">
        <v>21</v>
      </c>
      <c r="F1308" t="s">
        <v>49</v>
      </c>
      <c r="G1308" t="s">
        <v>68</v>
      </c>
      <c r="H1308" t="s">
        <v>69</v>
      </c>
      <c r="I1308">
        <v>3</v>
      </c>
      <c r="J1308" s="3">
        <v>47455.58</v>
      </c>
      <c r="K1308" s="3">
        <v>142366.74</v>
      </c>
      <c r="L1308" t="s">
        <v>25</v>
      </c>
      <c r="M1308" s="2">
        <v>46038</v>
      </c>
      <c r="N1308" s="2">
        <v>46038</v>
      </c>
      <c r="O1308" t="s">
        <v>60</v>
      </c>
      <c r="P1308" t="s">
        <v>27</v>
      </c>
      <c r="Q1308" t="s">
        <v>28</v>
      </c>
      <c r="R1308" t="s">
        <v>29</v>
      </c>
      <c r="S1308">
        <v>2026</v>
      </c>
      <c r="T1308" t="s">
        <v>2757</v>
      </c>
      <c r="U1308" t="s">
        <v>2758</v>
      </c>
      <c r="V1308" s="4">
        <v>0</v>
      </c>
      <c r="W1308" s="4">
        <v>1</v>
      </c>
    </row>
    <row r="1309" spans="1:23">
      <c r="A1309" t="s">
        <v>1441</v>
      </c>
      <c r="B1309" s="2">
        <v>45731</v>
      </c>
      <c r="C1309" t="s">
        <v>104</v>
      </c>
      <c r="D1309" t="s">
        <v>105</v>
      </c>
      <c r="E1309" t="s">
        <v>48</v>
      </c>
      <c r="F1309" t="s">
        <v>49</v>
      </c>
      <c r="G1309" t="s">
        <v>165</v>
      </c>
      <c r="H1309" t="s">
        <v>166</v>
      </c>
      <c r="I1309">
        <v>1</v>
      </c>
      <c r="J1309" s="3">
        <v>43268.47</v>
      </c>
      <c r="K1309" s="3">
        <v>43268.47</v>
      </c>
      <c r="L1309" t="s">
        <v>34</v>
      </c>
      <c r="M1309" s="2">
        <v>45745</v>
      </c>
      <c r="N1309" s="2">
        <v>45744</v>
      </c>
      <c r="O1309" t="s">
        <v>60</v>
      </c>
      <c r="P1309" t="s">
        <v>53</v>
      </c>
      <c r="Q1309" t="s">
        <v>28</v>
      </c>
      <c r="R1309" t="s">
        <v>29</v>
      </c>
      <c r="S1309">
        <v>2025</v>
      </c>
      <c r="T1309" t="s">
        <v>2747</v>
      </c>
      <c r="U1309" t="s">
        <v>2748</v>
      </c>
      <c r="V1309" s="4">
        <v>0</v>
      </c>
      <c r="W1309" s="4">
        <v>1</v>
      </c>
    </row>
    <row r="1310" spans="1:23">
      <c r="A1310" t="s">
        <v>1442</v>
      </c>
      <c r="B1310" s="2">
        <v>45719</v>
      </c>
      <c r="C1310" t="s">
        <v>142</v>
      </c>
      <c r="D1310" t="s">
        <v>143</v>
      </c>
      <c r="E1310" t="s">
        <v>39</v>
      </c>
      <c r="F1310" t="s">
        <v>22</v>
      </c>
      <c r="G1310" t="s">
        <v>23</v>
      </c>
      <c r="H1310" t="s">
        <v>24</v>
      </c>
      <c r="I1310">
        <v>15</v>
      </c>
      <c r="J1310" s="3">
        <v>244.78</v>
      </c>
      <c r="K1310" s="3">
        <v>3671.7</v>
      </c>
      <c r="L1310" t="s">
        <v>52</v>
      </c>
      <c r="M1310" s="2">
        <v>45734</v>
      </c>
      <c r="N1310" s="2">
        <v>45745</v>
      </c>
      <c r="O1310" t="s">
        <v>60</v>
      </c>
      <c r="P1310" t="s">
        <v>64</v>
      </c>
      <c r="Q1310" t="s">
        <v>28</v>
      </c>
      <c r="R1310" t="s">
        <v>129</v>
      </c>
      <c r="S1310">
        <v>2025</v>
      </c>
      <c r="T1310" t="s">
        <v>2747</v>
      </c>
      <c r="U1310" t="s">
        <v>2748</v>
      </c>
      <c r="V1310" s="4">
        <v>11</v>
      </c>
      <c r="W1310" s="4">
        <v>0</v>
      </c>
    </row>
    <row r="1311" spans="1:23">
      <c r="A1311" t="s">
        <v>1443</v>
      </c>
      <c r="B1311" s="2">
        <v>45749</v>
      </c>
      <c r="C1311" t="s">
        <v>142</v>
      </c>
      <c r="D1311" t="s">
        <v>143</v>
      </c>
      <c r="E1311" t="s">
        <v>39</v>
      </c>
      <c r="F1311" t="s">
        <v>22</v>
      </c>
      <c r="G1311" t="s">
        <v>32</v>
      </c>
      <c r="H1311" t="s">
        <v>33</v>
      </c>
      <c r="I1311">
        <v>15</v>
      </c>
      <c r="J1311" s="3">
        <v>7990.95</v>
      </c>
      <c r="K1311" s="3">
        <v>119864.25</v>
      </c>
      <c r="L1311" t="s">
        <v>25</v>
      </c>
      <c r="M1311" s="2">
        <v>45763</v>
      </c>
      <c r="N1311" s="2">
        <v>45760</v>
      </c>
      <c r="O1311" t="s">
        <v>60</v>
      </c>
      <c r="P1311" t="s">
        <v>64</v>
      </c>
      <c r="Q1311" t="s">
        <v>28</v>
      </c>
      <c r="R1311" t="s">
        <v>29</v>
      </c>
      <c r="S1311">
        <v>2025</v>
      </c>
      <c r="T1311" t="s">
        <v>2741</v>
      </c>
      <c r="U1311" t="s">
        <v>2742</v>
      </c>
      <c r="V1311" s="4">
        <v>0</v>
      </c>
      <c r="W1311" s="4">
        <v>1</v>
      </c>
    </row>
    <row r="1312" spans="1:23">
      <c r="A1312" t="s">
        <v>1444</v>
      </c>
      <c r="B1312" s="2">
        <v>45733</v>
      </c>
      <c r="C1312" t="s">
        <v>117</v>
      </c>
      <c r="D1312" t="s">
        <v>118</v>
      </c>
      <c r="E1312" t="s">
        <v>31</v>
      </c>
      <c r="F1312" t="s">
        <v>57</v>
      </c>
      <c r="G1312" t="s">
        <v>86</v>
      </c>
      <c r="H1312" t="s">
        <v>87</v>
      </c>
      <c r="I1312">
        <v>3</v>
      </c>
      <c r="J1312" s="3">
        <v>11131.58</v>
      </c>
      <c r="K1312" s="3">
        <v>33394.74</v>
      </c>
      <c r="L1312" t="s">
        <v>34</v>
      </c>
      <c r="M1312" s="2">
        <v>45740</v>
      </c>
      <c r="N1312" s="2">
        <v>45737</v>
      </c>
      <c r="O1312" t="s">
        <v>43</v>
      </c>
      <c r="P1312" t="s">
        <v>35</v>
      </c>
      <c r="Q1312" t="s">
        <v>28</v>
      </c>
      <c r="R1312" t="s">
        <v>29</v>
      </c>
      <c r="S1312">
        <v>2025</v>
      </c>
      <c r="T1312" t="s">
        <v>2747</v>
      </c>
      <c r="U1312" t="s">
        <v>2748</v>
      </c>
      <c r="V1312" s="4">
        <v>0</v>
      </c>
      <c r="W1312" s="4">
        <v>1</v>
      </c>
    </row>
    <row r="1313" spans="1:23">
      <c r="A1313" t="s">
        <v>1445</v>
      </c>
      <c r="B1313" s="2">
        <v>46201</v>
      </c>
      <c r="C1313" t="s">
        <v>142</v>
      </c>
      <c r="D1313" t="s">
        <v>143</v>
      </c>
      <c r="E1313" t="s">
        <v>31</v>
      </c>
      <c r="F1313" t="s">
        <v>22</v>
      </c>
      <c r="G1313" t="s">
        <v>160</v>
      </c>
      <c r="H1313" t="s">
        <v>161</v>
      </c>
      <c r="I1313">
        <v>15</v>
      </c>
      <c r="J1313" s="3">
        <v>3262.33</v>
      </c>
      <c r="K1313" s="3">
        <v>48934.95</v>
      </c>
      <c r="L1313" t="s">
        <v>34</v>
      </c>
      <c r="M1313" s="2">
        <v>46209</v>
      </c>
      <c r="N1313" s="2"/>
      <c r="O1313" t="s">
        <v>60</v>
      </c>
      <c r="P1313" t="s">
        <v>35</v>
      </c>
      <c r="Q1313" t="s">
        <v>167</v>
      </c>
      <c r="R1313" t="s">
        <v>167</v>
      </c>
      <c r="S1313">
        <v>2026</v>
      </c>
      <c r="T1313" t="s">
        <v>2743</v>
      </c>
      <c r="U1313" t="s">
        <v>2744</v>
      </c>
      <c r="V1313" s="4"/>
      <c r="W1313" s="4"/>
    </row>
    <row r="1314" spans="1:23">
      <c r="A1314" t="s">
        <v>1446</v>
      </c>
      <c r="B1314" s="2">
        <v>45974</v>
      </c>
      <c r="C1314" t="s">
        <v>104</v>
      </c>
      <c r="D1314" t="s">
        <v>105</v>
      </c>
      <c r="E1314" t="s">
        <v>112</v>
      </c>
      <c r="F1314" t="s">
        <v>49</v>
      </c>
      <c r="G1314" t="s">
        <v>165</v>
      </c>
      <c r="H1314" t="s">
        <v>166</v>
      </c>
      <c r="I1314">
        <v>1</v>
      </c>
      <c r="J1314" s="3">
        <v>43704.99</v>
      </c>
      <c r="K1314" s="3">
        <v>43704.99</v>
      </c>
      <c r="L1314" t="s">
        <v>25</v>
      </c>
      <c r="M1314" s="2">
        <v>45981</v>
      </c>
      <c r="N1314" s="2">
        <v>45981</v>
      </c>
      <c r="O1314" t="s">
        <v>43</v>
      </c>
      <c r="P1314" t="s">
        <v>115</v>
      </c>
      <c r="Q1314" t="s">
        <v>28</v>
      </c>
      <c r="R1314" t="s">
        <v>29</v>
      </c>
      <c r="S1314">
        <v>2025</v>
      </c>
      <c r="T1314" t="s">
        <v>2763</v>
      </c>
      <c r="U1314" t="s">
        <v>2764</v>
      </c>
      <c r="V1314" s="4">
        <v>0</v>
      </c>
      <c r="W1314" s="4">
        <v>1</v>
      </c>
    </row>
    <row r="1315" spans="1:23">
      <c r="A1315" t="s">
        <v>1447</v>
      </c>
      <c r="B1315" s="2">
        <v>45948</v>
      </c>
      <c r="C1315" t="s">
        <v>71</v>
      </c>
      <c r="D1315" t="s">
        <v>72</v>
      </c>
      <c r="E1315" t="s">
        <v>48</v>
      </c>
      <c r="F1315" t="s">
        <v>57</v>
      </c>
      <c r="G1315" t="s">
        <v>86</v>
      </c>
      <c r="H1315" t="s">
        <v>87</v>
      </c>
      <c r="I1315">
        <v>7</v>
      </c>
      <c r="J1315" s="3">
        <v>10299.15</v>
      </c>
      <c r="K1315" s="3">
        <v>72094.05</v>
      </c>
      <c r="L1315" t="s">
        <v>25</v>
      </c>
      <c r="M1315" s="2">
        <v>45957</v>
      </c>
      <c r="N1315" s="2">
        <v>45954</v>
      </c>
      <c r="O1315" t="s">
        <v>76</v>
      </c>
      <c r="P1315" t="s">
        <v>53</v>
      </c>
      <c r="Q1315" t="s">
        <v>28</v>
      </c>
      <c r="R1315" t="s">
        <v>29</v>
      </c>
      <c r="S1315">
        <v>2025</v>
      </c>
      <c r="T1315" t="s">
        <v>2749</v>
      </c>
      <c r="U1315" t="s">
        <v>2750</v>
      </c>
      <c r="V1315" s="4">
        <v>0</v>
      </c>
      <c r="W1315" s="4">
        <v>1</v>
      </c>
    </row>
    <row r="1316" spans="1:23">
      <c r="A1316" t="s">
        <v>1448</v>
      </c>
      <c r="B1316" s="2">
        <v>45749</v>
      </c>
      <c r="C1316" t="s">
        <v>147</v>
      </c>
      <c r="D1316" t="s">
        <v>148</v>
      </c>
      <c r="E1316" t="s">
        <v>39</v>
      </c>
      <c r="F1316" t="s">
        <v>40</v>
      </c>
      <c r="G1316" t="s">
        <v>62</v>
      </c>
      <c r="H1316" t="s">
        <v>63</v>
      </c>
      <c r="I1316">
        <v>6</v>
      </c>
      <c r="J1316" s="3">
        <v>17103.59</v>
      </c>
      <c r="K1316" s="3">
        <v>102621.54</v>
      </c>
      <c r="L1316" t="s">
        <v>25</v>
      </c>
      <c r="M1316" s="2">
        <v>45754</v>
      </c>
      <c r="N1316" s="2">
        <v>45759</v>
      </c>
      <c r="O1316" t="s">
        <v>26</v>
      </c>
      <c r="P1316" t="s">
        <v>44</v>
      </c>
      <c r="Q1316" t="s">
        <v>28</v>
      </c>
      <c r="R1316" t="s">
        <v>129</v>
      </c>
      <c r="S1316">
        <v>2025</v>
      </c>
      <c r="T1316" t="s">
        <v>2741</v>
      </c>
      <c r="U1316" t="s">
        <v>2742</v>
      </c>
      <c r="V1316" s="4">
        <v>5</v>
      </c>
      <c r="W1316" s="4">
        <v>0</v>
      </c>
    </row>
    <row r="1317" spans="1:23">
      <c r="A1317" t="s">
        <v>1449</v>
      </c>
      <c r="B1317" s="2">
        <v>45861</v>
      </c>
      <c r="C1317" t="s">
        <v>46</v>
      </c>
      <c r="D1317" t="s">
        <v>47</v>
      </c>
      <c r="E1317" t="s">
        <v>48</v>
      </c>
      <c r="F1317" t="s">
        <v>49</v>
      </c>
      <c r="G1317" t="s">
        <v>68</v>
      </c>
      <c r="H1317" t="s">
        <v>69</v>
      </c>
      <c r="I1317">
        <v>2</v>
      </c>
      <c r="J1317" s="3">
        <v>53254.05</v>
      </c>
      <c r="K1317" s="3">
        <v>106508.1</v>
      </c>
      <c r="L1317" t="s">
        <v>25</v>
      </c>
      <c r="M1317" s="2">
        <v>45867</v>
      </c>
      <c r="N1317" s="2">
        <v>45865</v>
      </c>
      <c r="O1317" t="s">
        <v>60</v>
      </c>
      <c r="P1317" t="s">
        <v>53</v>
      </c>
      <c r="Q1317" t="s">
        <v>28</v>
      </c>
      <c r="R1317" t="s">
        <v>29</v>
      </c>
      <c r="S1317">
        <v>2025</v>
      </c>
      <c r="T1317" t="s">
        <v>2759</v>
      </c>
      <c r="U1317" t="s">
        <v>2760</v>
      </c>
      <c r="V1317" s="4">
        <v>0</v>
      </c>
      <c r="W1317" s="4">
        <v>1</v>
      </c>
    </row>
    <row r="1318" spans="1:23">
      <c r="A1318" t="s">
        <v>1450</v>
      </c>
      <c r="B1318" s="2">
        <v>45986</v>
      </c>
      <c r="C1318" t="s">
        <v>104</v>
      </c>
      <c r="D1318" t="s">
        <v>105</v>
      </c>
      <c r="E1318" t="s">
        <v>48</v>
      </c>
      <c r="F1318" t="s">
        <v>49</v>
      </c>
      <c r="G1318" t="s">
        <v>113</v>
      </c>
      <c r="H1318" t="s">
        <v>114</v>
      </c>
      <c r="I1318">
        <v>1</v>
      </c>
      <c r="J1318" s="3">
        <v>37676.19</v>
      </c>
      <c r="K1318" s="3">
        <v>37676.19</v>
      </c>
      <c r="L1318" t="s">
        <v>34</v>
      </c>
      <c r="M1318" s="2">
        <v>45999</v>
      </c>
      <c r="N1318" s="2">
        <v>45996</v>
      </c>
      <c r="O1318" t="s">
        <v>60</v>
      </c>
      <c r="P1318" t="s">
        <v>53</v>
      </c>
      <c r="Q1318" t="s">
        <v>28</v>
      </c>
      <c r="R1318" t="s">
        <v>29</v>
      </c>
      <c r="S1318">
        <v>2025</v>
      </c>
      <c r="T1318" t="s">
        <v>2763</v>
      </c>
      <c r="U1318" t="s">
        <v>2764</v>
      </c>
      <c r="V1318" s="4">
        <v>0</v>
      </c>
      <c r="W1318" s="4">
        <v>1</v>
      </c>
    </row>
    <row r="1319" spans="1:23">
      <c r="A1319" t="s">
        <v>1451</v>
      </c>
      <c r="B1319" s="2">
        <v>45979</v>
      </c>
      <c r="C1319" t="s">
        <v>46</v>
      </c>
      <c r="D1319" t="s">
        <v>47</v>
      </c>
      <c r="E1319" t="s">
        <v>112</v>
      </c>
      <c r="F1319" t="s">
        <v>49</v>
      </c>
      <c r="G1319" t="s">
        <v>165</v>
      </c>
      <c r="H1319" t="s">
        <v>166</v>
      </c>
      <c r="I1319">
        <v>1</v>
      </c>
      <c r="J1319" s="3">
        <v>47288.89</v>
      </c>
      <c r="K1319" s="3">
        <v>47288.89</v>
      </c>
      <c r="L1319" t="s">
        <v>25</v>
      </c>
      <c r="M1319" s="2">
        <v>45990</v>
      </c>
      <c r="N1319" s="2">
        <v>45989</v>
      </c>
      <c r="O1319" t="s">
        <v>76</v>
      </c>
      <c r="P1319" t="s">
        <v>115</v>
      </c>
      <c r="Q1319" t="s">
        <v>28</v>
      </c>
      <c r="R1319" t="s">
        <v>29</v>
      </c>
      <c r="S1319">
        <v>2025</v>
      </c>
      <c r="T1319" t="s">
        <v>2763</v>
      </c>
      <c r="U1319" t="s">
        <v>2764</v>
      </c>
      <c r="V1319" s="4">
        <v>0</v>
      </c>
      <c r="W1319" s="4">
        <v>1</v>
      </c>
    </row>
    <row r="1320" spans="1:23">
      <c r="A1320" t="s">
        <v>1452</v>
      </c>
      <c r="B1320" s="2">
        <v>45957</v>
      </c>
      <c r="C1320" t="s">
        <v>66</v>
      </c>
      <c r="D1320" t="s">
        <v>67</v>
      </c>
      <c r="E1320" t="s">
        <v>21</v>
      </c>
      <c r="F1320" t="s">
        <v>49</v>
      </c>
      <c r="G1320" t="s">
        <v>113</v>
      </c>
      <c r="H1320" t="s">
        <v>114</v>
      </c>
      <c r="I1320">
        <v>1</v>
      </c>
      <c r="J1320" s="3">
        <v>36398.58</v>
      </c>
      <c r="K1320" s="3">
        <v>36398.58</v>
      </c>
      <c r="L1320" t="s">
        <v>34</v>
      </c>
      <c r="M1320" s="2">
        <v>45968</v>
      </c>
      <c r="N1320" s="2">
        <v>45967</v>
      </c>
      <c r="O1320" t="s">
        <v>26</v>
      </c>
      <c r="P1320" t="s">
        <v>27</v>
      </c>
      <c r="Q1320" t="s">
        <v>28</v>
      </c>
      <c r="R1320" t="s">
        <v>29</v>
      </c>
      <c r="S1320">
        <v>2025</v>
      </c>
      <c r="T1320" t="s">
        <v>2749</v>
      </c>
      <c r="U1320" t="s">
        <v>2750</v>
      </c>
      <c r="V1320" s="4">
        <v>0</v>
      </c>
      <c r="W1320" s="4">
        <v>1</v>
      </c>
    </row>
    <row r="1321" spans="1:23">
      <c r="A1321" t="s">
        <v>1453</v>
      </c>
      <c r="B1321" s="2">
        <v>45940</v>
      </c>
      <c r="C1321" t="s">
        <v>131</v>
      </c>
      <c r="D1321" t="s">
        <v>132</v>
      </c>
      <c r="E1321" t="s">
        <v>21</v>
      </c>
      <c r="F1321" t="s">
        <v>57</v>
      </c>
      <c r="G1321" t="s">
        <v>58</v>
      </c>
      <c r="H1321" t="s">
        <v>59</v>
      </c>
      <c r="I1321">
        <v>3</v>
      </c>
      <c r="J1321" s="3">
        <v>58699.85</v>
      </c>
      <c r="K1321" s="3">
        <v>176099.55</v>
      </c>
      <c r="L1321" t="s">
        <v>25</v>
      </c>
      <c r="M1321" s="2">
        <v>45947</v>
      </c>
      <c r="N1321" s="2">
        <v>45945</v>
      </c>
      <c r="O1321" t="s">
        <v>26</v>
      </c>
      <c r="P1321" t="s">
        <v>27</v>
      </c>
      <c r="Q1321" t="s">
        <v>28</v>
      </c>
      <c r="R1321" t="s">
        <v>29</v>
      </c>
      <c r="S1321">
        <v>2025</v>
      </c>
      <c r="T1321" t="s">
        <v>2749</v>
      </c>
      <c r="U1321" t="s">
        <v>2750</v>
      </c>
      <c r="V1321" s="4">
        <v>0</v>
      </c>
      <c r="W1321" s="4">
        <v>1</v>
      </c>
    </row>
    <row r="1322" spans="1:23">
      <c r="A1322" t="s">
        <v>1454</v>
      </c>
      <c r="B1322" s="2">
        <v>46192</v>
      </c>
      <c r="C1322" t="s">
        <v>142</v>
      </c>
      <c r="D1322" t="s">
        <v>143</v>
      </c>
      <c r="E1322" t="s">
        <v>112</v>
      </c>
      <c r="F1322" t="s">
        <v>22</v>
      </c>
      <c r="G1322" t="s">
        <v>23</v>
      </c>
      <c r="H1322" t="s">
        <v>24</v>
      </c>
      <c r="I1322">
        <v>53</v>
      </c>
      <c r="J1322" s="3">
        <v>271.92</v>
      </c>
      <c r="K1322" s="3">
        <v>14411.76</v>
      </c>
      <c r="L1322" t="s">
        <v>25</v>
      </c>
      <c r="M1322" s="2">
        <v>46206</v>
      </c>
      <c r="N1322" s="2">
        <v>46206</v>
      </c>
      <c r="O1322" t="s">
        <v>60</v>
      </c>
      <c r="P1322" t="s">
        <v>115</v>
      </c>
      <c r="Q1322" t="s">
        <v>28</v>
      </c>
      <c r="R1322" t="s">
        <v>29</v>
      </c>
      <c r="S1322">
        <v>2026</v>
      </c>
      <c r="T1322" t="s">
        <v>2743</v>
      </c>
      <c r="U1322" t="s">
        <v>2744</v>
      </c>
      <c r="V1322" s="4">
        <v>0</v>
      </c>
      <c r="W1322" s="4">
        <v>1</v>
      </c>
    </row>
    <row r="1323" spans="1:23">
      <c r="A1323" t="s">
        <v>1455</v>
      </c>
      <c r="B1323" s="2">
        <v>46148</v>
      </c>
      <c r="C1323" t="s">
        <v>104</v>
      </c>
      <c r="D1323" t="s">
        <v>105</v>
      </c>
      <c r="E1323" t="s">
        <v>112</v>
      </c>
      <c r="F1323" t="s">
        <v>49</v>
      </c>
      <c r="G1323" t="s">
        <v>165</v>
      </c>
      <c r="H1323" t="s">
        <v>166</v>
      </c>
      <c r="I1323">
        <v>2</v>
      </c>
      <c r="J1323" s="3">
        <v>45752.7</v>
      </c>
      <c r="K1323" s="3">
        <v>91505.4</v>
      </c>
      <c r="L1323" t="s">
        <v>52</v>
      </c>
      <c r="M1323" s="2">
        <v>46158</v>
      </c>
      <c r="N1323" s="2">
        <v>46157</v>
      </c>
      <c r="O1323" t="s">
        <v>26</v>
      </c>
      <c r="P1323" t="s">
        <v>115</v>
      </c>
      <c r="Q1323" t="s">
        <v>28</v>
      </c>
      <c r="R1323" t="s">
        <v>29</v>
      </c>
      <c r="S1323">
        <v>2026</v>
      </c>
      <c r="T1323" t="s">
        <v>2766</v>
      </c>
      <c r="U1323" t="s">
        <v>2769</v>
      </c>
      <c r="V1323" s="4">
        <v>0</v>
      </c>
      <c r="W1323" s="4">
        <v>1</v>
      </c>
    </row>
    <row r="1324" spans="1:23">
      <c r="A1324" t="s">
        <v>1456</v>
      </c>
      <c r="B1324" s="2">
        <v>45908</v>
      </c>
      <c r="C1324" t="s">
        <v>71</v>
      </c>
      <c r="D1324" t="s">
        <v>72</v>
      </c>
      <c r="E1324" t="s">
        <v>21</v>
      </c>
      <c r="F1324" t="s">
        <v>57</v>
      </c>
      <c r="G1324" t="s">
        <v>74</v>
      </c>
      <c r="H1324" t="s">
        <v>75</v>
      </c>
      <c r="I1324">
        <v>2</v>
      </c>
      <c r="J1324" s="3">
        <v>8053.12</v>
      </c>
      <c r="K1324" s="3">
        <v>16106.24</v>
      </c>
      <c r="L1324" t="s">
        <v>34</v>
      </c>
      <c r="M1324" s="2">
        <v>45915</v>
      </c>
      <c r="N1324" s="2">
        <v>45914</v>
      </c>
      <c r="O1324" t="s">
        <v>43</v>
      </c>
      <c r="P1324" t="s">
        <v>27</v>
      </c>
      <c r="Q1324" t="s">
        <v>28</v>
      </c>
      <c r="R1324" t="s">
        <v>29</v>
      </c>
      <c r="S1324">
        <v>2025</v>
      </c>
      <c r="T1324" t="s">
        <v>2753</v>
      </c>
      <c r="U1324" t="s">
        <v>2754</v>
      </c>
      <c r="V1324" s="4">
        <v>0</v>
      </c>
      <c r="W1324" s="4">
        <v>1</v>
      </c>
    </row>
    <row r="1325" spans="1:23">
      <c r="A1325" t="s">
        <v>1457</v>
      </c>
      <c r="B1325" s="2">
        <v>46022</v>
      </c>
      <c r="C1325" t="s">
        <v>131</v>
      </c>
      <c r="D1325" t="s">
        <v>132</v>
      </c>
      <c r="E1325" t="s">
        <v>48</v>
      </c>
      <c r="F1325" t="s">
        <v>57</v>
      </c>
      <c r="G1325" t="s">
        <v>120</v>
      </c>
      <c r="H1325" t="s">
        <v>121</v>
      </c>
      <c r="I1325">
        <v>7</v>
      </c>
      <c r="J1325" s="3">
        <v>22720.47</v>
      </c>
      <c r="K1325" s="3">
        <v>159043.29</v>
      </c>
      <c r="L1325" t="s">
        <v>25</v>
      </c>
      <c r="M1325" s="2">
        <v>46040</v>
      </c>
      <c r="N1325" s="2">
        <v>46037</v>
      </c>
      <c r="O1325" t="s">
        <v>76</v>
      </c>
      <c r="P1325" t="s">
        <v>53</v>
      </c>
      <c r="Q1325" t="s">
        <v>28</v>
      </c>
      <c r="R1325" t="s">
        <v>29</v>
      </c>
      <c r="S1325">
        <v>2025</v>
      </c>
      <c r="T1325" t="s">
        <v>2745</v>
      </c>
      <c r="U1325" t="s">
        <v>2746</v>
      </c>
      <c r="V1325" s="4">
        <v>0</v>
      </c>
      <c r="W1325" s="4">
        <v>1</v>
      </c>
    </row>
    <row r="1326" spans="1:23">
      <c r="A1326" t="s">
        <v>1458</v>
      </c>
      <c r="B1326" s="2">
        <v>45660</v>
      </c>
      <c r="C1326" t="s">
        <v>19</v>
      </c>
      <c r="D1326" t="s">
        <v>20</v>
      </c>
      <c r="E1326" t="s">
        <v>73</v>
      </c>
      <c r="F1326" t="s">
        <v>22</v>
      </c>
      <c r="G1326" t="s">
        <v>32</v>
      </c>
      <c r="H1326" t="s">
        <v>33</v>
      </c>
      <c r="I1326">
        <v>5</v>
      </c>
      <c r="J1326" s="3">
        <v>7580.39</v>
      </c>
      <c r="K1326" s="3">
        <v>37901.949999999997</v>
      </c>
      <c r="L1326" t="s">
        <v>25</v>
      </c>
      <c r="M1326" s="2">
        <v>45676</v>
      </c>
      <c r="N1326" s="2">
        <v>45674</v>
      </c>
      <c r="O1326" t="s">
        <v>76</v>
      </c>
      <c r="P1326" t="s">
        <v>77</v>
      </c>
      <c r="Q1326" t="s">
        <v>28</v>
      </c>
      <c r="R1326" t="s">
        <v>29</v>
      </c>
      <c r="S1326">
        <v>2025</v>
      </c>
      <c r="T1326" t="s">
        <v>2757</v>
      </c>
      <c r="U1326" t="s">
        <v>2768</v>
      </c>
      <c r="V1326" s="4">
        <v>0</v>
      </c>
      <c r="W1326" s="4">
        <v>1</v>
      </c>
    </row>
    <row r="1327" spans="1:23">
      <c r="A1327" t="s">
        <v>1459</v>
      </c>
      <c r="B1327" s="2">
        <v>46055</v>
      </c>
      <c r="C1327" t="s">
        <v>96</v>
      </c>
      <c r="D1327" t="s">
        <v>97</v>
      </c>
      <c r="E1327" t="s">
        <v>39</v>
      </c>
      <c r="F1327" t="s">
        <v>82</v>
      </c>
      <c r="G1327" t="s">
        <v>197</v>
      </c>
      <c r="H1327" t="s">
        <v>198</v>
      </c>
      <c r="I1327">
        <v>23</v>
      </c>
      <c r="J1327" s="3">
        <v>2205.1</v>
      </c>
      <c r="K1327" s="3">
        <v>50717.3</v>
      </c>
      <c r="L1327" t="s">
        <v>25</v>
      </c>
      <c r="M1327" s="2">
        <v>46062</v>
      </c>
      <c r="N1327" s="2">
        <v>46059</v>
      </c>
      <c r="O1327" t="s">
        <v>26</v>
      </c>
      <c r="P1327" t="s">
        <v>64</v>
      </c>
      <c r="Q1327" t="s">
        <v>28</v>
      </c>
      <c r="R1327" t="s">
        <v>29</v>
      </c>
      <c r="S1327">
        <v>2026</v>
      </c>
      <c r="T1327" t="s">
        <v>2751</v>
      </c>
      <c r="U1327" t="s">
        <v>2765</v>
      </c>
      <c r="V1327" s="4">
        <v>0</v>
      </c>
      <c r="W1327" s="4">
        <v>1</v>
      </c>
    </row>
    <row r="1328" spans="1:23">
      <c r="A1328" t="s">
        <v>1460</v>
      </c>
      <c r="B1328" s="2">
        <v>45912</v>
      </c>
      <c r="C1328" t="s">
        <v>142</v>
      </c>
      <c r="D1328" t="s">
        <v>143</v>
      </c>
      <c r="E1328" t="s">
        <v>73</v>
      </c>
      <c r="F1328" t="s">
        <v>22</v>
      </c>
      <c r="G1328" t="s">
        <v>160</v>
      </c>
      <c r="H1328" t="s">
        <v>161</v>
      </c>
      <c r="I1328">
        <v>1</v>
      </c>
      <c r="J1328" s="3">
        <v>3209.98</v>
      </c>
      <c r="K1328" s="3">
        <v>3209.98</v>
      </c>
      <c r="L1328" t="s">
        <v>34</v>
      </c>
      <c r="M1328" s="2">
        <v>45921</v>
      </c>
      <c r="N1328" s="2">
        <v>45918</v>
      </c>
      <c r="O1328" t="s">
        <v>60</v>
      </c>
      <c r="P1328" t="s">
        <v>77</v>
      </c>
      <c r="Q1328" t="s">
        <v>28</v>
      </c>
      <c r="R1328" t="s">
        <v>29</v>
      </c>
      <c r="S1328">
        <v>2025</v>
      </c>
      <c r="T1328" t="s">
        <v>2753</v>
      </c>
      <c r="U1328" t="s">
        <v>2754</v>
      </c>
      <c r="V1328" s="4">
        <v>0</v>
      </c>
      <c r="W1328" s="4">
        <v>1</v>
      </c>
    </row>
    <row r="1329" spans="1:23">
      <c r="A1329" t="s">
        <v>1461</v>
      </c>
      <c r="B1329" s="2">
        <v>45686</v>
      </c>
      <c r="C1329" t="s">
        <v>46</v>
      </c>
      <c r="D1329" t="s">
        <v>47</v>
      </c>
      <c r="E1329" t="s">
        <v>48</v>
      </c>
      <c r="F1329" t="s">
        <v>49</v>
      </c>
      <c r="G1329" t="s">
        <v>50</v>
      </c>
      <c r="H1329" t="s">
        <v>51</v>
      </c>
      <c r="I1329">
        <v>3</v>
      </c>
      <c r="J1329" s="3">
        <v>54307.1</v>
      </c>
      <c r="K1329" s="3">
        <v>162921.29999999999</v>
      </c>
      <c r="L1329" t="s">
        <v>34</v>
      </c>
      <c r="M1329" s="2">
        <v>45691</v>
      </c>
      <c r="N1329" s="2">
        <v>45691</v>
      </c>
      <c r="O1329" t="s">
        <v>60</v>
      </c>
      <c r="P1329" t="s">
        <v>53</v>
      </c>
      <c r="Q1329" t="s">
        <v>28</v>
      </c>
      <c r="R1329" t="s">
        <v>29</v>
      </c>
      <c r="S1329">
        <v>2025</v>
      </c>
      <c r="T1329" t="s">
        <v>2757</v>
      </c>
      <c r="U1329" t="s">
        <v>2768</v>
      </c>
      <c r="V1329" s="4">
        <v>0</v>
      </c>
      <c r="W1329" s="4">
        <v>1</v>
      </c>
    </row>
    <row r="1330" spans="1:23">
      <c r="A1330" t="s">
        <v>1462</v>
      </c>
      <c r="B1330" s="2">
        <v>45950</v>
      </c>
      <c r="C1330" t="s">
        <v>142</v>
      </c>
      <c r="D1330" t="s">
        <v>143</v>
      </c>
      <c r="E1330" t="s">
        <v>21</v>
      </c>
      <c r="F1330" t="s">
        <v>22</v>
      </c>
      <c r="G1330" t="s">
        <v>160</v>
      </c>
      <c r="H1330" t="s">
        <v>161</v>
      </c>
      <c r="I1330">
        <v>3</v>
      </c>
      <c r="J1330" s="3">
        <v>3114.31</v>
      </c>
      <c r="K1330" s="3">
        <v>9342.93</v>
      </c>
      <c r="L1330" t="s">
        <v>52</v>
      </c>
      <c r="M1330" s="2">
        <v>45958</v>
      </c>
      <c r="N1330" s="2">
        <v>45956</v>
      </c>
      <c r="O1330" t="s">
        <v>26</v>
      </c>
      <c r="P1330" t="s">
        <v>27</v>
      </c>
      <c r="Q1330" t="s">
        <v>28</v>
      </c>
      <c r="R1330" t="s">
        <v>29</v>
      </c>
      <c r="S1330">
        <v>2025</v>
      </c>
      <c r="T1330" t="s">
        <v>2749</v>
      </c>
      <c r="U1330" t="s">
        <v>2750</v>
      </c>
      <c r="V1330" s="4">
        <v>0</v>
      </c>
      <c r="W1330" s="4">
        <v>1</v>
      </c>
    </row>
    <row r="1331" spans="1:23">
      <c r="A1331" t="s">
        <v>1463</v>
      </c>
      <c r="B1331" s="2">
        <v>45945</v>
      </c>
      <c r="C1331" t="s">
        <v>46</v>
      </c>
      <c r="D1331" t="s">
        <v>47</v>
      </c>
      <c r="E1331" t="s">
        <v>21</v>
      </c>
      <c r="F1331" t="s">
        <v>49</v>
      </c>
      <c r="G1331" t="s">
        <v>165</v>
      </c>
      <c r="H1331" t="s">
        <v>166</v>
      </c>
      <c r="I1331">
        <v>1</v>
      </c>
      <c r="J1331" s="3">
        <v>49028.46</v>
      </c>
      <c r="K1331" s="3">
        <v>49028.46</v>
      </c>
      <c r="L1331" t="s">
        <v>34</v>
      </c>
      <c r="M1331" s="2">
        <v>45953</v>
      </c>
      <c r="N1331" s="2">
        <v>45952</v>
      </c>
      <c r="O1331" t="s">
        <v>26</v>
      </c>
      <c r="P1331" t="s">
        <v>27</v>
      </c>
      <c r="Q1331" t="s">
        <v>28</v>
      </c>
      <c r="R1331" t="s">
        <v>29</v>
      </c>
      <c r="S1331">
        <v>2025</v>
      </c>
      <c r="T1331" t="s">
        <v>2749</v>
      </c>
      <c r="U1331" t="s">
        <v>2750</v>
      </c>
      <c r="V1331" s="4">
        <v>0</v>
      </c>
      <c r="W1331" s="4">
        <v>1</v>
      </c>
    </row>
    <row r="1332" spans="1:23">
      <c r="A1332" t="s">
        <v>1464</v>
      </c>
      <c r="B1332" s="2">
        <v>45797</v>
      </c>
      <c r="C1332" t="s">
        <v>117</v>
      </c>
      <c r="D1332" t="s">
        <v>118</v>
      </c>
      <c r="E1332" t="s">
        <v>21</v>
      </c>
      <c r="F1332" t="s">
        <v>57</v>
      </c>
      <c r="G1332" t="s">
        <v>101</v>
      </c>
      <c r="H1332" t="s">
        <v>102</v>
      </c>
      <c r="I1332">
        <v>19</v>
      </c>
      <c r="J1332" s="3">
        <v>1883.71</v>
      </c>
      <c r="K1332" s="3">
        <v>35790.49</v>
      </c>
      <c r="L1332" t="s">
        <v>25</v>
      </c>
      <c r="M1332" s="2">
        <v>45802</v>
      </c>
      <c r="N1332" s="2">
        <v>45800</v>
      </c>
      <c r="O1332" t="s">
        <v>60</v>
      </c>
      <c r="P1332" t="s">
        <v>27</v>
      </c>
      <c r="Q1332" t="s">
        <v>28</v>
      </c>
      <c r="R1332" t="s">
        <v>29</v>
      </c>
      <c r="S1332">
        <v>2025</v>
      </c>
      <c r="T1332" t="s">
        <v>2766</v>
      </c>
      <c r="U1332" t="s">
        <v>2767</v>
      </c>
      <c r="V1332" s="4">
        <v>0</v>
      </c>
      <c r="W1332" s="4">
        <v>1</v>
      </c>
    </row>
    <row r="1333" spans="1:23">
      <c r="A1333" t="s">
        <v>1465</v>
      </c>
      <c r="B1333" s="2">
        <v>46096</v>
      </c>
      <c r="C1333" t="s">
        <v>37</v>
      </c>
      <c r="D1333" t="s">
        <v>38</v>
      </c>
      <c r="E1333" t="s">
        <v>73</v>
      </c>
      <c r="F1333" t="s">
        <v>22</v>
      </c>
      <c r="G1333" t="s">
        <v>160</v>
      </c>
      <c r="H1333" t="s">
        <v>161</v>
      </c>
      <c r="I1333">
        <v>8</v>
      </c>
      <c r="J1333" s="3">
        <v>3278.75</v>
      </c>
      <c r="K1333" s="3">
        <v>26230</v>
      </c>
      <c r="L1333" t="s">
        <v>25</v>
      </c>
      <c r="M1333" s="2">
        <v>46110</v>
      </c>
      <c r="N1333" s="2">
        <v>46108</v>
      </c>
      <c r="O1333" t="s">
        <v>43</v>
      </c>
      <c r="P1333" t="s">
        <v>77</v>
      </c>
      <c r="Q1333" t="s">
        <v>28</v>
      </c>
      <c r="R1333" t="s">
        <v>29</v>
      </c>
      <c r="S1333">
        <v>2026</v>
      </c>
      <c r="T1333" t="s">
        <v>2747</v>
      </c>
      <c r="U1333" t="s">
        <v>2755</v>
      </c>
      <c r="V1333" s="4">
        <v>0</v>
      </c>
      <c r="W1333" s="4">
        <v>1</v>
      </c>
    </row>
    <row r="1334" spans="1:23">
      <c r="A1334" t="s">
        <v>1466</v>
      </c>
      <c r="B1334" s="2">
        <v>45942</v>
      </c>
      <c r="C1334" t="s">
        <v>37</v>
      </c>
      <c r="D1334" t="s">
        <v>38</v>
      </c>
      <c r="E1334" t="s">
        <v>39</v>
      </c>
      <c r="F1334" t="s">
        <v>22</v>
      </c>
      <c r="G1334" t="s">
        <v>23</v>
      </c>
      <c r="H1334" t="s">
        <v>24</v>
      </c>
      <c r="I1334">
        <v>40</v>
      </c>
      <c r="J1334" s="3">
        <v>269</v>
      </c>
      <c r="K1334" s="3">
        <v>10760</v>
      </c>
      <c r="L1334" t="s">
        <v>25</v>
      </c>
      <c r="M1334" s="2">
        <v>45959</v>
      </c>
      <c r="N1334" s="2">
        <v>45956</v>
      </c>
      <c r="O1334" t="s">
        <v>43</v>
      </c>
      <c r="P1334" t="s">
        <v>64</v>
      </c>
      <c r="Q1334" t="s">
        <v>28</v>
      </c>
      <c r="R1334" t="s">
        <v>29</v>
      </c>
      <c r="S1334">
        <v>2025</v>
      </c>
      <c r="T1334" t="s">
        <v>2749</v>
      </c>
      <c r="U1334" t="s">
        <v>2750</v>
      </c>
      <c r="V1334" s="4">
        <v>0</v>
      </c>
      <c r="W1334" s="4">
        <v>1</v>
      </c>
    </row>
    <row r="1335" spans="1:23">
      <c r="A1335" t="s">
        <v>1467</v>
      </c>
      <c r="B1335" s="2">
        <v>45935</v>
      </c>
      <c r="C1335" t="s">
        <v>142</v>
      </c>
      <c r="D1335" t="s">
        <v>143</v>
      </c>
      <c r="E1335" t="s">
        <v>112</v>
      </c>
      <c r="F1335" t="s">
        <v>22</v>
      </c>
      <c r="G1335" t="s">
        <v>23</v>
      </c>
      <c r="H1335" t="s">
        <v>24</v>
      </c>
      <c r="I1335">
        <v>9</v>
      </c>
      <c r="J1335" s="3">
        <v>256.23</v>
      </c>
      <c r="K1335" s="3">
        <v>2306.0700000000002</v>
      </c>
      <c r="L1335" t="s">
        <v>25</v>
      </c>
      <c r="M1335" s="2">
        <v>45952</v>
      </c>
      <c r="N1335" s="2">
        <v>45952</v>
      </c>
      <c r="O1335" t="s">
        <v>26</v>
      </c>
      <c r="P1335" t="s">
        <v>115</v>
      </c>
      <c r="Q1335" t="s">
        <v>28</v>
      </c>
      <c r="R1335" t="s">
        <v>29</v>
      </c>
      <c r="S1335">
        <v>2025</v>
      </c>
      <c r="T1335" t="s">
        <v>2749</v>
      </c>
      <c r="U1335" t="s">
        <v>2750</v>
      </c>
      <c r="V1335" s="4">
        <v>0</v>
      </c>
      <c r="W1335" s="4">
        <v>1</v>
      </c>
    </row>
    <row r="1336" spans="1:23">
      <c r="A1336" t="s">
        <v>1468</v>
      </c>
      <c r="B1336" s="2">
        <v>45793</v>
      </c>
      <c r="C1336" t="s">
        <v>37</v>
      </c>
      <c r="D1336" t="s">
        <v>38</v>
      </c>
      <c r="E1336" t="s">
        <v>112</v>
      </c>
      <c r="F1336" t="s">
        <v>22</v>
      </c>
      <c r="G1336" t="s">
        <v>160</v>
      </c>
      <c r="H1336" t="s">
        <v>161</v>
      </c>
      <c r="I1336">
        <v>15</v>
      </c>
      <c r="J1336" s="3">
        <v>3662.05</v>
      </c>
      <c r="K1336" s="3">
        <v>54930.75</v>
      </c>
      <c r="L1336" t="s">
        <v>34</v>
      </c>
      <c r="M1336" s="2">
        <v>45811</v>
      </c>
      <c r="N1336" s="2">
        <v>45808</v>
      </c>
      <c r="O1336" t="s">
        <v>43</v>
      </c>
      <c r="P1336" t="s">
        <v>115</v>
      </c>
      <c r="Q1336" t="s">
        <v>28</v>
      </c>
      <c r="R1336" t="s">
        <v>29</v>
      </c>
      <c r="S1336">
        <v>2025</v>
      </c>
      <c r="T1336" t="s">
        <v>2766</v>
      </c>
      <c r="U1336" t="s">
        <v>2767</v>
      </c>
      <c r="V1336" s="4">
        <v>0</v>
      </c>
      <c r="W1336" s="4">
        <v>1</v>
      </c>
    </row>
    <row r="1337" spans="1:23">
      <c r="A1337" t="s">
        <v>1469</v>
      </c>
      <c r="B1337" s="2">
        <v>46165</v>
      </c>
      <c r="C1337" t="s">
        <v>37</v>
      </c>
      <c r="D1337" t="s">
        <v>38</v>
      </c>
      <c r="E1337" t="s">
        <v>21</v>
      </c>
      <c r="F1337" t="s">
        <v>22</v>
      </c>
      <c r="G1337" t="s">
        <v>32</v>
      </c>
      <c r="H1337" t="s">
        <v>33</v>
      </c>
      <c r="I1337">
        <v>14</v>
      </c>
      <c r="J1337" s="3">
        <v>8463.3799999999992</v>
      </c>
      <c r="K1337" s="3">
        <v>118487.32</v>
      </c>
      <c r="L1337" t="s">
        <v>25</v>
      </c>
      <c r="M1337" s="2">
        <v>46172</v>
      </c>
      <c r="N1337" s="2">
        <v>46172</v>
      </c>
      <c r="O1337" t="s">
        <v>26</v>
      </c>
      <c r="P1337" t="s">
        <v>27</v>
      </c>
      <c r="Q1337" t="s">
        <v>28</v>
      </c>
      <c r="R1337" t="s">
        <v>29</v>
      </c>
      <c r="S1337">
        <v>2026</v>
      </c>
      <c r="T1337" t="s">
        <v>2766</v>
      </c>
      <c r="U1337" t="s">
        <v>2769</v>
      </c>
      <c r="V1337" s="4">
        <v>0</v>
      </c>
      <c r="W1337" s="4">
        <v>1</v>
      </c>
    </row>
    <row r="1338" spans="1:23">
      <c r="A1338" t="s">
        <v>1470</v>
      </c>
      <c r="B1338" s="2">
        <v>46138</v>
      </c>
      <c r="C1338" t="s">
        <v>142</v>
      </c>
      <c r="D1338" t="s">
        <v>143</v>
      </c>
      <c r="E1338" t="s">
        <v>21</v>
      </c>
      <c r="F1338" t="s">
        <v>22</v>
      </c>
      <c r="G1338" t="s">
        <v>23</v>
      </c>
      <c r="H1338" t="s">
        <v>24</v>
      </c>
      <c r="I1338">
        <v>56</v>
      </c>
      <c r="J1338" s="3">
        <v>248.4</v>
      </c>
      <c r="K1338" s="3">
        <v>13910.4</v>
      </c>
      <c r="L1338" t="s">
        <v>25</v>
      </c>
      <c r="M1338" s="2">
        <v>46152</v>
      </c>
      <c r="N1338" s="2">
        <v>46150</v>
      </c>
      <c r="O1338" t="s">
        <v>76</v>
      </c>
      <c r="P1338" t="s">
        <v>27</v>
      </c>
      <c r="Q1338" t="s">
        <v>28</v>
      </c>
      <c r="R1338" t="s">
        <v>29</v>
      </c>
      <c r="S1338">
        <v>2026</v>
      </c>
      <c r="T1338" t="s">
        <v>2741</v>
      </c>
      <c r="U1338" t="s">
        <v>2770</v>
      </c>
      <c r="V1338" s="4">
        <v>0</v>
      </c>
      <c r="W1338" s="4">
        <v>1</v>
      </c>
    </row>
    <row r="1339" spans="1:23">
      <c r="A1339" t="s">
        <v>1471</v>
      </c>
      <c r="B1339" s="2">
        <v>46155</v>
      </c>
      <c r="C1339" t="s">
        <v>80</v>
      </c>
      <c r="D1339" t="s">
        <v>81</v>
      </c>
      <c r="E1339" t="s">
        <v>39</v>
      </c>
      <c r="F1339" t="s">
        <v>82</v>
      </c>
      <c r="G1339" t="s">
        <v>83</v>
      </c>
      <c r="H1339" t="s">
        <v>84</v>
      </c>
      <c r="I1339">
        <v>10</v>
      </c>
      <c r="J1339" s="3">
        <v>662.78</v>
      </c>
      <c r="K1339" s="3">
        <v>6627.8</v>
      </c>
      <c r="L1339" t="s">
        <v>25</v>
      </c>
      <c r="M1339" s="2">
        <v>46161</v>
      </c>
      <c r="N1339" s="2">
        <v>46161</v>
      </c>
      <c r="O1339" t="s">
        <v>43</v>
      </c>
      <c r="P1339" t="s">
        <v>64</v>
      </c>
      <c r="Q1339" t="s">
        <v>28</v>
      </c>
      <c r="R1339" t="s">
        <v>29</v>
      </c>
      <c r="S1339">
        <v>2026</v>
      </c>
      <c r="T1339" t="s">
        <v>2766</v>
      </c>
      <c r="U1339" t="s">
        <v>2769</v>
      </c>
      <c r="V1339" s="4">
        <v>0</v>
      </c>
      <c r="W1339" s="4">
        <v>1</v>
      </c>
    </row>
    <row r="1340" spans="1:23">
      <c r="A1340" t="s">
        <v>1472</v>
      </c>
      <c r="B1340" s="2">
        <v>46083</v>
      </c>
      <c r="C1340" t="s">
        <v>131</v>
      </c>
      <c r="D1340" t="s">
        <v>132</v>
      </c>
      <c r="E1340" t="s">
        <v>48</v>
      </c>
      <c r="F1340" t="s">
        <v>57</v>
      </c>
      <c r="G1340" t="s">
        <v>120</v>
      </c>
      <c r="H1340" t="s">
        <v>121</v>
      </c>
      <c r="I1340">
        <v>2</v>
      </c>
      <c r="J1340" s="3">
        <v>24047.919999999998</v>
      </c>
      <c r="K1340" s="3">
        <v>48095.839999999997</v>
      </c>
      <c r="L1340" t="s">
        <v>25</v>
      </c>
      <c r="M1340" s="2">
        <v>46095</v>
      </c>
      <c r="N1340" s="2">
        <v>46092</v>
      </c>
      <c r="O1340" t="s">
        <v>43</v>
      </c>
      <c r="P1340" t="s">
        <v>53</v>
      </c>
      <c r="Q1340" t="s">
        <v>28</v>
      </c>
      <c r="R1340" t="s">
        <v>29</v>
      </c>
      <c r="S1340">
        <v>2026</v>
      </c>
      <c r="T1340" t="s">
        <v>2747</v>
      </c>
      <c r="U1340" t="s">
        <v>2755</v>
      </c>
      <c r="V1340" s="4">
        <v>0</v>
      </c>
      <c r="W1340" s="4">
        <v>1</v>
      </c>
    </row>
    <row r="1341" spans="1:23">
      <c r="A1341" t="s">
        <v>1473</v>
      </c>
      <c r="B1341" s="2">
        <v>45812</v>
      </c>
      <c r="C1341" t="s">
        <v>142</v>
      </c>
      <c r="D1341" t="s">
        <v>143</v>
      </c>
      <c r="E1341" t="s">
        <v>31</v>
      </c>
      <c r="F1341" t="s">
        <v>22</v>
      </c>
      <c r="G1341" t="s">
        <v>32</v>
      </c>
      <c r="H1341" t="s">
        <v>33</v>
      </c>
      <c r="I1341">
        <v>10</v>
      </c>
      <c r="J1341" s="3">
        <v>7737.18</v>
      </c>
      <c r="K1341" s="3">
        <v>77371.8</v>
      </c>
      <c r="L1341" t="s">
        <v>25</v>
      </c>
      <c r="M1341" s="2">
        <v>45822</v>
      </c>
      <c r="N1341" s="2">
        <v>45822</v>
      </c>
      <c r="O1341" t="s">
        <v>26</v>
      </c>
      <c r="P1341" t="s">
        <v>94</v>
      </c>
      <c r="Q1341" t="s">
        <v>28</v>
      </c>
      <c r="R1341" t="s">
        <v>29</v>
      </c>
      <c r="S1341">
        <v>2025</v>
      </c>
      <c r="T1341" t="s">
        <v>2743</v>
      </c>
      <c r="U1341" t="s">
        <v>2756</v>
      </c>
      <c r="V1341" s="4">
        <v>0</v>
      </c>
      <c r="W1341" s="4">
        <v>1</v>
      </c>
    </row>
    <row r="1342" spans="1:23">
      <c r="A1342" t="s">
        <v>1474</v>
      </c>
      <c r="B1342" s="2">
        <v>45913</v>
      </c>
      <c r="C1342" t="s">
        <v>142</v>
      </c>
      <c r="D1342" t="s">
        <v>143</v>
      </c>
      <c r="E1342" t="s">
        <v>73</v>
      </c>
      <c r="F1342" t="s">
        <v>22</v>
      </c>
      <c r="G1342" t="s">
        <v>23</v>
      </c>
      <c r="H1342" t="s">
        <v>24</v>
      </c>
      <c r="I1342">
        <v>14</v>
      </c>
      <c r="J1342" s="3">
        <v>241.58</v>
      </c>
      <c r="K1342" s="3">
        <v>3382.12</v>
      </c>
      <c r="L1342" t="s">
        <v>34</v>
      </c>
      <c r="M1342" s="2">
        <v>45919</v>
      </c>
      <c r="N1342" s="2">
        <v>45916</v>
      </c>
      <c r="O1342" t="s">
        <v>76</v>
      </c>
      <c r="P1342" t="s">
        <v>77</v>
      </c>
      <c r="Q1342" t="s">
        <v>28</v>
      </c>
      <c r="R1342" t="s">
        <v>29</v>
      </c>
      <c r="S1342">
        <v>2025</v>
      </c>
      <c r="T1342" t="s">
        <v>2753</v>
      </c>
      <c r="U1342" t="s">
        <v>2754</v>
      </c>
      <c r="V1342" s="4">
        <v>0</v>
      </c>
      <c r="W1342" s="4">
        <v>1</v>
      </c>
    </row>
    <row r="1343" spans="1:23">
      <c r="A1343" t="s">
        <v>1475</v>
      </c>
      <c r="B1343" s="2">
        <v>45858</v>
      </c>
      <c r="C1343" t="s">
        <v>66</v>
      </c>
      <c r="D1343" t="s">
        <v>67</v>
      </c>
      <c r="E1343" t="s">
        <v>21</v>
      </c>
      <c r="F1343" t="s">
        <v>49</v>
      </c>
      <c r="G1343" t="s">
        <v>68</v>
      </c>
      <c r="H1343" t="s">
        <v>69</v>
      </c>
      <c r="I1343">
        <v>1</v>
      </c>
      <c r="J1343" s="3">
        <v>48190.36</v>
      </c>
      <c r="K1343" s="3">
        <v>48190.36</v>
      </c>
      <c r="L1343" t="s">
        <v>25</v>
      </c>
      <c r="M1343" s="2">
        <v>45871</v>
      </c>
      <c r="N1343" s="2">
        <v>45868</v>
      </c>
      <c r="O1343" t="s">
        <v>76</v>
      </c>
      <c r="P1343" t="s">
        <v>27</v>
      </c>
      <c r="Q1343" t="s">
        <v>28</v>
      </c>
      <c r="R1343" t="s">
        <v>29</v>
      </c>
      <c r="S1343">
        <v>2025</v>
      </c>
      <c r="T1343" t="s">
        <v>2759</v>
      </c>
      <c r="U1343" t="s">
        <v>2760</v>
      </c>
      <c r="V1343" s="4">
        <v>0</v>
      </c>
      <c r="W1343" s="4">
        <v>1</v>
      </c>
    </row>
    <row r="1344" spans="1:23">
      <c r="A1344" t="s">
        <v>1476</v>
      </c>
      <c r="B1344" s="2">
        <v>45935</v>
      </c>
      <c r="C1344" t="s">
        <v>71</v>
      </c>
      <c r="D1344" t="s">
        <v>72</v>
      </c>
      <c r="E1344" t="s">
        <v>48</v>
      </c>
      <c r="F1344" t="s">
        <v>57</v>
      </c>
      <c r="G1344" t="s">
        <v>58</v>
      </c>
      <c r="H1344" t="s">
        <v>59</v>
      </c>
      <c r="I1344">
        <v>6</v>
      </c>
      <c r="J1344" s="3">
        <v>52914.37</v>
      </c>
      <c r="K1344" s="3">
        <v>317486.21999999997</v>
      </c>
      <c r="L1344" t="s">
        <v>25</v>
      </c>
      <c r="M1344" s="2">
        <v>45941</v>
      </c>
      <c r="N1344" s="2">
        <v>45939</v>
      </c>
      <c r="O1344" t="s">
        <v>60</v>
      </c>
      <c r="P1344" t="s">
        <v>53</v>
      </c>
      <c r="Q1344" t="s">
        <v>28</v>
      </c>
      <c r="R1344" t="s">
        <v>29</v>
      </c>
      <c r="S1344">
        <v>2025</v>
      </c>
      <c r="T1344" t="s">
        <v>2749</v>
      </c>
      <c r="U1344" t="s">
        <v>2750</v>
      </c>
      <c r="V1344" s="4">
        <v>0</v>
      </c>
      <c r="W1344" s="4">
        <v>1</v>
      </c>
    </row>
    <row r="1345" spans="1:23">
      <c r="A1345" t="s">
        <v>1477</v>
      </c>
      <c r="B1345" s="2">
        <v>45921</v>
      </c>
      <c r="C1345" t="s">
        <v>134</v>
      </c>
      <c r="D1345" t="s">
        <v>135</v>
      </c>
      <c r="E1345" t="s">
        <v>112</v>
      </c>
      <c r="F1345" t="s">
        <v>40</v>
      </c>
      <c r="G1345" t="s">
        <v>62</v>
      </c>
      <c r="H1345" t="s">
        <v>63</v>
      </c>
      <c r="I1345">
        <v>6</v>
      </c>
      <c r="J1345" s="3">
        <v>18108.32</v>
      </c>
      <c r="K1345" s="3">
        <v>108649.92</v>
      </c>
      <c r="L1345" t="s">
        <v>25</v>
      </c>
      <c r="M1345" s="2">
        <v>45932</v>
      </c>
      <c r="N1345" s="2">
        <v>45931</v>
      </c>
      <c r="O1345" t="s">
        <v>60</v>
      </c>
      <c r="P1345" t="s">
        <v>115</v>
      </c>
      <c r="Q1345" t="s">
        <v>28</v>
      </c>
      <c r="R1345" t="s">
        <v>29</v>
      </c>
      <c r="S1345">
        <v>2025</v>
      </c>
      <c r="T1345" t="s">
        <v>2753</v>
      </c>
      <c r="U1345" t="s">
        <v>2754</v>
      </c>
      <c r="V1345" s="4">
        <v>0</v>
      </c>
      <c r="W1345" s="4">
        <v>1</v>
      </c>
    </row>
    <row r="1346" spans="1:23">
      <c r="A1346" t="s">
        <v>1478</v>
      </c>
      <c r="B1346" s="2">
        <v>45984</v>
      </c>
      <c r="C1346" t="s">
        <v>37</v>
      </c>
      <c r="D1346" t="s">
        <v>38</v>
      </c>
      <c r="E1346" t="s">
        <v>39</v>
      </c>
      <c r="F1346" t="s">
        <v>40</v>
      </c>
      <c r="G1346" t="s">
        <v>149</v>
      </c>
      <c r="H1346" t="s">
        <v>150</v>
      </c>
      <c r="I1346">
        <v>30</v>
      </c>
      <c r="J1346" s="3">
        <v>1397.19</v>
      </c>
      <c r="K1346" s="3">
        <v>41915.699999999997</v>
      </c>
      <c r="L1346" t="s">
        <v>34</v>
      </c>
      <c r="M1346" s="2">
        <v>45994</v>
      </c>
      <c r="N1346" s="2">
        <v>45993</v>
      </c>
      <c r="O1346" t="s">
        <v>26</v>
      </c>
      <c r="P1346" t="s">
        <v>64</v>
      </c>
      <c r="Q1346" t="s">
        <v>28</v>
      </c>
      <c r="R1346" t="s">
        <v>29</v>
      </c>
      <c r="S1346">
        <v>2025</v>
      </c>
      <c r="T1346" t="s">
        <v>2763</v>
      </c>
      <c r="U1346" t="s">
        <v>2764</v>
      </c>
      <c r="V1346" s="4">
        <v>0</v>
      </c>
      <c r="W1346" s="4">
        <v>1</v>
      </c>
    </row>
    <row r="1347" spans="1:23">
      <c r="A1347" t="s">
        <v>1479</v>
      </c>
      <c r="B1347" s="2">
        <v>46035</v>
      </c>
      <c r="C1347" t="s">
        <v>142</v>
      </c>
      <c r="D1347" t="s">
        <v>143</v>
      </c>
      <c r="E1347" t="s">
        <v>112</v>
      </c>
      <c r="F1347" t="s">
        <v>22</v>
      </c>
      <c r="G1347" t="s">
        <v>32</v>
      </c>
      <c r="H1347" t="s">
        <v>33</v>
      </c>
      <c r="I1347">
        <v>15</v>
      </c>
      <c r="J1347" s="3">
        <v>7990.36</v>
      </c>
      <c r="K1347" s="3">
        <v>119855.4</v>
      </c>
      <c r="L1347" t="s">
        <v>25</v>
      </c>
      <c r="M1347" s="2">
        <v>46053</v>
      </c>
      <c r="N1347" s="2">
        <v>46050</v>
      </c>
      <c r="O1347" t="s">
        <v>26</v>
      </c>
      <c r="P1347" t="s">
        <v>115</v>
      </c>
      <c r="Q1347" t="s">
        <v>28</v>
      </c>
      <c r="R1347" t="s">
        <v>29</v>
      </c>
      <c r="S1347">
        <v>2026</v>
      </c>
      <c r="T1347" t="s">
        <v>2757</v>
      </c>
      <c r="U1347" t="s">
        <v>2758</v>
      </c>
      <c r="V1347" s="4">
        <v>0</v>
      </c>
      <c r="W1347" s="4">
        <v>1</v>
      </c>
    </row>
    <row r="1348" spans="1:23">
      <c r="A1348" t="s">
        <v>1480</v>
      </c>
      <c r="B1348" s="2">
        <v>45981</v>
      </c>
      <c r="C1348" t="s">
        <v>104</v>
      </c>
      <c r="D1348" t="s">
        <v>105</v>
      </c>
      <c r="E1348" t="s">
        <v>48</v>
      </c>
      <c r="F1348" t="s">
        <v>49</v>
      </c>
      <c r="G1348" t="s">
        <v>50</v>
      </c>
      <c r="H1348" t="s">
        <v>51</v>
      </c>
      <c r="I1348">
        <v>1</v>
      </c>
      <c r="J1348" s="3">
        <v>52088.11</v>
      </c>
      <c r="K1348" s="3">
        <v>52088.11</v>
      </c>
      <c r="L1348" t="s">
        <v>34</v>
      </c>
      <c r="M1348" s="2">
        <v>45996</v>
      </c>
      <c r="N1348" s="2">
        <v>45994</v>
      </c>
      <c r="O1348" t="s">
        <v>26</v>
      </c>
      <c r="P1348" t="s">
        <v>53</v>
      </c>
      <c r="Q1348" t="s">
        <v>28</v>
      </c>
      <c r="R1348" t="s">
        <v>29</v>
      </c>
      <c r="S1348">
        <v>2025</v>
      </c>
      <c r="T1348" t="s">
        <v>2763</v>
      </c>
      <c r="U1348" t="s">
        <v>2764</v>
      </c>
      <c r="V1348" s="4">
        <v>0</v>
      </c>
      <c r="W1348" s="4">
        <v>1</v>
      </c>
    </row>
    <row r="1349" spans="1:23">
      <c r="A1349" t="s">
        <v>1481</v>
      </c>
      <c r="B1349" s="2">
        <v>46099</v>
      </c>
      <c r="C1349" t="s">
        <v>46</v>
      </c>
      <c r="D1349" t="s">
        <v>47</v>
      </c>
      <c r="E1349" t="s">
        <v>21</v>
      </c>
      <c r="F1349" t="s">
        <v>49</v>
      </c>
      <c r="G1349" t="s">
        <v>113</v>
      </c>
      <c r="H1349" t="s">
        <v>114</v>
      </c>
      <c r="I1349">
        <v>1</v>
      </c>
      <c r="J1349" s="3">
        <v>40667.1</v>
      </c>
      <c r="K1349" s="3">
        <v>40667.1</v>
      </c>
      <c r="L1349" t="s">
        <v>25</v>
      </c>
      <c r="M1349" s="2">
        <v>46107</v>
      </c>
      <c r="N1349" s="2">
        <v>46107</v>
      </c>
      <c r="O1349" t="s">
        <v>43</v>
      </c>
      <c r="P1349" t="s">
        <v>27</v>
      </c>
      <c r="Q1349" t="s">
        <v>28</v>
      </c>
      <c r="R1349" t="s">
        <v>29</v>
      </c>
      <c r="S1349">
        <v>2026</v>
      </c>
      <c r="T1349" t="s">
        <v>2747</v>
      </c>
      <c r="U1349" t="s">
        <v>2755</v>
      </c>
      <c r="V1349" s="4">
        <v>0</v>
      </c>
      <c r="W1349" s="4">
        <v>1</v>
      </c>
    </row>
    <row r="1350" spans="1:23">
      <c r="A1350" t="s">
        <v>1482</v>
      </c>
      <c r="B1350" s="2">
        <v>45937</v>
      </c>
      <c r="C1350" t="s">
        <v>37</v>
      </c>
      <c r="D1350" t="s">
        <v>38</v>
      </c>
      <c r="E1350" t="s">
        <v>112</v>
      </c>
      <c r="F1350" t="s">
        <v>22</v>
      </c>
      <c r="G1350" t="s">
        <v>32</v>
      </c>
      <c r="H1350" t="s">
        <v>33</v>
      </c>
      <c r="I1350">
        <v>11</v>
      </c>
      <c r="J1350" s="3">
        <v>8544.0300000000007</v>
      </c>
      <c r="K1350" s="3">
        <v>93984.33</v>
      </c>
      <c r="L1350" t="s">
        <v>25</v>
      </c>
      <c r="M1350" s="2">
        <v>45943</v>
      </c>
      <c r="N1350" s="2">
        <v>45942</v>
      </c>
      <c r="O1350" t="s">
        <v>26</v>
      </c>
      <c r="P1350" t="s">
        <v>115</v>
      </c>
      <c r="Q1350" t="s">
        <v>28</v>
      </c>
      <c r="R1350" t="s">
        <v>29</v>
      </c>
      <c r="S1350">
        <v>2025</v>
      </c>
      <c r="T1350" t="s">
        <v>2749</v>
      </c>
      <c r="U1350" t="s">
        <v>2750</v>
      </c>
      <c r="V1350" s="4">
        <v>0</v>
      </c>
      <c r="W1350" s="4">
        <v>1</v>
      </c>
    </row>
    <row r="1351" spans="1:23">
      <c r="A1351" t="s">
        <v>1483</v>
      </c>
      <c r="B1351" s="2">
        <v>46085</v>
      </c>
      <c r="C1351" t="s">
        <v>37</v>
      </c>
      <c r="D1351" t="s">
        <v>38</v>
      </c>
      <c r="E1351" t="s">
        <v>112</v>
      </c>
      <c r="F1351" t="s">
        <v>40</v>
      </c>
      <c r="G1351" t="s">
        <v>41</v>
      </c>
      <c r="H1351" t="s">
        <v>42</v>
      </c>
      <c r="I1351">
        <v>9</v>
      </c>
      <c r="J1351" s="3">
        <v>5849.97</v>
      </c>
      <c r="K1351" s="3">
        <v>52649.73</v>
      </c>
      <c r="L1351" t="s">
        <v>25</v>
      </c>
      <c r="M1351" s="2">
        <v>46095</v>
      </c>
      <c r="N1351" s="2">
        <v>46095</v>
      </c>
      <c r="O1351" t="s">
        <v>76</v>
      </c>
      <c r="P1351" t="s">
        <v>115</v>
      </c>
      <c r="Q1351" t="s">
        <v>28</v>
      </c>
      <c r="R1351" t="s">
        <v>29</v>
      </c>
      <c r="S1351">
        <v>2026</v>
      </c>
      <c r="T1351" t="s">
        <v>2747</v>
      </c>
      <c r="U1351" t="s">
        <v>2755</v>
      </c>
      <c r="V1351" s="4">
        <v>0</v>
      </c>
      <c r="W1351" s="4">
        <v>1</v>
      </c>
    </row>
    <row r="1352" spans="1:23">
      <c r="A1352" t="s">
        <v>1484</v>
      </c>
      <c r="B1352" s="2">
        <v>45658</v>
      </c>
      <c r="C1352" t="s">
        <v>131</v>
      </c>
      <c r="D1352" t="s">
        <v>132</v>
      </c>
      <c r="E1352" t="s">
        <v>73</v>
      </c>
      <c r="F1352" t="s">
        <v>57</v>
      </c>
      <c r="G1352" t="s">
        <v>127</v>
      </c>
      <c r="H1352" t="s">
        <v>128</v>
      </c>
      <c r="I1352">
        <v>8</v>
      </c>
      <c r="J1352" s="3">
        <v>17218.330000000002</v>
      </c>
      <c r="K1352" s="3">
        <v>137746.64000000001</v>
      </c>
      <c r="L1352" t="s">
        <v>34</v>
      </c>
      <c r="M1352" s="2">
        <v>45666</v>
      </c>
      <c r="N1352" s="2">
        <v>45664</v>
      </c>
      <c r="O1352" t="s">
        <v>60</v>
      </c>
      <c r="P1352" t="s">
        <v>77</v>
      </c>
      <c r="Q1352" t="s">
        <v>28</v>
      </c>
      <c r="R1352" t="s">
        <v>29</v>
      </c>
      <c r="S1352">
        <v>2025</v>
      </c>
      <c r="T1352" t="s">
        <v>2757</v>
      </c>
      <c r="U1352" t="s">
        <v>2768</v>
      </c>
      <c r="V1352" s="4">
        <v>0</v>
      </c>
      <c r="W1352" s="4">
        <v>1</v>
      </c>
    </row>
    <row r="1353" spans="1:23">
      <c r="A1353" t="s">
        <v>1485</v>
      </c>
      <c r="B1353" s="2">
        <v>45779</v>
      </c>
      <c r="C1353" t="s">
        <v>71</v>
      </c>
      <c r="D1353" t="s">
        <v>72</v>
      </c>
      <c r="E1353" t="s">
        <v>48</v>
      </c>
      <c r="F1353" t="s">
        <v>57</v>
      </c>
      <c r="G1353" t="s">
        <v>58</v>
      </c>
      <c r="H1353" t="s">
        <v>59</v>
      </c>
      <c r="I1353">
        <v>3</v>
      </c>
      <c r="J1353" s="3">
        <v>51641.22</v>
      </c>
      <c r="K1353" s="3">
        <v>154923.66</v>
      </c>
      <c r="L1353" t="s">
        <v>25</v>
      </c>
      <c r="M1353" s="2">
        <v>45795</v>
      </c>
      <c r="N1353" s="2">
        <v>45794</v>
      </c>
      <c r="O1353" t="s">
        <v>26</v>
      </c>
      <c r="P1353" t="s">
        <v>53</v>
      </c>
      <c r="Q1353" t="s">
        <v>28</v>
      </c>
      <c r="R1353" t="s">
        <v>29</v>
      </c>
      <c r="S1353">
        <v>2025</v>
      </c>
      <c r="T1353" t="s">
        <v>2766</v>
      </c>
      <c r="U1353" t="s">
        <v>2767</v>
      </c>
      <c r="V1353" s="4">
        <v>0</v>
      </c>
      <c r="W1353" s="4">
        <v>1</v>
      </c>
    </row>
    <row r="1354" spans="1:23">
      <c r="A1354" t="s">
        <v>1486</v>
      </c>
      <c r="B1354" s="2">
        <v>45675</v>
      </c>
      <c r="C1354" t="s">
        <v>134</v>
      </c>
      <c r="D1354" t="s">
        <v>135</v>
      </c>
      <c r="E1354" t="s">
        <v>39</v>
      </c>
      <c r="F1354" t="s">
        <v>40</v>
      </c>
      <c r="G1354" t="s">
        <v>149</v>
      </c>
      <c r="H1354" t="s">
        <v>150</v>
      </c>
      <c r="I1354">
        <v>55</v>
      </c>
      <c r="J1354" s="3">
        <v>1360.63</v>
      </c>
      <c r="K1354" s="3">
        <v>74834.649999999994</v>
      </c>
      <c r="L1354" t="s">
        <v>52</v>
      </c>
      <c r="M1354" s="2">
        <v>45681</v>
      </c>
      <c r="N1354" s="2">
        <v>45678</v>
      </c>
      <c r="O1354" t="s">
        <v>43</v>
      </c>
      <c r="P1354" t="s">
        <v>64</v>
      </c>
      <c r="Q1354" t="s">
        <v>28</v>
      </c>
      <c r="R1354" t="s">
        <v>29</v>
      </c>
      <c r="S1354">
        <v>2025</v>
      </c>
      <c r="T1354" t="s">
        <v>2757</v>
      </c>
      <c r="U1354" t="s">
        <v>2768</v>
      </c>
      <c r="V1354" s="4">
        <v>0</v>
      </c>
      <c r="W1354" s="4">
        <v>1</v>
      </c>
    </row>
    <row r="1355" spans="1:23">
      <c r="A1355" t="s">
        <v>1487</v>
      </c>
      <c r="B1355" s="2">
        <v>46115</v>
      </c>
      <c r="C1355" t="s">
        <v>46</v>
      </c>
      <c r="D1355" t="s">
        <v>47</v>
      </c>
      <c r="E1355" t="s">
        <v>48</v>
      </c>
      <c r="F1355" t="s">
        <v>49</v>
      </c>
      <c r="G1355" t="s">
        <v>113</v>
      </c>
      <c r="H1355" t="s">
        <v>114</v>
      </c>
      <c r="I1355">
        <v>1</v>
      </c>
      <c r="J1355" s="3">
        <v>40531.019999999997</v>
      </c>
      <c r="K1355" s="3">
        <v>40531.019999999997</v>
      </c>
      <c r="L1355" t="s">
        <v>25</v>
      </c>
      <c r="M1355" s="2">
        <v>46121</v>
      </c>
      <c r="N1355" s="2">
        <v>46121</v>
      </c>
      <c r="O1355" t="s">
        <v>60</v>
      </c>
      <c r="P1355" t="s">
        <v>53</v>
      </c>
      <c r="Q1355" t="s">
        <v>28</v>
      </c>
      <c r="R1355" t="s">
        <v>29</v>
      </c>
      <c r="S1355">
        <v>2026</v>
      </c>
      <c r="T1355" t="s">
        <v>2741</v>
      </c>
      <c r="U1355" t="s">
        <v>2770</v>
      </c>
      <c r="V1355" s="4">
        <v>0</v>
      </c>
      <c r="W1355" s="4">
        <v>1</v>
      </c>
    </row>
    <row r="1356" spans="1:23">
      <c r="A1356" t="s">
        <v>1488</v>
      </c>
      <c r="B1356" s="2">
        <v>46077</v>
      </c>
      <c r="C1356" t="s">
        <v>117</v>
      </c>
      <c r="D1356" t="s">
        <v>118</v>
      </c>
      <c r="E1356" t="s">
        <v>48</v>
      </c>
      <c r="F1356" t="s">
        <v>57</v>
      </c>
      <c r="G1356" t="s">
        <v>120</v>
      </c>
      <c r="H1356" t="s">
        <v>121</v>
      </c>
      <c r="I1356">
        <v>4</v>
      </c>
      <c r="J1356" s="3">
        <v>21178.68</v>
      </c>
      <c r="K1356" s="3">
        <v>84714.72</v>
      </c>
      <c r="L1356" t="s">
        <v>25</v>
      </c>
      <c r="M1356" s="2">
        <v>46093</v>
      </c>
      <c r="N1356" s="2">
        <v>46091</v>
      </c>
      <c r="O1356" t="s">
        <v>60</v>
      </c>
      <c r="P1356" t="s">
        <v>53</v>
      </c>
      <c r="Q1356" t="s">
        <v>28</v>
      </c>
      <c r="R1356" t="s">
        <v>29</v>
      </c>
      <c r="S1356">
        <v>2026</v>
      </c>
      <c r="T1356" t="s">
        <v>2751</v>
      </c>
      <c r="U1356" t="s">
        <v>2765</v>
      </c>
      <c r="V1356" s="4">
        <v>0</v>
      </c>
      <c r="W1356" s="4">
        <v>1</v>
      </c>
    </row>
    <row r="1357" spans="1:23">
      <c r="A1357" t="s">
        <v>1489</v>
      </c>
      <c r="B1357" s="2">
        <v>45756</v>
      </c>
      <c r="C1357" t="s">
        <v>55</v>
      </c>
      <c r="D1357" t="s">
        <v>56</v>
      </c>
      <c r="E1357" t="s">
        <v>31</v>
      </c>
      <c r="F1357" t="s">
        <v>57</v>
      </c>
      <c r="G1357" t="s">
        <v>86</v>
      </c>
      <c r="H1357" t="s">
        <v>87</v>
      </c>
      <c r="I1357">
        <v>4</v>
      </c>
      <c r="J1357" s="3">
        <v>12577.02</v>
      </c>
      <c r="K1357" s="3">
        <v>50308.08</v>
      </c>
      <c r="L1357" t="s">
        <v>34</v>
      </c>
      <c r="M1357" s="2">
        <v>45769</v>
      </c>
      <c r="N1357" s="2">
        <v>45767</v>
      </c>
      <c r="O1357" t="s">
        <v>26</v>
      </c>
      <c r="P1357" t="s">
        <v>35</v>
      </c>
      <c r="Q1357" t="s">
        <v>28</v>
      </c>
      <c r="R1357" t="s">
        <v>29</v>
      </c>
      <c r="S1357">
        <v>2025</v>
      </c>
      <c r="T1357" t="s">
        <v>2741</v>
      </c>
      <c r="U1357" t="s">
        <v>2742</v>
      </c>
      <c r="V1357" s="4">
        <v>0</v>
      </c>
      <c r="W1357" s="4">
        <v>1</v>
      </c>
    </row>
    <row r="1358" spans="1:23">
      <c r="A1358" t="s">
        <v>1490</v>
      </c>
      <c r="B1358" s="2">
        <v>45721</v>
      </c>
      <c r="C1358" t="s">
        <v>117</v>
      </c>
      <c r="D1358" t="s">
        <v>118</v>
      </c>
      <c r="E1358" t="s">
        <v>73</v>
      </c>
      <c r="F1358" t="s">
        <v>57</v>
      </c>
      <c r="G1358" t="s">
        <v>74</v>
      </c>
      <c r="H1358" t="s">
        <v>75</v>
      </c>
      <c r="I1358">
        <v>7</v>
      </c>
      <c r="J1358" s="3">
        <v>8732.16</v>
      </c>
      <c r="K1358" s="3">
        <v>61125.120000000003</v>
      </c>
      <c r="L1358" t="s">
        <v>34</v>
      </c>
      <c r="M1358" s="2">
        <v>45729</v>
      </c>
      <c r="N1358" s="2">
        <v>45728</v>
      </c>
      <c r="O1358" t="s">
        <v>26</v>
      </c>
      <c r="P1358" t="s">
        <v>77</v>
      </c>
      <c r="Q1358" t="s">
        <v>28</v>
      </c>
      <c r="R1358" t="s">
        <v>29</v>
      </c>
      <c r="S1358">
        <v>2025</v>
      </c>
      <c r="T1358" t="s">
        <v>2747</v>
      </c>
      <c r="U1358" t="s">
        <v>2748</v>
      </c>
      <c r="V1358" s="4">
        <v>0</v>
      </c>
      <c r="W1358" s="4">
        <v>1</v>
      </c>
    </row>
    <row r="1359" spans="1:23">
      <c r="A1359" t="s">
        <v>1491</v>
      </c>
      <c r="B1359" s="2">
        <v>45866</v>
      </c>
      <c r="C1359" t="s">
        <v>19</v>
      </c>
      <c r="D1359" t="s">
        <v>20</v>
      </c>
      <c r="E1359" t="s">
        <v>31</v>
      </c>
      <c r="F1359" t="s">
        <v>22</v>
      </c>
      <c r="G1359" t="s">
        <v>23</v>
      </c>
      <c r="H1359" t="s">
        <v>24</v>
      </c>
      <c r="I1359">
        <v>45</v>
      </c>
      <c r="J1359" s="3">
        <v>231.76</v>
      </c>
      <c r="K1359" s="3">
        <v>10429.200000000001</v>
      </c>
      <c r="L1359" t="s">
        <v>25</v>
      </c>
      <c r="M1359" s="2">
        <v>45879</v>
      </c>
      <c r="N1359" s="2">
        <v>45876</v>
      </c>
      <c r="O1359" t="s">
        <v>60</v>
      </c>
      <c r="P1359" t="s">
        <v>94</v>
      </c>
      <c r="Q1359" t="s">
        <v>28</v>
      </c>
      <c r="R1359" t="s">
        <v>29</v>
      </c>
      <c r="S1359">
        <v>2025</v>
      </c>
      <c r="T1359" t="s">
        <v>2759</v>
      </c>
      <c r="U1359" t="s">
        <v>2760</v>
      </c>
      <c r="V1359" s="4">
        <v>0</v>
      </c>
      <c r="W1359" s="4">
        <v>1</v>
      </c>
    </row>
    <row r="1360" spans="1:23">
      <c r="A1360" t="s">
        <v>1492</v>
      </c>
      <c r="B1360" s="2">
        <v>45911</v>
      </c>
      <c r="C1360" t="s">
        <v>37</v>
      </c>
      <c r="D1360" t="s">
        <v>38</v>
      </c>
      <c r="E1360" t="s">
        <v>21</v>
      </c>
      <c r="F1360" t="s">
        <v>22</v>
      </c>
      <c r="G1360" t="s">
        <v>23</v>
      </c>
      <c r="H1360" t="s">
        <v>24</v>
      </c>
      <c r="I1360">
        <v>47</v>
      </c>
      <c r="J1360" s="3">
        <v>256.14</v>
      </c>
      <c r="K1360" s="3">
        <v>12038.58</v>
      </c>
      <c r="L1360" t="s">
        <v>52</v>
      </c>
      <c r="M1360" s="2">
        <v>45924</v>
      </c>
      <c r="N1360" s="2">
        <v>45923</v>
      </c>
      <c r="O1360" t="s">
        <v>26</v>
      </c>
      <c r="P1360" t="s">
        <v>27</v>
      </c>
      <c r="Q1360" t="s">
        <v>28</v>
      </c>
      <c r="R1360" t="s">
        <v>29</v>
      </c>
      <c r="S1360">
        <v>2025</v>
      </c>
      <c r="T1360" t="s">
        <v>2753</v>
      </c>
      <c r="U1360" t="s">
        <v>2754</v>
      </c>
      <c r="V1360" s="4">
        <v>0</v>
      </c>
      <c r="W1360" s="4">
        <v>1</v>
      </c>
    </row>
    <row r="1361" spans="1:23">
      <c r="A1361" t="s">
        <v>1493</v>
      </c>
      <c r="B1361" s="2">
        <v>45887</v>
      </c>
      <c r="C1361" t="s">
        <v>80</v>
      </c>
      <c r="D1361" t="s">
        <v>81</v>
      </c>
      <c r="E1361" t="s">
        <v>39</v>
      </c>
      <c r="F1361" t="s">
        <v>82</v>
      </c>
      <c r="G1361" t="s">
        <v>197</v>
      </c>
      <c r="H1361" t="s">
        <v>198</v>
      </c>
      <c r="I1361">
        <v>35</v>
      </c>
      <c r="J1361" s="3">
        <v>1926.57</v>
      </c>
      <c r="K1361" s="3">
        <v>67429.95</v>
      </c>
      <c r="L1361" t="s">
        <v>25</v>
      </c>
      <c r="M1361" s="2">
        <v>45897</v>
      </c>
      <c r="N1361" s="2">
        <v>45897</v>
      </c>
      <c r="O1361" t="s">
        <v>60</v>
      </c>
      <c r="P1361" t="s">
        <v>44</v>
      </c>
      <c r="Q1361" t="s">
        <v>28</v>
      </c>
      <c r="R1361" t="s">
        <v>29</v>
      </c>
      <c r="S1361">
        <v>2025</v>
      </c>
      <c r="T1361" t="s">
        <v>2761</v>
      </c>
      <c r="U1361" t="s">
        <v>2762</v>
      </c>
      <c r="V1361" s="4">
        <v>0</v>
      </c>
      <c r="W1361" s="4">
        <v>1</v>
      </c>
    </row>
    <row r="1362" spans="1:23">
      <c r="A1362" t="s">
        <v>1494</v>
      </c>
      <c r="B1362" s="2">
        <v>46052</v>
      </c>
      <c r="C1362" t="s">
        <v>96</v>
      </c>
      <c r="D1362" t="s">
        <v>97</v>
      </c>
      <c r="E1362" t="s">
        <v>39</v>
      </c>
      <c r="F1362" t="s">
        <v>82</v>
      </c>
      <c r="G1362" t="s">
        <v>197</v>
      </c>
      <c r="H1362" t="s">
        <v>198</v>
      </c>
      <c r="I1362">
        <v>5</v>
      </c>
      <c r="J1362" s="3">
        <v>2147.2600000000002</v>
      </c>
      <c r="K1362" s="3">
        <v>10736.3</v>
      </c>
      <c r="L1362" t="s">
        <v>52</v>
      </c>
      <c r="M1362" s="2">
        <v>46067</v>
      </c>
      <c r="N1362" s="2">
        <v>46067</v>
      </c>
      <c r="O1362" t="s">
        <v>76</v>
      </c>
      <c r="P1362" t="s">
        <v>64</v>
      </c>
      <c r="Q1362" t="s">
        <v>28</v>
      </c>
      <c r="R1362" t="s">
        <v>29</v>
      </c>
      <c r="S1362">
        <v>2026</v>
      </c>
      <c r="T1362" t="s">
        <v>2757</v>
      </c>
      <c r="U1362" t="s">
        <v>2758</v>
      </c>
      <c r="V1362" s="4">
        <v>0</v>
      </c>
      <c r="W1362" s="4">
        <v>1</v>
      </c>
    </row>
    <row r="1363" spans="1:23">
      <c r="A1363" t="s">
        <v>1495</v>
      </c>
      <c r="B1363" s="2">
        <v>45734</v>
      </c>
      <c r="C1363" t="s">
        <v>104</v>
      </c>
      <c r="D1363" t="s">
        <v>105</v>
      </c>
      <c r="E1363" t="s">
        <v>73</v>
      </c>
      <c r="F1363" t="s">
        <v>49</v>
      </c>
      <c r="G1363" t="s">
        <v>68</v>
      </c>
      <c r="H1363" t="s">
        <v>69</v>
      </c>
      <c r="I1363">
        <v>1</v>
      </c>
      <c r="J1363" s="3">
        <v>50046.71</v>
      </c>
      <c r="K1363" s="3">
        <v>50046.71</v>
      </c>
      <c r="L1363" t="s">
        <v>34</v>
      </c>
      <c r="M1363" s="2">
        <v>45744</v>
      </c>
      <c r="N1363" s="2">
        <v>45741</v>
      </c>
      <c r="O1363" t="s">
        <v>26</v>
      </c>
      <c r="P1363" t="s">
        <v>77</v>
      </c>
      <c r="Q1363" t="s">
        <v>28</v>
      </c>
      <c r="R1363" t="s">
        <v>29</v>
      </c>
      <c r="S1363">
        <v>2025</v>
      </c>
      <c r="T1363" t="s">
        <v>2747</v>
      </c>
      <c r="U1363" t="s">
        <v>2748</v>
      </c>
      <c r="V1363" s="4">
        <v>0</v>
      </c>
      <c r="W1363" s="4">
        <v>1</v>
      </c>
    </row>
    <row r="1364" spans="1:23">
      <c r="A1364" t="s">
        <v>1496</v>
      </c>
      <c r="B1364" s="2">
        <v>46043</v>
      </c>
      <c r="C1364" t="s">
        <v>147</v>
      </c>
      <c r="D1364" t="s">
        <v>148</v>
      </c>
      <c r="E1364" t="s">
        <v>112</v>
      </c>
      <c r="F1364" t="s">
        <v>40</v>
      </c>
      <c r="G1364" t="s">
        <v>62</v>
      </c>
      <c r="H1364" t="s">
        <v>63</v>
      </c>
      <c r="I1364">
        <v>6</v>
      </c>
      <c r="J1364" s="3">
        <v>18027.240000000002</v>
      </c>
      <c r="K1364" s="3">
        <v>108163.44</v>
      </c>
      <c r="L1364" t="s">
        <v>25</v>
      </c>
      <c r="M1364" s="2">
        <v>46057</v>
      </c>
      <c r="N1364" s="2">
        <v>46056</v>
      </c>
      <c r="O1364" t="s">
        <v>26</v>
      </c>
      <c r="P1364" t="s">
        <v>115</v>
      </c>
      <c r="Q1364" t="s">
        <v>28</v>
      </c>
      <c r="R1364" t="s">
        <v>29</v>
      </c>
      <c r="S1364">
        <v>2026</v>
      </c>
      <c r="T1364" t="s">
        <v>2757</v>
      </c>
      <c r="U1364" t="s">
        <v>2758</v>
      </c>
      <c r="V1364" s="4">
        <v>0</v>
      </c>
      <c r="W1364" s="4">
        <v>1</v>
      </c>
    </row>
    <row r="1365" spans="1:23">
      <c r="A1365" t="s">
        <v>1497</v>
      </c>
      <c r="B1365" s="2">
        <v>46177</v>
      </c>
      <c r="C1365" t="s">
        <v>142</v>
      </c>
      <c r="D1365" t="s">
        <v>143</v>
      </c>
      <c r="E1365" t="s">
        <v>112</v>
      </c>
      <c r="F1365" t="s">
        <v>22</v>
      </c>
      <c r="G1365" t="s">
        <v>160</v>
      </c>
      <c r="H1365" t="s">
        <v>161</v>
      </c>
      <c r="I1365">
        <v>11</v>
      </c>
      <c r="J1365" s="3">
        <v>3386.45</v>
      </c>
      <c r="K1365" s="3">
        <v>37250.949999999997</v>
      </c>
      <c r="L1365" t="s">
        <v>34</v>
      </c>
      <c r="M1365" s="2">
        <v>46188</v>
      </c>
      <c r="N1365" s="2">
        <v>46188</v>
      </c>
      <c r="O1365" t="s">
        <v>76</v>
      </c>
      <c r="P1365" t="s">
        <v>115</v>
      </c>
      <c r="Q1365" t="s">
        <v>28</v>
      </c>
      <c r="R1365" t="s">
        <v>29</v>
      </c>
      <c r="S1365">
        <v>2026</v>
      </c>
      <c r="T1365" t="s">
        <v>2743</v>
      </c>
      <c r="U1365" t="s">
        <v>2744</v>
      </c>
      <c r="V1365" s="4">
        <v>0</v>
      </c>
      <c r="W1365" s="4">
        <v>1</v>
      </c>
    </row>
    <row r="1366" spans="1:23">
      <c r="A1366" t="s">
        <v>1498</v>
      </c>
      <c r="B1366" s="2">
        <v>45681</v>
      </c>
      <c r="C1366" t="s">
        <v>89</v>
      </c>
      <c r="D1366" t="s">
        <v>90</v>
      </c>
      <c r="E1366" t="s">
        <v>31</v>
      </c>
      <c r="F1366" t="s">
        <v>91</v>
      </c>
      <c r="G1366" t="s">
        <v>109</v>
      </c>
      <c r="H1366" t="s">
        <v>110</v>
      </c>
      <c r="I1366">
        <v>1</v>
      </c>
      <c r="J1366" s="3">
        <v>13112.02</v>
      </c>
      <c r="K1366" s="3">
        <v>13112.02</v>
      </c>
      <c r="L1366" t="s">
        <v>25</v>
      </c>
      <c r="M1366" s="2">
        <v>45687</v>
      </c>
      <c r="N1366" s="2">
        <v>45684</v>
      </c>
      <c r="O1366" t="s">
        <v>43</v>
      </c>
      <c r="P1366" t="s">
        <v>35</v>
      </c>
      <c r="Q1366" t="s">
        <v>28</v>
      </c>
      <c r="R1366" t="s">
        <v>29</v>
      </c>
      <c r="S1366">
        <v>2025</v>
      </c>
      <c r="T1366" t="s">
        <v>2757</v>
      </c>
      <c r="U1366" t="s">
        <v>2768</v>
      </c>
      <c r="V1366" s="4">
        <v>0</v>
      </c>
      <c r="W1366" s="4">
        <v>1</v>
      </c>
    </row>
    <row r="1367" spans="1:23">
      <c r="A1367" t="s">
        <v>1499</v>
      </c>
      <c r="B1367" s="2">
        <v>45972</v>
      </c>
      <c r="C1367" t="s">
        <v>19</v>
      </c>
      <c r="D1367" t="s">
        <v>20</v>
      </c>
      <c r="E1367" t="s">
        <v>31</v>
      </c>
      <c r="F1367" t="s">
        <v>22</v>
      </c>
      <c r="G1367" t="s">
        <v>160</v>
      </c>
      <c r="H1367" t="s">
        <v>161</v>
      </c>
      <c r="I1367">
        <v>5</v>
      </c>
      <c r="J1367" s="3">
        <v>3036.59</v>
      </c>
      <c r="K1367" s="3">
        <v>15182.95</v>
      </c>
      <c r="L1367" t="s">
        <v>34</v>
      </c>
      <c r="M1367" s="2">
        <v>45983</v>
      </c>
      <c r="N1367" s="2">
        <v>45982</v>
      </c>
      <c r="O1367" t="s">
        <v>76</v>
      </c>
      <c r="P1367" t="s">
        <v>94</v>
      </c>
      <c r="Q1367" t="s">
        <v>28</v>
      </c>
      <c r="R1367" t="s">
        <v>29</v>
      </c>
      <c r="S1367">
        <v>2025</v>
      </c>
      <c r="T1367" t="s">
        <v>2763</v>
      </c>
      <c r="U1367" t="s">
        <v>2764</v>
      </c>
      <c r="V1367" s="4">
        <v>0</v>
      </c>
      <c r="W1367" s="4">
        <v>1</v>
      </c>
    </row>
    <row r="1368" spans="1:23">
      <c r="A1368" t="s">
        <v>1500</v>
      </c>
      <c r="B1368" s="2">
        <v>46078</v>
      </c>
      <c r="C1368" t="s">
        <v>104</v>
      </c>
      <c r="D1368" t="s">
        <v>105</v>
      </c>
      <c r="E1368" t="s">
        <v>21</v>
      </c>
      <c r="F1368" t="s">
        <v>49</v>
      </c>
      <c r="G1368" t="s">
        <v>165</v>
      </c>
      <c r="H1368" t="s">
        <v>166</v>
      </c>
      <c r="I1368">
        <v>3</v>
      </c>
      <c r="J1368" s="3">
        <v>46168.959999999999</v>
      </c>
      <c r="K1368" s="3">
        <v>138506.88</v>
      </c>
      <c r="L1368" t="s">
        <v>25</v>
      </c>
      <c r="M1368" s="2">
        <v>46095</v>
      </c>
      <c r="N1368" s="2">
        <v>46092</v>
      </c>
      <c r="O1368" t="s">
        <v>43</v>
      </c>
      <c r="P1368" t="s">
        <v>27</v>
      </c>
      <c r="Q1368" t="s">
        <v>28</v>
      </c>
      <c r="R1368" t="s">
        <v>29</v>
      </c>
      <c r="S1368">
        <v>2026</v>
      </c>
      <c r="T1368" t="s">
        <v>2751</v>
      </c>
      <c r="U1368" t="s">
        <v>2765</v>
      </c>
      <c r="V1368" s="4">
        <v>0</v>
      </c>
      <c r="W1368" s="4">
        <v>1</v>
      </c>
    </row>
    <row r="1369" spans="1:23">
      <c r="A1369" t="s">
        <v>1501</v>
      </c>
      <c r="B1369" s="2">
        <v>45954</v>
      </c>
      <c r="C1369" t="s">
        <v>71</v>
      </c>
      <c r="D1369" t="s">
        <v>72</v>
      </c>
      <c r="E1369" t="s">
        <v>48</v>
      </c>
      <c r="F1369" t="s">
        <v>57</v>
      </c>
      <c r="G1369" t="s">
        <v>120</v>
      </c>
      <c r="H1369" t="s">
        <v>121</v>
      </c>
      <c r="I1369">
        <v>1</v>
      </c>
      <c r="J1369" s="3">
        <v>21141.63</v>
      </c>
      <c r="K1369" s="3">
        <v>21141.63</v>
      </c>
      <c r="L1369" t="s">
        <v>34</v>
      </c>
      <c r="M1369" s="2">
        <v>45964</v>
      </c>
      <c r="N1369" s="2">
        <v>45964</v>
      </c>
      <c r="O1369" t="s">
        <v>43</v>
      </c>
      <c r="P1369" t="s">
        <v>53</v>
      </c>
      <c r="Q1369" t="s">
        <v>28</v>
      </c>
      <c r="R1369" t="s">
        <v>29</v>
      </c>
      <c r="S1369">
        <v>2025</v>
      </c>
      <c r="T1369" t="s">
        <v>2749</v>
      </c>
      <c r="U1369" t="s">
        <v>2750</v>
      </c>
      <c r="V1369" s="4">
        <v>0</v>
      </c>
      <c r="W1369" s="4">
        <v>1</v>
      </c>
    </row>
    <row r="1370" spans="1:23">
      <c r="A1370" t="s">
        <v>1502</v>
      </c>
      <c r="B1370" s="2">
        <v>46066</v>
      </c>
      <c r="C1370" t="s">
        <v>104</v>
      </c>
      <c r="D1370" t="s">
        <v>105</v>
      </c>
      <c r="E1370" t="s">
        <v>73</v>
      </c>
      <c r="F1370" t="s">
        <v>49</v>
      </c>
      <c r="G1370" t="s">
        <v>68</v>
      </c>
      <c r="H1370" t="s">
        <v>69</v>
      </c>
      <c r="I1370">
        <v>1</v>
      </c>
      <c r="J1370" s="3">
        <v>48679.9</v>
      </c>
      <c r="K1370" s="3">
        <v>48679.9</v>
      </c>
      <c r="L1370" t="s">
        <v>25</v>
      </c>
      <c r="M1370" s="2">
        <v>46071</v>
      </c>
      <c r="N1370" s="2">
        <v>46070</v>
      </c>
      <c r="O1370" t="s">
        <v>76</v>
      </c>
      <c r="P1370" t="s">
        <v>77</v>
      </c>
      <c r="Q1370" t="s">
        <v>28</v>
      </c>
      <c r="R1370" t="s">
        <v>29</v>
      </c>
      <c r="S1370">
        <v>2026</v>
      </c>
      <c r="T1370" t="s">
        <v>2751</v>
      </c>
      <c r="U1370" t="s">
        <v>2765</v>
      </c>
      <c r="V1370" s="4">
        <v>0</v>
      </c>
      <c r="W1370" s="4">
        <v>1</v>
      </c>
    </row>
    <row r="1371" spans="1:23">
      <c r="A1371" t="s">
        <v>1503</v>
      </c>
      <c r="B1371" s="2">
        <v>46190</v>
      </c>
      <c r="C1371" t="s">
        <v>80</v>
      </c>
      <c r="D1371" t="s">
        <v>81</v>
      </c>
      <c r="E1371" t="s">
        <v>39</v>
      </c>
      <c r="F1371" t="s">
        <v>82</v>
      </c>
      <c r="G1371" t="s">
        <v>197</v>
      </c>
      <c r="H1371" t="s">
        <v>198</v>
      </c>
      <c r="I1371">
        <v>47</v>
      </c>
      <c r="J1371" s="3">
        <v>1949.31</v>
      </c>
      <c r="K1371" s="3">
        <v>91617.57</v>
      </c>
      <c r="L1371" t="s">
        <v>34</v>
      </c>
      <c r="M1371" s="2">
        <v>46207</v>
      </c>
      <c r="N1371" s="2"/>
      <c r="O1371" t="s">
        <v>26</v>
      </c>
      <c r="P1371" t="s">
        <v>44</v>
      </c>
      <c r="Q1371" t="s">
        <v>167</v>
      </c>
      <c r="R1371" t="s">
        <v>167</v>
      </c>
      <c r="S1371">
        <v>2026</v>
      </c>
      <c r="T1371" t="s">
        <v>2743</v>
      </c>
      <c r="U1371" t="s">
        <v>2744</v>
      </c>
      <c r="V1371" s="4"/>
      <c r="W1371" s="4"/>
    </row>
    <row r="1372" spans="1:23">
      <c r="A1372" t="s">
        <v>1504</v>
      </c>
      <c r="B1372" s="2">
        <v>45766</v>
      </c>
      <c r="C1372" t="s">
        <v>142</v>
      </c>
      <c r="D1372" t="s">
        <v>143</v>
      </c>
      <c r="E1372" t="s">
        <v>73</v>
      </c>
      <c r="F1372" t="s">
        <v>22</v>
      </c>
      <c r="G1372" t="s">
        <v>23</v>
      </c>
      <c r="H1372" t="s">
        <v>24</v>
      </c>
      <c r="I1372">
        <v>55</v>
      </c>
      <c r="J1372" s="3">
        <v>256.37</v>
      </c>
      <c r="K1372" s="3">
        <v>14100.35</v>
      </c>
      <c r="L1372" t="s">
        <v>25</v>
      </c>
      <c r="M1372" s="2">
        <v>45776</v>
      </c>
      <c r="N1372" s="2">
        <v>45776</v>
      </c>
      <c r="O1372" t="s">
        <v>43</v>
      </c>
      <c r="P1372" t="s">
        <v>77</v>
      </c>
      <c r="Q1372" t="s">
        <v>28</v>
      </c>
      <c r="R1372" t="s">
        <v>29</v>
      </c>
      <c r="S1372">
        <v>2025</v>
      </c>
      <c r="T1372" t="s">
        <v>2741</v>
      </c>
      <c r="U1372" t="s">
        <v>2742</v>
      </c>
      <c r="V1372" s="4">
        <v>0</v>
      </c>
      <c r="W1372" s="4">
        <v>1</v>
      </c>
    </row>
    <row r="1373" spans="1:23">
      <c r="A1373" t="s">
        <v>1505</v>
      </c>
      <c r="B1373" s="2">
        <v>46070</v>
      </c>
      <c r="C1373" t="s">
        <v>46</v>
      </c>
      <c r="D1373" t="s">
        <v>47</v>
      </c>
      <c r="E1373" t="s">
        <v>112</v>
      </c>
      <c r="F1373" t="s">
        <v>49</v>
      </c>
      <c r="G1373" t="s">
        <v>165</v>
      </c>
      <c r="H1373" t="s">
        <v>166</v>
      </c>
      <c r="I1373">
        <v>1</v>
      </c>
      <c r="J1373" s="3">
        <v>45866.21</v>
      </c>
      <c r="K1373" s="3">
        <v>45866.21</v>
      </c>
      <c r="L1373" t="s">
        <v>34</v>
      </c>
      <c r="M1373" s="2">
        <v>46081</v>
      </c>
      <c r="N1373" s="2">
        <v>46079</v>
      </c>
      <c r="O1373" t="s">
        <v>26</v>
      </c>
      <c r="P1373" t="s">
        <v>115</v>
      </c>
      <c r="Q1373" t="s">
        <v>28</v>
      </c>
      <c r="R1373" t="s">
        <v>29</v>
      </c>
      <c r="S1373">
        <v>2026</v>
      </c>
      <c r="T1373" t="s">
        <v>2751</v>
      </c>
      <c r="U1373" t="s">
        <v>2765</v>
      </c>
      <c r="V1373" s="4">
        <v>0</v>
      </c>
      <c r="W1373" s="4">
        <v>1</v>
      </c>
    </row>
    <row r="1374" spans="1:23">
      <c r="A1374" t="s">
        <v>1506</v>
      </c>
      <c r="B1374" s="2">
        <v>45959</v>
      </c>
      <c r="C1374" t="s">
        <v>37</v>
      </c>
      <c r="D1374" t="s">
        <v>38</v>
      </c>
      <c r="E1374" t="s">
        <v>31</v>
      </c>
      <c r="F1374" t="s">
        <v>22</v>
      </c>
      <c r="G1374" t="s">
        <v>160</v>
      </c>
      <c r="H1374" t="s">
        <v>161</v>
      </c>
      <c r="I1374">
        <v>11</v>
      </c>
      <c r="J1374" s="3">
        <v>3512.41</v>
      </c>
      <c r="K1374" s="3">
        <v>38636.51</v>
      </c>
      <c r="L1374" t="s">
        <v>25</v>
      </c>
      <c r="M1374" s="2">
        <v>45965</v>
      </c>
      <c r="N1374" s="2">
        <v>45964</v>
      </c>
      <c r="O1374" t="s">
        <v>43</v>
      </c>
      <c r="P1374" t="s">
        <v>94</v>
      </c>
      <c r="Q1374" t="s">
        <v>28</v>
      </c>
      <c r="R1374" t="s">
        <v>29</v>
      </c>
      <c r="S1374">
        <v>2025</v>
      </c>
      <c r="T1374" t="s">
        <v>2749</v>
      </c>
      <c r="U1374" t="s">
        <v>2750</v>
      </c>
      <c r="V1374" s="4">
        <v>0</v>
      </c>
      <c r="W1374" s="4">
        <v>1</v>
      </c>
    </row>
    <row r="1375" spans="1:23">
      <c r="A1375" t="s">
        <v>1507</v>
      </c>
      <c r="B1375" s="2">
        <v>45773</v>
      </c>
      <c r="C1375" t="s">
        <v>37</v>
      </c>
      <c r="D1375" t="s">
        <v>38</v>
      </c>
      <c r="E1375" t="s">
        <v>39</v>
      </c>
      <c r="F1375" t="s">
        <v>40</v>
      </c>
      <c r="G1375" t="s">
        <v>41</v>
      </c>
      <c r="H1375" t="s">
        <v>42</v>
      </c>
      <c r="I1375">
        <v>5</v>
      </c>
      <c r="J1375" s="3">
        <v>5688</v>
      </c>
      <c r="K1375" s="3">
        <v>28440</v>
      </c>
      <c r="L1375" t="s">
        <v>25</v>
      </c>
      <c r="M1375" s="2">
        <v>45782</v>
      </c>
      <c r="N1375" s="2">
        <v>45780</v>
      </c>
      <c r="O1375" t="s">
        <v>43</v>
      </c>
      <c r="P1375" t="s">
        <v>44</v>
      </c>
      <c r="Q1375" t="s">
        <v>28</v>
      </c>
      <c r="R1375" t="s">
        <v>29</v>
      </c>
      <c r="S1375">
        <v>2025</v>
      </c>
      <c r="T1375" t="s">
        <v>2741</v>
      </c>
      <c r="U1375" t="s">
        <v>2742</v>
      </c>
      <c r="V1375" s="4">
        <v>0</v>
      </c>
      <c r="W1375" s="4">
        <v>1</v>
      </c>
    </row>
    <row r="1376" spans="1:23">
      <c r="A1376" t="s">
        <v>1508</v>
      </c>
      <c r="B1376" s="2">
        <v>46153</v>
      </c>
      <c r="C1376" t="s">
        <v>66</v>
      </c>
      <c r="D1376" t="s">
        <v>67</v>
      </c>
      <c r="E1376" t="s">
        <v>21</v>
      </c>
      <c r="F1376" t="s">
        <v>49</v>
      </c>
      <c r="G1376" t="s">
        <v>68</v>
      </c>
      <c r="H1376" t="s">
        <v>69</v>
      </c>
      <c r="I1376">
        <v>1</v>
      </c>
      <c r="J1376" s="3">
        <v>46265.75</v>
      </c>
      <c r="K1376" s="3">
        <v>46265.75</v>
      </c>
      <c r="L1376" t="s">
        <v>25</v>
      </c>
      <c r="M1376" s="2">
        <v>46158</v>
      </c>
      <c r="N1376" s="2">
        <v>46157</v>
      </c>
      <c r="O1376" t="s">
        <v>76</v>
      </c>
      <c r="P1376" t="s">
        <v>27</v>
      </c>
      <c r="Q1376" t="s">
        <v>28</v>
      </c>
      <c r="R1376" t="s">
        <v>29</v>
      </c>
      <c r="S1376">
        <v>2026</v>
      </c>
      <c r="T1376" t="s">
        <v>2766</v>
      </c>
      <c r="U1376" t="s">
        <v>2769</v>
      </c>
      <c r="V1376" s="4">
        <v>0</v>
      </c>
      <c r="W1376" s="4">
        <v>1</v>
      </c>
    </row>
    <row r="1377" spans="1:23">
      <c r="A1377" t="s">
        <v>1509</v>
      </c>
      <c r="B1377" s="2">
        <v>46147</v>
      </c>
      <c r="C1377" t="s">
        <v>37</v>
      </c>
      <c r="D1377" t="s">
        <v>38</v>
      </c>
      <c r="E1377" t="s">
        <v>112</v>
      </c>
      <c r="F1377" t="s">
        <v>22</v>
      </c>
      <c r="G1377" t="s">
        <v>23</v>
      </c>
      <c r="H1377" t="s">
        <v>24</v>
      </c>
      <c r="I1377">
        <v>43</v>
      </c>
      <c r="J1377" s="3">
        <v>271.29000000000002</v>
      </c>
      <c r="K1377" s="3">
        <v>11665.47</v>
      </c>
      <c r="L1377" t="s">
        <v>52</v>
      </c>
      <c r="M1377" s="2">
        <v>46152</v>
      </c>
      <c r="N1377" s="2">
        <v>46151</v>
      </c>
      <c r="O1377" t="s">
        <v>76</v>
      </c>
      <c r="P1377" t="s">
        <v>115</v>
      </c>
      <c r="Q1377" t="s">
        <v>28</v>
      </c>
      <c r="R1377" t="s">
        <v>29</v>
      </c>
      <c r="S1377">
        <v>2026</v>
      </c>
      <c r="T1377" t="s">
        <v>2766</v>
      </c>
      <c r="U1377" t="s">
        <v>2769</v>
      </c>
      <c r="V1377" s="4">
        <v>0</v>
      </c>
      <c r="W1377" s="4">
        <v>1</v>
      </c>
    </row>
    <row r="1378" spans="1:23">
      <c r="A1378" t="s">
        <v>1510</v>
      </c>
      <c r="B1378" s="2">
        <v>45688</v>
      </c>
      <c r="C1378" t="s">
        <v>46</v>
      </c>
      <c r="D1378" t="s">
        <v>47</v>
      </c>
      <c r="E1378" t="s">
        <v>21</v>
      </c>
      <c r="F1378" t="s">
        <v>49</v>
      </c>
      <c r="G1378" t="s">
        <v>165</v>
      </c>
      <c r="H1378" t="s">
        <v>166</v>
      </c>
      <c r="I1378">
        <v>1</v>
      </c>
      <c r="J1378" s="3">
        <v>48731.56</v>
      </c>
      <c r="K1378" s="3">
        <v>48731.56</v>
      </c>
      <c r="L1378" t="s">
        <v>25</v>
      </c>
      <c r="M1378" s="2">
        <v>45698</v>
      </c>
      <c r="N1378" s="2">
        <v>45695</v>
      </c>
      <c r="O1378" t="s">
        <v>43</v>
      </c>
      <c r="P1378" t="s">
        <v>27</v>
      </c>
      <c r="Q1378" t="s">
        <v>28</v>
      </c>
      <c r="R1378" t="s">
        <v>29</v>
      </c>
      <c r="S1378">
        <v>2025</v>
      </c>
      <c r="T1378" t="s">
        <v>2757</v>
      </c>
      <c r="U1378" t="s">
        <v>2768</v>
      </c>
      <c r="V1378" s="4">
        <v>0</v>
      </c>
      <c r="W1378" s="4">
        <v>1</v>
      </c>
    </row>
    <row r="1379" spans="1:23">
      <c r="A1379" t="s">
        <v>1511</v>
      </c>
      <c r="B1379" s="2">
        <v>45888</v>
      </c>
      <c r="C1379" t="s">
        <v>89</v>
      </c>
      <c r="D1379" t="s">
        <v>90</v>
      </c>
      <c r="E1379" t="s">
        <v>31</v>
      </c>
      <c r="F1379" t="s">
        <v>91</v>
      </c>
      <c r="G1379" t="s">
        <v>92</v>
      </c>
      <c r="H1379" t="s">
        <v>93</v>
      </c>
      <c r="I1379">
        <v>1</v>
      </c>
      <c r="J1379" s="3">
        <v>43074.31</v>
      </c>
      <c r="K1379" s="3">
        <v>43074.31</v>
      </c>
      <c r="L1379" t="s">
        <v>25</v>
      </c>
      <c r="M1379" s="2">
        <v>45894</v>
      </c>
      <c r="N1379" s="2">
        <v>45894</v>
      </c>
      <c r="O1379" t="s">
        <v>26</v>
      </c>
      <c r="P1379" t="s">
        <v>35</v>
      </c>
      <c r="Q1379" t="s">
        <v>28</v>
      </c>
      <c r="R1379" t="s">
        <v>29</v>
      </c>
      <c r="S1379">
        <v>2025</v>
      </c>
      <c r="T1379" t="s">
        <v>2761</v>
      </c>
      <c r="U1379" t="s">
        <v>2762</v>
      </c>
      <c r="V1379" s="4">
        <v>0</v>
      </c>
      <c r="W1379" s="4">
        <v>1</v>
      </c>
    </row>
    <row r="1380" spans="1:23">
      <c r="A1380" t="s">
        <v>1512</v>
      </c>
      <c r="B1380" s="2">
        <v>46141</v>
      </c>
      <c r="C1380" t="s">
        <v>131</v>
      </c>
      <c r="D1380" t="s">
        <v>132</v>
      </c>
      <c r="E1380" t="s">
        <v>48</v>
      </c>
      <c r="F1380" t="s">
        <v>57</v>
      </c>
      <c r="G1380" t="s">
        <v>120</v>
      </c>
      <c r="H1380" t="s">
        <v>121</v>
      </c>
      <c r="I1380">
        <v>7</v>
      </c>
      <c r="J1380" s="3">
        <v>23053.71</v>
      </c>
      <c r="K1380" s="3">
        <v>161375.97</v>
      </c>
      <c r="L1380" t="s">
        <v>34</v>
      </c>
      <c r="M1380" s="2">
        <v>46158</v>
      </c>
      <c r="N1380" s="2">
        <v>46157</v>
      </c>
      <c r="O1380" t="s">
        <v>76</v>
      </c>
      <c r="P1380" t="s">
        <v>53</v>
      </c>
      <c r="Q1380" t="s">
        <v>28</v>
      </c>
      <c r="R1380" t="s">
        <v>29</v>
      </c>
      <c r="S1380">
        <v>2026</v>
      </c>
      <c r="T1380" t="s">
        <v>2741</v>
      </c>
      <c r="U1380" t="s">
        <v>2770</v>
      </c>
      <c r="V1380" s="4">
        <v>0</v>
      </c>
      <c r="W1380" s="4">
        <v>1</v>
      </c>
    </row>
    <row r="1381" spans="1:23">
      <c r="A1381" t="s">
        <v>1513</v>
      </c>
      <c r="B1381" s="2">
        <v>45990</v>
      </c>
      <c r="C1381" t="s">
        <v>71</v>
      </c>
      <c r="D1381" t="s">
        <v>72</v>
      </c>
      <c r="E1381" t="s">
        <v>31</v>
      </c>
      <c r="F1381" t="s">
        <v>57</v>
      </c>
      <c r="G1381" t="s">
        <v>86</v>
      </c>
      <c r="H1381" t="s">
        <v>87</v>
      </c>
      <c r="I1381">
        <v>6</v>
      </c>
      <c r="J1381" s="3">
        <v>10101.950000000001</v>
      </c>
      <c r="K1381" s="3">
        <v>60611.7</v>
      </c>
      <c r="L1381" t="s">
        <v>25</v>
      </c>
      <c r="M1381" s="2">
        <v>45996</v>
      </c>
      <c r="N1381" s="2">
        <v>45994</v>
      </c>
      <c r="O1381" t="s">
        <v>43</v>
      </c>
      <c r="P1381" t="s">
        <v>35</v>
      </c>
      <c r="Q1381" t="s">
        <v>28</v>
      </c>
      <c r="R1381" t="s">
        <v>29</v>
      </c>
      <c r="S1381">
        <v>2025</v>
      </c>
      <c r="T1381" t="s">
        <v>2763</v>
      </c>
      <c r="U1381" t="s">
        <v>2764</v>
      </c>
      <c r="V1381" s="4">
        <v>0</v>
      </c>
      <c r="W1381" s="4">
        <v>1</v>
      </c>
    </row>
    <row r="1382" spans="1:23">
      <c r="A1382" t="s">
        <v>1514</v>
      </c>
      <c r="B1382" s="2">
        <v>45726</v>
      </c>
      <c r="C1382" t="s">
        <v>104</v>
      </c>
      <c r="D1382" t="s">
        <v>105</v>
      </c>
      <c r="E1382" t="s">
        <v>112</v>
      </c>
      <c r="F1382" t="s">
        <v>49</v>
      </c>
      <c r="G1382" t="s">
        <v>113</v>
      </c>
      <c r="H1382" t="s">
        <v>114</v>
      </c>
      <c r="I1382">
        <v>1</v>
      </c>
      <c r="J1382" s="3">
        <v>38529.56</v>
      </c>
      <c r="K1382" s="3">
        <v>38529.56</v>
      </c>
      <c r="L1382" t="s">
        <v>25</v>
      </c>
      <c r="M1382" s="2">
        <v>45738</v>
      </c>
      <c r="N1382" s="2">
        <v>45736</v>
      </c>
      <c r="O1382" t="s">
        <v>76</v>
      </c>
      <c r="P1382" t="s">
        <v>115</v>
      </c>
      <c r="Q1382" t="s">
        <v>28</v>
      </c>
      <c r="R1382" t="s">
        <v>29</v>
      </c>
      <c r="S1382">
        <v>2025</v>
      </c>
      <c r="T1382" t="s">
        <v>2747</v>
      </c>
      <c r="U1382" t="s">
        <v>2748</v>
      </c>
      <c r="V1382" s="4">
        <v>0</v>
      </c>
      <c r="W1382" s="4">
        <v>1</v>
      </c>
    </row>
    <row r="1383" spans="1:23">
      <c r="A1383" t="s">
        <v>1515</v>
      </c>
      <c r="B1383" s="2">
        <v>45962</v>
      </c>
      <c r="C1383" t="s">
        <v>142</v>
      </c>
      <c r="D1383" t="s">
        <v>143</v>
      </c>
      <c r="E1383" t="s">
        <v>31</v>
      </c>
      <c r="F1383" t="s">
        <v>22</v>
      </c>
      <c r="G1383" t="s">
        <v>32</v>
      </c>
      <c r="H1383" t="s">
        <v>33</v>
      </c>
      <c r="I1383">
        <v>14</v>
      </c>
      <c r="J1383" s="3">
        <v>8072.95</v>
      </c>
      <c r="K1383" s="3">
        <v>113021.3</v>
      </c>
      <c r="L1383" t="s">
        <v>34</v>
      </c>
      <c r="M1383" s="2">
        <v>45974</v>
      </c>
      <c r="N1383" s="2">
        <v>45972</v>
      </c>
      <c r="O1383" t="s">
        <v>60</v>
      </c>
      <c r="P1383" t="s">
        <v>94</v>
      </c>
      <c r="Q1383" t="s">
        <v>28</v>
      </c>
      <c r="R1383" t="s">
        <v>29</v>
      </c>
      <c r="S1383">
        <v>2025</v>
      </c>
      <c r="T1383" t="s">
        <v>2763</v>
      </c>
      <c r="U1383" t="s">
        <v>2764</v>
      </c>
      <c r="V1383" s="4">
        <v>0</v>
      </c>
      <c r="W1383" s="4">
        <v>1</v>
      </c>
    </row>
    <row r="1384" spans="1:23">
      <c r="A1384" t="s">
        <v>1516</v>
      </c>
      <c r="B1384" s="2">
        <v>45924</v>
      </c>
      <c r="C1384" t="s">
        <v>142</v>
      </c>
      <c r="D1384" t="s">
        <v>143</v>
      </c>
      <c r="E1384" t="s">
        <v>112</v>
      </c>
      <c r="F1384" t="s">
        <v>22</v>
      </c>
      <c r="G1384" t="s">
        <v>23</v>
      </c>
      <c r="H1384" t="s">
        <v>24</v>
      </c>
      <c r="I1384">
        <v>39</v>
      </c>
      <c r="J1384" s="3">
        <v>260.73</v>
      </c>
      <c r="K1384" s="3">
        <v>10168.469999999999</v>
      </c>
      <c r="L1384" t="s">
        <v>25</v>
      </c>
      <c r="M1384" s="2">
        <v>45929</v>
      </c>
      <c r="N1384" s="2">
        <v>45929</v>
      </c>
      <c r="O1384" t="s">
        <v>60</v>
      </c>
      <c r="P1384" t="s">
        <v>115</v>
      </c>
      <c r="Q1384" t="s">
        <v>28</v>
      </c>
      <c r="R1384" t="s">
        <v>29</v>
      </c>
      <c r="S1384">
        <v>2025</v>
      </c>
      <c r="T1384" t="s">
        <v>2753</v>
      </c>
      <c r="U1384" t="s">
        <v>2754</v>
      </c>
      <c r="V1384" s="4">
        <v>0</v>
      </c>
      <c r="W1384" s="4">
        <v>1</v>
      </c>
    </row>
    <row r="1385" spans="1:23">
      <c r="A1385" t="s">
        <v>1517</v>
      </c>
      <c r="B1385" s="2">
        <v>45728</v>
      </c>
      <c r="C1385" t="s">
        <v>80</v>
      </c>
      <c r="D1385" t="s">
        <v>81</v>
      </c>
      <c r="E1385" t="s">
        <v>39</v>
      </c>
      <c r="F1385" t="s">
        <v>82</v>
      </c>
      <c r="G1385" t="s">
        <v>197</v>
      </c>
      <c r="H1385" t="s">
        <v>198</v>
      </c>
      <c r="I1385">
        <v>32</v>
      </c>
      <c r="J1385" s="3">
        <v>2091.23</v>
      </c>
      <c r="K1385" s="3">
        <v>66919.360000000001</v>
      </c>
      <c r="L1385" t="s">
        <v>34</v>
      </c>
      <c r="M1385" s="2">
        <v>45733</v>
      </c>
      <c r="N1385" s="2">
        <v>45732</v>
      </c>
      <c r="O1385" t="s">
        <v>43</v>
      </c>
      <c r="P1385" t="s">
        <v>44</v>
      </c>
      <c r="Q1385" t="s">
        <v>28</v>
      </c>
      <c r="R1385" t="s">
        <v>29</v>
      </c>
      <c r="S1385">
        <v>2025</v>
      </c>
      <c r="T1385" t="s">
        <v>2747</v>
      </c>
      <c r="U1385" t="s">
        <v>2748</v>
      </c>
      <c r="V1385" s="4">
        <v>0</v>
      </c>
      <c r="W1385" s="4">
        <v>1</v>
      </c>
    </row>
    <row r="1386" spans="1:23">
      <c r="A1386" t="s">
        <v>1518</v>
      </c>
      <c r="B1386" s="2">
        <v>45836</v>
      </c>
      <c r="C1386" t="s">
        <v>107</v>
      </c>
      <c r="D1386" t="s">
        <v>108</v>
      </c>
      <c r="E1386" t="s">
        <v>31</v>
      </c>
      <c r="F1386" t="s">
        <v>91</v>
      </c>
      <c r="G1386" t="s">
        <v>109</v>
      </c>
      <c r="H1386" t="s">
        <v>110</v>
      </c>
      <c r="I1386">
        <v>1</v>
      </c>
      <c r="J1386" s="3">
        <v>13738.06</v>
      </c>
      <c r="K1386" s="3">
        <v>13738.06</v>
      </c>
      <c r="L1386" t="s">
        <v>25</v>
      </c>
      <c r="M1386" s="2">
        <v>45851</v>
      </c>
      <c r="N1386" s="2">
        <v>45850</v>
      </c>
      <c r="O1386" t="s">
        <v>76</v>
      </c>
      <c r="P1386" t="s">
        <v>35</v>
      </c>
      <c r="Q1386" t="s">
        <v>28</v>
      </c>
      <c r="R1386" t="s">
        <v>29</v>
      </c>
      <c r="S1386">
        <v>2025</v>
      </c>
      <c r="T1386" t="s">
        <v>2743</v>
      </c>
      <c r="U1386" t="s">
        <v>2756</v>
      </c>
      <c r="V1386" s="4">
        <v>0</v>
      </c>
      <c r="W1386" s="4">
        <v>1</v>
      </c>
    </row>
    <row r="1387" spans="1:23">
      <c r="A1387" t="s">
        <v>1519</v>
      </c>
      <c r="B1387" s="2">
        <v>45889</v>
      </c>
      <c r="C1387" t="s">
        <v>71</v>
      </c>
      <c r="D1387" t="s">
        <v>72</v>
      </c>
      <c r="E1387" t="s">
        <v>48</v>
      </c>
      <c r="F1387" t="s">
        <v>57</v>
      </c>
      <c r="G1387" t="s">
        <v>101</v>
      </c>
      <c r="H1387" t="s">
        <v>102</v>
      </c>
      <c r="I1387">
        <v>27</v>
      </c>
      <c r="J1387" s="3">
        <v>1746.99</v>
      </c>
      <c r="K1387" s="3">
        <v>47168.73</v>
      </c>
      <c r="L1387" t="s">
        <v>25</v>
      </c>
      <c r="M1387" s="2">
        <v>45900</v>
      </c>
      <c r="N1387" s="2">
        <v>45899</v>
      </c>
      <c r="O1387" t="s">
        <v>60</v>
      </c>
      <c r="P1387" t="s">
        <v>53</v>
      </c>
      <c r="Q1387" t="s">
        <v>28</v>
      </c>
      <c r="R1387" t="s">
        <v>29</v>
      </c>
      <c r="S1387">
        <v>2025</v>
      </c>
      <c r="T1387" t="s">
        <v>2761</v>
      </c>
      <c r="U1387" t="s">
        <v>2762</v>
      </c>
      <c r="V1387" s="4">
        <v>0</v>
      </c>
      <c r="W1387" s="4">
        <v>1</v>
      </c>
    </row>
    <row r="1388" spans="1:23">
      <c r="A1388" t="s">
        <v>1520</v>
      </c>
      <c r="B1388" s="2">
        <v>45747</v>
      </c>
      <c r="C1388" t="s">
        <v>46</v>
      </c>
      <c r="D1388" t="s">
        <v>47</v>
      </c>
      <c r="E1388" t="s">
        <v>73</v>
      </c>
      <c r="F1388" t="s">
        <v>49</v>
      </c>
      <c r="G1388" t="s">
        <v>50</v>
      </c>
      <c r="H1388" t="s">
        <v>51</v>
      </c>
      <c r="I1388">
        <v>1</v>
      </c>
      <c r="J1388" s="3">
        <v>54887.07</v>
      </c>
      <c r="K1388" s="3">
        <v>54887.07</v>
      </c>
      <c r="L1388" t="s">
        <v>25</v>
      </c>
      <c r="M1388" s="2">
        <v>45756</v>
      </c>
      <c r="N1388" s="2">
        <v>45753</v>
      </c>
      <c r="O1388" t="s">
        <v>76</v>
      </c>
      <c r="P1388" t="s">
        <v>77</v>
      </c>
      <c r="Q1388" t="s">
        <v>28</v>
      </c>
      <c r="R1388" t="s">
        <v>29</v>
      </c>
      <c r="S1388">
        <v>2025</v>
      </c>
      <c r="T1388" t="s">
        <v>2747</v>
      </c>
      <c r="U1388" t="s">
        <v>2748</v>
      </c>
      <c r="V1388" s="4">
        <v>0</v>
      </c>
      <c r="W1388" s="4">
        <v>1</v>
      </c>
    </row>
    <row r="1389" spans="1:23">
      <c r="A1389" t="s">
        <v>1521</v>
      </c>
      <c r="B1389" s="2">
        <v>46098</v>
      </c>
      <c r="C1389" t="s">
        <v>19</v>
      </c>
      <c r="D1389" t="s">
        <v>20</v>
      </c>
      <c r="E1389" t="s">
        <v>112</v>
      </c>
      <c r="F1389" t="s">
        <v>22</v>
      </c>
      <c r="G1389" t="s">
        <v>32</v>
      </c>
      <c r="H1389" t="s">
        <v>33</v>
      </c>
      <c r="I1389">
        <v>1</v>
      </c>
      <c r="J1389" s="3">
        <v>7787.09</v>
      </c>
      <c r="K1389" s="3">
        <v>7787.09</v>
      </c>
      <c r="L1389" t="s">
        <v>25</v>
      </c>
      <c r="M1389" s="2">
        <v>46114</v>
      </c>
      <c r="N1389" s="2">
        <v>46116</v>
      </c>
      <c r="O1389" t="s">
        <v>76</v>
      </c>
      <c r="P1389" t="s">
        <v>115</v>
      </c>
      <c r="Q1389" t="s">
        <v>28</v>
      </c>
      <c r="R1389" t="s">
        <v>129</v>
      </c>
      <c r="S1389">
        <v>2026</v>
      </c>
      <c r="T1389" t="s">
        <v>2747</v>
      </c>
      <c r="U1389" t="s">
        <v>2755</v>
      </c>
      <c r="V1389" s="4">
        <v>2</v>
      </c>
      <c r="W1389" s="4">
        <v>0</v>
      </c>
    </row>
    <row r="1390" spans="1:23">
      <c r="A1390" t="s">
        <v>1522</v>
      </c>
      <c r="B1390" s="2">
        <v>45891</v>
      </c>
      <c r="C1390" t="s">
        <v>89</v>
      </c>
      <c r="D1390" t="s">
        <v>90</v>
      </c>
      <c r="E1390" t="s">
        <v>31</v>
      </c>
      <c r="F1390" t="s">
        <v>91</v>
      </c>
      <c r="G1390" t="s">
        <v>109</v>
      </c>
      <c r="H1390" t="s">
        <v>110</v>
      </c>
      <c r="I1390">
        <v>3</v>
      </c>
      <c r="J1390" s="3">
        <v>12792.31</v>
      </c>
      <c r="K1390" s="3">
        <v>38376.93</v>
      </c>
      <c r="L1390" t="s">
        <v>52</v>
      </c>
      <c r="M1390" s="2">
        <v>45905</v>
      </c>
      <c r="N1390" s="2">
        <v>45903</v>
      </c>
      <c r="O1390" t="s">
        <v>26</v>
      </c>
      <c r="P1390" t="s">
        <v>35</v>
      </c>
      <c r="Q1390" t="s">
        <v>28</v>
      </c>
      <c r="R1390" t="s">
        <v>29</v>
      </c>
      <c r="S1390">
        <v>2025</v>
      </c>
      <c r="T1390" t="s">
        <v>2761</v>
      </c>
      <c r="U1390" t="s">
        <v>2762</v>
      </c>
      <c r="V1390" s="4">
        <v>0</v>
      </c>
      <c r="W1390" s="4">
        <v>1</v>
      </c>
    </row>
    <row r="1391" spans="1:23">
      <c r="A1391" t="s">
        <v>1523</v>
      </c>
      <c r="B1391" s="2">
        <v>46057</v>
      </c>
      <c r="C1391" t="s">
        <v>46</v>
      </c>
      <c r="D1391" t="s">
        <v>47</v>
      </c>
      <c r="E1391" t="s">
        <v>112</v>
      </c>
      <c r="F1391" t="s">
        <v>49</v>
      </c>
      <c r="G1391" t="s">
        <v>165</v>
      </c>
      <c r="H1391" t="s">
        <v>166</v>
      </c>
      <c r="I1391">
        <v>3</v>
      </c>
      <c r="J1391" s="3">
        <v>49823.83</v>
      </c>
      <c r="K1391" s="3">
        <v>149471.49</v>
      </c>
      <c r="L1391" t="s">
        <v>25</v>
      </c>
      <c r="M1391" s="2">
        <v>46073</v>
      </c>
      <c r="N1391" s="2">
        <v>46071</v>
      </c>
      <c r="O1391" t="s">
        <v>76</v>
      </c>
      <c r="P1391" t="s">
        <v>115</v>
      </c>
      <c r="Q1391" t="s">
        <v>28</v>
      </c>
      <c r="R1391" t="s">
        <v>29</v>
      </c>
      <c r="S1391">
        <v>2026</v>
      </c>
      <c r="T1391" t="s">
        <v>2751</v>
      </c>
      <c r="U1391" t="s">
        <v>2765</v>
      </c>
      <c r="V1391" s="4">
        <v>0</v>
      </c>
      <c r="W1391" s="4">
        <v>1</v>
      </c>
    </row>
    <row r="1392" spans="1:23">
      <c r="A1392" t="s">
        <v>1524</v>
      </c>
      <c r="B1392" s="2">
        <v>45994</v>
      </c>
      <c r="C1392" t="s">
        <v>37</v>
      </c>
      <c r="D1392" t="s">
        <v>38</v>
      </c>
      <c r="E1392" t="s">
        <v>31</v>
      </c>
      <c r="F1392" t="s">
        <v>22</v>
      </c>
      <c r="G1392" t="s">
        <v>23</v>
      </c>
      <c r="H1392" t="s">
        <v>24</v>
      </c>
      <c r="I1392">
        <v>58</v>
      </c>
      <c r="J1392" s="3">
        <v>269.17</v>
      </c>
      <c r="K1392" s="3">
        <v>15611.86</v>
      </c>
      <c r="L1392" t="s">
        <v>25</v>
      </c>
      <c r="M1392" s="2">
        <v>46008</v>
      </c>
      <c r="N1392" s="2">
        <v>46012</v>
      </c>
      <c r="O1392" t="s">
        <v>60</v>
      </c>
      <c r="P1392" t="s">
        <v>94</v>
      </c>
      <c r="Q1392" t="s">
        <v>28</v>
      </c>
      <c r="R1392" t="s">
        <v>129</v>
      </c>
      <c r="S1392">
        <v>2025</v>
      </c>
      <c r="T1392" t="s">
        <v>2745</v>
      </c>
      <c r="U1392" t="s">
        <v>2746</v>
      </c>
      <c r="V1392" s="4">
        <v>4</v>
      </c>
      <c r="W1392" s="4">
        <v>0</v>
      </c>
    </row>
    <row r="1393" spans="1:23">
      <c r="A1393" t="s">
        <v>1525</v>
      </c>
      <c r="B1393" s="2">
        <v>45798</v>
      </c>
      <c r="C1393" t="s">
        <v>37</v>
      </c>
      <c r="D1393" t="s">
        <v>38</v>
      </c>
      <c r="E1393" t="s">
        <v>31</v>
      </c>
      <c r="F1393" t="s">
        <v>22</v>
      </c>
      <c r="G1393" t="s">
        <v>32</v>
      </c>
      <c r="H1393" t="s">
        <v>33</v>
      </c>
      <c r="I1393">
        <v>2</v>
      </c>
      <c r="J1393" s="3">
        <v>8351.57</v>
      </c>
      <c r="K1393" s="3">
        <v>16703.14</v>
      </c>
      <c r="L1393" t="s">
        <v>34</v>
      </c>
      <c r="M1393" s="2">
        <v>45810</v>
      </c>
      <c r="N1393" s="2">
        <v>45817</v>
      </c>
      <c r="O1393" t="s">
        <v>76</v>
      </c>
      <c r="P1393" t="s">
        <v>35</v>
      </c>
      <c r="Q1393" t="s">
        <v>28</v>
      </c>
      <c r="R1393" t="s">
        <v>129</v>
      </c>
      <c r="S1393">
        <v>2025</v>
      </c>
      <c r="T1393" t="s">
        <v>2766</v>
      </c>
      <c r="U1393" t="s">
        <v>2767</v>
      </c>
      <c r="V1393" s="4">
        <v>7</v>
      </c>
      <c r="W1393" s="4">
        <v>0</v>
      </c>
    </row>
    <row r="1394" spans="1:23">
      <c r="A1394" t="s">
        <v>1526</v>
      </c>
      <c r="B1394" s="2">
        <v>45869</v>
      </c>
      <c r="C1394" t="s">
        <v>131</v>
      </c>
      <c r="D1394" t="s">
        <v>132</v>
      </c>
      <c r="E1394" t="s">
        <v>48</v>
      </c>
      <c r="F1394" t="s">
        <v>57</v>
      </c>
      <c r="G1394" t="s">
        <v>127</v>
      </c>
      <c r="H1394" t="s">
        <v>128</v>
      </c>
      <c r="I1394">
        <v>2</v>
      </c>
      <c r="J1394" s="3">
        <v>17965.11</v>
      </c>
      <c r="K1394" s="3">
        <v>35930.22</v>
      </c>
      <c r="L1394" t="s">
        <v>34</v>
      </c>
      <c r="M1394" s="2">
        <v>45875</v>
      </c>
      <c r="N1394" s="2">
        <v>45874</v>
      </c>
      <c r="O1394" t="s">
        <v>26</v>
      </c>
      <c r="P1394" t="s">
        <v>53</v>
      </c>
      <c r="Q1394" t="s">
        <v>28</v>
      </c>
      <c r="R1394" t="s">
        <v>29</v>
      </c>
      <c r="S1394">
        <v>2025</v>
      </c>
      <c r="T1394" t="s">
        <v>2759</v>
      </c>
      <c r="U1394" t="s">
        <v>2760</v>
      </c>
      <c r="V1394" s="4">
        <v>0</v>
      </c>
      <c r="W1394" s="4">
        <v>1</v>
      </c>
    </row>
    <row r="1395" spans="1:23">
      <c r="A1395" t="s">
        <v>1527</v>
      </c>
      <c r="B1395" s="2">
        <v>45909</v>
      </c>
      <c r="C1395" t="s">
        <v>104</v>
      </c>
      <c r="D1395" t="s">
        <v>105</v>
      </c>
      <c r="E1395" t="s">
        <v>112</v>
      </c>
      <c r="F1395" t="s">
        <v>49</v>
      </c>
      <c r="G1395" t="s">
        <v>113</v>
      </c>
      <c r="H1395" t="s">
        <v>114</v>
      </c>
      <c r="I1395">
        <v>3</v>
      </c>
      <c r="J1395" s="3">
        <v>39614.21</v>
      </c>
      <c r="K1395" s="3">
        <v>118842.63</v>
      </c>
      <c r="L1395" t="s">
        <v>34</v>
      </c>
      <c r="M1395" s="2">
        <v>45914</v>
      </c>
      <c r="N1395" s="2">
        <v>45914</v>
      </c>
      <c r="O1395" t="s">
        <v>26</v>
      </c>
      <c r="P1395" t="s">
        <v>115</v>
      </c>
      <c r="Q1395" t="s">
        <v>28</v>
      </c>
      <c r="R1395" t="s">
        <v>29</v>
      </c>
      <c r="S1395">
        <v>2025</v>
      </c>
      <c r="T1395" t="s">
        <v>2753</v>
      </c>
      <c r="U1395" t="s">
        <v>2754</v>
      </c>
      <c r="V1395" s="4">
        <v>0</v>
      </c>
      <c r="W1395" s="4">
        <v>1</v>
      </c>
    </row>
    <row r="1396" spans="1:23">
      <c r="A1396" t="s">
        <v>1528</v>
      </c>
      <c r="B1396" s="2">
        <v>46113</v>
      </c>
      <c r="C1396" t="s">
        <v>134</v>
      </c>
      <c r="D1396" t="s">
        <v>135</v>
      </c>
      <c r="E1396" t="s">
        <v>39</v>
      </c>
      <c r="F1396" t="s">
        <v>40</v>
      </c>
      <c r="G1396" t="s">
        <v>149</v>
      </c>
      <c r="H1396" t="s">
        <v>150</v>
      </c>
      <c r="I1396">
        <v>32</v>
      </c>
      <c r="J1396" s="3">
        <v>1347.66</v>
      </c>
      <c r="K1396" s="3">
        <v>43125.120000000003</v>
      </c>
      <c r="L1396" t="s">
        <v>25</v>
      </c>
      <c r="M1396" s="2">
        <v>46127</v>
      </c>
      <c r="N1396" s="2">
        <v>46125</v>
      </c>
      <c r="O1396" t="s">
        <v>76</v>
      </c>
      <c r="P1396" t="s">
        <v>64</v>
      </c>
      <c r="Q1396" t="s">
        <v>28</v>
      </c>
      <c r="R1396" t="s">
        <v>29</v>
      </c>
      <c r="S1396">
        <v>2026</v>
      </c>
      <c r="T1396" t="s">
        <v>2741</v>
      </c>
      <c r="U1396" t="s">
        <v>2770</v>
      </c>
      <c r="V1396" s="4">
        <v>0</v>
      </c>
      <c r="W1396" s="4">
        <v>1</v>
      </c>
    </row>
    <row r="1397" spans="1:23">
      <c r="A1397" t="s">
        <v>1529</v>
      </c>
      <c r="B1397" s="2">
        <v>45984</v>
      </c>
      <c r="C1397" t="s">
        <v>71</v>
      </c>
      <c r="D1397" t="s">
        <v>72</v>
      </c>
      <c r="E1397" t="s">
        <v>48</v>
      </c>
      <c r="F1397" t="s">
        <v>57</v>
      </c>
      <c r="G1397" t="s">
        <v>120</v>
      </c>
      <c r="H1397" t="s">
        <v>121</v>
      </c>
      <c r="I1397">
        <v>4</v>
      </c>
      <c r="J1397" s="3">
        <v>19880.560000000001</v>
      </c>
      <c r="K1397" s="3">
        <v>79522.240000000005</v>
      </c>
      <c r="L1397" t="s">
        <v>25</v>
      </c>
      <c r="M1397" s="2">
        <v>46001</v>
      </c>
      <c r="N1397" s="2">
        <v>46001</v>
      </c>
      <c r="O1397" t="s">
        <v>26</v>
      </c>
      <c r="P1397" t="s">
        <v>53</v>
      </c>
      <c r="Q1397" t="s">
        <v>28</v>
      </c>
      <c r="R1397" t="s">
        <v>29</v>
      </c>
      <c r="S1397">
        <v>2025</v>
      </c>
      <c r="T1397" t="s">
        <v>2763</v>
      </c>
      <c r="U1397" t="s">
        <v>2764</v>
      </c>
      <c r="V1397" s="4">
        <v>0</v>
      </c>
      <c r="W1397" s="4">
        <v>1</v>
      </c>
    </row>
    <row r="1398" spans="1:23">
      <c r="A1398" t="s">
        <v>1530</v>
      </c>
      <c r="B1398" s="2">
        <v>45972</v>
      </c>
      <c r="C1398" t="s">
        <v>37</v>
      </c>
      <c r="D1398" t="s">
        <v>38</v>
      </c>
      <c r="E1398" t="s">
        <v>112</v>
      </c>
      <c r="F1398" t="s">
        <v>40</v>
      </c>
      <c r="G1398" t="s">
        <v>41</v>
      </c>
      <c r="H1398" t="s">
        <v>42</v>
      </c>
      <c r="I1398">
        <v>10</v>
      </c>
      <c r="J1398" s="3">
        <v>5768.72</v>
      </c>
      <c r="K1398" s="3">
        <v>57687.199999999997</v>
      </c>
      <c r="L1398" t="s">
        <v>34</v>
      </c>
      <c r="M1398" s="2">
        <v>45977</v>
      </c>
      <c r="N1398" s="2">
        <v>45975</v>
      </c>
      <c r="O1398" t="s">
        <v>43</v>
      </c>
      <c r="P1398" t="s">
        <v>115</v>
      </c>
      <c r="Q1398" t="s">
        <v>28</v>
      </c>
      <c r="R1398" t="s">
        <v>29</v>
      </c>
      <c r="S1398">
        <v>2025</v>
      </c>
      <c r="T1398" t="s">
        <v>2763</v>
      </c>
      <c r="U1398" t="s">
        <v>2764</v>
      </c>
      <c r="V1398" s="4">
        <v>0</v>
      </c>
      <c r="W1398" s="4">
        <v>1</v>
      </c>
    </row>
    <row r="1399" spans="1:23">
      <c r="A1399" t="s">
        <v>1531</v>
      </c>
      <c r="B1399" s="2">
        <v>45701</v>
      </c>
      <c r="C1399" t="s">
        <v>142</v>
      </c>
      <c r="D1399" t="s">
        <v>143</v>
      </c>
      <c r="E1399" t="s">
        <v>39</v>
      </c>
      <c r="F1399" t="s">
        <v>22</v>
      </c>
      <c r="G1399" t="s">
        <v>160</v>
      </c>
      <c r="H1399" t="s">
        <v>161</v>
      </c>
      <c r="I1399">
        <v>7</v>
      </c>
      <c r="J1399" s="3">
        <v>3154.7</v>
      </c>
      <c r="K1399" s="3">
        <v>22082.9</v>
      </c>
      <c r="L1399" t="s">
        <v>25</v>
      </c>
      <c r="M1399" s="2">
        <v>45707</v>
      </c>
      <c r="N1399" s="2">
        <v>45704</v>
      </c>
      <c r="O1399" t="s">
        <v>60</v>
      </c>
      <c r="P1399" t="s">
        <v>64</v>
      </c>
      <c r="Q1399" t="s">
        <v>28</v>
      </c>
      <c r="R1399" t="s">
        <v>29</v>
      </c>
      <c r="S1399">
        <v>2025</v>
      </c>
      <c r="T1399" t="s">
        <v>2751</v>
      </c>
      <c r="U1399" t="s">
        <v>2752</v>
      </c>
      <c r="V1399" s="4">
        <v>0</v>
      </c>
      <c r="W1399" s="4">
        <v>1</v>
      </c>
    </row>
    <row r="1400" spans="1:23">
      <c r="A1400" t="s">
        <v>1532</v>
      </c>
      <c r="B1400" s="2">
        <v>46108</v>
      </c>
      <c r="C1400" t="s">
        <v>104</v>
      </c>
      <c r="D1400" t="s">
        <v>105</v>
      </c>
      <c r="E1400" t="s">
        <v>48</v>
      </c>
      <c r="F1400" t="s">
        <v>49</v>
      </c>
      <c r="G1400" t="s">
        <v>50</v>
      </c>
      <c r="H1400" t="s">
        <v>51</v>
      </c>
      <c r="I1400">
        <v>3</v>
      </c>
      <c r="J1400" s="3">
        <v>51052.53</v>
      </c>
      <c r="K1400" s="3">
        <v>153157.59</v>
      </c>
      <c r="L1400" t="s">
        <v>25</v>
      </c>
      <c r="M1400" s="2">
        <v>46113</v>
      </c>
      <c r="N1400" s="2">
        <v>46111</v>
      </c>
      <c r="O1400" t="s">
        <v>60</v>
      </c>
      <c r="P1400" t="s">
        <v>53</v>
      </c>
      <c r="Q1400" t="s">
        <v>28</v>
      </c>
      <c r="R1400" t="s">
        <v>29</v>
      </c>
      <c r="S1400">
        <v>2026</v>
      </c>
      <c r="T1400" t="s">
        <v>2747</v>
      </c>
      <c r="U1400" t="s">
        <v>2755</v>
      </c>
      <c r="V1400" s="4">
        <v>0</v>
      </c>
      <c r="W1400" s="4">
        <v>1</v>
      </c>
    </row>
    <row r="1401" spans="1:23">
      <c r="A1401" t="s">
        <v>1533</v>
      </c>
      <c r="B1401" s="2">
        <v>46033</v>
      </c>
      <c r="C1401" t="s">
        <v>117</v>
      </c>
      <c r="D1401" t="s">
        <v>118</v>
      </c>
      <c r="E1401" t="s">
        <v>21</v>
      </c>
      <c r="F1401" t="s">
        <v>57</v>
      </c>
      <c r="G1401" t="s">
        <v>86</v>
      </c>
      <c r="H1401" t="s">
        <v>87</v>
      </c>
      <c r="I1401">
        <v>7</v>
      </c>
      <c r="J1401" s="3">
        <v>10867.21</v>
      </c>
      <c r="K1401" s="3">
        <v>76070.47</v>
      </c>
      <c r="L1401" t="s">
        <v>34</v>
      </c>
      <c r="M1401" s="2">
        <v>46051</v>
      </c>
      <c r="N1401" s="2">
        <v>46048</v>
      </c>
      <c r="O1401" t="s">
        <v>76</v>
      </c>
      <c r="P1401" t="s">
        <v>27</v>
      </c>
      <c r="Q1401" t="s">
        <v>28</v>
      </c>
      <c r="R1401" t="s">
        <v>29</v>
      </c>
      <c r="S1401">
        <v>2026</v>
      </c>
      <c r="T1401" t="s">
        <v>2757</v>
      </c>
      <c r="U1401" t="s">
        <v>2758</v>
      </c>
      <c r="V1401" s="4">
        <v>0</v>
      </c>
      <c r="W1401" s="4">
        <v>1</v>
      </c>
    </row>
    <row r="1402" spans="1:23">
      <c r="A1402" t="s">
        <v>1534</v>
      </c>
      <c r="B1402" s="2">
        <v>45776</v>
      </c>
      <c r="C1402" t="s">
        <v>46</v>
      </c>
      <c r="D1402" t="s">
        <v>47</v>
      </c>
      <c r="E1402" t="s">
        <v>21</v>
      </c>
      <c r="F1402" t="s">
        <v>49</v>
      </c>
      <c r="G1402" t="s">
        <v>113</v>
      </c>
      <c r="H1402" t="s">
        <v>114</v>
      </c>
      <c r="I1402">
        <v>1</v>
      </c>
      <c r="J1402" s="3">
        <v>41707.870000000003</v>
      </c>
      <c r="K1402" s="3">
        <v>41707.870000000003</v>
      </c>
      <c r="L1402" t="s">
        <v>25</v>
      </c>
      <c r="M1402" s="2">
        <v>45788</v>
      </c>
      <c r="N1402" s="2">
        <v>45785</v>
      </c>
      <c r="O1402" t="s">
        <v>26</v>
      </c>
      <c r="P1402" t="s">
        <v>27</v>
      </c>
      <c r="Q1402" t="s">
        <v>28</v>
      </c>
      <c r="R1402" t="s">
        <v>29</v>
      </c>
      <c r="S1402">
        <v>2025</v>
      </c>
      <c r="T1402" t="s">
        <v>2741</v>
      </c>
      <c r="U1402" t="s">
        <v>2742</v>
      </c>
      <c r="V1402" s="4">
        <v>0</v>
      </c>
      <c r="W1402" s="4">
        <v>1</v>
      </c>
    </row>
    <row r="1403" spans="1:23">
      <c r="A1403" t="s">
        <v>1535</v>
      </c>
      <c r="B1403" s="2">
        <v>46045</v>
      </c>
      <c r="C1403" t="s">
        <v>142</v>
      </c>
      <c r="D1403" t="s">
        <v>143</v>
      </c>
      <c r="E1403" t="s">
        <v>21</v>
      </c>
      <c r="F1403" t="s">
        <v>22</v>
      </c>
      <c r="G1403" t="s">
        <v>160</v>
      </c>
      <c r="H1403" t="s">
        <v>161</v>
      </c>
      <c r="I1403">
        <v>13</v>
      </c>
      <c r="J1403" s="3">
        <v>3047.31</v>
      </c>
      <c r="K1403" s="3">
        <v>39615.03</v>
      </c>
      <c r="L1403" t="s">
        <v>25</v>
      </c>
      <c r="M1403" s="2">
        <v>46054</v>
      </c>
      <c r="N1403" s="2">
        <v>46051</v>
      </c>
      <c r="O1403" t="s">
        <v>43</v>
      </c>
      <c r="P1403" t="s">
        <v>27</v>
      </c>
      <c r="Q1403" t="s">
        <v>28</v>
      </c>
      <c r="R1403" t="s">
        <v>29</v>
      </c>
      <c r="S1403">
        <v>2026</v>
      </c>
      <c r="T1403" t="s">
        <v>2757</v>
      </c>
      <c r="U1403" t="s">
        <v>2758</v>
      </c>
      <c r="V1403" s="4">
        <v>0</v>
      </c>
      <c r="W1403" s="4">
        <v>1</v>
      </c>
    </row>
    <row r="1404" spans="1:23">
      <c r="A1404" t="s">
        <v>1536</v>
      </c>
      <c r="B1404" s="2">
        <v>45989</v>
      </c>
      <c r="C1404" t="s">
        <v>80</v>
      </c>
      <c r="D1404" t="s">
        <v>81</v>
      </c>
      <c r="E1404" t="s">
        <v>39</v>
      </c>
      <c r="F1404" t="s">
        <v>82</v>
      </c>
      <c r="G1404" t="s">
        <v>197</v>
      </c>
      <c r="H1404" t="s">
        <v>198</v>
      </c>
      <c r="I1404">
        <v>21</v>
      </c>
      <c r="J1404" s="3">
        <v>1988.74</v>
      </c>
      <c r="K1404" s="3">
        <v>41763.54</v>
      </c>
      <c r="L1404" t="s">
        <v>25</v>
      </c>
      <c r="M1404" s="2">
        <v>45994</v>
      </c>
      <c r="N1404" s="2">
        <v>45994</v>
      </c>
      <c r="O1404" t="s">
        <v>43</v>
      </c>
      <c r="P1404" t="s">
        <v>64</v>
      </c>
      <c r="Q1404" t="s">
        <v>28</v>
      </c>
      <c r="R1404" t="s">
        <v>29</v>
      </c>
      <c r="S1404">
        <v>2025</v>
      </c>
      <c r="T1404" t="s">
        <v>2763</v>
      </c>
      <c r="U1404" t="s">
        <v>2764</v>
      </c>
      <c r="V1404" s="4">
        <v>0</v>
      </c>
      <c r="W1404" s="4">
        <v>1</v>
      </c>
    </row>
    <row r="1405" spans="1:23">
      <c r="A1405" t="s">
        <v>1537</v>
      </c>
      <c r="B1405" s="2">
        <v>45666</v>
      </c>
      <c r="C1405" t="s">
        <v>89</v>
      </c>
      <c r="D1405" t="s">
        <v>90</v>
      </c>
      <c r="E1405" t="s">
        <v>31</v>
      </c>
      <c r="F1405" t="s">
        <v>91</v>
      </c>
      <c r="G1405" t="s">
        <v>109</v>
      </c>
      <c r="H1405" t="s">
        <v>110</v>
      </c>
      <c r="I1405">
        <v>1</v>
      </c>
      <c r="J1405" s="3">
        <v>12964.37</v>
      </c>
      <c r="K1405" s="3">
        <v>12964.37</v>
      </c>
      <c r="L1405" t="s">
        <v>25</v>
      </c>
      <c r="M1405" s="2">
        <v>45675</v>
      </c>
      <c r="N1405" s="2">
        <v>45673</v>
      </c>
      <c r="O1405" t="s">
        <v>26</v>
      </c>
      <c r="P1405" t="s">
        <v>35</v>
      </c>
      <c r="Q1405" t="s">
        <v>28</v>
      </c>
      <c r="R1405" t="s">
        <v>29</v>
      </c>
      <c r="S1405">
        <v>2025</v>
      </c>
      <c r="T1405" t="s">
        <v>2757</v>
      </c>
      <c r="U1405" t="s">
        <v>2768</v>
      </c>
      <c r="V1405" s="4">
        <v>0</v>
      </c>
      <c r="W1405" s="4">
        <v>1</v>
      </c>
    </row>
    <row r="1406" spans="1:23">
      <c r="A1406" t="s">
        <v>1538</v>
      </c>
      <c r="B1406" s="2">
        <v>46079</v>
      </c>
      <c r="C1406" t="s">
        <v>37</v>
      </c>
      <c r="D1406" t="s">
        <v>38</v>
      </c>
      <c r="E1406" t="s">
        <v>39</v>
      </c>
      <c r="F1406" t="s">
        <v>40</v>
      </c>
      <c r="G1406" t="s">
        <v>62</v>
      </c>
      <c r="H1406" t="s">
        <v>63</v>
      </c>
      <c r="I1406">
        <v>1</v>
      </c>
      <c r="J1406" s="3">
        <v>20350.36</v>
      </c>
      <c r="K1406" s="3">
        <v>20350.36</v>
      </c>
      <c r="L1406" t="s">
        <v>52</v>
      </c>
      <c r="M1406" s="2">
        <v>46093</v>
      </c>
      <c r="N1406" s="2">
        <v>46091</v>
      </c>
      <c r="O1406" t="s">
        <v>60</v>
      </c>
      <c r="P1406" t="s">
        <v>44</v>
      </c>
      <c r="Q1406" t="s">
        <v>28</v>
      </c>
      <c r="R1406" t="s">
        <v>29</v>
      </c>
      <c r="S1406">
        <v>2026</v>
      </c>
      <c r="T1406" t="s">
        <v>2751</v>
      </c>
      <c r="U1406" t="s">
        <v>2765</v>
      </c>
      <c r="V1406" s="4">
        <v>0</v>
      </c>
      <c r="W1406" s="4">
        <v>1</v>
      </c>
    </row>
    <row r="1407" spans="1:23">
      <c r="A1407" t="s">
        <v>1539</v>
      </c>
      <c r="B1407" s="2">
        <v>45985</v>
      </c>
      <c r="C1407" t="s">
        <v>71</v>
      </c>
      <c r="D1407" t="s">
        <v>72</v>
      </c>
      <c r="E1407" t="s">
        <v>21</v>
      </c>
      <c r="F1407" t="s">
        <v>57</v>
      </c>
      <c r="G1407" t="s">
        <v>86</v>
      </c>
      <c r="H1407" t="s">
        <v>87</v>
      </c>
      <c r="I1407">
        <v>8</v>
      </c>
      <c r="J1407" s="3">
        <v>10487.8</v>
      </c>
      <c r="K1407" s="3">
        <v>83902.399999999994</v>
      </c>
      <c r="L1407" t="s">
        <v>25</v>
      </c>
      <c r="M1407" s="2">
        <v>45992</v>
      </c>
      <c r="N1407" s="2">
        <v>45992</v>
      </c>
      <c r="O1407" t="s">
        <v>26</v>
      </c>
      <c r="P1407" t="s">
        <v>27</v>
      </c>
      <c r="Q1407" t="s">
        <v>28</v>
      </c>
      <c r="R1407" t="s">
        <v>29</v>
      </c>
      <c r="S1407">
        <v>2025</v>
      </c>
      <c r="T1407" t="s">
        <v>2763</v>
      </c>
      <c r="U1407" t="s">
        <v>2764</v>
      </c>
      <c r="V1407" s="4">
        <v>0</v>
      </c>
      <c r="W1407" s="4">
        <v>1</v>
      </c>
    </row>
    <row r="1408" spans="1:23">
      <c r="A1408" t="s">
        <v>1540</v>
      </c>
      <c r="B1408" s="2">
        <v>46093</v>
      </c>
      <c r="C1408" t="s">
        <v>19</v>
      </c>
      <c r="D1408" t="s">
        <v>20</v>
      </c>
      <c r="E1408" t="s">
        <v>112</v>
      </c>
      <c r="F1408" t="s">
        <v>22</v>
      </c>
      <c r="G1408" t="s">
        <v>23</v>
      </c>
      <c r="H1408" t="s">
        <v>24</v>
      </c>
      <c r="I1408">
        <v>57</v>
      </c>
      <c r="J1408" s="3">
        <v>250.1</v>
      </c>
      <c r="K1408" s="3">
        <v>14255.7</v>
      </c>
      <c r="L1408" t="s">
        <v>25</v>
      </c>
      <c r="M1408" s="2">
        <v>46102</v>
      </c>
      <c r="N1408" s="2">
        <v>46102</v>
      </c>
      <c r="O1408" t="s">
        <v>26</v>
      </c>
      <c r="P1408" t="s">
        <v>115</v>
      </c>
      <c r="Q1408" t="s">
        <v>28</v>
      </c>
      <c r="R1408" t="s">
        <v>29</v>
      </c>
      <c r="S1408">
        <v>2026</v>
      </c>
      <c r="T1408" t="s">
        <v>2747</v>
      </c>
      <c r="U1408" t="s">
        <v>2755</v>
      </c>
      <c r="V1408" s="4">
        <v>0</v>
      </c>
      <c r="W1408" s="4">
        <v>1</v>
      </c>
    </row>
    <row r="1409" spans="1:23">
      <c r="A1409" t="s">
        <v>1541</v>
      </c>
      <c r="B1409" s="2">
        <v>46177</v>
      </c>
      <c r="C1409" t="s">
        <v>71</v>
      </c>
      <c r="D1409" t="s">
        <v>72</v>
      </c>
      <c r="E1409" t="s">
        <v>31</v>
      </c>
      <c r="F1409" t="s">
        <v>57</v>
      </c>
      <c r="G1409" t="s">
        <v>120</v>
      </c>
      <c r="H1409" t="s">
        <v>121</v>
      </c>
      <c r="I1409">
        <v>4</v>
      </c>
      <c r="J1409" s="3">
        <v>21428.36</v>
      </c>
      <c r="K1409" s="3">
        <v>85713.44</v>
      </c>
      <c r="L1409" t="s">
        <v>25</v>
      </c>
      <c r="M1409" s="2">
        <v>46193</v>
      </c>
      <c r="N1409" s="2">
        <v>46201</v>
      </c>
      <c r="O1409" t="s">
        <v>60</v>
      </c>
      <c r="P1409" t="s">
        <v>35</v>
      </c>
      <c r="Q1409" t="s">
        <v>28</v>
      </c>
      <c r="R1409" t="s">
        <v>129</v>
      </c>
      <c r="S1409">
        <v>2026</v>
      </c>
      <c r="T1409" t="s">
        <v>2743</v>
      </c>
      <c r="U1409" t="s">
        <v>2744</v>
      </c>
      <c r="V1409" s="4">
        <v>8</v>
      </c>
      <c r="W1409" s="4">
        <v>0</v>
      </c>
    </row>
    <row r="1410" spans="1:23">
      <c r="A1410" t="s">
        <v>1542</v>
      </c>
      <c r="B1410" s="2">
        <v>45754</v>
      </c>
      <c r="C1410" t="s">
        <v>37</v>
      </c>
      <c r="D1410" t="s">
        <v>38</v>
      </c>
      <c r="E1410" t="s">
        <v>39</v>
      </c>
      <c r="F1410" t="s">
        <v>22</v>
      </c>
      <c r="G1410" t="s">
        <v>32</v>
      </c>
      <c r="H1410" t="s">
        <v>33</v>
      </c>
      <c r="I1410">
        <v>6</v>
      </c>
      <c r="J1410" s="3">
        <v>8719.7900000000009</v>
      </c>
      <c r="K1410" s="3">
        <v>52318.74</v>
      </c>
      <c r="L1410" t="s">
        <v>52</v>
      </c>
      <c r="M1410" s="2">
        <v>45762</v>
      </c>
      <c r="N1410" s="2">
        <v>45759</v>
      </c>
      <c r="O1410" t="s">
        <v>26</v>
      </c>
      <c r="P1410" t="s">
        <v>64</v>
      </c>
      <c r="Q1410" t="s">
        <v>28</v>
      </c>
      <c r="R1410" t="s">
        <v>29</v>
      </c>
      <c r="S1410">
        <v>2025</v>
      </c>
      <c r="T1410" t="s">
        <v>2741</v>
      </c>
      <c r="U1410" t="s">
        <v>2742</v>
      </c>
      <c r="V1410" s="4">
        <v>0</v>
      </c>
      <c r="W1410" s="4">
        <v>1</v>
      </c>
    </row>
    <row r="1411" spans="1:23">
      <c r="A1411" t="s">
        <v>1543</v>
      </c>
      <c r="B1411" s="2">
        <v>46063</v>
      </c>
      <c r="C1411" t="s">
        <v>37</v>
      </c>
      <c r="D1411" t="s">
        <v>38</v>
      </c>
      <c r="E1411" t="s">
        <v>21</v>
      </c>
      <c r="F1411" t="s">
        <v>22</v>
      </c>
      <c r="G1411" t="s">
        <v>23</v>
      </c>
      <c r="H1411" t="s">
        <v>24</v>
      </c>
      <c r="I1411">
        <v>59</v>
      </c>
      <c r="J1411" s="3">
        <v>253.26</v>
      </c>
      <c r="K1411" s="3">
        <v>14942.34</v>
      </c>
      <c r="L1411" t="s">
        <v>52</v>
      </c>
      <c r="M1411" s="2">
        <v>46070</v>
      </c>
      <c r="N1411" s="2">
        <v>46069</v>
      </c>
      <c r="O1411" t="s">
        <v>43</v>
      </c>
      <c r="P1411" t="s">
        <v>27</v>
      </c>
      <c r="Q1411" t="s">
        <v>28</v>
      </c>
      <c r="R1411" t="s">
        <v>29</v>
      </c>
      <c r="S1411">
        <v>2026</v>
      </c>
      <c r="T1411" t="s">
        <v>2751</v>
      </c>
      <c r="U1411" t="s">
        <v>2765</v>
      </c>
      <c r="V1411" s="4">
        <v>0</v>
      </c>
      <c r="W1411" s="4">
        <v>1</v>
      </c>
    </row>
    <row r="1412" spans="1:23">
      <c r="A1412" t="s">
        <v>1544</v>
      </c>
      <c r="B1412" s="2">
        <v>46119</v>
      </c>
      <c r="C1412" t="s">
        <v>37</v>
      </c>
      <c r="D1412" t="s">
        <v>38</v>
      </c>
      <c r="E1412" t="s">
        <v>39</v>
      </c>
      <c r="F1412" t="s">
        <v>40</v>
      </c>
      <c r="G1412" t="s">
        <v>41</v>
      </c>
      <c r="H1412" t="s">
        <v>42</v>
      </c>
      <c r="I1412">
        <v>8</v>
      </c>
      <c r="J1412" s="3">
        <v>5914.68</v>
      </c>
      <c r="K1412" s="3">
        <v>47317.440000000002</v>
      </c>
      <c r="L1412" t="s">
        <v>25</v>
      </c>
      <c r="M1412" s="2">
        <v>46135</v>
      </c>
      <c r="N1412" s="2">
        <v>46133</v>
      </c>
      <c r="O1412" t="s">
        <v>26</v>
      </c>
      <c r="P1412" t="s">
        <v>64</v>
      </c>
      <c r="Q1412" t="s">
        <v>28</v>
      </c>
      <c r="R1412" t="s">
        <v>29</v>
      </c>
      <c r="S1412">
        <v>2026</v>
      </c>
      <c r="T1412" t="s">
        <v>2741</v>
      </c>
      <c r="U1412" t="s">
        <v>2770</v>
      </c>
      <c r="V1412" s="4">
        <v>0</v>
      </c>
      <c r="W1412" s="4">
        <v>1</v>
      </c>
    </row>
    <row r="1413" spans="1:23">
      <c r="A1413" t="s">
        <v>1545</v>
      </c>
      <c r="B1413" s="2">
        <v>45935</v>
      </c>
      <c r="C1413" t="s">
        <v>71</v>
      </c>
      <c r="D1413" t="s">
        <v>72</v>
      </c>
      <c r="E1413" t="s">
        <v>48</v>
      </c>
      <c r="F1413" t="s">
        <v>57</v>
      </c>
      <c r="G1413" t="s">
        <v>101</v>
      </c>
      <c r="H1413" t="s">
        <v>102</v>
      </c>
      <c r="I1413">
        <v>24</v>
      </c>
      <c r="J1413" s="3">
        <v>1724.43</v>
      </c>
      <c r="K1413" s="3">
        <v>41386.32</v>
      </c>
      <c r="L1413" t="s">
        <v>25</v>
      </c>
      <c r="M1413" s="2">
        <v>45941</v>
      </c>
      <c r="N1413" s="2">
        <v>45940</v>
      </c>
      <c r="O1413" t="s">
        <v>76</v>
      </c>
      <c r="P1413" t="s">
        <v>53</v>
      </c>
      <c r="Q1413" t="s">
        <v>28</v>
      </c>
      <c r="R1413" t="s">
        <v>29</v>
      </c>
      <c r="S1413">
        <v>2025</v>
      </c>
      <c r="T1413" t="s">
        <v>2749</v>
      </c>
      <c r="U1413" t="s">
        <v>2750</v>
      </c>
      <c r="V1413" s="4">
        <v>0</v>
      </c>
      <c r="W1413" s="4">
        <v>1</v>
      </c>
    </row>
    <row r="1414" spans="1:23">
      <c r="A1414" t="s">
        <v>1546</v>
      </c>
      <c r="B1414" s="2">
        <v>45686</v>
      </c>
      <c r="C1414" t="s">
        <v>46</v>
      </c>
      <c r="D1414" t="s">
        <v>47</v>
      </c>
      <c r="E1414" t="s">
        <v>48</v>
      </c>
      <c r="F1414" t="s">
        <v>49</v>
      </c>
      <c r="G1414" t="s">
        <v>50</v>
      </c>
      <c r="H1414" t="s">
        <v>51</v>
      </c>
      <c r="I1414">
        <v>3</v>
      </c>
      <c r="J1414" s="3">
        <v>57791.49</v>
      </c>
      <c r="K1414" s="3">
        <v>173374.47</v>
      </c>
      <c r="L1414" t="s">
        <v>25</v>
      </c>
      <c r="M1414" s="2">
        <v>45697</v>
      </c>
      <c r="N1414" s="2">
        <v>45696</v>
      </c>
      <c r="O1414" t="s">
        <v>60</v>
      </c>
      <c r="P1414" t="s">
        <v>53</v>
      </c>
      <c r="Q1414" t="s">
        <v>28</v>
      </c>
      <c r="R1414" t="s">
        <v>29</v>
      </c>
      <c r="S1414">
        <v>2025</v>
      </c>
      <c r="T1414" t="s">
        <v>2757</v>
      </c>
      <c r="U1414" t="s">
        <v>2768</v>
      </c>
      <c r="V1414" s="4">
        <v>0</v>
      </c>
      <c r="W1414" s="4">
        <v>1</v>
      </c>
    </row>
    <row r="1415" spans="1:23">
      <c r="A1415" t="s">
        <v>1547</v>
      </c>
      <c r="B1415" s="2">
        <v>45805</v>
      </c>
      <c r="C1415" t="s">
        <v>80</v>
      </c>
      <c r="D1415" t="s">
        <v>81</v>
      </c>
      <c r="E1415" t="s">
        <v>39</v>
      </c>
      <c r="F1415" t="s">
        <v>82</v>
      </c>
      <c r="G1415" t="s">
        <v>197</v>
      </c>
      <c r="H1415" t="s">
        <v>198</v>
      </c>
      <c r="I1415">
        <v>11</v>
      </c>
      <c r="J1415" s="3">
        <v>1946.15</v>
      </c>
      <c r="K1415" s="3">
        <v>21407.65</v>
      </c>
      <c r="L1415" t="s">
        <v>25</v>
      </c>
      <c r="M1415" s="2">
        <v>45811</v>
      </c>
      <c r="N1415" s="2">
        <v>45811</v>
      </c>
      <c r="O1415" t="s">
        <v>76</v>
      </c>
      <c r="P1415" t="s">
        <v>44</v>
      </c>
      <c r="Q1415" t="s">
        <v>28</v>
      </c>
      <c r="R1415" t="s">
        <v>29</v>
      </c>
      <c r="S1415">
        <v>2025</v>
      </c>
      <c r="T1415" t="s">
        <v>2766</v>
      </c>
      <c r="U1415" t="s">
        <v>2767</v>
      </c>
      <c r="V1415" s="4">
        <v>0</v>
      </c>
      <c r="W1415" s="4">
        <v>1</v>
      </c>
    </row>
    <row r="1416" spans="1:23">
      <c r="A1416" t="s">
        <v>1548</v>
      </c>
      <c r="B1416" s="2">
        <v>46196</v>
      </c>
      <c r="C1416" t="s">
        <v>71</v>
      </c>
      <c r="D1416" t="s">
        <v>72</v>
      </c>
      <c r="E1416" t="s">
        <v>48</v>
      </c>
      <c r="F1416" t="s">
        <v>57</v>
      </c>
      <c r="G1416" t="s">
        <v>101</v>
      </c>
      <c r="H1416" t="s">
        <v>102</v>
      </c>
      <c r="I1416">
        <v>30</v>
      </c>
      <c r="J1416" s="3">
        <v>1638.78</v>
      </c>
      <c r="K1416" s="3">
        <v>49163.4</v>
      </c>
      <c r="L1416" t="s">
        <v>52</v>
      </c>
      <c r="M1416" s="2">
        <v>46208</v>
      </c>
      <c r="N1416" s="2"/>
      <c r="O1416" t="s">
        <v>43</v>
      </c>
      <c r="P1416" t="s">
        <v>53</v>
      </c>
      <c r="Q1416" t="s">
        <v>167</v>
      </c>
      <c r="R1416" t="s">
        <v>167</v>
      </c>
      <c r="S1416">
        <v>2026</v>
      </c>
      <c r="T1416" t="s">
        <v>2743</v>
      </c>
      <c r="U1416" t="s">
        <v>2744</v>
      </c>
      <c r="V1416" s="4"/>
      <c r="W1416" s="4"/>
    </row>
    <row r="1417" spans="1:23">
      <c r="A1417" t="s">
        <v>1549</v>
      </c>
      <c r="B1417" s="2">
        <v>45900</v>
      </c>
      <c r="C1417" t="s">
        <v>71</v>
      </c>
      <c r="D1417" t="s">
        <v>72</v>
      </c>
      <c r="E1417" t="s">
        <v>48</v>
      </c>
      <c r="F1417" t="s">
        <v>57</v>
      </c>
      <c r="G1417" t="s">
        <v>101</v>
      </c>
      <c r="H1417" t="s">
        <v>102</v>
      </c>
      <c r="I1417">
        <v>39</v>
      </c>
      <c r="J1417" s="3">
        <v>1645.95</v>
      </c>
      <c r="K1417" s="3">
        <v>64192.05</v>
      </c>
      <c r="L1417" t="s">
        <v>25</v>
      </c>
      <c r="M1417" s="2">
        <v>45914</v>
      </c>
      <c r="N1417" s="2">
        <v>45921</v>
      </c>
      <c r="O1417" t="s">
        <v>76</v>
      </c>
      <c r="P1417" t="s">
        <v>53</v>
      </c>
      <c r="Q1417" t="s">
        <v>28</v>
      </c>
      <c r="R1417" t="s">
        <v>129</v>
      </c>
      <c r="S1417">
        <v>2025</v>
      </c>
      <c r="T1417" t="s">
        <v>2761</v>
      </c>
      <c r="U1417" t="s">
        <v>2762</v>
      </c>
      <c r="V1417" s="4">
        <v>7</v>
      </c>
      <c r="W1417" s="4">
        <v>0</v>
      </c>
    </row>
    <row r="1418" spans="1:23">
      <c r="A1418" t="s">
        <v>1550</v>
      </c>
      <c r="B1418" s="2">
        <v>45719</v>
      </c>
      <c r="C1418" t="s">
        <v>104</v>
      </c>
      <c r="D1418" t="s">
        <v>105</v>
      </c>
      <c r="E1418" t="s">
        <v>21</v>
      </c>
      <c r="F1418" t="s">
        <v>49</v>
      </c>
      <c r="G1418" t="s">
        <v>113</v>
      </c>
      <c r="H1418" t="s">
        <v>114</v>
      </c>
      <c r="I1418">
        <v>3</v>
      </c>
      <c r="J1418" s="3">
        <v>38057.97</v>
      </c>
      <c r="K1418" s="3">
        <v>114173.91</v>
      </c>
      <c r="L1418" t="s">
        <v>34</v>
      </c>
      <c r="M1418" s="2">
        <v>45731</v>
      </c>
      <c r="N1418" s="2">
        <v>45731</v>
      </c>
      <c r="O1418" t="s">
        <v>26</v>
      </c>
      <c r="P1418" t="s">
        <v>27</v>
      </c>
      <c r="Q1418" t="s">
        <v>28</v>
      </c>
      <c r="R1418" t="s">
        <v>29</v>
      </c>
      <c r="S1418">
        <v>2025</v>
      </c>
      <c r="T1418" t="s">
        <v>2747</v>
      </c>
      <c r="U1418" t="s">
        <v>2748</v>
      </c>
      <c r="V1418" s="4">
        <v>0</v>
      </c>
      <c r="W1418" s="4">
        <v>1</v>
      </c>
    </row>
    <row r="1419" spans="1:23">
      <c r="A1419" t="s">
        <v>1551</v>
      </c>
      <c r="B1419" s="2">
        <v>45753</v>
      </c>
      <c r="C1419" t="s">
        <v>117</v>
      </c>
      <c r="D1419" t="s">
        <v>118</v>
      </c>
      <c r="E1419" t="s">
        <v>31</v>
      </c>
      <c r="F1419" t="s">
        <v>57</v>
      </c>
      <c r="G1419" t="s">
        <v>127</v>
      </c>
      <c r="H1419" t="s">
        <v>128</v>
      </c>
      <c r="I1419">
        <v>2</v>
      </c>
      <c r="J1419" s="3">
        <v>16560.12</v>
      </c>
      <c r="K1419" s="3">
        <v>33120.239999999998</v>
      </c>
      <c r="L1419" t="s">
        <v>25</v>
      </c>
      <c r="M1419" s="2">
        <v>45768</v>
      </c>
      <c r="N1419" s="2">
        <v>45767</v>
      </c>
      <c r="O1419" t="s">
        <v>43</v>
      </c>
      <c r="P1419" t="s">
        <v>35</v>
      </c>
      <c r="Q1419" t="s">
        <v>28</v>
      </c>
      <c r="R1419" t="s">
        <v>29</v>
      </c>
      <c r="S1419">
        <v>2025</v>
      </c>
      <c r="T1419" t="s">
        <v>2741</v>
      </c>
      <c r="U1419" t="s">
        <v>2742</v>
      </c>
      <c r="V1419" s="4">
        <v>0</v>
      </c>
      <c r="W1419" s="4">
        <v>1</v>
      </c>
    </row>
    <row r="1420" spans="1:23">
      <c r="A1420" t="s">
        <v>1552</v>
      </c>
      <c r="B1420" s="2">
        <v>45944</v>
      </c>
      <c r="C1420" t="s">
        <v>46</v>
      </c>
      <c r="D1420" t="s">
        <v>47</v>
      </c>
      <c r="E1420" t="s">
        <v>48</v>
      </c>
      <c r="F1420" t="s">
        <v>49</v>
      </c>
      <c r="G1420" t="s">
        <v>113</v>
      </c>
      <c r="H1420" t="s">
        <v>114</v>
      </c>
      <c r="I1420">
        <v>1</v>
      </c>
      <c r="J1420" s="3">
        <v>40652.36</v>
      </c>
      <c r="K1420" s="3">
        <v>40652.36</v>
      </c>
      <c r="L1420" t="s">
        <v>25</v>
      </c>
      <c r="M1420" s="2">
        <v>45956</v>
      </c>
      <c r="N1420" s="2">
        <v>45953</v>
      </c>
      <c r="O1420" t="s">
        <v>26</v>
      </c>
      <c r="P1420" t="s">
        <v>53</v>
      </c>
      <c r="Q1420" t="s">
        <v>28</v>
      </c>
      <c r="R1420" t="s">
        <v>29</v>
      </c>
      <c r="S1420">
        <v>2025</v>
      </c>
      <c r="T1420" t="s">
        <v>2749</v>
      </c>
      <c r="U1420" t="s">
        <v>2750</v>
      </c>
      <c r="V1420" s="4">
        <v>0</v>
      </c>
      <c r="W1420" s="4">
        <v>1</v>
      </c>
    </row>
    <row r="1421" spans="1:23">
      <c r="A1421" t="s">
        <v>1553</v>
      </c>
      <c r="B1421" s="2">
        <v>45966</v>
      </c>
      <c r="C1421" t="s">
        <v>55</v>
      </c>
      <c r="D1421" t="s">
        <v>56</v>
      </c>
      <c r="E1421" t="s">
        <v>48</v>
      </c>
      <c r="F1421" t="s">
        <v>57</v>
      </c>
      <c r="G1421" t="s">
        <v>86</v>
      </c>
      <c r="H1421" t="s">
        <v>87</v>
      </c>
      <c r="I1421">
        <v>7</v>
      </c>
      <c r="J1421" s="3">
        <v>11713.23</v>
      </c>
      <c r="K1421" s="3">
        <v>81992.61</v>
      </c>
      <c r="L1421" t="s">
        <v>25</v>
      </c>
      <c r="M1421" s="2">
        <v>45971</v>
      </c>
      <c r="N1421" s="2">
        <v>45970</v>
      </c>
      <c r="O1421" t="s">
        <v>76</v>
      </c>
      <c r="P1421" t="s">
        <v>53</v>
      </c>
      <c r="Q1421" t="s">
        <v>28</v>
      </c>
      <c r="R1421" t="s">
        <v>29</v>
      </c>
      <c r="S1421">
        <v>2025</v>
      </c>
      <c r="T1421" t="s">
        <v>2763</v>
      </c>
      <c r="U1421" t="s">
        <v>2764</v>
      </c>
      <c r="V1421" s="4">
        <v>0</v>
      </c>
      <c r="W1421" s="4">
        <v>1</v>
      </c>
    </row>
    <row r="1422" spans="1:23">
      <c r="A1422" t="s">
        <v>1554</v>
      </c>
      <c r="B1422" s="2">
        <v>45675</v>
      </c>
      <c r="C1422" t="s">
        <v>66</v>
      </c>
      <c r="D1422" t="s">
        <v>67</v>
      </c>
      <c r="E1422" t="s">
        <v>21</v>
      </c>
      <c r="F1422" t="s">
        <v>49</v>
      </c>
      <c r="G1422" t="s">
        <v>68</v>
      </c>
      <c r="H1422" t="s">
        <v>69</v>
      </c>
      <c r="I1422">
        <v>1</v>
      </c>
      <c r="J1422" s="3">
        <v>46272.47</v>
      </c>
      <c r="K1422" s="3">
        <v>46272.47</v>
      </c>
      <c r="L1422" t="s">
        <v>34</v>
      </c>
      <c r="M1422" s="2">
        <v>45683</v>
      </c>
      <c r="N1422" s="2">
        <v>45680</v>
      </c>
      <c r="O1422" t="s">
        <v>76</v>
      </c>
      <c r="P1422" t="s">
        <v>27</v>
      </c>
      <c r="Q1422" t="s">
        <v>28</v>
      </c>
      <c r="R1422" t="s">
        <v>29</v>
      </c>
      <c r="S1422">
        <v>2025</v>
      </c>
      <c r="T1422" t="s">
        <v>2757</v>
      </c>
      <c r="U1422" t="s">
        <v>2768</v>
      </c>
      <c r="V1422" s="4">
        <v>0</v>
      </c>
      <c r="W1422" s="4">
        <v>1</v>
      </c>
    </row>
    <row r="1423" spans="1:23">
      <c r="A1423" t="s">
        <v>1555</v>
      </c>
      <c r="B1423" s="2">
        <v>45754</v>
      </c>
      <c r="C1423" t="s">
        <v>134</v>
      </c>
      <c r="D1423" t="s">
        <v>135</v>
      </c>
      <c r="E1423" t="s">
        <v>39</v>
      </c>
      <c r="F1423" t="s">
        <v>40</v>
      </c>
      <c r="G1423" t="s">
        <v>41</v>
      </c>
      <c r="H1423" t="s">
        <v>42</v>
      </c>
      <c r="I1423">
        <v>5</v>
      </c>
      <c r="J1423" s="3">
        <v>5476.9</v>
      </c>
      <c r="K1423" s="3">
        <v>27384.5</v>
      </c>
      <c r="L1423" t="s">
        <v>25</v>
      </c>
      <c r="M1423" s="2">
        <v>45770</v>
      </c>
      <c r="N1423" s="2">
        <v>45769</v>
      </c>
      <c r="O1423" t="s">
        <v>76</v>
      </c>
      <c r="P1423" t="s">
        <v>44</v>
      </c>
      <c r="Q1423" t="s">
        <v>28</v>
      </c>
      <c r="R1423" t="s">
        <v>29</v>
      </c>
      <c r="S1423">
        <v>2025</v>
      </c>
      <c r="T1423" t="s">
        <v>2741</v>
      </c>
      <c r="U1423" t="s">
        <v>2742</v>
      </c>
      <c r="V1423" s="4">
        <v>0</v>
      </c>
      <c r="W1423" s="4">
        <v>1</v>
      </c>
    </row>
    <row r="1424" spans="1:23">
      <c r="A1424" t="s">
        <v>1556</v>
      </c>
      <c r="B1424" s="2">
        <v>46017</v>
      </c>
      <c r="C1424" t="s">
        <v>19</v>
      </c>
      <c r="D1424" t="s">
        <v>20</v>
      </c>
      <c r="E1424" t="s">
        <v>39</v>
      </c>
      <c r="F1424" t="s">
        <v>22</v>
      </c>
      <c r="G1424" t="s">
        <v>23</v>
      </c>
      <c r="H1424" t="s">
        <v>24</v>
      </c>
      <c r="I1424">
        <v>39</v>
      </c>
      <c r="J1424" s="3">
        <v>221</v>
      </c>
      <c r="K1424" s="3">
        <v>8619</v>
      </c>
      <c r="L1424" t="s">
        <v>25</v>
      </c>
      <c r="M1424" s="2">
        <v>46031</v>
      </c>
      <c r="N1424" s="2">
        <v>46031</v>
      </c>
      <c r="O1424" t="s">
        <v>60</v>
      </c>
      <c r="P1424" t="s">
        <v>44</v>
      </c>
      <c r="Q1424" t="s">
        <v>28</v>
      </c>
      <c r="R1424" t="s">
        <v>29</v>
      </c>
      <c r="S1424">
        <v>2025</v>
      </c>
      <c r="T1424" t="s">
        <v>2745</v>
      </c>
      <c r="U1424" t="s">
        <v>2746</v>
      </c>
      <c r="V1424" s="4">
        <v>0</v>
      </c>
      <c r="W1424" s="4">
        <v>1</v>
      </c>
    </row>
    <row r="1425" spans="1:23">
      <c r="A1425" t="s">
        <v>1557</v>
      </c>
      <c r="B1425" s="2">
        <v>45950</v>
      </c>
      <c r="C1425" t="s">
        <v>104</v>
      </c>
      <c r="D1425" t="s">
        <v>105</v>
      </c>
      <c r="E1425" t="s">
        <v>48</v>
      </c>
      <c r="F1425" t="s">
        <v>49</v>
      </c>
      <c r="G1425" t="s">
        <v>165</v>
      </c>
      <c r="H1425" t="s">
        <v>166</v>
      </c>
      <c r="I1425">
        <v>3</v>
      </c>
      <c r="J1425" s="3">
        <v>44933.24</v>
      </c>
      <c r="K1425" s="3">
        <v>134799.72</v>
      </c>
      <c r="L1425" t="s">
        <v>25</v>
      </c>
      <c r="M1425" s="2">
        <v>45965</v>
      </c>
      <c r="N1425" s="2">
        <v>45964</v>
      </c>
      <c r="O1425" t="s">
        <v>43</v>
      </c>
      <c r="P1425" t="s">
        <v>53</v>
      </c>
      <c r="Q1425" t="s">
        <v>28</v>
      </c>
      <c r="R1425" t="s">
        <v>29</v>
      </c>
      <c r="S1425">
        <v>2025</v>
      </c>
      <c r="T1425" t="s">
        <v>2749</v>
      </c>
      <c r="U1425" t="s">
        <v>2750</v>
      </c>
      <c r="V1425" s="4">
        <v>0</v>
      </c>
      <c r="W1425" s="4">
        <v>1</v>
      </c>
    </row>
    <row r="1426" spans="1:23">
      <c r="A1426" t="s">
        <v>1558</v>
      </c>
      <c r="B1426" s="2">
        <v>46170</v>
      </c>
      <c r="C1426" t="s">
        <v>46</v>
      </c>
      <c r="D1426" t="s">
        <v>47</v>
      </c>
      <c r="E1426" t="s">
        <v>21</v>
      </c>
      <c r="F1426" t="s">
        <v>49</v>
      </c>
      <c r="G1426" t="s">
        <v>113</v>
      </c>
      <c r="H1426" t="s">
        <v>114</v>
      </c>
      <c r="I1426">
        <v>3</v>
      </c>
      <c r="J1426" s="3">
        <v>39505.21</v>
      </c>
      <c r="K1426" s="3">
        <v>118515.63</v>
      </c>
      <c r="L1426" t="s">
        <v>34</v>
      </c>
      <c r="M1426" s="2">
        <v>46176</v>
      </c>
      <c r="N1426" s="2">
        <v>46176</v>
      </c>
      <c r="O1426" t="s">
        <v>60</v>
      </c>
      <c r="P1426" t="s">
        <v>27</v>
      </c>
      <c r="Q1426" t="s">
        <v>28</v>
      </c>
      <c r="R1426" t="s">
        <v>29</v>
      </c>
      <c r="S1426">
        <v>2026</v>
      </c>
      <c r="T1426" t="s">
        <v>2766</v>
      </c>
      <c r="U1426" t="s">
        <v>2769</v>
      </c>
      <c r="V1426" s="4">
        <v>0</v>
      </c>
      <c r="W1426" s="4">
        <v>1</v>
      </c>
    </row>
    <row r="1427" spans="1:23">
      <c r="A1427" t="s">
        <v>1559</v>
      </c>
      <c r="B1427" s="2">
        <v>45791</v>
      </c>
      <c r="C1427" t="s">
        <v>19</v>
      </c>
      <c r="D1427" t="s">
        <v>20</v>
      </c>
      <c r="E1427" t="s">
        <v>21</v>
      </c>
      <c r="F1427" t="s">
        <v>22</v>
      </c>
      <c r="G1427" t="s">
        <v>160</v>
      </c>
      <c r="H1427" t="s">
        <v>161</v>
      </c>
      <c r="I1427">
        <v>9</v>
      </c>
      <c r="J1427" s="3">
        <v>3003.76</v>
      </c>
      <c r="K1427" s="3">
        <v>27033.84</v>
      </c>
      <c r="L1427" t="s">
        <v>25</v>
      </c>
      <c r="M1427" s="2">
        <v>45809</v>
      </c>
      <c r="N1427" s="2">
        <v>45808</v>
      </c>
      <c r="O1427" t="s">
        <v>26</v>
      </c>
      <c r="P1427" t="s">
        <v>27</v>
      </c>
      <c r="Q1427" t="s">
        <v>28</v>
      </c>
      <c r="R1427" t="s">
        <v>29</v>
      </c>
      <c r="S1427">
        <v>2025</v>
      </c>
      <c r="T1427" t="s">
        <v>2766</v>
      </c>
      <c r="U1427" t="s">
        <v>2767</v>
      </c>
      <c r="V1427" s="4">
        <v>0</v>
      </c>
      <c r="W1427" s="4">
        <v>1</v>
      </c>
    </row>
    <row r="1428" spans="1:23">
      <c r="A1428" t="s">
        <v>1560</v>
      </c>
      <c r="B1428" s="2">
        <v>45943</v>
      </c>
      <c r="C1428" t="s">
        <v>131</v>
      </c>
      <c r="D1428" t="s">
        <v>132</v>
      </c>
      <c r="E1428" t="s">
        <v>31</v>
      </c>
      <c r="F1428" t="s">
        <v>57</v>
      </c>
      <c r="G1428" t="s">
        <v>74</v>
      </c>
      <c r="H1428" t="s">
        <v>75</v>
      </c>
      <c r="I1428">
        <v>3</v>
      </c>
      <c r="J1428" s="3">
        <v>8746.7999999999993</v>
      </c>
      <c r="K1428" s="3">
        <v>26240.400000000001</v>
      </c>
      <c r="L1428" t="s">
        <v>25</v>
      </c>
      <c r="M1428" s="2">
        <v>45949</v>
      </c>
      <c r="N1428" s="2">
        <v>45946</v>
      </c>
      <c r="O1428" t="s">
        <v>60</v>
      </c>
      <c r="P1428" t="s">
        <v>94</v>
      </c>
      <c r="Q1428" t="s">
        <v>28</v>
      </c>
      <c r="R1428" t="s">
        <v>29</v>
      </c>
      <c r="S1428">
        <v>2025</v>
      </c>
      <c r="T1428" t="s">
        <v>2749</v>
      </c>
      <c r="U1428" t="s">
        <v>2750</v>
      </c>
      <c r="V1428" s="4">
        <v>0</v>
      </c>
      <c r="W1428" s="4">
        <v>1</v>
      </c>
    </row>
    <row r="1429" spans="1:23">
      <c r="A1429" t="s">
        <v>1561</v>
      </c>
      <c r="B1429" s="2">
        <v>45667</v>
      </c>
      <c r="C1429" t="s">
        <v>19</v>
      </c>
      <c r="D1429" t="s">
        <v>20</v>
      </c>
      <c r="E1429" t="s">
        <v>112</v>
      </c>
      <c r="F1429" t="s">
        <v>22</v>
      </c>
      <c r="G1429" t="s">
        <v>32</v>
      </c>
      <c r="H1429" t="s">
        <v>33</v>
      </c>
      <c r="I1429">
        <v>12</v>
      </c>
      <c r="J1429" s="3">
        <v>7856.62</v>
      </c>
      <c r="K1429" s="3">
        <v>94279.44</v>
      </c>
      <c r="L1429" t="s">
        <v>52</v>
      </c>
      <c r="M1429" s="2">
        <v>45674</v>
      </c>
      <c r="N1429" s="2">
        <v>45672</v>
      </c>
      <c r="O1429" t="s">
        <v>43</v>
      </c>
      <c r="P1429" t="s">
        <v>115</v>
      </c>
      <c r="Q1429" t="s">
        <v>28</v>
      </c>
      <c r="R1429" t="s">
        <v>29</v>
      </c>
      <c r="S1429">
        <v>2025</v>
      </c>
      <c r="T1429" t="s">
        <v>2757</v>
      </c>
      <c r="U1429" t="s">
        <v>2768</v>
      </c>
      <c r="V1429" s="4">
        <v>0</v>
      </c>
      <c r="W1429" s="4">
        <v>1</v>
      </c>
    </row>
    <row r="1430" spans="1:23">
      <c r="A1430" t="s">
        <v>1562</v>
      </c>
      <c r="B1430" s="2">
        <v>45881</v>
      </c>
      <c r="C1430" t="s">
        <v>96</v>
      </c>
      <c r="D1430" t="s">
        <v>97</v>
      </c>
      <c r="E1430" t="s">
        <v>39</v>
      </c>
      <c r="F1430" t="s">
        <v>82</v>
      </c>
      <c r="G1430" t="s">
        <v>197</v>
      </c>
      <c r="H1430" t="s">
        <v>198</v>
      </c>
      <c r="I1430">
        <v>52</v>
      </c>
      <c r="J1430" s="3">
        <v>2187.59</v>
      </c>
      <c r="K1430" s="3">
        <v>113754.68</v>
      </c>
      <c r="L1430" t="s">
        <v>25</v>
      </c>
      <c r="M1430" s="2">
        <v>45897</v>
      </c>
      <c r="N1430" s="2">
        <v>45894</v>
      </c>
      <c r="O1430" t="s">
        <v>43</v>
      </c>
      <c r="P1430" t="s">
        <v>64</v>
      </c>
      <c r="Q1430" t="s">
        <v>28</v>
      </c>
      <c r="R1430" t="s">
        <v>29</v>
      </c>
      <c r="S1430">
        <v>2025</v>
      </c>
      <c r="T1430" t="s">
        <v>2761</v>
      </c>
      <c r="U1430" t="s">
        <v>2762</v>
      </c>
      <c r="V1430" s="4">
        <v>0</v>
      </c>
      <c r="W1430" s="4">
        <v>1</v>
      </c>
    </row>
    <row r="1431" spans="1:23">
      <c r="A1431" t="s">
        <v>1563</v>
      </c>
      <c r="B1431" s="2">
        <v>45661</v>
      </c>
      <c r="C1431" t="s">
        <v>142</v>
      </c>
      <c r="D1431" t="s">
        <v>143</v>
      </c>
      <c r="E1431" t="s">
        <v>31</v>
      </c>
      <c r="F1431" t="s">
        <v>22</v>
      </c>
      <c r="G1431" t="s">
        <v>23</v>
      </c>
      <c r="H1431" t="s">
        <v>24</v>
      </c>
      <c r="I1431">
        <v>56</v>
      </c>
      <c r="J1431" s="3">
        <v>237.83</v>
      </c>
      <c r="K1431" s="3">
        <v>13318.48</v>
      </c>
      <c r="L1431" t="s">
        <v>52</v>
      </c>
      <c r="M1431" s="2">
        <v>45666</v>
      </c>
      <c r="N1431" s="2">
        <v>45681</v>
      </c>
      <c r="O1431" t="s">
        <v>60</v>
      </c>
      <c r="P1431" t="s">
        <v>94</v>
      </c>
      <c r="Q1431" t="s">
        <v>28</v>
      </c>
      <c r="R1431" t="s">
        <v>129</v>
      </c>
      <c r="S1431">
        <v>2025</v>
      </c>
      <c r="T1431" t="s">
        <v>2757</v>
      </c>
      <c r="U1431" t="s">
        <v>2768</v>
      </c>
      <c r="V1431" s="4">
        <v>15</v>
      </c>
      <c r="W1431" s="4">
        <v>0</v>
      </c>
    </row>
    <row r="1432" spans="1:23">
      <c r="A1432" t="s">
        <v>1564</v>
      </c>
      <c r="B1432" s="2">
        <v>45898</v>
      </c>
      <c r="C1432" t="s">
        <v>71</v>
      </c>
      <c r="D1432" t="s">
        <v>72</v>
      </c>
      <c r="E1432" t="s">
        <v>31</v>
      </c>
      <c r="F1432" t="s">
        <v>57</v>
      </c>
      <c r="G1432" t="s">
        <v>120</v>
      </c>
      <c r="H1432" t="s">
        <v>121</v>
      </c>
      <c r="I1432">
        <v>8</v>
      </c>
      <c r="J1432" s="3">
        <v>20896.64</v>
      </c>
      <c r="K1432" s="3">
        <v>167173.12</v>
      </c>
      <c r="L1432" t="s">
        <v>25</v>
      </c>
      <c r="M1432" s="2">
        <v>45914</v>
      </c>
      <c r="N1432" s="2">
        <v>45914</v>
      </c>
      <c r="O1432" t="s">
        <v>76</v>
      </c>
      <c r="P1432" t="s">
        <v>35</v>
      </c>
      <c r="Q1432" t="s">
        <v>28</v>
      </c>
      <c r="R1432" t="s">
        <v>29</v>
      </c>
      <c r="S1432">
        <v>2025</v>
      </c>
      <c r="T1432" t="s">
        <v>2761</v>
      </c>
      <c r="U1432" t="s">
        <v>2762</v>
      </c>
      <c r="V1432" s="4">
        <v>0</v>
      </c>
      <c r="W1432" s="4">
        <v>1</v>
      </c>
    </row>
    <row r="1433" spans="1:23">
      <c r="A1433" t="s">
        <v>1565</v>
      </c>
      <c r="B1433" s="2">
        <v>46093</v>
      </c>
      <c r="C1433" t="s">
        <v>142</v>
      </c>
      <c r="D1433" t="s">
        <v>143</v>
      </c>
      <c r="E1433" t="s">
        <v>21</v>
      </c>
      <c r="F1433" t="s">
        <v>22</v>
      </c>
      <c r="G1433" t="s">
        <v>23</v>
      </c>
      <c r="H1433" t="s">
        <v>24</v>
      </c>
      <c r="I1433">
        <v>57</v>
      </c>
      <c r="J1433" s="3">
        <v>255.52</v>
      </c>
      <c r="K1433" s="3">
        <v>14564.64</v>
      </c>
      <c r="L1433" t="s">
        <v>34</v>
      </c>
      <c r="M1433" s="2">
        <v>46111</v>
      </c>
      <c r="N1433" s="2">
        <v>46109</v>
      </c>
      <c r="O1433" t="s">
        <v>26</v>
      </c>
      <c r="P1433" t="s">
        <v>27</v>
      </c>
      <c r="Q1433" t="s">
        <v>28</v>
      </c>
      <c r="R1433" t="s">
        <v>29</v>
      </c>
      <c r="S1433">
        <v>2026</v>
      </c>
      <c r="T1433" t="s">
        <v>2747</v>
      </c>
      <c r="U1433" t="s">
        <v>2755</v>
      </c>
      <c r="V1433" s="4">
        <v>0</v>
      </c>
      <c r="W1433" s="4">
        <v>1</v>
      </c>
    </row>
    <row r="1434" spans="1:23">
      <c r="A1434" t="s">
        <v>1566</v>
      </c>
      <c r="B1434" s="2">
        <v>45983</v>
      </c>
      <c r="C1434" t="s">
        <v>19</v>
      </c>
      <c r="D1434" t="s">
        <v>20</v>
      </c>
      <c r="E1434" t="s">
        <v>31</v>
      </c>
      <c r="F1434" t="s">
        <v>22</v>
      </c>
      <c r="G1434" t="s">
        <v>160</v>
      </c>
      <c r="H1434" t="s">
        <v>161</v>
      </c>
      <c r="I1434">
        <v>3</v>
      </c>
      <c r="J1434" s="3">
        <v>2899.25</v>
      </c>
      <c r="K1434" s="3">
        <v>8697.75</v>
      </c>
      <c r="L1434" t="s">
        <v>25</v>
      </c>
      <c r="M1434" s="2">
        <v>46000</v>
      </c>
      <c r="N1434" s="2">
        <v>45998</v>
      </c>
      <c r="O1434" t="s">
        <v>43</v>
      </c>
      <c r="P1434" t="s">
        <v>94</v>
      </c>
      <c r="Q1434" t="s">
        <v>28</v>
      </c>
      <c r="R1434" t="s">
        <v>29</v>
      </c>
      <c r="S1434">
        <v>2025</v>
      </c>
      <c r="T1434" t="s">
        <v>2763</v>
      </c>
      <c r="U1434" t="s">
        <v>2764</v>
      </c>
      <c r="V1434" s="4">
        <v>0</v>
      </c>
      <c r="W1434" s="4">
        <v>1</v>
      </c>
    </row>
    <row r="1435" spans="1:23">
      <c r="A1435" t="s">
        <v>1567</v>
      </c>
      <c r="B1435" s="2">
        <v>45670</v>
      </c>
      <c r="C1435" t="s">
        <v>142</v>
      </c>
      <c r="D1435" t="s">
        <v>143</v>
      </c>
      <c r="E1435" t="s">
        <v>39</v>
      </c>
      <c r="F1435" t="s">
        <v>22</v>
      </c>
      <c r="G1435" t="s">
        <v>160</v>
      </c>
      <c r="H1435" t="s">
        <v>161</v>
      </c>
      <c r="I1435">
        <v>6</v>
      </c>
      <c r="J1435" s="3">
        <v>3032.5</v>
      </c>
      <c r="K1435" s="3">
        <v>18195</v>
      </c>
      <c r="L1435" t="s">
        <v>25</v>
      </c>
      <c r="M1435" s="2">
        <v>45681</v>
      </c>
      <c r="N1435" s="2">
        <v>45679</v>
      </c>
      <c r="O1435" t="s">
        <v>76</v>
      </c>
      <c r="P1435" t="s">
        <v>44</v>
      </c>
      <c r="Q1435" t="s">
        <v>28</v>
      </c>
      <c r="R1435" t="s">
        <v>29</v>
      </c>
      <c r="S1435">
        <v>2025</v>
      </c>
      <c r="T1435" t="s">
        <v>2757</v>
      </c>
      <c r="U1435" t="s">
        <v>2768</v>
      </c>
      <c r="V1435" s="4">
        <v>0</v>
      </c>
      <c r="W1435" s="4">
        <v>1</v>
      </c>
    </row>
    <row r="1436" spans="1:23">
      <c r="A1436" t="s">
        <v>1568</v>
      </c>
      <c r="B1436" s="2">
        <v>46100</v>
      </c>
      <c r="C1436" t="s">
        <v>71</v>
      </c>
      <c r="D1436" t="s">
        <v>72</v>
      </c>
      <c r="E1436" t="s">
        <v>48</v>
      </c>
      <c r="F1436" t="s">
        <v>57</v>
      </c>
      <c r="G1436" t="s">
        <v>101</v>
      </c>
      <c r="H1436" t="s">
        <v>102</v>
      </c>
      <c r="I1436">
        <v>46</v>
      </c>
      <c r="J1436" s="3">
        <v>1656.61</v>
      </c>
      <c r="K1436" s="3">
        <v>76204.06</v>
      </c>
      <c r="L1436" t="s">
        <v>34</v>
      </c>
      <c r="M1436" s="2">
        <v>46116</v>
      </c>
      <c r="N1436" s="2">
        <v>46120</v>
      </c>
      <c r="O1436" t="s">
        <v>43</v>
      </c>
      <c r="P1436" t="s">
        <v>53</v>
      </c>
      <c r="Q1436" t="s">
        <v>28</v>
      </c>
      <c r="R1436" t="s">
        <v>129</v>
      </c>
      <c r="S1436">
        <v>2026</v>
      </c>
      <c r="T1436" t="s">
        <v>2747</v>
      </c>
      <c r="U1436" t="s">
        <v>2755</v>
      </c>
      <c r="V1436" s="4">
        <v>4</v>
      </c>
      <c r="W1436" s="4">
        <v>0</v>
      </c>
    </row>
    <row r="1437" spans="1:23">
      <c r="A1437" t="s">
        <v>1569</v>
      </c>
      <c r="B1437" s="2">
        <v>46183</v>
      </c>
      <c r="C1437" t="s">
        <v>37</v>
      </c>
      <c r="D1437" t="s">
        <v>38</v>
      </c>
      <c r="E1437" t="s">
        <v>112</v>
      </c>
      <c r="F1437" t="s">
        <v>40</v>
      </c>
      <c r="G1437" t="s">
        <v>41</v>
      </c>
      <c r="H1437" t="s">
        <v>42</v>
      </c>
      <c r="I1437">
        <v>3</v>
      </c>
      <c r="J1437" s="3">
        <v>6010.05</v>
      </c>
      <c r="K1437" s="3">
        <v>18030.150000000001</v>
      </c>
      <c r="L1437" t="s">
        <v>25</v>
      </c>
      <c r="M1437" s="2">
        <v>46188</v>
      </c>
      <c r="N1437" s="2">
        <v>46188</v>
      </c>
      <c r="O1437" t="s">
        <v>76</v>
      </c>
      <c r="P1437" t="s">
        <v>115</v>
      </c>
      <c r="Q1437" t="s">
        <v>28</v>
      </c>
      <c r="R1437" t="s">
        <v>29</v>
      </c>
      <c r="S1437">
        <v>2026</v>
      </c>
      <c r="T1437" t="s">
        <v>2743</v>
      </c>
      <c r="U1437" t="s">
        <v>2744</v>
      </c>
      <c r="V1437" s="4">
        <v>0</v>
      </c>
      <c r="W1437" s="4">
        <v>1</v>
      </c>
    </row>
    <row r="1438" spans="1:23">
      <c r="A1438" t="s">
        <v>1570</v>
      </c>
      <c r="B1438" s="2">
        <v>46136</v>
      </c>
      <c r="C1438" t="s">
        <v>104</v>
      </c>
      <c r="D1438" t="s">
        <v>105</v>
      </c>
      <c r="E1438" t="s">
        <v>112</v>
      </c>
      <c r="F1438" t="s">
        <v>49</v>
      </c>
      <c r="G1438" t="s">
        <v>50</v>
      </c>
      <c r="H1438" t="s">
        <v>51</v>
      </c>
      <c r="I1438">
        <v>1</v>
      </c>
      <c r="J1438" s="3">
        <v>50667.72</v>
      </c>
      <c r="K1438" s="3">
        <v>50667.72</v>
      </c>
      <c r="L1438" t="s">
        <v>25</v>
      </c>
      <c r="M1438" s="2">
        <v>46146</v>
      </c>
      <c r="N1438" s="2">
        <v>46146</v>
      </c>
      <c r="O1438" t="s">
        <v>43</v>
      </c>
      <c r="P1438" t="s">
        <v>115</v>
      </c>
      <c r="Q1438" t="s">
        <v>28</v>
      </c>
      <c r="R1438" t="s">
        <v>29</v>
      </c>
      <c r="S1438">
        <v>2026</v>
      </c>
      <c r="T1438" t="s">
        <v>2741</v>
      </c>
      <c r="U1438" t="s">
        <v>2770</v>
      </c>
      <c r="V1438" s="4">
        <v>0</v>
      </c>
      <c r="W1438" s="4">
        <v>1</v>
      </c>
    </row>
    <row r="1439" spans="1:23">
      <c r="A1439" t="s">
        <v>1571</v>
      </c>
      <c r="B1439" s="2">
        <v>45800</v>
      </c>
      <c r="C1439" t="s">
        <v>71</v>
      </c>
      <c r="D1439" t="s">
        <v>72</v>
      </c>
      <c r="E1439" t="s">
        <v>21</v>
      </c>
      <c r="F1439" t="s">
        <v>57</v>
      </c>
      <c r="G1439" t="s">
        <v>101</v>
      </c>
      <c r="H1439" t="s">
        <v>102</v>
      </c>
      <c r="I1439">
        <v>45</v>
      </c>
      <c r="J1439" s="3">
        <v>1758.32</v>
      </c>
      <c r="K1439" s="3">
        <v>79124.399999999994</v>
      </c>
      <c r="L1439" t="s">
        <v>25</v>
      </c>
      <c r="M1439" s="2">
        <v>45807</v>
      </c>
      <c r="N1439" s="2">
        <v>45805</v>
      </c>
      <c r="O1439" t="s">
        <v>43</v>
      </c>
      <c r="P1439" t="s">
        <v>27</v>
      </c>
      <c r="Q1439" t="s">
        <v>28</v>
      </c>
      <c r="R1439" t="s">
        <v>29</v>
      </c>
      <c r="S1439">
        <v>2025</v>
      </c>
      <c r="T1439" t="s">
        <v>2766</v>
      </c>
      <c r="U1439" t="s">
        <v>2767</v>
      </c>
      <c r="V1439" s="4">
        <v>0</v>
      </c>
      <c r="W1439" s="4">
        <v>1</v>
      </c>
    </row>
    <row r="1440" spans="1:23">
      <c r="A1440" t="s">
        <v>1572</v>
      </c>
      <c r="B1440" s="2">
        <v>46065</v>
      </c>
      <c r="C1440" t="s">
        <v>37</v>
      </c>
      <c r="D1440" t="s">
        <v>38</v>
      </c>
      <c r="E1440" t="s">
        <v>39</v>
      </c>
      <c r="F1440" t="s">
        <v>40</v>
      </c>
      <c r="G1440" t="s">
        <v>149</v>
      </c>
      <c r="H1440" t="s">
        <v>150</v>
      </c>
      <c r="I1440">
        <v>31</v>
      </c>
      <c r="J1440" s="3">
        <v>1421.11</v>
      </c>
      <c r="K1440" s="3">
        <v>44054.41</v>
      </c>
      <c r="L1440" t="s">
        <v>34</v>
      </c>
      <c r="M1440" s="2">
        <v>46070</v>
      </c>
      <c r="N1440" s="2">
        <v>46074</v>
      </c>
      <c r="O1440" t="s">
        <v>26</v>
      </c>
      <c r="P1440" t="s">
        <v>44</v>
      </c>
      <c r="Q1440" t="s">
        <v>28</v>
      </c>
      <c r="R1440" t="s">
        <v>129</v>
      </c>
      <c r="S1440">
        <v>2026</v>
      </c>
      <c r="T1440" t="s">
        <v>2751</v>
      </c>
      <c r="U1440" t="s">
        <v>2765</v>
      </c>
      <c r="V1440" s="4">
        <v>4</v>
      </c>
      <c r="W1440" s="4">
        <v>0</v>
      </c>
    </row>
    <row r="1441" spans="1:23">
      <c r="A1441" t="s">
        <v>1573</v>
      </c>
      <c r="B1441" s="2">
        <v>45746</v>
      </c>
      <c r="C1441" t="s">
        <v>131</v>
      </c>
      <c r="D1441" t="s">
        <v>132</v>
      </c>
      <c r="E1441" t="s">
        <v>48</v>
      </c>
      <c r="F1441" t="s">
        <v>57</v>
      </c>
      <c r="G1441" t="s">
        <v>86</v>
      </c>
      <c r="H1441" t="s">
        <v>87</v>
      </c>
      <c r="I1441">
        <v>7</v>
      </c>
      <c r="J1441" s="3">
        <v>11097.77</v>
      </c>
      <c r="K1441" s="3">
        <v>77684.39</v>
      </c>
      <c r="L1441" t="s">
        <v>25</v>
      </c>
      <c r="M1441" s="2">
        <v>45752</v>
      </c>
      <c r="N1441" s="2">
        <v>45751</v>
      </c>
      <c r="O1441" t="s">
        <v>76</v>
      </c>
      <c r="P1441" t="s">
        <v>53</v>
      </c>
      <c r="Q1441" t="s">
        <v>28</v>
      </c>
      <c r="R1441" t="s">
        <v>29</v>
      </c>
      <c r="S1441">
        <v>2025</v>
      </c>
      <c r="T1441" t="s">
        <v>2747</v>
      </c>
      <c r="U1441" t="s">
        <v>2748</v>
      </c>
      <c r="V1441" s="4">
        <v>0</v>
      </c>
      <c r="W1441" s="4">
        <v>1</v>
      </c>
    </row>
    <row r="1442" spans="1:23">
      <c r="A1442" t="s">
        <v>1574</v>
      </c>
      <c r="B1442" s="2">
        <v>45669</v>
      </c>
      <c r="C1442" t="s">
        <v>66</v>
      </c>
      <c r="D1442" t="s">
        <v>67</v>
      </c>
      <c r="E1442" t="s">
        <v>73</v>
      </c>
      <c r="F1442" t="s">
        <v>49</v>
      </c>
      <c r="G1442" t="s">
        <v>50</v>
      </c>
      <c r="H1442" t="s">
        <v>51</v>
      </c>
      <c r="I1442">
        <v>1</v>
      </c>
      <c r="J1442" s="3">
        <v>51926.53</v>
      </c>
      <c r="K1442" s="3">
        <v>51926.53</v>
      </c>
      <c r="L1442" t="s">
        <v>52</v>
      </c>
      <c r="M1442" s="2">
        <v>45678</v>
      </c>
      <c r="N1442" s="2">
        <v>45678</v>
      </c>
      <c r="O1442" t="s">
        <v>76</v>
      </c>
      <c r="P1442" t="s">
        <v>77</v>
      </c>
      <c r="Q1442" t="s">
        <v>28</v>
      </c>
      <c r="R1442" t="s">
        <v>29</v>
      </c>
      <c r="S1442">
        <v>2025</v>
      </c>
      <c r="T1442" t="s">
        <v>2757</v>
      </c>
      <c r="U1442" t="s">
        <v>2768</v>
      </c>
      <c r="V1442" s="4">
        <v>0</v>
      </c>
      <c r="W1442" s="4">
        <v>1</v>
      </c>
    </row>
    <row r="1443" spans="1:23">
      <c r="A1443" t="s">
        <v>1575</v>
      </c>
      <c r="B1443" s="2">
        <v>45965</v>
      </c>
      <c r="C1443" t="s">
        <v>142</v>
      </c>
      <c r="D1443" t="s">
        <v>143</v>
      </c>
      <c r="E1443" t="s">
        <v>112</v>
      </c>
      <c r="F1443" t="s">
        <v>22</v>
      </c>
      <c r="G1443" t="s">
        <v>32</v>
      </c>
      <c r="H1443" t="s">
        <v>33</v>
      </c>
      <c r="I1443">
        <v>6</v>
      </c>
      <c r="J1443" s="3">
        <v>8113.34</v>
      </c>
      <c r="K1443" s="3">
        <v>48680.04</v>
      </c>
      <c r="L1443" t="s">
        <v>52</v>
      </c>
      <c r="M1443" s="2">
        <v>45977</v>
      </c>
      <c r="N1443" s="2">
        <v>45976</v>
      </c>
      <c r="O1443" t="s">
        <v>76</v>
      </c>
      <c r="P1443" t="s">
        <v>115</v>
      </c>
      <c r="Q1443" t="s">
        <v>28</v>
      </c>
      <c r="R1443" t="s">
        <v>29</v>
      </c>
      <c r="S1443">
        <v>2025</v>
      </c>
      <c r="T1443" t="s">
        <v>2763</v>
      </c>
      <c r="U1443" t="s">
        <v>2764</v>
      </c>
      <c r="V1443" s="4">
        <v>0</v>
      </c>
      <c r="W1443" s="4">
        <v>1</v>
      </c>
    </row>
    <row r="1444" spans="1:23">
      <c r="A1444" t="s">
        <v>1576</v>
      </c>
      <c r="B1444" s="2">
        <v>45810</v>
      </c>
      <c r="C1444" t="s">
        <v>104</v>
      </c>
      <c r="D1444" t="s">
        <v>105</v>
      </c>
      <c r="E1444" t="s">
        <v>21</v>
      </c>
      <c r="F1444" t="s">
        <v>49</v>
      </c>
      <c r="G1444" t="s">
        <v>113</v>
      </c>
      <c r="H1444" t="s">
        <v>114</v>
      </c>
      <c r="I1444">
        <v>1</v>
      </c>
      <c r="J1444" s="3">
        <v>37881.629999999997</v>
      </c>
      <c r="K1444" s="3">
        <v>37881.629999999997</v>
      </c>
      <c r="L1444" t="s">
        <v>34</v>
      </c>
      <c r="M1444" s="2">
        <v>45817</v>
      </c>
      <c r="N1444" s="2">
        <v>45817</v>
      </c>
      <c r="O1444" t="s">
        <v>26</v>
      </c>
      <c r="P1444" t="s">
        <v>27</v>
      </c>
      <c r="Q1444" t="s">
        <v>28</v>
      </c>
      <c r="R1444" t="s">
        <v>29</v>
      </c>
      <c r="S1444">
        <v>2025</v>
      </c>
      <c r="T1444" t="s">
        <v>2743</v>
      </c>
      <c r="U1444" t="s">
        <v>2756</v>
      </c>
      <c r="V1444" s="4">
        <v>0</v>
      </c>
      <c r="W1444" s="4">
        <v>1</v>
      </c>
    </row>
    <row r="1445" spans="1:23">
      <c r="A1445" t="s">
        <v>1577</v>
      </c>
      <c r="B1445" s="2">
        <v>45845</v>
      </c>
      <c r="C1445" t="s">
        <v>66</v>
      </c>
      <c r="D1445" t="s">
        <v>67</v>
      </c>
      <c r="E1445" t="s">
        <v>112</v>
      </c>
      <c r="F1445" t="s">
        <v>49</v>
      </c>
      <c r="G1445" t="s">
        <v>68</v>
      </c>
      <c r="H1445" t="s">
        <v>69</v>
      </c>
      <c r="I1445">
        <v>2</v>
      </c>
      <c r="J1445" s="3">
        <v>47645.93</v>
      </c>
      <c r="K1445" s="3">
        <v>95291.86</v>
      </c>
      <c r="L1445" t="s">
        <v>52</v>
      </c>
      <c r="M1445" s="2">
        <v>45855</v>
      </c>
      <c r="N1445" s="2">
        <v>45852</v>
      </c>
      <c r="O1445" t="s">
        <v>26</v>
      </c>
      <c r="P1445" t="s">
        <v>115</v>
      </c>
      <c r="Q1445" t="s">
        <v>28</v>
      </c>
      <c r="R1445" t="s">
        <v>29</v>
      </c>
      <c r="S1445">
        <v>2025</v>
      </c>
      <c r="T1445" t="s">
        <v>2759</v>
      </c>
      <c r="U1445" t="s">
        <v>2760</v>
      </c>
      <c r="V1445" s="4">
        <v>0</v>
      </c>
      <c r="W1445" s="4">
        <v>1</v>
      </c>
    </row>
    <row r="1446" spans="1:23">
      <c r="A1446" t="s">
        <v>1578</v>
      </c>
      <c r="B1446" s="2">
        <v>46110</v>
      </c>
      <c r="C1446" t="s">
        <v>104</v>
      </c>
      <c r="D1446" t="s">
        <v>105</v>
      </c>
      <c r="E1446" t="s">
        <v>48</v>
      </c>
      <c r="F1446" t="s">
        <v>49</v>
      </c>
      <c r="G1446" t="s">
        <v>68</v>
      </c>
      <c r="H1446" t="s">
        <v>69</v>
      </c>
      <c r="I1446">
        <v>1</v>
      </c>
      <c r="J1446" s="3">
        <v>46427.839999999997</v>
      </c>
      <c r="K1446" s="3">
        <v>46427.839999999997</v>
      </c>
      <c r="L1446" t="s">
        <v>25</v>
      </c>
      <c r="M1446" s="2">
        <v>46124</v>
      </c>
      <c r="N1446" s="2">
        <v>46123</v>
      </c>
      <c r="O1446" t="s">
        <v>43</v>
      </c>
      <c r="P1446" t="s">
        <v>53</v>
      </c>
      <c r="Q1446" t="s">
        <v>28</v>
      </c>
      <c r="R1446" t="s">
        <v>29</v>
      </c>
      <c r="S1446">
        <v>2026</v>
      </c>
      <c r="T1446" t="s">
        <v>2747</v>
      </c>
      <c r="U1446" t="s">
        <v>2755</v>
      </c>
      <c r="V1446" s="4">
        <v>0</v>
      </c>
      <c r="W1446" s="4">
        <v>1</v>
      </c>
    </row>
    <row r="1447" spans="1:23">
      <c r="A1447" t="s">
        <v>1579</v>
      </c>
      <c r="B1447" s="2">
        <v>45968</v>
      </c>
      <c r="C1447" t="s">
        <v>117</v>
      </c>
      <c r="D1447" t="s">
        <v>118</v>
      </c>
      <c r="E1447" t="s">
        <v>31</v>
      </c>
      <c r="F1447" t="s">
        <v>57</v>
      </c>
      <c r="G1447" t="s">
        <v>86</v>
      </c>
      <c r="H1447" t="s">
        <v>87</v>
      </c>
      <c r="I1447">
        <v>5</v>
      </c>
      <c r="J1447" s="3">
        <v>10846.36</v>
      </c>
      <c r="K1447" s="3">
        <v>54231.8</v>
      </c>
      <c r="L1447" t="s">
        <v>25</v>
      </c>
      <c r="M1447" s="2">
        <v>45985</v>
      </c>
      <c r="N1447" s="2">
        <v>45985</v>
      </c>
      <c r="O1447" t="s">
        <v>60</v>
      </c>
      <c r="P1447" t="s">
        <v>35</v>
      </c>
      <c r="Q1447" t="s">
        <v>28</v>
      </c>
      <c r="R1447" t="s">
        <v>29</v>
      </c>
      <c r="S1447">
        <v>2025</v>
      </c>
      <c r="T1447" t="s">
        <v>2763</v>
      </c>
      <c r="U1447" t="s">
        <v>2764</v>
      </c>
      <c r="V1447" s="4">
        <v>0</v>
      </c>
      <c r="W1447" s="4">
        <v>1</v>
      </c>
    </row>
    <row r="1448" spans="1:23">
      <c r="A1448" t="s">
        <v>1580</v>
      </c>
      <c r="B1448" s="2">
        <v>45812</v>
      </c>
      <c r="C1448" t="s">
        <v>46</v>
      </c>
      <c r="D1448" t="s">
        <v>47</v>
      </c>
      <c r="E1448" t="s">
        <v>48</v>
      </c>
      <c r="F1448" t="s">
        <v>49</v>
      </c>
      <c r="G1448" t="s">
        <v>165</v>
      </c>
      <c r="H1448" t="s">
        <v>166</v>
      </c>
      <c r="I1448">
        <v>1</v>
      </c>
      <c r="J1448" s="3">
        <v>49016.94</v>
      </c>
      <c r="K1448" s="3">
        <v>49016.94</v>
      </c>
      <c r="L1448" t="s">
        <v>25</v>
      </c>
      <c r="M1448" s="2">
        <v>45822</v>
      </c>
      <c r="N1448" s="2">
        <v>45821</v>
      </c>
      <c r="O1448" t="s">
        <v>60</v>
      </c>
      <c r="P1448" t="s">
        <v>53</v>
      </c>
      <c r="Q1448" t="s">
        <v>28</v>
      </c>
      <c r="R1448" t="s">
        <v>29</v>
      </c>
      <c r="S1448">
        <v>2025</v>
      </c>
      <c r="T1448" t="s">
        <v>2743</v>
      </c>
      <c r="U1448" t="s">
        <v>2756</v>
      </c>
      <c r="V1448" s="4">
        <v>0</v>
      </c>
      <c r="W1448" s="4">
        <v>1</v>
      </c>
    </row>
    <row r="1449" spans="1:23">
      <c r="A1449" t="s">
        <v>1581</v>
      </c>
      <c r="B1449" s="2">
        <v>45947</v>
      </c>
      <c r="C1449" t="s">
        <v>19</v>
      </c>
      <c r="D1449" t="s">
        <v>20</v>
      </c>
      <c r="E1449" t="s">
        <v>39</v>
      </c>
      <c r="F1449" t="s">
        <v>22</v>
      </c>
      <c r="G1449" t="s">
        <v>23</v>
      </c>
      <c r="H1449" t="s">
        <v>24</v>
      </c>
      <c r="I1449">
        <v>54</v>
      </c>
      <c r="J1449" s="3">
        <v>231.3</v>
      </c>
      <c r="K1449" s="3">
        <v>12490.2</v>
      </c>
      <c r="L1449" t="s">
        <v>25</v>
      </c>
      <c r="M1449" s="2">
        <v>45955</v>
      </c>
      <c r="N1449" s="2">
        <v>45955</v>
      </c>
      <c r="O1449" t="s">
        <v>60</v>
      </c>
      <c r="P1449" t="s">
        <v>64</v>
      </c>
      <c r="Q1449" t="s">
        <v>28</v>
      </c>
      <c r="R1449" t="s">
        <v>29</v>
      </c>
      <c r="S1449">
        <v>2025</v>
      </c>
      <c r="T1449" t="s">
        <v>2749</v>
      </c>
      <c r="U1449" t="s">
        <v>2750</v>
      </c>
      <c r="V1449" s="4">
        <v>0</v>
      </c>
      <c r="W1449" s="4">
        <v>1</v>
      </c>
    </row>
    <row r="1450" spans="1:23">
      <c r="A1450" t="s">
        <v>1582</v>
      </c>
      <c r="B1450" s="2">
        <v>46097</v>
      </c>
      <c r="C1450" t="s">
        <v>80</v>
      </c>
      <c r="D1450" t="s">
        <v>81</v>
      </c>
      <c r="E1450" t="s">
        <v>39</v>
      </c>
      <c r="F1450" t="s">
        <v>82</v>
      </c>
      <c r="G1450" t="s">
        <v>197</v>
      </c>
      <c r="H1450" t="s">
        <v>198</v>
      </c>
      <c r="I1450">
        <v>60</v>
      </c>
      <c r="J1450" s="3">
        <v>2005.05</v>
      </c>
      <c r="K1450" s="3">
        <v>120303</v>
      </c>
      <c r="L1450" t="s">
        <v>25</v>
      </c>
      <c r="M1450" s="2">
        <v>46110</v>
      </c>
      <c r="N1450" s="2">
        <v>46110</v>
      </c>
      <c r="O1450" t="s">
        <v>76</v>
      </c>
      <c r="P1450" t="s">
        <v>44</v>
      </c>
      <c r="Q1450" t="s">
        <v>28</v>
      </c>
      <c r="R1450" t="s">
        <v>29</v>
      </c>
      <c r="S1450">
        <v>2026</v>
      </c>
      <c r="T1450" t="s">
        <v>2747</v>
      </c>
      <c r="U1450" t="s">
        <v>2755</v>
      </c>
      <c r="V1450" s="4">
        <v>0</v>
      </c>
      <c r="W1450" s="4">
        <v>1</v>
      </c>
    </row>
    <row r="1451" spans="1:23">
      <c r="A1451" t="s">
        <v>1583</v>
      </c>
      <c r="B1451" s="2">
        <v>46072</v>
      </c>
      <c r="C1451" t="s">
        <v>66</v>
      </c>
      <c r="D1451" t="s">
        <v>67</v>
      </c>
      <c r="E1451" t="s">
        <v>48</v>
      </c>
      <c r="F1451" t="s">
        <v>49</v>
      </c>
      <c r="G1451" t="s">
        <v>113</v>
      </c>
      <c r="H1451" t="s">
        <v>114</v>
      </c>
      <c r="I1451">
        <v>1</v>
      </c>
      <c r="J1451" s="3">
        <v>38679.660000000003</v>
      </c>
      <c r="K1451" s="3">
        <v>38679.660000000003</v>
      </c>
      <c r="L1451" t="s">
        <v>25</v>
      </c>
      <c r="M1451" s="2">
        <v>46078</v>
      </c>
      <c r="N1451" s="2">
        <v>46076</v>
      </c>
      <c r="O1451" t="s">
        <v>76</v>
      </c>
      <c r="P1451" t="s">
        <v>53</v>
      </c>
      <c r="Q1451" t="s">
        <v>28</v>
      </c>
      <c r="R1451" t="s">
        <v>29</v>
      </c>
      <c r="S1451">
        <v>2026</v>
      </c>
      <c r="T1451" t="s">
        <v>2751</v>
      </c>
      <c r="U1451" t="s">
        <v>2765</v>
      </c>
      <c r="V1451" s="4">
        <v>0</v>
      </c>
      <c r="W1451" s="4">
        <v>1</v>
      </c>
    </row>
    <row r="1452" spans="1:23">
      <c r="A1452" t="s">
        <v>1584</v>
      </c>
      <c r="B1452" s="2">
        <v>45848</v>
      </c>
      <c r="C1452" t="s">
        <v>96</v>
      </c>
      <c r="D1452" t="s">
        <v>97</v>
      </c>
      <c r="E1452" t="s">
        <v>39</v>
      </c>
      <c r="F1452" t="s">
        <v>82</v>
      </c>
      <c r="G1452" t="s">
        <v>98</v>
      </c>
      <c r="H1452" t="s">
        <v>99</v>
      </c>
      <c r="I1452">
        <v>38</v>
      </c>
      <c r="J1452" s="3">
        <v>1178.94</v>
      </c>
      <c r="K1452" s="3">
        <v>44799.72</v>
      </c>
      <c r="L1452" t="s">
        <v>25</v>
      </c>
      <c r="M1452" s="2">
        <v>45859</v>
      </c>
      <c r="N1452" s="2">
        <v>45864</v>
      </c>
      <c r="O1452" t="s">
        <v>43</v>
      </c>
      <c r="P1452" t="s">
        <v>44</v>
      </c>
      <c r="Q1452" t="s">
        <v>28</v>
      </c>
      <c r="R1452" t="s">
        <v>129</v>
      </c>
      <c r="S1452">
        <v>2025</v>
      </c>
      <c r="T1452" t="s">
        <v>2759</v>
      </c>
      <c r="U1452" t="s">
        <v>2760</v>
      </c>
      <c r="V1452" s="4">
        <v>5</v>
      </c>
      <c r="W1452" s="4">
        <v>0</v>
      </c>
    </row>
    <row r="1453" spans="1:23">
      <c r="A1453" t="s">
        <v>1585</v>
      </c>
      <c r="B1453" s="2">
        <v>45865</v>
      </c>
      <c r="C1453" t="s">
        <v>19</v>
      </c>
      <c r="D1453" t="s">
        <v>20</v>
      </c>
      <c r="E1453" t="s">
        <v>112</v>
      </c>
      <c r="F1453" t="s">
        <v>22</v>
      </c>
      <c r="G1453" t="s">
        <v>23</v>
      </c>
      <c r="H1453" t="s">
        <v>24</v>
      </c>
      <c r="I1453">
        <v>42</v>
      </c>
      <c r="J1453" s="3">
        <v>243.83</v>
      </c>
      <c r="K1453" s="3">
        <v>10240.86</v>
      </c>
      <c r="L1453" t="s">
        <v>25</v>
      </c>
      <c r="M1453" s="2">
        <v>45879</v>
      </c>
      <c r="N1453" s="2">
        <v>45879</v>
      </c>
      <c r="O1453" t="s">
        <v>76</v>
      </c>
      <c r="P1453" t="s">
        <v>115</v>
      </c>
      <c r="Q1453" t="s">
        <v>28</v>
      </c>
      <c r="R1453" t="s">
        <v>29</v>
      </c>
      <c r="S1453">
        <v>2025</v>
      </c>
      <c r="T1453" t="s">
        <v>2759</v>
      </c>
      <c r="U1453" t="s">
        <v>2760</v>
      </c>
      <c r="V1453" s="4">
        <v>0</v>
      </c>
      <c r="W1453" s="4">
        <v>1</v>
      </c>
    </row>
    <row r="1454" spans="1:23">
      <c r="A1454" t="s">
        <v>1586</v>
      </c>
      <c r="B1454" s="2">
        <v>45671</v>
      </c>
      <c r="C1454" t="s">
        <v>37</v>
      </c>
      <c r="D1454" t="s">
        <v>38</v>
      </c>
      <c r="E1454" t="s">
        <v>112</v>
      </c>
      <c r="F1454" t="s">
        <v>40</v>
      </c>
      <c r="G1454" t="s">
        <v>41</v>
      </c>
      <c r="H1454" t="s">
        <v>42</v>
      </c>
      <c r="I1454">
        <v>8</v>
      </c>
      <c r="J1454" s="3">
        <v>5937.01</v>
      </c>
      <c r="K1454" s="3">
        <v>47496.08</v>
      </c>
      <c r="L1454" t="s">
        <v>34</v>
      </c>
      <c r="M1454" s="2">
        <v>45687</v>
      </c>
      <c r="N1454" s="2">
        <v>45684</v>
      </c>
      <c r="O1454" t="s">
        <v>60</v>
      </c>
      <c r="P1454" t="s">
        <v>115</v>
      </c>
      <c r="Q1454" t="s">
        <v>28</v>
      </c>
      <c r="R1454" t="s">
        <v>29</v>
      </c>
      <c r="S1454">
        <v>2025</v>
      </c>
      <c r="T1454" t="s">
        <v>2757</v>
      </c>
      <c r="U1454" t="s">
        <v>2768</v>
      </c>
      <c r="V1454" s="4">
        <v>0</v>
      </c>
      <c r="W1454" s="4">
        <v>1</v>
      </c>
    </row>
    <row r="1455" spans="1:23">
      <c r="A1455" t="s">
        <v>1587</v>
      </c>
      <c r="B1455" s="2">
        <v>45922</v>
      </c>
      <c r="C1455" t="s">
        <v>37</v>
      </c>
      <c r="D1455" t="s">
        <v>38</v>
      </c>
      <c r="E1455" t="s">
        <v>31</v>
      </c>
      <c r="F1455" t="s">
        <v>22</v>
      </c>
      <c r="G1455" t="s">
        <v>160</v>
      </c>
      <c r="H1455" t="s">
        <v>161</v>
      </c>
      <c r="I1455">
        <v>6</v>
      </c>
      <c r="J1455" s="3">
        <v>3335.38</v>
      </c>
      <c r="K1455" s="3">
        <v>20012.28</v>
      </c>
      <c r="L1455" t="s">
        <v>25</v>
      </c>
      <c r="M1455" s="2">
        <v>45927</v>
      </c>
      <c r="N1455" s="2">
        <v>45927</v>
      </c>
      <c r="O1455" t="s">
        <v>60</v>
      </c>
      <c r="P1455" t="s">
        <v>35</v>
      </c>
      <c r="Q1455" t="s">
        <v>28</v>
      </c>
      <c r="R1455" t="s">
        <v>29</v>
      </c>
      <c r="S1455">
        <v>2025</v>
      </c>
      <c r="T1455" t="s">
        <v>2753</v>
      </c>
      <c r="U1455" t="s">
        <v>2754</v>
      </c>
      <c r="V1455" s="4">
        <v>0</v>
      </c>
      <c r="W1455" s="4">
        <v>1</v>
      </c>
    </row>
    <row r="1456" spans="1:23">
      <c r="A1456" t="s">
        <v>1588</v>
      </c>
      <c r="B1456" s="2">
        <v>45886</v>
      </c>
      <c r="C1456" t="s">
        <v>142</v>
      </c>
      <c r="D1456" t="s">
        <v>143</v>
      </c>
      <c r="E1456" t="s">
        <v>39</v>
      </c>
      <c r="F1456" t="s">
        <v>22</v>
      </c>
      <c r="G1456" t="s">
        <v>23</v>
      </c>
      <c r="H1456" t="s">
        <v>24</v>
      </c>
      <c r="I1456">
        <v>38</v>
      </c>
      <c r="J1456" s="3">
        <v>238.87</v>
      </c>
      <c r="K1456" s="3">
        <v>9077.06</v>
      </c>
      <c r="L1456" t="s">
        <v>25</v>
      </c>
      <c r="M1456" s="2">
        <v>45901</v>
      </c>
      <c r="N1456" s="2">
        <v>45898</v>
      </c>
      <c r="O1456" t="s">
        <v>43</v>
      </c>
      <c r="P1456" t="s">
        <v>44</v>
      </c>
      <c r="Q1456" t="s">
        <v>28</v>
      </c>
      <c r="R1456" t="s">
        <v>29</v>
      </c>
      <c r="S1456">
        <v>2025</v>
      </c>
      <c r="T1456" t="s">
        <v>2761</v>
      </c>
      <c r="U1456" t="s">
        <v>2762</v>
      </c>
      <c r="V1456" s="4">
        <v>0</v>
      </c>
      <c r="W1456" s="4">
        <v>1</v>
      </c>
    </row>
    <row r="1457" spans="1:23">
      <c r="A1457" t="s">
        <v>1589</v>
      </c>
      <c r="B1457" s="2">
        <v>46137</v>
      </c>
      <c r="C1457" t="s">
        <v>46</v>
      </c>
      <c r="D1457" t="s">
        <v>47</v>
      </c>
      <c r="E1457" t="s">
        <v>73</v>
      </c>
      <c r="F1457" t="s">
        <v>49</v>
      </c>
      <c r="G1457" t="s">
        <v>113</v>
      </c>
      <c r="H1457" t="s">
        <v>114</v>
      </c>
      <c r="I1457">
        <v>3</v>
      </c>
      <c r="J1457" s="3">
        <v>40524.85</v>
      </c>
      <c r="K1457" s="3">
        <v>121574.55</v>
      </c>
      <c r="L1457" t="s">
        <v>25</v>
      </c>
      <c r="M1457" s="2">
        <v>46149</v>
      </c>
      <c r="N1457" s="2">
        <v>46148</v>
      </c>
      <c r="O1457" t="s">
        <v>26</v>
      </c>
      <c r="P1457" t="s">
        <v>77</v>
      </c>
      <c r="Q1457" t="s">
        <v>28</v>
      </c>
      <c r="R1457" t="s">
        <v>29</v>
      </c>
      <c r="S1457">
        <v>2026</v>
      </c>
      <c r="T1457" t="s">
        <v>2741</v>
      </c>
      <c r="U1457" t="s">
        <v>2770</v>
      </c>
      <c r="V1457" s="4">
        <v>0</v>
      </c>
      <c r="W1457" s="4">
        <v>1</v>
      </c>
    </row>
    <row r="1458" spans="1:23">
      <c r="A1458" t="s">
        <v>1590</v>
      </c>
      <c r="B1458" s="2">
        <v>45915</v>
      </c>
      <c r="C1458" t="s">
        <v>55</v>
      </c>
      <c r="D1458" t="s">
        <v>56</v>
      </c>
      <c r="E1458" t="s">
        <v>48</v>
      </c>
      <c r="F1458" t="s">
        <v>57</v>
      </c>
      <c r="G1458" t="s">
        <v>74</v>
      </c>
      <c r="H1458" t="s">
        <v>75</v>
      </c>
      <c r="I1458">
        <v>8</v>
      </c>
      <c r="J1458" s="3">
        <v>9423.6200000000008</v>
      </c>
      <c r="K1458" s="3">
        <v>75388.960000000006</v>
      </c>
      <c r="L1458" t="s">
        <v>52</v>
      </c>
      <c r="M1458" s="2">
        <v>45926</v>
      </c>
      <c r="N1458" s="2">
        <v>45926</v>
      </c>
      <c r="O1458" t="s">
        <v>43</v>
      </c>
      <c r="P1458" t="s">
        <v>53</v>
      </c>
      <c r="Q1458" t="s">
        <v>28</v>
      </c>
      <c r="R1458" t="s">
        <v>29</v>
      </c>
      <c r="S1458">
        <v>2025</v>
      </c>
      <c r="T1458" t="s">
        <v>2753</v>
      </c>
      <c r="U1458" t="s">
        <v>2754</v>
      </c>
      <c r="V1458" s="4">
        <v>0</v>
      </c>
      <c r="W1458" s="4">
        <v>1</v>
      </c>
    </row>
    <row r="1459" spans="1:23">
      <c r="A1459" t="s">
        <v>1591</v>
      </c>
      <c r="B1459" s="2">
        <v>45951</v>
      </c>
      <c r="C1459" t="s">
        <v>104</v>
      </c>
      <c r="D1459" t="s">
        <v>105</v>
      </c>
      <c r="E1459" t="s">
        <v>48</v>
      </c>
      <c r="F1459" t="s">
        <v>49</v>
      </c>
      <c r="G1459" t="s">
        <v>165</v>
      </c>
      <c r="H1459" t="s">
        <v>166</v>
      </c>
      <c r="I1459">
        <v>1</v>
      </c>
      <c r="J1459" s="3">
        <v>47129.64</v>
      </c>
      <c r="K1459" s="3">
        <v>47129.64</v>
      </c>
      <c r="L1459" t="s">
        <v>34</v>
      </c>
      <c r="M1459" s="2">
        <v>45956</v>
      </c>
      <c r="N1459" s="2">
        <v>45954</v>
      </c>
      <c r="O1459" t="s">
        <v>76</v>
      </c>
      <c r="P1459" t="s">
        <v>53</v>
      </c>
      <c r="Q1459" t="s">
        <v>28</v>
      </c>
      <c r="R1459" t="s">
        <v>29</v>
      </c>
      <c r="S1459">
        <v>2025</v>
      </c>
      <c r="T1459" t="s">
        <v>2749</v>
      </c>
      <c r="U1459" t="s">
        <v>2750</v>
      </c>
      <c r="V1459" s="4">
        <v>0</v>
      </c>
      <c r="W1459" s="4">
        <v>1</v>
      </c>
    </row>
    <row r="1460" spans="1:23">
      <c r="A1460" t="s">
        <v>1592</v>
      </c>
      <c r="B1460" s="2">
        <v>45796</v>
      </c>
      <c r="C1460" t="s">
        <v>37</v>
      </c>
      <c r="D1460" t="s">
        <v>38</v>
      </c>
      <c r="E1460" t="s">
        <v>73</v>
      </c>
      <c r="F1460" t="s">
        <v>22</v>
      </c>
      <c r="G1460" t="s">
        <v>23</v>
      </c>
      <c r="H1460" t="s">
        <v>24</v>
      </c>
      <c r="I1460">
        <v>42</v>
      </c>
      <c r="J1460" s="3">
        <v>254.53</v>
      </c>
      <c r="K1460" s="3">
        <v>10690.26</v>
      </c>
      <c r="L1460" t="s">
        <v>34</v>
      </c>
      <c r="M1460" s="2">
        <v>45801</v>
      </c>
      <c r="N1460" s="2">
        <v>45798</v>
      </c>
      <c r="O1460" t="s">
        <v>60</v>
      </c>
      <c r="P1460" t="s">
        <v>77</v>
      </c>
      <c r="Q1460" t="s">
        <v>28</v>
      </c>
      <c r="R1460" t="s">
        <v>29</v>
      </c>
      <c r="S1460">
        <v>2025</v>
      </c>
      <c r="T1460" t="s">
        <v>2766</v>
      </c>
      <c r="U1460" t="s">
        <v>2767</v>
      </c>
      <c r="V1460" s="4">
        <v>0</v>
      </c>
      <c r="W1460" s="4">
        <v>1</v>
      </c>
    </row>
    <row r="1461" spans="1:23">
      <c r="A1461" t="s">
        <v>1593</v>
      </c>
      <c r="B1461" s="2">
        <v>46124</v>
      </c>
      <c r="C1461" t="s">
        <v>71</v>
      </c>
      <c r="D1461" t="s">
        <v>72</v>
      </c>
      <c r="E1461" t="s">
        <v>48</v>
      </c>
      <c r="F1461" t="s">
        <v>57</v>
      </c>
      <c r="G1461" t="s">
        <v>74</v>
      </c>
      <c r="H1461" t="s">
        <v>75</v>
      </c>
      <c r="I1461">
        <v>6</v>
      </c>
      <c r="J1461" s="3">
        <v>8272.33</v>
      </c>
      <c r="K1461" s="3">
        <v>49633.98</v>
      </c>
      <c r="L1461" t="s">
        <v>25</v>
      </c>
      <c r="M1461" s="2">
        <v>46130</v>
      </c>
      <c r="N1461" s="2">
        <v>46130</v>
      </c>
      <c r="O1461" t="s">
        <v>76</v>
      </c>
      <c r="P1461" t="s">
        <v>53</v>
      </c>
      <c r="Q1461" t="s">
        <v>28</v>
      </c>
      <c r="R1461" t="s">
        <v>29</v>
      </c>
      <c r="S1461">
        <v>2026</v>
      </c>
      <c r="T1461" t="s">
        <v>2741</v>
      </c>
      <c r="U1461" t="s">
        <v>2770</v>
      </c>
      <c r="V1461" s="4">
        <v>0</v>
      </c>
      <c r="W1461" s="4">
        <v>1</v>
      </c>
    </row>
    <row r="1462" spans="1:23">
      <c r="A1462" t="s">
        <v>1594</v>
      </c>
      <c r="B1462" s="2">
        <v>45749</v>
      </c>
      <c r="C1462" t="s">
        <v>66</v>
      </c>
      <c r="D1462" t="s">
        <v>67</v>
      </c>
      <c r="E1462" t="s">
        <v>48</v>
      </c>
      <c r="F1462" t="s">
        <v>49</v>
      </c>
      <c r="G1462" t="s">
        <v>165</v>
      </c>
      <c r="H1462" t="s">
        <v>166</v>
      </c>
      <c r="I1462">
        <v>1</v>
      </c>
      <c r="J1462" s="3">
        <v>43429.81</v>
      </c>
      <c r="K1462" s="3">
        <v>43429.81</v>
      </c>
      <c r="L1462" t="s">
        <v>25</v>
      </c>
      <c r="M1462" s="2">
        <v>45761</v>
      </c>
      <c r="N1462" s="2">
        <v>45760</v>
      </c>
      <c r="O1462" t="s">
        <v>43</v>
      </c>
      <c r="P1462" t="s">
        <v>53</v>
      </c>
      <c r="Q1462" t="s">
        <v>28</v>
      </c>
      <c r="R1462" t="s">
        <v>29</v>
      </c>
      <c r="S1462">
        <v>2025</v>
      </c>
      <c r="T1462" t="s">
        <v>2741</v>
      </c>
      <c r="U1462" t="s">
        <v>2742</v>
      </c>
      <c r="V1462" s="4">
        <v>0</v>
      </c>
      <c r="W1462" s="4">
        <v>1</v>
      </c>
    </row>
    <row r="1463" spans="1:23">
      <c r="A1463" t="s">
        <v>1595</v>
      </c>
      <c r="B1463" s="2">
        <v>45818</v>
      </c>
      <c r="C1463" t="s">
        <v>96</v>
      </c>
      <c r="D1463" t="s">
        <v>97</v>
      </c>
      <c r="E1463" t="s">
        <v>39</v>
      </c>
      <c r="F1463" t="s">
        <v>82</v>
      </c>
      <c r="G1463" t="s">
        <v>197</v>
      </c>
      <c r="H1463" t="s">
        <v>198</v>
      </c>
      <c r="I1463">
        <v>19</v>
      </c>
      <c r="J1463" s="3">
        <v>2138.9</v>
      </c>
      <c r="K1463" s="3">
        <v>40639.1</v>
      </c>
      <c r="L1463" t="s">
        <v>25</v>
      </c>
      <c r="M1463" s="2">
        <v>45832</v>
      </c>
      <c r="N1463" s="2">
        <v>45830</v>
      </c>
      <c r="O1463" t="s">
        <v>26</v>
      </c>
      <c r="P1463" t="s">
        <v>64</v>
      </c>
      <c r="Q1463" t="s">
        <v>28</v>
      </c>
      <c r="R1463" t="s">
        <v>29</v>
      </c>
      <c r="S1463">
        <v>2025</v>
      </c>
      <c r="T1463" t="s">
        <v>2743</v>
      </c>
      <c r="U1463" t="s">
        <v>2756</v>
      </c>
      <c r="V1463" s="4">
        <v>0</v>
      </c>
      <c r="W1463" s="4">
        <v>1</v>
      </c>
    </row>
    <row r="1464" spans="1:23">
      <c r="A1464" t="s">
        <v>1596</v>
      </c>
      <c r="B1464" s="2">
        <v>45668</v>
      </c>
      <c r="C1464" t="s">
        <v>147</v>
      </c>
      <c r="D1464" t="s">
        <v>148</v>
      </c>
      <c r="E1464" t="s">
        <v>39</v>
      </c>
      <c r="F1464" t="s">
        <v>40</v>
      </c>
      <c r="G1464" t="s">
        <v>41</v>
      </c>
      <c r="H1464" t="s">
        <v>42</v>
      </c>
      <c r="I1464">
        <v>4</v>
      </c>
      <c r="J1464" s="3">
        <v>5124.26</v>
      </c>
      <c r="K1464" s="3">
        <v>20497.04</v>
      </c>
      <c r="L1464" t="s">
        <v>52</v>
      </c>
      <c r="M1464" s="2">
        <v>45673</v>
      </c>
      <c r="N1464" s="2">
        <v>45680</v>
      </c>
      <c r="O1464" t="s">
        <v>60</v>
      </c>
      <c r="P1464" t="s">
        <v>44</v>
      </c>
      <c r="Q1464" t="s">
        <v>28</v>
      </c>
      <c r="R1464" t="s">
        <v>129</v>
      </c>
      <c r="S1464">
        <v>2025</v>
      </c>
      <c r="T1464" t="s">
        <v>2757</v>
      </c>
      <c r="U1464" t="s">
        <v>2768</v>
      </c>
      <c r="V1464" s="4">
        <v>7</v>
      </c>
      <c r="W1464" s="4">
        <v>0</v>
      </c>
    </row>
    <row r="1465" spans="1:23">
      <c r="A1465" t="s">
        <v>1597</v>
      </c>
      <c r="B1465" s="2">
        <v>45908</v>
      </c>
      <c r="C1465" t="s">
        <v>104</v>
      </c>
      <c r="D1465" t="s">
        <v>105</v>
      </c>
      <c r="E1465" t="s">
        <v>112</v>
      </c>
      <c r="F1465" t="s">
        <v>49</v>
      </c>
      <c r="G1465" t="s">
        <v>165</v>
      </c>
      <c r="H1465" t="s">
        <v>166</v>
      </c>
      <c r="I1465">
        <v>1</v>
      </c>
      <c r="J1465" s="3">
        <v>45427.3</v>
      </c>
      <c r="K1465" s="3">
        <v>45427.3</v>
      </c>
      <c r="L1465" t="s">
        <v>52</v>
      </c>
      <c r="M1465" s="2">
        <v>45913</v>
      </c>
      <c r="N1465" s="2">
        <v>45913</v>
      </c>
      <c r="O1465" t="s">
        <v>76</v>
      </c>
      <c r="P1465" t="s">
        <v>115</v>
      </c>
      <c r="Q1465" t="s">
        <v>28</v>
      </c>
      <c r="R1465" t="s">
        <v>29</v>
      </c>
      <c r="S1465">
        <v>2025</v>
      </c>
      <c r="T1465" t="s">
        <v>2753</v>
      </c>
      <c r="U1465" t="s">
        <v>2754</v>
      </c>
      <c r="V1465" s="4">
        <v>0</v>
      </c>
      <c r="W1465" s="4">
        <v>1</v>
      </c>
    </row>
    <row r="1466" spans="1:23">
      <c r="A1466" t="s">
        <v>1598</v>
      </c>
      <c r="B1466" s="2">
        <v>46088</v>
      </c>
      <c r="C1466" t="s">
        <v>147</v>
      </c>
      <c r="D1466" t="s">
        <v>148</v>
      </c>
      <c r="E1466" t="s">
        <v>112</v>
      </c>
      <c r="F1466" t="s">
        <v>40</v>
      </c>
      <c r="G1466" t="s">
        <v>62</v>
      </c>
      <c r="H1466" t="s">
        <v>63</v>
      </c>
      <c r="I1466">
        <v>8</v>
      </c>
      <c r="J1466" s="3">
        <v>17245.05</v>
      </c>
      <c r="K1466" s="3">
        <v>137960.4</v>
      </c>
      <c r="L1466" t="s">
        <v>34</v>
      </c>
      <c r="M1466" s="2">
        <v>46096</v>
      </c>
      <c r="N1466" s="2">
        <v>46094</v>
      </c>
      <c r="O1466" t="s">
        <v>43</v>
      </c>
      <c r="P1466" t="s">
        <v>115</v>
      </c>
      <c r="Q1466" t="s">
        <v>28</v>
      </c>
      <c r="R1466" t="s">
        <v>29</v>
      </c>
      <c r="S1466">
        <v>2026</v>
      </c>
      <c r="T1466" t="s">
        <v>2747</v>
      </c>
      <c r="U1466" t="s">
        <v>2755</v>
      </c>
      <c r="V1466" s="4">
        <v>0</v>
      </c>
      <c r="W1466" s="4">
        <v>1</v>
      </c>
    </row>
    <row r="1467" spans="1:23">
      <c r="A1467" t="s">
        <v>1599</v>
      </c>
      <c r="B1467" s="2">
        <v>46162</v>
      </c>
      <c r="C1467" t="s">
        <v>142</v>
      </c>
      <c r="D1467" t="s">
        <v>143</v>
      </c>
      <c r="E1467" t="s">
        <v>39</v>
      </c>
      <c r="F1467" t="s">
        <v>22</v>
      </c>
      <c r="G1467" t="s">
        <v>32</v>
      </c>
      <c r="H1467" t="s">
        <v>33</v>
      </c>
      <c r="I1467">
        <v>9</v>
      </c>
      <c r="J1467" s="3">
        <v>7883.08</v>
      </c>
      <c r="K1467" s="3">
        <v>70947.72</v>
      </c>
      <c r="L1467" t="s">
        <v>25</v>
      </c>
      <c r="M1467" s="2">
        <v>46168</v>
      </c>
      <c r="N1467" s="2">
        <v>46166</v>
      </c>
      <c r="O1467" t="s">
        <v>43</v>
      </c>
      <c r="P1467" t="s">
        <v>44</v>
      </c>
      <c r="Q1467" t="s">
        <v>28</v>
      </c>
      <c r="R1467" t="s">
        <v>29</v>
      </c>
      <c r="S1467">
        <v>2026</v>
      </c>
      <c r="T1467" t="s">
        <v>2766</v>
      </c>
      <c r="U1467" t="s">
        <v>2769</v>
      </c>
      <c r="V1467" s="4">
        <v>0</v>
      </c>
      <c r="W1467" s="4">
        <v>1</v>
      </c>
    </row>
    <row r="1468" spans="1:23">
      <c r="A1468" t="s">
        <v>1600</v>
      </c>
      <c r="B1468" s="2">
        <v>45822</v>
      </c>
      <c r="C1468" t="s">
        <v>37</v>
      </c>
      <c r="D1468" t="s">
        <v>38</v>
      </c>
      <c r="E1468" t="s">
        <v>73</v>
      </c>
      <c r="F1468" t="s">
        <v>22</v>
      </c>
      <c r="G1468" t="s">
        <v>160</v>
      </c>
      <c r="H1468" t="s">
        <v>161</v>
      </c>
      <c r="I1468">
        <v>12</v>
      </c>
      <c r="J1468" s="3">
        <v>3367.68</v>
      </c>
      <c r="K1468" s="3">
        <v>40412.160000000003</v>
      </c>
      <c r="L1468" t="s">
        <v>25</v>
      </c>
      <c r="M1468" s="2">
        <v>45840</v>
      </c>
      <c r="N1468" s="2">
        <v>45838</v>
      </c>
      <c r="O1468" t="s">
        <v>60</v>
      </c>
      <c r="P1468" t="s">
        <v>77</v>
      </c>
      <c r="Q1468" t="s">
        <v>28</v>
      </c>
      <c r="R1468" t="s">
        <v>29</v>
      </c>
      <c r="S1468">
        <v>2025</v>
      </c>
      <c r="T1468" t="s">
        <v>2743</v>
      </c>
      <c r="U1468" t="s">
        <v>2756</v>
      </c>
      <c r="V1468" s="4">
        <v>0</v>
      </c>
      <c r="W1468" s="4">
        <v>1</v>
      </c>
    </row>
    <row r="1469" spans="1:23">
      <c r="A1469" t="s">
        <v>1601</v>
      </c>
      <c r="B1469" s="2">
        <v>45802</v>
      </c>
      <c r="C1469" t="s">
        <v>142</v>
      </c>
      <c r="D1469" t="s">
        <v>143</v>
      </c>
      <c r="E1469" t="s">
        <v>39</v>
      </c>
      <c r="F1469" t="s">
        <v>22</v>
      </c>
      <c r="G1469" t="s">
        <v>23</v>
      </c>
      <c r="H1469" t="s">
        <v>24</v>
      </c>
      <c r="I1469">
        <v>37</v>
      </c>
      <c r="J1469" s="3">
        <v>236.55</v>
      </c>
      <c r="K1469" s="3">
        <v>8752.35</v>
      </c>
      <c r="L1469" t="s">
        <v>34</v>
      </c>
      <c r="M1469" s="2">
        <v>45814</v>
      </c>
      <c r="N1469" s="2">
        <v>45811</v>
      </c>
      <c r="O1469" t="s">
        <v>60</v>
      </c>
      <c r="P1469" t="s">
        <v>64</v>
      </c>
      <c r="Q1469" t="s">
        <v>28</v>
      </c>
      <c r="R1469" t="s">
        <v>29</v>
      </c>
      <c r="S1469">
        <v>2025</v>
      </c>
      <c r="T1469" t="s">
        <v>2766</v>
      </c>
      <c r="U1469" t="s">
        <v>2767</v>
      </c>
      <c r="V1469" s="4">
        <v>0</v>
      </c>
      <c r="W1469" s="4">
        <v>1</v>
      </c>
    </row>
    <row r="1470" spans="1:23">
      <c r="A1470" t="s">
        <v>1602</v>
      </c>
      <c r="B1470" s="2">
        <v>45720</v>
      </c>
      <c r="C1470" t="s">
        <v>71</v>
      </c>
      <c r="D1470" t="s">
        <v>72</v>
      </c>
      <c r="E1470" t="s">
        <v>31</v>
      </c>
      <c r="F1470" t="s">
        <v>57</v>
      </c>
      <c r="G1470" t="s">
        <v>86</v>
      </c>
      <c r="H1470" t="s">
        <v>87</v>
      </c>
      <c r="I1470">
        <v>8</v>
      </c>
      <c r="J1470" s="3">
        <v>10496.42</v>
      </c>
      <c r="K1470" s="3">
        <v>83971.36</v>
      </c>
      <c r="L1470" t="s">
        <v>25</v>
      </c>
      <c r="M1470" s="2">
        <v>45729</v>
      </c>
      <c r="N1470" s="2">
        <v>45727</v>
      </c>
      <c r="O1470" t="s">
        <v>76</v>
      </c>
      <c r="P1470" t="s">
        <v>35</v>
      </c>
      <c r="Q1470" t="s">
        <v>28</v>
      </c>
      <c r="R1470" t="s">
        <v>29</v>
      </c>
      <c r="S1470">
        <v>2025</v>
      </c>
      <c r="T1470" t="s">
        <v>2747</v>
      </c>
      <c r="U1470" t="s">
        <v>2748</v>
      </c>
      <c r="V1470" s="4">
        <v>0</v>
      </c>
      <c r="W1470" s="4">
        <v>1</v>
      </c>
    </row>
    <row r="1471" spans="1:23">
      <c r="A1471" t="s">
        <v>1603</v>
      </c>
      <c r="B1471" s="2">
        <v>45843</v>
      </c>
      <c r="C1471" t="s">
        <v>142</v>
      </c>
      <c r="D1471" t="s">
        <v>143</v>
      </c>
      <c r="E1471" t="s">
        <v>39</v>
      </c>
      <c r="F1471" t="s">
        <v>22</v>
      </c>
      <c r="G1471" t="s">
        <v>160</v>
      </c>
      <c r="H1471" t="s">
        <v>161</v>
      </c>
      <c r="I1471">
        <v>11</v>
      </c>
      <c r="J1471" s="3">
        <v>3237.12</v>
      </c>
      <c r="K1471" s="3">
        <v>35608.32</v>
      </c>
      <c r="L1471" t="s">
        <v>52</v>
      </c>
      <c r="M1471" s="2">
        <v>45856</v>
      </c>
      <c r="N1471" s="2">
        <v>45855</v>
      </c>
      <c r="O1471" t="s">
        <v>26</v>
      </c>
      <c r="P1471" t="s">
        <v>44</v>
      </c>
      <c r="Q1471" t="s">
        <v>28</v>
      </c>
      <c r="R1471" t="s">
        <v>29</v>
      </c>
      <c r="S1471">
        <v>2025</v>
      </c>
      <c r="T1471" t="s">
        <v>2759</v>
      </c>
      <c r="U1471" t="s">
        <v>2760</v>
      </c>
      <c r="V1471" s="4">
        <v>0</v>
      </c>
      <c r="W1471" s="4">
        <v>1</v>
      </c>
    </row>
    <row r="1472" spans="1:23">
      <c r="A1472" t="s">
        <v>1604</v>
      </c>
      <c r="B1472" s="2">
        <v>45704</v>
      </c>
      <c r="C1472" t="s">
        <v>142</v>
      </c>
      <c r="D1472" t="s">
        <v>143</v>
      </c>
      <c r="E1472" t="s">
        <v>73</v>
      </c>
      <c r="F1472" t="s">
        <v>22</v>
      </c>
      <c r="G1472" t="s">
        <v>23</v>
      </c>
      <c r="H1472" t="s">
        <v>24</v>
      </c>
      <c r="I1472">
        <v>48</v>
      </c>
      <c r="J1472" s="3">
        <v>254.88</v>
      </c>
      <c r="K1472" s="3">
        <v>12234.24</v>
      </c>
      <c r="L1472" t="s">
        <v>52</v>
      </c>
      <c r="M1472" s="2">
        <v>45712</v>
      </c>
      <c r="N1472" s="2">
        <v>45712</v>
      </c>
      <c r="O1472" t="s">
        <v>26</v>
      </c>
      <c r="P1472" t="s">
        <v>77</v>
      </c>
      <c r="Q1472" t="s">
        <v>28</v>
      </c>
      <c r="R1472" t="s">
        <v>29</v>
      </c>
      <c r="S1472">
        <v>2025</v>
      </c>
      <c r="T1472" t="s">
        <v>2751</v>
      </c>
      <c r="U1472" t="s">
        <v>2752</v>
      </c>
      <c r="V1472" s="4">
        <v>0</v>
      </c>
      <c r="W1472" s="4">
        <v>1</v>
      </c>
    </row>
    <row r="1473" spans="1:23">
      <c r="A1473" t="s">
        <v>1605</v>
      </c>
      <c r="B1473" s="2">
        <v>46068</v>
      </c>
      <c r="C1473" t="s">
        <v>104</v>
      </c>
      <c r="D1473" t="s">
        <v>105</v>
      </c>
      <c r="E1473" t="s">
        <v>48</v>
      </c>
      <c r="F1473" t="s">
        <v>49</v>
      </c>
      <c r="G1473" t="s">
        <v>50</v>
      </c>
      <c r="H1473" t="s">
        <v>51</v>
      </c>
      <c r="I1473">
        <v>3</v>
      </c>
      <c r="J1473" s="3">
        <v>52395.78</v>
      </c>
      <c r="K1473" s="3">
        <v>157187.34</v>
      </c>
      <c r="L1473" t="s">
        <v>25</v>
      </c>
      <c r="M1473" s="2">
        <v>46086</v>
      </c>
      <c r="N1473" s="2">
        <v>46086</v>
      </c>
      <c r="O1473" t="s">
        <v>43</v>
      </c>
      <c r="P1473" t="s">
        <v>53</v>
      </c>
      <c r="Q1473" t="s">
        <v>28</v>
      </c>
      <c r="R1473" t="s">
        <v>29</v>
      </c>
      <c r="S1473">
        <v>2026</v>
      </c>
      <c r="T1473" t="s">
        <v>2751</v>
      </c>
      <c r="U1473" t="s">
        <v>2765</v>
      </c>
      <c r="V1473" s="4">
        <v>0</v>
      </c>
      <c r="W1473" s="4">
        <v>1</v>
      </c>
    </row>
    <row r="1474" spans="1:23">
      <c r="A1474" t="s">
        <v>1606</v>
      </c>
      <c r="B1474" s="2">
        <v>45897</v>
      </c>
      <c r="C1474" t="s">
        <v>104</v>
      </c>
      <c r="D1474" t="s">
        <v>105</v>
      </c>
      <c r="E1474" t="s">
        <v>48</v>
      </c>
      <c r="F1474" t="s">
        <v>49</v>
      </c>
      <c r="G1474" t="s">
        <v>50</v>
      </c>
      <c r="H1474" t="s">
        <v>51</v>
      </c>
      <c r="I1474">
        <v>1</v>
      </c>
      <c r="J1474" s="3">
        <v>51543.27</v>
      </c>
      <c r="K1474" s="3">
        <v>51543.27</v>
      </c>
      <c r="L1474" t="s">
        <v>25</v>
      </c>
      <c r="M1474" s="2">
        <v>45912</v>
      </c>
      <c r="N1474" s="2">
        <v>45911</v>
      </c>
      <c r="O1474" t="s">
        <v>60</v>
      </c>
      <c r="P1474" t="s">
        <v>53</v>
      </c>
      <c r="Q1474" t="s">
        <v>28</v>
      </c>
      <c r="R1474" t="s">
        <v>29</v>
      </c>
      <c r="S1474">
        <v>2025</v>
      </c>
      <c r="T1474" t="s">
        <v>2761</v>
      </c>
      <c r="U1474" t="s">
        <v>2762</v>
      </c>
      <c r="V1474" s="4">
        <v>0</v>
      </c>
      <c r="W1474" s="4">
        <v>1</v>
      </c>
    </row>
    <row r="1475" spans="1:23">
      <c r="A1475" t="s">
        <v>1607</v>
      </c>
      <c r="B1475" s="2">
        <v>45993</v>
      </c>
      <c r="C1475" t="s">
        <v>104</v>
      </c>
      <c r="D1475" t="s">
        <v>105</v>
      </c>
      <c r="E1475" t="s">
        <v>73</v>
      </c>
      <c r="F1475" t="s">
        <v>49</v>
      </c>
      <c r="G1475" t="s">
        <v>113</v>
      </c>
      <c r="H1475" t="s">
        <v>114</v>
      </c>
      <c r="I1475">
        <v>1</v>
      </c>
      <c r="J1475" s="3">
        <v>38811.800000000003</v>
      </c>
      <c r="K1475" s="3">
        <v>38811.800000000003</v>
      </c>
      <c r="L1475" t="s">
        <v>25</v>
      </c>
      <c r="M1475" s="2">
        <v>46004</v>
      </c>
      <c r="N1475" s="2">
        <v>46001</v>
      </c>
      <c r="O1475" t="s">
        <v>60</v>
      </c>
      <c r="P1475" t="s">
        <v>77</v>
      </c>
      <c r="Q1475" t="s">
        <v>28</v>
      </c>
      <c r="R1475" t="s">
        <v>29</v>
      </c>
      <c r="S1475">
        <v>2025</v>
      </c>
      <c r="T1475" t="s">
        <v>2745</v>
      </c>
      <c r="U1475" t="s">
        <v>2746</v>
      </c>
      <c r="V1475" s="4">
        <v>0</v>
      </c>
      <c r="W1475" s="4">
        <v>1</v>
      </c>
    </row>
    <row r="1476" spans="1:23">
      <c r="A1476" t="s">
        <v>1608</v>
      </c>
      <c r="B1476" s="2">
        <v>46005</v>
      </c>
      <c r="C1476" t="s">
        <v>19</v>
      </c>
      <c r="D1476" t="s">
        <v>20</v>
      </c>
      <c r="E1476" t="s">
        <v>39</v>
      </c>
      <c r="F1476" t="s">
        <v>22</v>
      </c>
      <c r="G1476" t="s">
        <v>32</v>
      </c>
      <c r="H1476" t="s">
        <v>33</v>
      </c>
      <c r="I1476">
        <v>14</v>
      </c>
      <c r="J1476" s="3">
        <v>6981.87</v>
      </c>
      <c r="K1476" s="3">
        <v>97746.18</v>
      </c>
      <c r="L1476" t="s">
        <v>34</v>
      </c>
      <c r="M1476" s="2">
        <v>46022</v>
      </c>
      <c r="N1476" s="2">
        <v>46021</v>
      </c>
      <c r="O1476" t="s">
        <v>60</v>
      </c>
      <c r="P1476" t="s">
        <v>64</v>
      </c>
      <c r="Q1476" t="s">
        <v>28</v>
      </c>
      <c r="R1476" t="s">
        <v>29</v>
      </c>
      <c r="S1476">
        <v>2025</v>
      </c>
      <c r="T1476" t="s">
        <v>2745</v>
      </c>
      <c r="U1476" t="s">
        <v>2746</v>
      </c>
      <c r="V1476" s="4">
        <v>0</v>
      </c>
      <c r="W1476" s="4">
        <v>1</v>
      </c>
    </row>
    <row r="1477" spans="1:23">
      <c r="A1477" t="s">
        <v>1609</v>
      </c>
      <c r="B1477" s="2">
        <v>45791</v>
      </c>
      <c r="C1477" t="s">
        <v>142</v>
      </c>
      <c r="D1477" t="s">
        <v>143</v>
      </c>
      <c r="E1477" t="s">
        <v>39</v>
      </c>
      <c r="F1477" t="s">
        <v>22</v>
      </c>
      <c r="G1477" t="s">
        <v>32</v>
      </c>
      <c r="H1477" t="s">
        <v>33</v>
      </c>
      <c r="I1477">
        <v>3</v>
      </c>
      <c r="J1477" s="3">
        <v>8150.47</v>
      </c>
      <c r="K1477" s="3">
        <v>24451.41</v>
      </c>
      <c r="L1477" t="s">
        <v>34</v>
      </c>
      <c r="M1477" s="2">
        <v>45803</v>
      </c>
      <c r="N1477" s="2">
        <v>45803</v>
      </c>
      <c r="O1477" t="s">
        <v>76</v>
      </c>
      <c r="P1477" t="s">
        <v>44</v>
      </c>
      <c r="Q1477" t="s">
        <v>28</v>
      </c>
      <c r="R1477" t="s">
        <v>29</v>
      </c>
      <c r="S1477">
        <v>2025</v>
      </c>
      <c r="T1477" t="s">
        <v>2766</v>
      </c>
      <c r="U1477" t="s">
        <v>2767</v>
      </c>
      <c r="V1477" s="4">
        <v>0</v>
      </c>
      <c r="W1477" s="4">
        <v>1</v>
      </c>
    </row>
    <row r="1478" spans="1:23">
      <c r="A1478" t="s">
        <v>1610</v>
      </c>
      <c r="B1478" s="2">
        <v>46094</v>
      </c>
      <c r="C1478" t="s">
        <v>142</v>
      </c>
      <c r="D1478" t="s">
        <v>143</v>
      </c>
      <c r="E1478" t="s">
        <v>112</v>
      </c>
      <c r="F1478" t="s">
        <v>22</v>
      </c>
      <c r="G1478" t="s">
        <v>160</v>
      </c>
      <c r="H1478" t="s">
        <v>161</v>
      </c>
      <c r="I1478">
        <v>3</v>
      </c>
      <c r="J1478" s="3">
        <v>3439.67</v>
      </c>
      <c r="K1478" s="3">
        <v>10319.01</v>
      </c>
      <c r="L1478" t="s">
        <v>25</v>
      </c>
      <c r="M1478" s="2">
        <v>46108</v>
      </c>
      <c r="N1478" s="2">
        <v>46106</v>
      </c>
      <c r="O1478" t="s">
        <v>76</v>
      </c>
      <c r="P1478" t="s">
        <v>115</v>
      </c>
      <c r="Q1478" t="s">
        <v>28</v>
      </c>
      <c r="R1478" t="s">
        <v>29</v>
      </c>
      <c r="S1478">
        <v>2026</v>
      </c>
      <c r="T1478" t="s">
        <v>2747</v>
      </c>
      <c r="U1478" t="s">
        <v>2755</v>
      </c>
      <c r="V1478" s="4">
        <v>0</v>
      </c>
      <c r="W1478" s="4">
        <v>1</v>
      </c>
    </row>
    <row r="1479" spans="1:23">
      <c r="A1479" t="s">
        <v>1611</v>
      </c>
      <c r="B1479" s="2">
        <v>45896</v>
      </c>
      <c r="C1479" t="s">
        <v>37</v>
      </c>
      <c r="D1479" t="s">
        <v>38</v>
      </c>
      <c r="E1479" t="s">
        <v>39</v>
      </c>
      <c r="F1479" t="s">
        <v>22</v>
      </c>
      <c r="G1479" t="s">
        <v>160</v>
      </c>
      <c r="H1479" t="s">
        <v>161</v>
      </c>
      <c r="I1479">
        <v>10</v>
      </c>
      <c r="J1479" s="3">
        <v>3238.07</v>
      </c>
      <c r="K1479" s="3">
        <v>32380.7</v>
      </c>
      <c r="L1479" t="s">
        <v>25</v>
      </c>
      <c r="M1479" s="2">
        <v>45914</v>
      </c>
      <c r="N1479" s="2">
        <v>45913</v>
      </c>
      <c r="O1479" t="s">
        <v>26</v>
      </c>
      <c r="P1479" t="s">
        <v>44</v>
      </c>
      <c r="Q1479" t="s">
        <v>28</v>
      </c>
      <c r="R1479" t="s">
        <v>29</v>
      </c>
      <c r="S1479">
        <v>2025</v>
      </c>
      <c r="T1479" t="s">
        <v>2761</v>
      </c>
      <c r="U1479" t="s">
        <v>2762</v>
      </c>
      <c r="V1479" s="4">
        <v>0</v>
      </c>
      <c r="W1479" s="4">
        <v>1</v>
      </c>
    </row>
    <row r="1480" spans="1:23">
      <c r="A1480" t="s">
        <v>1612</v>
      </c>
      <c r="B1480" s="2">
        <v>45672</v>
      </c>
      <c r="C1480" t="s">
        <v>147</v>
      </c>
      <c r="D1480" t="s">
        <v>148</v>
      </c>
      <c r="E1480" t="s">
        <v>112</v>
      </c>
      <c r="F1480" t="s">
        <v>40</v>
      </c>
      <c r="G1480" t="s">
        <v>149</v>
      </c>
      <c r="H1480" t="s">
        <v>150</v>
      </c>
      <c r="I1480">
        <v>58</v>
      </c>
      <c r="J1480" s="3">
        <v>1275.49</v>
      </c>
      <c r="K1480" s="3">
        <v>73978.42</v>
      </c>
      <c r="L1480" t="s">
        <v>25</v>
      </c>
      <c r="M1480" s="2">
        <v>45678</v>
      </c>
      <c r="N1480" s="2">
        <v>45688</v>
      </c>
      <c r="O1480" t="s">
        <v>43</v>
      </c>
      <c r="P1480" t="s">
        <v>115</v>
      </c>
      <c r="Q1480" t="s">
        <v>28</v>
      </c>
      <c r="R1480" t="s">
        <v>129</v>
      </c>
      <c r="S1480">
        <v>2025</v>
      </c>
      <c r="T1480" t="s">
        <v>2757</v>
      </c>
      <c r="U1480" t="s">
        <v>2768</v>
      </c>
      <c r="V1480" s="4">
        <v>10</v>
      </c>
      <c r="W1480" s="4">
        <v>0</v>
      </c>
    </row>
    <row r="1481" spans="1:23">
      <c r="A1481" t="s">
        <v>1613</v>
      </c>
      <c r="B1481" s="2">
        <v>45740</v>
      </c>
      <c r="C1481" t="s">
        <v>19</v>
      </c>
      <c r="D1481" t="s">
        <v>20</v>
      </c>
      <c r="E1481" t="s">
        <v>39</v>
      </c>
      <c r="F1481" t="s">
        <v>22</v>
      </c>
      <c r="G1481" t="s">
        <v>160</v>
      </c>
      <c r="H1481" t="s">
        <v>161</v>
      </c>
      <c r="I1481">
        <v>5</v>
      </c>
      <c r="J1481" s="3">
        <v>3060.51</v>
      </c>
      <c r="K1481" s="3">
        <v>15302.55</v>
      </c>
      <c r="L1481" t="s">
        <v>25</v>
      </c>
      <c r="M1481" s="2">
        <v>45754</v>
      </c>
      <c r="N1481" s="2">
        <v>45758</v>
      </c>
      <c r="O1481" t="s">
        <v>60</v>
      </c>
      <c r="P1481" t="s">
        <v>64</v>
      </c>
      <c r="Q1481" t="s">
        <v>28</v>
      </c>
      <c r="R1481" t="s">
        <v>129</v>
      </c>
      <c r="S1481">
        <v>2025</v>
      </c>
      <c r="T1481" t="s">
        <v>2747</v>
      </c>
      <c r="U1481" t="s">
        <v>2748</v>
      </c>
      <c r="V1481" s="4">
        <v>4</v>
      </c>
      <c r="W1481" s="4">
        <v>0</v>
      </c>
    </row>
    <row r="1482" spans="1:23">
      <c r="A1482" t="s">
        <v>1614</v>
      </c>
      <c r="B1482" s="2">
        <v>46043</v>
      </c>
      <c r="C1482" t="s">
        <v>134</v>
      </c>
      <c r="D1482" t="s">
        <v>135</v>
      </c>
      <c r="E1482" t="s">
        <v>112</v>
      </c>
      <c r="F1482" t="s">
        <v>40</v>
      </c>
      <c r="G1482" t="s">
        <v>149</v>
      </c>
      <c r="H1482" t="s">
        <v>150</v>
      </c>
      <c r="I1482">
        <v>32</v>
      </c>
      <c r="J1482" s="3">
        <v>1391.08</v>
      </c>
      <c r="K1482" s="3">
        <v>44514.559999999998</v>
      </c>
      <c r="L1482" t="s">
        <v>25</v>
      </c>
      <c r="M1482" s="2">
        <v>46051</v>
      </c>
      <c r="N1482" s="2">
        <v>46051</v>
      </c>
      <c r="O1482" t="s">
        <v>43</v>
      </c>
      <c r="P1482" t="s">
        <v>115</v>
      </c>
      <c r="Q1482" t="s">
        <v>28</v>
      </c>
      <c r="R1482" t="s">
        <v>29</v>
      </c>
      <c r="S1482">
        <v>2026</v>
      </c>
      <c r="T1482" t="s">
        <v>2757</v>
      </c>
      <c r="U1482" t="s">
        <v>2758</v>
      </c>
      <c r="V1482" s="4">
        <v>0</v>
      </c>
      <c r="W1482" s="4">
        <v>1</v>
      </c>
    </row>
    <row r="1483" spans="1:23">
      <c r="A1483" t="s">
        <v>1615</v>
      </c>
      <c r="B1483" s="2">
        <v>45990</v>
      </c>
      <c r="C1483" t="s">
        <v>37</v>
      </c>
      <c r="D1483" t="s">
        <v>38</v>
      </c>
      <c r="E1483" t="s">
        <v>39</v>
      </c>
      <c r="F1483" t="s">
        <v>40</v>
      </c>
      <c r="G1483" t="s">
        <v>136</v>
      </c>
      <c r="H1483" t="s">
        <v>137</v>
      </c>
      <c r="I1483">
        <v>52</v>
      </c>
      <c r="J1483" s="3">
        <v>1790.79</v>
      </c>
      <c r="K1483" s="3">
        <v>93121.08</v>
      </c>
      <c r="L1483" t="s">
        <v>34</v>
      </c>
      <c r="M1483" s="2">
        <v>46004</v>
      </c>
      <c r="N1483" s="2">
        <v>46001</v>
      </c>
      <c r="O1483" t="s">
        <v>60</v>
      </c>
      <c r="P1483" t="s">
        <v>64</v>
      </c>
      <c r="Q1483" t="s">
        <v>28</v>
      </c>
      <c r="R1483" t="s">
        <v>29</v>
      </c>
      <c r="S1483">
        <v>2025</v>
      </c>
      <c r="T1483" t="s">
        <v>2763</v>
      </c>
      <c r="U1483" t="s">
        <v>2764</v>
      </c>
      <c r="V1483" s="4">
        <v>0</v>
      </c>
      <c r="W1483" s="4">
        <v>1</v>
      </c>
    </row>
    <row r="1484" spans="1:23">
      <c r="A1484" t="s">
        <v>1616</v>
      </c>
      <c r="B1484" s="2">
        <v>45747</v>
      </c>
      <c r="C1484" t="s">
        <v>55</v>
      </c>
      <c r="D1484" t="s">
        <v>56</v>
      </c>
      <c r="E1484" t="s">
        <v>31</v>
      </c>
      <c r="F1484" t="s">
        <v>57</v>
      </c>
      <c r="G1484" t="s">
        <v>86</v>
      </c>
      <c r="H1484" t="s">
        <v>87</v>
      </c>
      <c r="I1484">
        <v>7</v>
      </c>
      <c r="J1484" s="3">
        <v>11664.15</v>
      </c>
      <c r="K1484" s="3">
        <v>81649.05</v>
      </c>
      <c r="L1484" t="s">
        <v>34</v>
      </c>
      <c r="M1484" s="2">
        <v>45752</v>
      </c>
      <c r="N1484" s="2">
        <v>45749</v>
      </c>
      <c r="O1484" t="s">
        <v>60</v>
      </c>
      <c r="P1484" t="s">
        <v>35</v>
      </c>
      <c r="Q1484" t="s">
        <v>28</v>
      </c>
      <c r="R1484" t="s">
        <v>29</v>
      </c>
      <c r="S1484">
        <v>2025</v>
      </c>
      <c r="T1484" t="s">
        <v>2747</v>
      </c>
      <c r="U1484" t="s">
        <v>2748</v>
      </c>
      <c r="V1484" s="4">
        <v>0</v>
      </c>
      <c r="W1484" s="4">
        <v>1</v>
      </c>
    </row>
    <row r="1485" spans="1:23">
      <c r="A1485" t="s">
        <v>1617</v>
      </c>
      <c r="B1485" s="2">
        <v>45969</v>
      </c>
      <c r="C1485" t="s">
        <v>134</v>
      </c>
      <c r="D1485" t="s">
        <v>135</v>
      </c>
      <c r="E1485" t="s">
        <v>39</v>
      </c>
      <c r="F1485" t="s">
        <v>40</v>
      </c>
      <c r="G1485" t="s">
        <v>136</v>
      </c>
      <c r="H1485" t="s">
        <v>137</v>
      </c>
      <c r="I1485">
        <v>28</v>
      </c>
      <c r="J1485" s="3">
        <v>1677.05</v>
      </c>
      <c r="K1485" s="3">
        <v>46957.4</v>
      </c>
      <c r="L1485" t="s">
        <v>25</v>
      </c>
      <c r="M1485" s="2">
        <v>45974</v>
      </c>
      <c r="N1485" s="2">
        <v>45974</v>
      </c>
      <c r="O1485" t="s">
        <v>60</v>
      </c>
      <c r="P1485" t="s">
        <v>44</v>
      </c>
      <c r="Q1485" t="s">
        <v>28</v>
      </c>
      <c r="R1485" t="s">
        <v>29</v>
      </c>
      <c r="S1485">
        <v>2025</v>
      </c>
      <c r="T1485" t="s">
        <v>2763</v>
      </c>
      <c r="U1485" t="s">
        <v>2764</v>
      </c>
      <c r="V1485" s="4">
        <v>0</v>
      </c>
      <c r="W1485" s="4">
        <v>1</v>
      </c>
    </row>
    <row r="1486" spans="1:23">
      <c r="A1486" t="s">
        <v>1618</v>
      </c>
      <c r="B1486" s="2">
        <v>45660</v>
      </c>
      <c r="C1486" t="s">
        <v>71</v>
      </c>
      <c r="D1486" t="s">
        <v>72</v>
      </c>
      <c r="E1486" t="s">
        <v>31</v>
      </c>
      <c r="F1486" t="s">
        <v>57</v>
      </c>
      <c r="G1486" t="s">
        <v>74</v>
      </c>
      <c r="H1486" t="s">
        <v>75</v>
      </c>
      <c r="I1486">
        <v>1</v>
      </c>
      <c r="J1486" s="3">
        <v>7790.86</v>
      </c>
      <c r="K1486" s="3">
        <v>7790.86</v>
      </c>
      <c r="L1486" t="s">
        <v>52</v>
      </c>
      <c r="M1486" s="2">
        <v>45673</v>
      </c>
      <c r="N1486" s="2">
        <v>45686</v>
      </c>
      <c r="O1486" t="s">
        <v>26</v>
      </c>
      <c r="P1486" t="s">
        <v>94</v>
      </c>
      <c r="Q1486" t="s">
        <v>28</v>
      </c>
      <c r="R1486" t="s">
        <v>129</v>
      </c>
      <c r="S1486">
        <v>2025</v>
      </c>
      <c r="T1486" t="s">
        <v>2757</v>
      </c>
      <c r="U1486" t="s">
        <v>2768</v>
      </c>
      <c r="V1486" s="4">
        <v>13</v>
      </c>
      <c r="W1486" s="4">
        <v>0</v>
      </c>
    </row>
    <row r="1487" spans="1:23">
      <c r="A1487" t="s">
        <v>1619</v>
      </c>
      <c r="B1487" s="2">
        <v>45827</v>
      </c>
      <c r="C1487" t="s">
        <v>147</v>
      </c>
      <c r="D1487" t="s">
        <v>148</v>
      </c>
      <c r="E1487" t="s">
        <v>39</v>
      </c>
      <c r="F1487" t="s">
        <v>40</v>
      </c>
      <c r="G1487" t="s">
        <v>136</v>
      </c>
      <c r="H1487" t="s">
        <v>137</v>
      </c>
      <c r="I1487">
        <v>7</v>
      </c>
      <c r="J1487" s="3">
        <v>1554.6</v>
      </c>
      <c r="K1487" s="3">
        <v>10882.2</v>
      </c>
      <c r="L1487" t="s">
        <v>34</v>
      </c>
      <c r="M1487" s="2">
        <v>45836</v>
      </c>
      <c r="N1487" s="2">
        <v>45836</v>
      </c>
      <c r="O1487" t="s">
        <v>26</v>
      </c>
      <c r="P1487" t="s">
        <v>64</v>
      </c>
      <c r="Q1487" t="s">
        <v>28</v>
      </c>
      <c r="R1487" t="s">
        <v>29</v>
      </c>
      <c r="S1487">
        <v>2025</v>
      </c>
      <c r="T1487" t="s">
        <v>2743</v>
      </c>
      <c r="U1487" t="s">
        <v>2756</v>
      </c>
      <c r="V1487" s="4">
        <v>0</v>
      </c>
      <c r="W1487" s="4">
        <v>1</v>
      </c>
    </row>
    <row r="1488" spans="1:23">
      <c r="A1488" t="s">
        <v>1620</v>
      </c>
      <c r="B1488" s="2">
        <v>45911</v>
      </c>
      <c r="C1488" t="s">
        <v>142</v>
      </c>
      <c r="D1488" t="s">
        <v>143</v>
      </c>
      <c r="E1488" t="s">
        <v>39</v>
      </c>
      <c r="F1488" t="s">
        <v>22</v>
      </c>
      <c r="G1488" t="s">
        <v>23</v>
      </c>
      <c r="H1488" t="s">
        <v>24</v>
      </c>
      <c r="I1488">
        <v>56</v>
      </c>
      <c r="J1488" s="3">
        <v>236.1</v>
      </c>
      <c r="K1488" s="3">
        <v>13221.6</v>
      </c>
      <c r="L1488" t="s">
        <v>25</v>
      </c>
      <c r="M1488" s="2">
        <v>45921</v>
      </c>
      <c r="N1488" s="2">
        <v>45919</v>
      </c>
      <c r="O1488" t="s">
        <v>43</v>
      </c>
      <c r="P1488" t="s">
        <v>64</v>
      </c>
      <c r="Q1488" t="s">
        <v>28</v>
      </c>
      <c r="R1488" t="s">
        <v>29</v>
      </c>
      <c r="S1488">
        <v>2025</v>
      </c>
      <c r="T1488" t="s">
        <v>2753</v>
      </c>
      <c r="U1488" t="s">
        <v>2754</v>
      </c>
      <c r="V1488" s="4">
        <v>0</v>
      </c>
      <c r="W1488" s="4">
        <v>1</v>
      </c>
    </row>
    <row r="1489" spans="1:23">
      <c r="A1489" t="s">
        <v>1621</v>
      </c>
      <c r="B1489" s="2">
        <v>45948</v>
      </c>
      <c r="C1489" t="s">
        <v>131</v>
      </c>
      <c r="D1489" t="s">
        <v>132</v>
      </c>
      <c r="E1489" t="s">
        <v>48</v>
      </c>
      <c r="F1489" t="s">
        <v>57</v>
      </c>
      <c r="G1489" t="s">
        <v>86</v>
      </c>
      <c r="H1489" t="s">
        <v>87</v>
      </c>
      <c r="I1489">
        <v>5</v>
      </c>
      <c r="J1489" s="3">
        <v>11564.29</v>
      </c>
      <c r="K1489" s="3">
        <v>57821.45</v>
      </c>
      <c r="L1489" t="s">
        <v>34</v>
      </c>
      <c r="M1489" s="2">
        <v>45964</v>
      </c>
      <c r="N1489" s="2">
        <v>45963</v>
      </c>
      <c r="O1489" t="s">
        <v>26</v>
      </c>
      <c r="P1489" t="s">
        <v>53</v>
      </c>
      <c r="Q1489" t="s">
        <v>28</v>
      </c>
      <c r="R1489" t="s">
        <v>29</v>
      </c>
      <c r="S1489">
        <v>2025</v>
      </c>
      <c r="T1489" t="s">
        <v>2749</v>
      </c>
      <c r="U1489" t="s">
        <v>2750</v>
      </c>
      <c r="V1489" s="4">
        <v>0</v>
      </c>
      <c r="W1489" s="4">
        <v>1</v>
      </c>
    </row>
    <row r="1490" spans="1:23">
      <c r="A1490" t="s">
        <v>1622</v>
      </c>
      <c r="B1490" s="2">
        <v>45824</v>
      </c>
      <c r="C1490" t="s">
        <v>142</v>
      </c>
      <c r="D1490" t="s">
        <v>143</v>
      </c>
      <c r="E1490" t="s">
        <v>21</v>
      </c>
      <c r="F1490" t="s">
        <v>22</v>
      </c>
      <c r="G1490" t="s">
        <v>32</v>
      </c>
      <c r="H1490" t="s">
        <v>33</v>
      </c>
      <c r="I1490">
        <v>9</v>
      </c>
      <c r="J1490" s="3">
        <v>7493.08</v>
      </c>
      <c r="K1490" s="3">
        <v>67437.72</v>
      </c>
      <c r="L1490" t="s">
        <v>25</v>
      </c>
      <c r="M1490" s="2">
        <v>45829</v>
      </c>
      <c r="N1490" s="2">
        <v>45828</v>
      </c>
      <c r="O1490" t="s">
        <v>76</v>
      </c>
      <c r="P1490" t="s">
        <v>27</v>
      </c>
      <c r="Q1490" t="s">
        <v>28</v>
      </c>
      <c r="R1490" t="s">
        <v>29</v>
      </c>
      <c r="S1490">
        <v>2025</v>
      </c>
      <c r="T1490" t="s">
        <v>2743</v>
      </c>
      <c r="U1490" t="s">
        <v>2756</v>
      </c>
      <c r="V1490" s="4">
        <v>0</v>
      </c>
      <c r="W1490" s="4">
        <v>1</v>
      </c>
    </row>
    <row r="1491" spans="1:23">
      <c r="A1491" t="s">
        <v>1623</v>
      </c>
      <c r="B1491" s="2">
        <v>45750</v>
      </c>
      <c r="C1491" t="s">
        <v>71</v>
      </c>
      <c r="D1491" t="s">
        <v>72</v>
      </c>
      <c r="E1491" t="s">
        <v>31</v>
      </c>
      <c r="F1491" t="s">
        <v>57</v>
      </c>
      <c r="G1491" t="s">
        <v>58</v>
      </c>
      <c r="H1491" t="s">
        <v>59</v>
      </c>
      <c r="I1491">
        <v>3</v>
      </c>
      <c r="J1491" s="3">
        <v>52987.67</v>
      </c>
      <c r="K1491" s="3">
        <v>158963.01</v>
      </c>
      <c r="L1491" t="s">
        <v>52</v>
      </c>
      <c r="M1491" s="2">
        <v>45755</v>
      </c>
      <c r="N1491" s="2">
        <v>45760</v>
      </c>
      <c r="O1491" t="s">
        <v>60</v>
      </c>
      <c r="P1491" t="s">
        <v>94</v>
      </c>
      <c r="Q1491" t="s">
        <v>28</v>
      </c>
      <c r="R1491" t="s">
        <v>129</v>
      </c>
      <c r="S1491">
        <v>2025</v>
      </c>
      <c r="T1491" t="s">
        <v>2741</v>
      </c>
      <c r="U1491" t="s">
        <v>2742</v>
      </c>
      <c r="V1491" s="4">
        <v>5</v>
      </c>
      <c r="W1491" s="4">
        <v>0</v>
      </c>
    </row>
    <row r="1492" spans="1:23">
      <c r="A1492" t="s">
        <v>1624</v>
      </c>
      <c r="B1492" s="2">
        <v>45735</v>
      </c>
      <c r="C1492" t="s">
        <v>104</v>
      </c>
      <c r="D1492" t="s">
        <v>105</v>
      </c>
      <c r="E1492" t="s">
        <v>21</v>
      </c>
      <c r="F1492" t="s">
        <v>49</v>
      </c>
      <c r="G1492" t="s">
        <v>165</v>
      </c>
      <c r="H1492" t="s">
        <v>166</v>
      </c>
      <c r="I1492">
        <v>2</v>
      </c>
      <c r="J1492" s="3">
        <v>46870.98</v>
      </c>
      <c r="K1492" s="3">
        <v>93741.96</v>
      </c>
      <c r="L1492" t="s">
        <v>34</v>
      </c>
      <c r="M1492" s="2">
        <v>45742</v>
      </c>
      <c r="N1492" s="2">
        <v>45740</v>
      </c>
      <c r="O1492" t="s">
        <v>26</v>
      </c>
      <c r="P1492" t="s">
        <v>27</v>
      </c>
      <c r="Q1492" t="s">
        <v>28</v>
      </c>
      <c r="R1492" t="s">
        <v>29</v>
      </c>
      <c r="S1492">
        <v>2025</v>
      </c>
      <c r="T1492" t="s">
        <v>2747</v>
      </c>
      <c r="U1492" t="s">
        <v>2748</v>
      </c>
      <c r="V1492" s="4">
        <v>0</v>
      </c>
      <c r="W1492" s="4">
        <v>1</v>
      </c>
    </row>
    <row r="1493" spans="1:23">
      <c r="A1493" t="s">
        <v>1625</v>
      </c>
      <c r="B1493" s="2">
        <v>46008</v>
      </c>
      <c r="C1493" t="s">
        <v>71</v>
      </c>
      <c r="D1493" t="s">
        <v>72</v>
      </c>
      <c r="E1493" t="s">
        <v>48</v>
      </c>
      <c r="F1493" t="s">
        <v>57</v>
      </c>
      <c r="G1493" t="s">
        <v>86</v>
      </c>
      <c r="H1493" t="s">
        <v>87</v>
      </c>
      <c r="I1493">
        <v>4</v>
      </c>
      <c r="J1493" s="3">
        <v>9854.0499999999993</v>
      </c>
      <c r="K1493" s="3">
        <v>39416.199999999997</v>
      </c>
      <c r="L1493" t="s">
        <v>34</v>
      </c>
      <c r="M1493" s="2">
        <v>46014</v>
      </c>
      <c r="N1493" s="2">
        <v>46013</v>
      </c>
      <c r="O1493" t="s">
        <v>26</v>
      </c>
      <c r="P1493" t="s">
        <v>53</v>
      </c>
      <c r="Q1493" t="s">
        <v>28</v>
      </c>
      <c r="R1493" t="s">
        <v>29</v>
      </c>
      <c r="S1493">
        <v>2025</v>
      </c>
      <c r="T1493" t="s">
        <v>2745</v>
      </c>
      <c r="U1493" t="s">
        <v>2746</v>
      </c>
      <c r="V1493" s="4">
        <v>0</v>
      </c>
      <c r="W1493" s="4">
        <v>1</v>
      </c>
    </row>
    <row r="1494" spans="1:23">
      <c r="A1494" t="s">
        <v>1626</v>
      </c>
      <c r="B1494" s="2">
        <v>45938</v>
      </c>
      <c r="C1494" t="s">
        <v>80</v>
      </c>
      <c r="D1494" t="s">
        <v>81</v>
      </c>
      <c r="E1494" t="s">
        <v>39</v>
      </c>
      <c r="F1494" t="s">
        <v>82</v>
      </c>
      <c r="G1494" t="s">
        <v>197</v>
      </c>
      <c r="H1494" t="s">
        <v>198</v>
      </c>
      <c r="I1494">
        <v>11</v>
      </c>
      <c r="J1494" s="3">
        <v>1960.42</v>
      </c>
      <c r="K1494" s="3">
        <v>21564.62</v>
      </c>
      <c r="L1494" t="s">
        <v>25</v>
      </c>
      <c r="M1494" s="2">
        <v>45945</v>
      </c>
      <c r="N1494" s="2">
        <v>45942</v>
      </c>
      <c r="O1494" t="s">
        <v>26</v>
      </c>
      <c r="P1494" t="s">
        <v>64</v>
      </c>
      <c r="Q1494" t="s">
        <v>28</v>
      </c>
      <c r="R1494" t="s">
        <v>29</v>
      </c>
      <c r="S1494">
        <v>2025</v>
      </c>
      <c r="T1494" t="s">
        <v>2749</v>
      </c>
      <c r="U1494" t="s">
        <v>2750</v>
      </c>
      <c r="V1494" s="4">
        <v>0</v>
      </c>
      <c r="W1494" s="4">
        <v>1</v>
      </c>
    </row>
    <row r="1495" spans="1:23">
      <c r="A1495" t="s">
        <v>1627</v>
      </c>
      <c r="B1495" s="2">
        <v>45662</v>
      </c>
      <c r="C1495" t="s">
        <v>80</v>
      </c>
      <c r="D1495" t="s">
        <v>81</v>
      </c>
      <c r="E1495" t="s">
        <v>39</v>
      </c>
      <c r="F1495" t="s">
        <v>82</v>
      </c>
      <c r="G1495" t="s">
        <v>197</v>
      </c>
      <c r="H1495" t="s">
        <v>198</v>
      </c>
      <c r="I1495">
        <v>13</v>
      </c>
      <c r="J1495" s="3">
        <v>1971.83</v>
      </c>
      <c r="K1495" s="3">
        <v>25633.79</v>
      </c>
      <c r="L1495" t="s">
        <v>34</v>
      </c>
      <c r="M1495" s="2">
        <v>45671</v>
      </c>
      <c r="N1495" s="2">
        <v>45675</v>
      </c>
      <c r="O1495" t="s">
        <v>43</v>
      </c>
      <c r="P1495" t="s">
        <v>44</v>
      </c>
      <c r="Q1495" t="s">
        <v>28</v>
      </c>
      <c r="R1495" t="s">
        <v>129</v>
      </c>
      <c r="S1495">
        <v>2025</v>
      </c>
      <c r="T1495" t="s">
        <v>2757</v>
      </c>
      <c r="U1495" t="s">
        <v>2768</v>
      </c>
      <c r="V1495" s="4">
        <v>4</v>
      </c>
      <c r="W1495" s="4">
        <v>0</v>
      </c>
    </row>
    <row r="1496" spans="1:23">
      <c r="A1496" t="s">
        <v>1628</v>
      </c>
      <c r="B1496" s="2">
        <v>46021</v>
      </c>
      <c r="C1496" t="s">
        <v>19</v>
      </c>
      <c r="D1496" t="s">
        <v>20</v>
      </c>
      <c r="E1496" t="s">
        <v>39</v>
      </c>
      <c r="F1496" t="s">
        <v>22</v>
      </c>
      <c r="G1496" t="s">
        <v>32</v>
      </c>
      <c r="H1496" t="s">
        <v>33</v>
      </c>
      <c r="I1496">
        <v>11</v>
      </c>
      <c r="J1496" s="3">
        <v>7029.37</v>
      </c>
      <c r="K1496" s="3">
        <v>77323.070000000007</v>
      </c>
      <c r="L1496" t="s">
        <v>25</v>
      </c>
      <c r="M1496" s="2">
        <v>46027</v>
      </c>
      <c r="N1496" s="2">
        <v>46027</v>
      </c>
      <c r="O1496" t="s">
        <v>60</v>
      </c>
      <c r="P1496" t="s">
        <v>44</v>
      </c>
      <c r="Q1496" t="s">
        <v>28</v>
      </c>
      <c r="R1496" t="s">
        <v>29</v>
      </c>
      <c r="S1496">
        <v>2025</v>
      </c>
      <c r="T1496" t="s">
        <v>2745</v>
      </c>
      <c r="U1496" t="s">
        <v>2746</v>
      </c>
      <c r="V1496" s="4">
        <v>0</v>
      </c>
      <c r="W1496" s="4">
        <v>1</v>
      </c>
    </row>
    <row r="1497" spans="1:23">
      <c r="A1497" t="s">
        <v>1629</v>
      </c>
      <c r="B1497" s="2">
        <v>46130</v>
      </c>
      <c r="C1497" t="s">
        <v>71</v>
      </c>
      <c r="D1497" t="s">
        <v>72</v>
      </c>
      <c r="E1497" t="s">
        <v>21</v>
      </c>
      <c r="F1497" t="s">
        <v>57</v>
      </c>
      <c r="G1497" t="s">
        <v>86</v>
      </c>
      <c r="H1497" t="s">
        <v>87</v>
      </c>
      <c r="I1497">
        <v>3</v>
      </c>
      <c r="J1497" s="3">
        <v>10464.25</v>
      </c>
      <c r="K1497" s="3">
        <v>31392.75</v>
      </c>
      <c r="L1497" t="s">
        <v>34</v>
      </c>
      <c r="M1497" s="2">
        <v>46137</v>
      </c>
      <c r="N1497" s="2">
        <v>46136</v>
      </c>
      <c r="O1497" t="s">
        <v>76</v>
      </c>
      <c r="P1497" t="s">
        <v>27</v>
      </c>
      <c r="Q1497" t="s">
        <v>28</v>
      </c>
      <c r="R1497" t="s">
        <v>29</v>
      </c>
      <c r="S1497">
        <v>2026</v>
      </c>
      <c r="T1497" t="s">
        <v>2741</v>
      </c>
      <c r="U1497" t="s">
        <v>2770</v>
      </c>
      <c r="V1497" s="4">
        <v>0</v>
      </c>
      <c r="W1497" s="4">
        <v>1</v>
      </c>
    </row>
    <row r="1498" spans="1:23">
      <c r="A1498" t="s">
        <v>1630</v>
      </c>
      <c r="B1498" s="2">
        <v>45770</v>
      </c>
      <c r="C1498" t="s">
        <v>71</v>
      </c>
      <c r="D1498" t="s">
        <v>72</v>
      </c>
      <c r="E1498" t="s">
        <v>48</v>
      </c>
      <c r="F1498" t="s">
        <v>57</v>
      </c>
      <c r="G1498" t="s">
        <v>58</v>
      </c>
      <c r="H1498" t="s">
        <v>59</v>
      </c>
      <c r="I1498">
        <v>1</v>
      </c>
      <c r="J1498" s="3">
        <v>53420.22</v>
      </c>
      <c r="K1498" s="3">
        <v>53420.22</v>
      </c>
      <c r="L1498" t="s">
        <v>34</v>
      </c>
      <c r="M1498" s="2">
        <v>45781</v>
      </c>
      <c r="N1498" s="2">
        <v>45778</v>
      </c>
      <c r="O1498" t="s">
        <v>26</v>
      </c>
      <c r="P1498" t="s">
        <v>53</v>
      </c>
      <c r="Q1498" t="s">
        <v>28</v>
      </c>
      <c r="R1498" t="s">
        <v>29</v>
      </c>
      <c r="S1498">
        <v>2025</v>
      </c>
      <c r="T1498" t="s">
        <v>2741</v>
      </c>
      <c r="U1498" t="s">
        <v>2742</v>
      </c>
      <c r="V1498" s="4">
        <v>0</v>
      </c>
      <c r="W1498" s="4">
        <v>1</v>
      </c>
    </row>
    <row r="1499" spans="1:23">
      <c r="A1499" t="s">
        <v>1631</v>
      </c>
      <c r="B1499" s="2">
        <v>46098</v>
      </c>
      <c r="C1499" t="s">
        <v>117</v>
      </c>
      <c r="D1499" t="s">
        <v>118</v>
      </c>
      <c r="E1499" t="s">
        <v>21</v>
      </c>
      <c r="F1499" t="s">
        <v>57</v>
      </c>
      <c r="G1499" t="s">
        <v>101</v>
      </c>
      <c r="H1499" t="s">
        <v>102</v>
      </c>
      <c r="I1499">
        <v>39</v>
      </c>
      <c r="J1499" s="3">
        <v>1816.72</v>
      </c>
      <c r="K1499" s="3">
        <v>70852.08</v>
      </c>
      <c r="L1499" t="s">
        <v>25</v>
      </c>
      <c r="M1499" s="2">
        <v>46113</v>
      </c>
      <c r="N1499" s="2">
        <v>46110</v>
      </c>
      <c r="O1499" t="s">
        <v>76</v>
      </c>
      <c r="P1499" t="s">
        <v>27</v>
      </c>
      <c r="Q1499" t="s">
        <v>28</v>
      </c>
      <c r="R1499" t="s">
        <v>29</v>
      </c>
      <c r="S1499">
        <v>2026</v>
      </c>
      <c r="T1499" t="s">
        <v>2747</v>
      </c>
      <c r="U1499" t="s">
        <v>2755</v>
      </c>
      <c r="V1499" s="4">
        <v>0</v>
      </c>
      <c r="W1499" s="4">
        <v>1</v>
      </c>
    </row>
    <row r="1500" spans="1:23">
      <c r="A1500" t="s">
        <v>1632</v>
      </c>
      <c r="B1500" s="2">
        <v>46197</v>
      </c>
      <c r="C1500" t="s">
        <v>71</v>
      </c>
      <c r="D1500" t="s">
        <v>72</v>
      </c>
      <c r="E1500" t="s">
        <v>48</v>
      </c>
      <c r="F1500" t="s">
        <v>57</v>
      </c>
      <c r="G1500" t="s">
        <v>58</v>
      </c>
      <c r="H1500" t="s">
        <v>59</v>
      </c>
      <c r="I1500">
        <v>8</v>
      </c>
      <c r="J1500" s="3">
        <v>54510.2</v>
      </c>
      <c r="K1500" s="3">
        <v>436081.6</v>
      </c>
      <c r="L1500" t="s">
        <v>25</v>
      </c>
      <c r="M1500" s="2">
        <v>46204</v>
      </c>
      <c r="N1500" s="2"/>
      <c r="O1500" t="s">
        <v>60</v>
      </c>
      <c r="P1500" t="s">
        <v>53</v>
      </c>
      <c r="Q1500" t="s">
        <v>167</v>
      </c>
      <c r="R1500" t="s">
        <v>167</v>
      </c>
      <c r="S1500">
        <v>2026</v>
      </c>
      <c r="T1500" t="s">
        <v>2743</v>
      </c>
      <c r="U1500" t="s">
        <v>2744</v>
      </c>
      <c r="V1500" s="4"/>
      <c r="W1500" s="4"/>
    </row>
    <row r="1501" spans="1:23">
      <c r="A1501" t="s">
        <v>1633</v>
      </c>
      <c r="B1501" s="2">
        <v>45830</v>
      </c>
      <c r="C1501" t="s">
        <v>46</v>
      </c>
      <c r="D1501" t="s">
        <v>47</v>
      </c>
      <c r="E1501" t="s">
        <v>112</v>
      </c>
      <c r="F1501" t="s">
        <v>49</v>
      </c>
      <c r="G1501" t="s">
        <v>165</v>
      </c>
      <c r="H1501" t="s">
        <v>166</v>
      </c>
      <c r="I1501">
        <v>3</v>
      </c>
      <c r="J1501" s="3">
        <v>46136.1</v>
      </c>
      <c r="K1501" s="3">
        <v>138408.29999999999</v>
      </c>
      <c r="L1501" t="s">
        <v>25</v>
      </c>
      <c r="M1501" s="2">
        <v>45841</v>
      </c>
      <c r="N1501" s="2">
        <v>45840</v>
      </c>
      <c r="O1501" t="s">
        <v>76</v>
      </c>
      <c r="P1501" t="s">
        <v>115</v>
      </c>
      <c r="Q1501" t="s">
        <v>28</v>
      </c>
      <c r="R1501" t="s">
        <v>29</v>
      </c>
      <c r="S1501">
        <v>2025</v>
      </c>
      <c r="T1501" t="s">
        <v>2743</v>
      </c>
      <c r="U1501" t="s">
        <v>2756</v>
      </c>
      <c r="V1501" s="4">
        <v>0</v>
      </c>
      <c r="W1501" s="4">
        <v>1</v>
      </c>
    </row>
    <row r="1502" spans="1:23">
      <c r="A1502" t="s">
        <v>1634</v>
      </c>
      <c r="B1502" s="2">
        <v>45766</v>
      </c>
      <c r="C1502" t="s">
        <v>71</v>
      </c>
      <c r="D1502" t="s">
        <v>72</v>
      </c>
      <c r="E1502" t="s">
        <v>21</v>
      </c>
      <c r="F1502" t="s">
        <v>57</v>
      </c>
      <c r="G1502" t="s">
        <v>120</v>
      </c>
      <c r="H1502" t="s">
        <v>121</v>
      </c>
      <c r="I1502">
        <v>5</v>
      </c>
      <c r="J1502" s="3">
        <v>21050.84</v>
      </c>
      <c r="K1502" s="3">
        <v>105254.2</v>
      </c>
      <c r="L1502" t="s">
        <v>25</v>
      </c>
      <c r="M1502" s="2">
        <v>45778</v>
      </c>
      <c r="N1502" s="2">
        <v>45786</v>
      </c>
      <c r="O1502" t="s">
        <v>76</v>
      </c>
      <c r="P1502" t="s">
        <v>27</v>
      </c>
      <c r="Q1502" t="s">
        <v>28</v>
      </c>
      <c r="R1502" t="s">
        <v>129</v>
      </c>
      <c r="S1502">
        <v>2025</v>
      </c>
      <c r="T1502" t="s">
        <v>2741</v>
      </c>
      <c r="U1502" t="s">
        <v>2742</v>
      </c>
      <c r="V1502" s="4">
        <v>8</v>
      </c>
      <c r="W1502" s="4">
        <v>0</v>
      </c>
    </row>
    <row r="1503" spans="1:23">
      <c r="A1503" t="s">
        <v>1635</v>
      </c>
      <c r="B1503" s="2">
        <v>45671</v>
      </c>
      <c r="C1503" t="s">
        <v>37</v>
      </c>
      <c r="D1503" t="s">
        <v>38</v>
      </c>
      <c r="E1503" t="s">
        <v>112</v>
      </c>
      <c r="F1503" t="s">
        <v>22</v>
      </c>
      <c r="G1503" t="s">
        <v>23</v>
      </c>
      <c r="H1503" t="s">
        <v>24</v>
      </c>
      <c r="I1503">
        <v>41</v>
      </c>
      <c r="J1503" s="3">
        <v>268.94</v>
      </c>
      <c r="K1503" s="3">
        <v>11026.54</v>
      </c>
      <c r="L1503" t="s">
        <v>34</v>
      </c>
      <c r="M1503" s="2">
        <v>45685</v>
      </c>
      <c r="N1503" s="2">
        <v>45685</v>
      </c>
      <c r="O1503" t="s">
        <v>60</v>
      </c>
      <c r="P1503" t="s">
        <v>115</v>
      </c>
      <c r="Q1503" t="s">
        <v>28</v>
      </c>
      <c r="R1503" t="s">
        <v>29</v>
      </c>
      <c r="S1503">
        <v>2025</v>
      </c>
      <c r="T1503" t="s">
        <v>2757</v>
      </c>
      <c r="U1503" t="s">
        <v>2768</v>
      </c>
      <c r="V1503" s="4">
        <v>0</v>
      </c>
      <c r="W1503" s="4">
        <v>1</v>
      </c>
    </row>
    <row r="1504" spans="1:23">
      <c r="A1504" t="s">
        <v>1636</v>
      </c>
      <c r="B1504" s="2">
        <v>46112</v>
      </c>
      <c r="C1504" t="s">
        <v>37</v>
      </c>
      <c r="D1504" t="s">
        <v>38</v>
      </c>
      <c r="E1504" t="s">
        <v>73</v>
      </c>
      <c r="F1504" t="s">
        <v>22</v>
      </c>
      <c r="G1504" t="s">
        <v>160</v>
      </c>
      <c r="H1504" t="s">
        <v>161</v>
      </c>
      <c r="I1504">
        <v>14</v>
      </c>
      <c r="J1504" s="3">
        <v>3506.22</v>
      </c>
      <c r="K1504" s="3">
        <v>49087.08</v>
      </c>
      <c r="L1504" t="s">
        <v>25</v>
      </c>
      <c r="M1504" s="2">
        <v>46130</v>
      </c>
      <c r="N1504" s="2">
        <v>46141</v>
      </c>
      <c r="O1504" t="s">
        <v>26</v>
      </c>
      <c r="P1504" t="s">
        <v>77</v>
      </c>
      <c r="Q1504" t="s">
        <v>28</v>
      </c>
      <c r="R1504" t="s">
        <v>129</v>
      </c>
      <c r="S1504">
        <v>2026</v>
      </c>
      <c r="T1504" t="s">
        <v>2747</v>
      </c>
      <c r="U1504" t="s">
        <v>2755</v>
      </c>
      <c r="V1504" s="4">
        <v>11</v>
      </c>
      <c r="W1504" s="4">
        <v>0</v>
      </c>
    </row>
    <row r="1505" spans="1:23">
      <c r="A1505" t="s">
        <v>1637</v>
      </c>
      <c r="B1505" s="2">
        <v>45726</v>
      </c>
      <c r="C1505" t="s">
        <v>19</v>
      </c>
      <c r="D1505" t="s">
        <v>20</v>
      </c>
      <c r="E1505" t="s">
        <v>21</v>
      </c>
      <c r="F1505" t="s">
        <v>22</v>
      </c>
      <c r="G1505" t="s">
        <v>23</v>
      </c>
      <c r="H1505" t="s">
        <v>24</v>
      </c>
      <c r="I1505">
        <v>8</v>
      </c>
      <c r="J1505" s="3">
        <v>231.34</v>
      </c>
      <c r="K1505" s="3">
        <v>1850.72</v>
      </c>
      <c r="L1505" t="s">
        <v>25</v>
      </c>
      <c r="M1505" s="2">
        <v>45742</v>
      </c>
      <c r="N1505" s="2">
        <v>45741</v>
      </c>
      <c r="O1505" t="s">
        <v>26</v>
      </c>
      <c r="P1505" t="s">
        <v>27</v>
      </c>
      <c r="Q1505" t="s">
        <v>28</v>
      </c>
      <c r="R1505" t="s">
        <v>29</v>
      </c>
      <c r="S1505">
        <v>2025</v>
      </c>
      <c r="T1505" t="s">
        <v>2747</v>
      </c>
      <c r="U1505" t="s">
        <v>2748</v>
      </c>
      <c r="V1505" s="4">
        <v>0</v>
      </c>
      <c r="W1505" s="4">
        <v>1</v>
      </c>
    </row>
    <row r="1506" spans="1:23">
      <c r="A1506" t="s">
        <v>1638</v>
      </c>
      <c r="B1506" s="2">
        <v>45795</v>
      </c>
      <c r="C1506" t="s">
        <v>131</v>
      </c>
      <c r="D1506" t="s">
        <v>132</v>
      </c>
      <c r="E1506" t="s">
        <v>48</v>
      </c>
      <c r="F1506" t="s">
        <v>57</v>
      </c>
      <c r="G1506" t="s">
        <v>101</v>
      </c>
      <c r="H1506" t="s">
        <v>102</v>
      </c>
      <c r="I1506">
        <v>59</v>
      </c>
      <c r="J1506" s="3">
        <v>1849.26</v>
      </c>
      <c r="K1506" s="3">
        <v>109106.34</v>
      </c>
      <c r="L1506" t="s">
        <v>52</v>
      </c>
      <c r="M1506" s="2">
        <v>45800</v>
      </c>
      <c r="N1506" s="2">
        <v>45797</v>
      </c>
      <c r="O1506" t="s">
        <v>26</v>
      </c>
      <c r="P1506" t="s">
        <v>53</v>
      </c>
      <c r="Q1506" t="s">
        <v>28</v>
      </c>
      <c r="R1506" t="s">
        <v>29</v>
      </c>
      <c r="S1506">
        <v>2025</v>
      </c>
      <c r="T1506" t="s">
        <v>2766</v>
      </c>
      <c r="U1506" t="s">
        <v>2767</v>
      </c>
      <c r="V1506" s="4">
        <v>0</v>
      </c>
      <c r="W1506" s="4">
        <v>1</v>
      </c>
    </row>
    <row r="1507" spans="1:23">
      <c r="A1507" t="s">
        <v>1639</v>
      </c>
      <c r="B1507" s="2">
        <v>45986</v>
      </c>
      <c r="C1507" t="s">
        <v>71</v>
      </c>
      <c r="D1507" t="s">
        <v>72</v>
      </c>
      <c r="E1507" t="s">
        <v>73</v>
      </c>
      <c r="F1507" t="s">
        <v>57</v>
      </c>
      <c r="G1507" t="s">
        <v>120</v>
      </c>
      <c r="H1507" t="s">
        <v>121</v>
      </c>
      <c r="I1507">
        <v>8</v>
      </c>
      <c r="J1507" s="3">
        <v>21204.91</v>
      </c>
      <c r="K1507" s="3">
        <v>169639.28</v>
      </c>
      <c r="L1507" t="s">
        <v>25</v>
      </c>
      <c r="M1507" s="2">
        <v>45997</v>
      </c>
      <c r="N1507" s="2">
        <v>45994</v>
      </c>
      <c r="O1507" t="s">
        <v>76</v>
      </c>
      <c r="P1507" t="s">
        <v>77</v>
      </c>
      <c r="Q1507" t="s">
        <v>28</v>
      </c>
      <c r="R1507" t="s">
        <v>29</v>
      </c>
      <c r="S1507">
        <v>2025</v>
      </c>
      <c r="T1507" t="s">
        <v>2763</v>
      </c>
      <c r="U1507" t="s">
        <v>2764</v>
      </c>
      <c r="V1507" s="4">
        <v>0</v>
      </c>
      <c r="W1507" s="4">
        <v>1</v>
      </c>
    </row>
    <row r="1508" spans="1:23">
      <c r="A1508" t="s">
        <v>1640</v>
      </c>
      <c r="B1508" s="2">
        <v>45673</v>
      </c>
      <c r="C1508" t="s">
        <v>142</v>
      </c>
      <c r="D1508" t="s">
        <v>143</v>
      </c>
      <c r="E1508" t="s">
        <v>39</v>
      </c>
      <c r="F1508" t="s">
        <v>22</v>
      </c>
      <c r="G1508" t="s">
        <v>23</v>
      </c>
      <c r="H1508" t="s">
        <v>24</v>
      </c>
      <c r="I1508">
        <v>57</v>
      </c>
      <c r="J1508" s="3">
        <v>237.19</v>
      </c>
      <c r="K1508" s="3">
        <v>13519.83</v>
      </c>
      <c r="L1508" t="s">
        <v>34</v>
      </c>
      <c r="M1508" s="2">
        <v>45684</v>
      </c>
      <c r="N1508" s="2">
        <v>45683</v>
      </c>
      <c r="O1508" t="s">
        <v>26</v>
      </c>
      <c r="P1508" t="s">
        <v>64</v>
      </c>
      <c r="Q1508" t="s">
        <v>28</v>
      </c>
      <c r="R1508" t="s">
        <v>29</v>
      </c>
      <c r="S1508">
        <v>2025</v>
      </c>
      <c r="T1508" t="s">
        <v>2757</v>
      </c>
      <c r="U1508" t="s">
        <v>2768</v>
      </c>
      <c r="V1508" s="4">
        <v>0</v>
      </c>
      <c r="W1508" s="4">
        <v>1</v>
      </c>
    </row>
    <row r="1509" spans="1:23">
      <c r="A1509" t="s">
        <v>1641</v>
      </c>
      <c r="B1509" s="2">
        <v>46078</v>
      </c>
      <c r="C1509" t="s">
        <v>142</v>
      </c>
      <c r="D1509" t="s">
        <v>143</v>
      </c>
      <c r="E1509" t="s">
        <v>31</v>
      </c>
      <c r="F1509" t="s">
        <v>22</v>
      </c>
      <c r="G1509" t="s">
        <v>160</v>
      </c>
      <c r="H1509" t="s">
        <v>161</v>
      </c>
      <c r="I1509">
        <v>7</v>
      </c>
      <c r="J1509" s="3">
        <v>3050.41</v>
      </c>
      <c r="K1509" s="3">
        <v>21352.87</v>
      </c>
      <c r="L1509" t="s">
        <v>34</v>
      </c>
      <c r="M1509" s="2">
        <v>46087</v>
      </c>
      <c r="N1509" s="2">
        <v>46086</v>
      </c>
      <c r="O1509" t="s">
        <v>60</v>
      </c>
      <c r="P1509" t="s">
        <v>35</v>
      </c>
      <c r="Q1509" t="s">
        <v>28</v>
      </c>
      <c r="R1509" t="s">
        <v>29</v>
      </c>
      <c r="S1509">
        <v>2026</v>
      </c>
      <c r="T1509" t="s">
        <v>2751</v>
      </c>
      <c r="U1509" t="s">
        <v>2765</v>
      </c>
      <c r="V1509" s="4">
        <v>0</v>
      </c>
      <c r="W1509" s="4">
        <v>1</v>
      </c>
    </row>
    <row r="1510" spans="1:23">
      <c r="A1510" t="s">
        <v>1642</v>
      </c>
      <c r="B1510" s="2">
        <v>45952</v>
      </c>
      <c r="C1510" t="s">
        <v>104</v>
      </c>
      <c r="D1510" t="s">
        <v>105</v>
      </c>
      <c r="E1510" t="s">
        <v>48</v>
      </c>
      <c r="F1510" t="s">
        <v>49</v>
      </c>
      <c r="G1510" t="s">
        <v>50</v>
      </c>
      <c r="H1510" t="s">
        <v>51</v>
      </c>
      <c r="I1510">
        <v>2</v>
      </c>
      <c r="J1510" s="3">
        <v>53001.74</v>
      </c>
      <c r="K1510" s="3">
        <v>106003.48</v>
      </c>
      <c r="L1510" t="s">
        <v>52</v>
      </c>
      <c r="M1510" s="2">
        <v>45965</v>
      </c>
      <c r="N1510" s="2">
        <v>45962</v>
      </c>
      <c r="O1510" t="s">
        <v>43</v>
      </c>
      <c r="P1510" t="s">
        <v>53</v>
      </c>
      <c r="Q1510" t="s">
        <v>28</v>
      </c>
      <c r="R1510" t="s">
        <v>29</v>
      </c>
      <c r="S1510">
        <v>2025</v>
      </c>
      <c r="T1510" t="s">
        <v>2749</v>
      </c>
      <c r="U1510" t="s">
        <v>2750</v>
      </c>
      <c r="V1510" s="4">
        <v>0</v>
      </c>
      <c r="W1510" s="4">
        <v>1</v>
      </c>
    </row>
    <row r="1511" spans="1:23">
      <c r="A1511" t="s">
        <v>1643</v>
      </c>
      <c r="B1511" s="2">
        <v>45957</v>
      </c>
      <c r="C1511" t="s">
        <v>147</v>
      </c>
      <c r="D1511" t="s">
        <v>148</v>
      </c>
      <c r="E1511" t="s">
        <v>112</v>
      </c>
      <c r="F1511" t="s">
        <v>40</v>
      </c>
      <c r="G1511" t="s">
        <v>62</v>
      </c>
      <c r="H1511" t="s">
        <v>63</v>
      </c>
      <c r="I1511">
        <v>6</v>
      </c>
      <c r="J1511" s="3">
        <v>17806.25</v>
      </c>
      <c r="K1511" s="3">
        <v>106837.5</v>
      </c>
      <c r="L1511" t="s">
        <v>25</v>
      </c>
      <c r="M1511" s="2">
        <v>45963</v>
      </c>
      <c r="N1511" s="2">
        <v>45960</v>
      </c>
      <c r="O1511" t="s">
        <v>43</v>
      </c>
      <c r="P1511" t="s">
        <v>115</v>
      </c>
      <c r="Q1511" t="s">
        <v>28</v>
      </c>
      <c r="R1511" t="s">
        <v>29</v>
      </c>
      <c r="S1511">
        <v>2025</v>
      </c>
      <c r="T1511" t="s">
        <v>2749</v>
      </c>
      <c r="U1511" t="s">
        <v>2750</v>
      </c>
      <c r="V1511" s="4">
        <v>0</v>
      </c>
      <c r="W1511" s="4">
        <v>1</v>
      </c>
    </row>
    <row r="1512" spans="1:23">
      <c r="A1512" t="s">
        <v>1644</v>
      </c>
      <c r="B1512" s="2">
        <v>45851</v>
      </c>
      <c r="C1512" t="s">
        <v>55</v>
      </c>
      <c r="D1512" t="s">
        <v>56</v>
      </c>
      <c r="E1512" t="s">
        <v>48</v>
      </c>
      <c r="F1512" t="s">
        <v>57</v>
      </c>
      <c r="G1512" t="s">
        <v>86</v>
      </c>
      <c r="H1512" t="s">
        <v>87</v>
      </c>
      <c r="I1512">
        <v>5</v>
      </c>
      <c r="J1512" s="3">
        <v>11850.78</v>
      </c>
      <c r="K1512" s="3">
        <v>59253.9</v>
      </c>
      <c r="L1512" t="s">
        <v>34</v>
      </c>
      <c r="M1512" s="2">
        <v>45860</v>
      </c>
      <c r="N1512" s="2">
        <v>45860</v>
      </c>
      <c r="O1512" t="s">
        <v>26</v>
      </c>
      <c r="P1512" t="s">
        <v>53</v>
      </c>
      <c r="Q1512" t="s">
        <v>28</v>
      </c>
      <c r="R1512" t="s">
        <v>29</v>
      </c>
      <c r="S1512">
        <v>2025</v>
      </c>
      <c r="T1512" t="s">
        <v>2759</v>
      </c>
      <c r="U1512" t="s">
        <v>2760</v>
      </c>
      <c r="V1512" s="4">
        <v>0</v>
      </c>
      <c r="W1512" s="4">
        <v>1</v>
      </c>
    </row>
    <row r="1513" spans="1:23">
      <c r="A1513" t="s">
        <v>1645</v>
      </c>
      <c r="B1513" s="2">
        <v>45933</v>
      </c>
      <c r="C1513" t="s">
        <v>71</v>
      </c>
      <c r="D1513" t="s">
        <v>72</v>
      </c>
      <c r="E1513" t="s">
        <v>48</v>
      </c>
      <c r="F1513" t="s">
        <v>57</v>
      </c>
      <c r="G1513" t="s">
        <v>127</v>
      </c>
      <c r="H1513" t="s">
        <v>128</v>
      </c>
      <c r="I1513">
        <v>8</v>
      </c>
      <c r="J1513" s="3">
        <v>15464.33</v>
      </c>
      <c r="K1513" s="3">
        <v>123714.64</v>
      </c>
      <c r="L1513" t="s">
        <v>25</v>
      </c>
      <c r="M1513" s="2">
        <v>45947</v>
      </c>
      <c r="N1513" s="2">
        <v>45947</v>
      </c>
      <c r="O1513" t="s">
        <v>76</v>
      </c>
      <c r="P1513" t="s">
        <v>53</v>
      </c>
      <c r="Q1513" t="s">
        <v>28</v>
      </c>
      <c r="R1513" t="s">
        <v>29</v>
      </c>
      <c r="S1513">
        <v>2025</v>
      </c>
      <c r="T1513" t="s">
        <v>2749</v>
      </c>
      <c r="U1513" t="s">
        <v>2750</v>
      </c>
      <c r="V1513" s="4">
        <v>0</v>
      </c>
      <c r="W1513" s="4">
        <v>1</v>
      </c>
    </row>
    <row r="1514" spans="1:23">
      <c r="A1514" t="s">
        <v>1646</v>
      </c>
      <c r="B1514" s="2">
        <v>45888</v>
      </c>
      <c r="C1514" t="s">
        <v>104</v>
      </c>
      <c r="D1514" t="s">
        <v>105</v>
      </c>
      <c r="E1514" t="s">
        <v>48</v>
      </c>
      <c r="F1514" t="s">
        <v>49</v>
      </c>
      <c r="G1514" t="s">
        <v>113</v>
      </c>
      <c r="H1514" t="s">
        <v>114</v>
      </c>
      <c r="I1514">
        <v>1</v>
      </c>
      <c r="J1514" s="3">
        <v>38079.230000000003</v>
      </c>
      <c r="K1514" s="3">
        <v>38079.230000000003</v>
      </c>
      <c r="L1514" t="s">
        <v>25</v>
      </c>
      <c r="M1514" s="2">
        <v>45901</v>
      </c>
      <c r="N1514" s="2">
        <v>45899</v>
      </c>
      <c r="O1514" t="s">
        <v>43</v>
      </c>
      <c r="P1514" t="s">
        <v>53</v>
      </c>
      <c r="Q1514" t="s">
        <v>28</v>
      </c>
      <c r="R1514" t="s">
        <v>29</v>
      </c>
      <c r="S1514">
        <v>2025</v>
      </c>
      <c r="T1514" t="s">
        <v>2761</v>
      </c>
      <c r="U1514" t="s">
        <v>2762</v>
      </c>
      <c r="V1514" s="4">
        <v>0</v>
      </c>
      <c r="W1514" s="4">
        <v>1</v>
      </c>
    </row>
    <row r="1515" spans="1:23">
      <c r="A1515" t="s">
        <v>1647</v>
      </c>
      <c r="B1515" s="2">
        <v>46005</v>
      </c>
      <c r="C1515" t="s">
        <v>104</v>
      </c>
      <c r="D1515" t="s">
        <v>105</v>
      </c>
      <c r="E1515" t="s">
        <v>112</v>
      </c>
      <c r="F1515" t="s">
        <v>49</v>
      </c>
      <c r="G1515" t="s">
        <v>165</v>
      </c>
      <c r="H1515" t="s">
        <v>166</v>
      </c>
      <c r="I1515">
        <v>1</v>
      </c>
      <c r="J1515" s="3">
        <v>47021.61</v>
      </c>
      <c r="K1515" s="3">
        <v>47021.61</v>
      </c>
      <c r="L1515" t="s">
        <v>25</v>
      </c>
      <c r="M1515" s="2">
        <v>46011</v>
      </c>
      <c r="N1515" s="2">
        <v>46009</v>
      </c>
      <c r="O1515" t="s">
        <v>43</v>
      </c>
      <c r="P1515" t="s">
        <v>115</v>
      </c>
      <c r="Q1515" t="s">
        <v>28</v>
      </c>
      <c r="R1515" t="s">
        <v>29</v>
      </c>
      <c r="S1515">
        <v>2025</v>
      </c>
      <c r="T1515" t="s">
        <v>2745</v>
      </c>
      <c r="U1515" t="s">
        <v>2746</v>
      </c>
      <c r="V1515" s="4">
        <v>0</v>
      </c>
      <c r="W1515" s="4">
        <v>1</v>
      </c>
    </row>
    <row r="1516" spans="1:23">
      <c r="A1516" t="s">
        <v>1648</v>
      </c>
      <c r="B1516" s="2">
        <v>45883</v>
      </c>
      <c r="C1516" t="s">
        <v>96</v>
      </c>
      <c r="D1516" t="s">
        <v>97</v>
      </c>
      <c r="E1516" t="s">
        <v>39</v>
      </c>
      <c r="F1516" t="s">
        <v>82</v>
      </c>
      <c r="G1516" t="s">
        <v>98</v>
      </c>
      <c r="H1516" t="s">
        <v>99</v>
      </c>
      <c r="I1516">
        <v>46</v>
      </c>
      <c r="J1516" s="3">
        <v>1166.1300000000001</v>
      </c>
      <c r="K1516" s="3">
        <v>53641.98</v>
      </c>
      <c r="L1516" t="s">
        <v>25</v>
      </c>
      <c r="M1516" s="2">
        <v>45898</v>
      </c>
      <c r="N1516" s="2">
        <v>45898</v>
      </c>
      <c r="O1516" t="s">
        <v>60</v>
      </c>
      <c r="P1516" t="s">
        <v>44</v>
      </c>
      <c r="Q1516" t="s">
        <v>28</v>
      </c>
      <c r="R1516" t="s">
        <v>29</v>
      </c>
      <c r="S1516">
        <v>2025</v>
      </c>
      <c r="T1516" t="s">
        <v>2761</v>
      </c>
      <c r="U1516" t="s">
        <v>2762</v>
      </c>
      <c r="V1516" s="4">
        <v>0</v>
      </c>
      <c r="W1516" s="4">
        <v>1</v>
      </c>
    </row>
    <row r="1517" spans="1:23">
      <c r="A1517" t="s">
        <v>1649</v>
      </c>
      <c r="B1517" s="2">
        <v>45940</v>
      </c>
      <c r="C1517" t="s">
        <v>96</v>
      </c>
      <c r="D1517" t="s">
        <v>97</v>
      </c>
      <c r="E1517" t="s">
        <v>39</v>
      </c>
      <c r="F1517" t="s">
        <v>82</v>
      </c>
      <c r="G1517" t="s">
        <v>98</v>
      </c>
      <c r="H1517" t="s">
        <v>99</v>
      </c>
      <c r="I1517">
        <v>58</v>
      </c>
      <c r="J1517" s="3">
        <v>1193.7</v>
      </c>
      <c r="K1517" s="3">
        <v>69234.600000000006</v>
      </c>
      <c r="L1517" t="s">
        <v>52</v>
      </c>
      <c r="M1517" s="2">
        <v>45955</v>
      </c>
      <c r="N1517" s="2">
        <v>45953</v>
      </c>
      <c r="O1517" t="s">
        <v>76</v>
      </c>
      <c r="P1517" t="s">
        <v>44</v>
      </c>
      <c r="Q1517" t="s">
        <v>28</v>
      </c>
      <c r="R1517" t="s">
        <v>29</v>
      </c>
      <c r="S1517">
        <v>2025</v>
      </c>
      <c r="T1517" t="s">
        <v>2749</v>
      </c>
      <c r="U1517" t="s">
        <v>2750</v>
      </c>
      <c r="V1517" s="4">
        <v>0</v>
      </c>
      <c r="W1517" s="4">
        <v>1</v>
      </c>
    </row>
    <row r="1518" spans="1:23">
      <c r="A1518" t="s">
        <v>1650</v>
      </c>
      <c r="B1518" s="2">
        <v>46136</v>
      </c>
      <c r="C1518" t="s">
        <v>19</v>
      </c>
      <c r="D1518" t="s">
        <v>20</v>
      </c>
      <c r="E1518" t="s">
        <v>112</v>
      </c>
      <c r="F1518" t="s">
        <v>22</v>
      </c>
      <c r="G1518" t="s">
        <v>160</v>
      </c>
      <c r="H1518" t="s">
        <v>161</v>
      </c>
      <c r="I1518">
        <v>13</v>
      </c>
      <c r="J1518" s="3">
        <v>3207.19</v>
      </c>
      <c r="K1518" s="3">
        <v>41693.47</v>
      </c>
      <c r="L1518" t="s">
        <v>52</v>
      </c>
      <c r="M1518" s="2">
        <v>46142</v>
      </c>
      <c r="N1518" s="2">
        <v>46140</v>
      </c>
      <c r="O1518" t="s">
        <v>43</v>
      </c>
      <c r="P1518" t="s">
        <v>115</v>
      </c>
      <c r="Q1518" t="s">
        <v>28</v>
      </c>
      <c r="R1518" t="s">
        <v>29</v>
      </c>
      <c r="S1518">
        <v>2026</v>
      </c>
      <c r="T1518" t="s">
        <v>2741</v>
      </c>
      <c r="U1518" t="s">
        <v>2770</v>
      </c>
      <c r="V1518" s="4">
        <v>0</v>
      </c>
      <c r="W1518" s="4">
        <v>1</v>
      </c>
    </row>
    <row r="1519" spans="1:23">
      <c r="A1519" t="s">
        <v>1651</v>
      </c>
      <c r="B1519" s="2">
        <v>45810</v>
      </c>
      <c r="C1519" t="s">
        <v>37</v>
      </c>
      <c r="D1519" t="s">
        <v>38</v>
      </c>
      <c r="E1519" t="s">
        <v>112</v>
      </c>
      <c r="F1519" t="s">
        <v>22</v>
      </c>
      <c r="G1519" t="s">
        <v>32</v>
      </c>
      <c r="H1519" t="s">
        <v>33</v>
      </c>
      <c r="I1519">
        <v>9</v>
      </c>
      <c r="J1519" s="3">
        <v>8501.7199999999993</v>
      </c>
      <c r="K1519" s="3">
        <v>76515.48</v>
      </c>
      <c r="L1519" t="s">
        <v>34</v>
      </c>
      <c r="M1519" s="2">
        <v>45819</v>
      </c>
      <c r="N1519" s="2">
        <v>45816</v>
      </c>
      <c r="O1519" t="s">
        <v>60</v>
      </c>
      <c r="P1519" t="s">
        <v>115</v>
      </c>
      <c r="Q1519" t="s">
        <v>28</v>
      </c>
      <c r="R1519" t="s">
        <v>29</v>
      </c>
      <c r="S1519">
        <v>2025</v>
      </c>
      <c r="T1519" t="s">
        <v>2743</v>
      </c>
      <c r="U1519" t="s">
        <v>2756</v>
      </c>
      <c r="V1519" s="4">
        <v>0</v>
      </c>
      <c r="W1519" s="4">
        <v>1</v>
      </c>
    </row>
    <row r="1520" spans="1:23">
      <c r="A1520" t="s">
        <v>1652</v>
      </c>
      <c r="B1520" s="2">
        <v>46030</v>
      </c>
      <c r="C1520" t="s">
        <v>37</v>
      </c>
      <c r="D1520" t="s">
        <v>38</v>
      </c>
      <c r="E1520" t="s">
        <v>112</v>
      </c>
      <c r="F1520" t="s">
        <v>22</v>
      </c>
      <c r="G1520" t="s">
        <v>160</v>
      </c>
      <c r="H1520" t="s">
        <v>161</v>
      </c>
      <c r="I1520">
        <v>4</v>
      </c>
      <c r="J1520" s="3">
        <v>3503.1</v>
      </c>
      <c r="K1520" s="3">
        <v>14012.4</v>
      </c>
      <c r="L1520" t="s">
        <v>34</v>
      </c>
      <c r="M1520" s="2">
        <v>46042</v>
      </c>
      <c r="N1520" s="2">
        <v>46039</v>
      </c>
      <c r="O1520" t="s">
        <v>26</v>
      </c>
      <c r="P1520" t="s">
        <v>115</v>
      </c>
      <c r="Q1520" t="s">
        <v>28</v>
      </c>
      <c r="R1520" t="s">
        <v>29</v>
      </c>
      <c r="S1520">
        <v>2026</v>
      </c>
      <c r="T1520" t="s">
        <v>2757</v>
      </c>
      <c r="U1520" t="s">
        <v>2758</v>
      </c>
      <c r="V1520" s="4">
        <v>0</v>
      </c>
      <c r="W1520" s="4">
        <v>1</v>
      </c>
    </row>
    <row r="1521" spans="1:23">
      <c r="A1521" t="s">
        <v>1653</v>
      </c>
      <c r="B1521" s="2">
        <v>45685</v>
      </c>
      <c r="C1521" t="s">
        <v>142</v>
      </c>
      <c r="D1521" t="s">
        <v>143</v>
      </c>
      <c r="E1521" t="s">
        <v>31</v>
      </c>
      <c r="F1521" t="s">
        <v>22</v>
      </c>
      <c r="G1521" t="s">
        <v>23</v>
      </c>
      <c r="H1521" t="s">
        <v>24</v>
      </c>
      <c r="I1521">
        <v>49</v>
      </c>
      <c r="J1521" s="3">
        <v>244.12</v>
      </c>
      <c r="K1521" s="3">
        <v>11961.88</v>
      </c>
      <c r="L1521" t="s">
        <v>25</v>
      </c>
      <c r="M1521" s="2">
        <v>45702</v>
      </c>
      <c r="N1521" s="2">
        <v>45702</v>
      </c>
      <c r="O1521" t="s">
        <v>26</v>
      </c>
      <c r="P1521" t="s">
        <v>94</v>
      </c>
      <c r="Q1521" t="s">
        <v>28</v>
      </c>
      <c r="R1521" t="s">
        <v>29</v>
      </c>
      <c r="S1521">
        <v>2025</v>
      </c>
      <c r="T1521" t="s">
        <v>2757</v>
      </c>
      <c r="U1521" t="s">
        <v>2768</v>
      </c>
      <c r="V1521" s="4">
        <v>0</v>
      </c>
      <c r="W1521" s="4">
        <v>1</v>
      </c>
    </row>
    <row r="1522" spans="1:23">
      <c r="A1522" t="s">
        <v>1654</v>
      </c>
      <c r="B1522" s="2">
        <v>45845</v>
      </c>
      <c r="C1522" t="s">
        <v>147</v>
      </c>
      <c r="D1522" t="s">
        <v>148</v>
      </c>
      <c r="E1522" t="s">
        <v>112</v>
      </c>
      <c r="F1522" t="s">
        <v>40</v>
      </c>
      <c r="G1522" t="s">
        <v>136</v>
      </c>
      <c r="H1522" t="s">
        <v>137</v>
      </c>
      <c r="I1522">
        <v>54</v>
      </c>
      <c r="J1522" s="3">
        <v>1608.22</v>
      </c>
      <c r="K1522" s="3">
        <v>86843.88</v>
      </c>
      <c r="L1522" t="s">
        <v>25</v>
      </c>
      <c r="M1522" s="2">
        <v>45858</v>
      </c>
      <c r="N1522" s="2">
        <v>45855</v>
      </c>
      <c r="O1522" t="s">
        <v>76</v>
      </c>
      <c r="P1522" t="s">
        <v>115</v>
      </c>
      <c r="Q1522" t="s">
        <v>28</v>
      </c>
      <c r="R1522" t="s">
        <v>29</v>
      </c>
      <c r="S1522">
        <v>2025</v>
      </c>
      <c r="T1522" t="s">
        <v>2759</v>
      </c>
      <c r="U1522" t="s">
        <v>2760</v>
      </c>
      <c r="V1522" s="4">
        <v>0</v>
      </c>
      <c r="W1522" s="4">
        <v>1</v>
      </c>
    </row>
    <row r="1523" spans="1:23">
      <c r="A1523" t="s">
        <v>1655</v>
      </c>
      <c r="B1523" s="2">
        <v>46054</v>
      </c>
      <c r="C1523" t="s">
        <v>37</v>
      </c>
      <c r="D1523" t="s">
        <v>38</v>
      </c>
      <c r="E1523" t="s">
        <v>39</v>
      </c>
      <c r="F1523" t="s">
        <v>40</v>
      </c>
      <c r="G1523" t="s">
        <v>149</v>
      </c>
      <c r="H1523" t="s">
        <v>150</v>
      </c>
      <c r="I1523">
        <v>49</v>
      </c>
      <c r="J1523" s="3">
        <v>1492.44</v>
      </c>
      <c r="K1523" s="3">
        <v>73129.56</v>
      </c>
      <c r="L1523" t="s">
        <v>52</v>
      </c>
      <c r="M1523" s="2">
        <v>46067</v>
      </c>
      <c r="N1523" s="2">
        <v>46064</v>
      </c>
      <c r="O1523" t="s">
        <v>43</v>
      </c>
      <c r="P1523" t="s">
        <v>44</v>
      </c>
      <c r="Q1523" t="s">
        <v>28</v>
      </c>
      <c r="R1523" t="s">
        <v>29</v>
      </c>
      <c r="S1523">
        <v>2026</v>
      </c>
      <c r="T1523" t="s">
        <v>2751</v>
      </c>
      <c r="U1523" t="s">
        <v>2765</v>
      </c>
      <c r="V1523" s="4">
        <v>0</v>
      </c>
      <c r="W1523" s="4">
        <v>1</v>
      </c>
    </row>
    <row r="1524" spans="1:23">
      <c r="A1524" t="s">
        <v>1656</v>
      </c>
      <c r="B1524" s="2">
        <v>45967</v>
      </c>
      <c r="C1524" t="s">
        <v>142</v>
      </c>
      <c r="D1524" t="s">
        <v>143</v>
      </c>
      <c r="E1524" t="s">
        <v>39</v>
      </c>
      <c r="F1524" t="s">
        <v>22</v>
      </c>
      <c r="G1524" t="s">
        <v>32</v>
      </c>
      <c r="H1524" t="s">
        <v>33</v>
      </c>
      <c r="I1524">
        <v>14</v>
      </c>
      <c r="J1524" s="3">
        <v>7672.18</v>
      </c>
      <c r="K1524" s="3">
        <v>107410.52</v>
      </c>
      <c r="L1524" t="s">
        <v>25</v>
      </c>
      <c r="M1524" s="2">
        <v>45980</v>
      </c>
      <c r="N1524" s="2">
        <v>45980</v>
      </c>
      <c r="O1524" t="s">
        <v>60</v>
      </c>
      <c r="P1524" t="s">
        <v>44</v>
      </c>
      <c r="Q1524" t="s">
        <v>28</v>
      </c>
      <c r="R1524" t="s">
        <v>29</v>
      </c>
      <c r="S1524">
        <v>2025</v>
      </c>
      <c r="T1524" t="s">
        <v>2763</v>
      </c>
      <c r="U1524" t="s">
        <v>2764</v>
      </c>
      <c r="V1524" s="4">
        <v>0</v>
      </c>
      <c r="W1524" s="4">
        <v>1</v>
      </c>
    </row>
    <row r="1525" spans="1:23">
      <c r="A1525" t="s">
        <v>1657</v>
      </c>
      <c r="B1525" s="2">
        <v>45688</v>
      </c>
      <c r="C1525" t="s">
        <v>142</v>
      </c>
      <c r="D1525" t="s">
        <v>143</v>
      </c>
      <c r="E1525" t="s">
        <v>39</v>
      </c>
      <c r="F1525" t="s">
        <v>22</v>
      </c>
      <c r="G1525" t="s">
        <v>23</v>
      </c>
      <c r="H1525" t="s">
        <v>24</v>
      </c>
      <c r="I1525">
        <v>48</v>
      </c>
      <c r="J1525" s="3">
        <v>238.79</v>
      </c>
      <c r="K1525" s="3">
        <v>11461.92</v>
      </c>
      <c r="L1525" t="s">
        <v>34</v>
      </c>
      <c r="M1525" s="2">
        <v>45693</v>
      </c>
      <c r="N1525" s="2">
        <v>45692</v>
      </c>
      <c r="O1525" t="s">
        <v>43</v>
      </c>
      <c r="P1525" t="s">
        <v>64</v>
      </c>
      <c r="Q1525" t="s">
        <v>28</v>
      </c>
      <c r="R1525" t="s">
        <v>29</v>
      </c>
      <c r="S1525">
        <v>2025</v>
      </c>
      <c r="T1525" t="s">
        <v>2757</v>
      </c>
      <c r="U1525" t="s">
        <v>2768</v>
      </c>
      <c r="V1525" s="4">
        <v>0</v>
      </c>
      <c r="W1525" s="4">
        <v>1</v>
      </c>
    </row>
    <row r="1526" spans="1:23">
      <c r="A1526" t="s">
        <v>1658</v>
      </c>
      <c r="B1526" s="2">
        <v>46160</v>
      </c>
      <c r="C1526" t="s">
        <v>80</v>
      </c>
      <c r="D1526" t="s">
        <v>81</v>
      </c>
      <c r="E1526" t="s">
        <v>39</v>
      </c>
      <c r="F1526" t="s">
        <v>82</v>
      </c>
      <c r="G1526" t="s">
        <v>98</v>
      </c>
      <c r="H1526" t="s">
        <v>99</v>
      </c>
      <c r="I1526">
        <v>54</v>
      </c>
      <c r="J1526" s="3">
        <v>1124.46</v>
      </c>
      <c r="K1526" s="3">
        <v>60720.84</v>
      </c>
      <c r="L1526" t="s">
        <v>25</v>
      </c>
      <c r="M1526" s="2">
        <v>46177</v>
      </c>
      <c r="N1526" s="2">
        <v>46177</v>
      </c>
      <c r="O1526" t="s">
        <v>43</v>
      </c>
      <c r="P1526" t="s">
        <v>44</v>
      </c>
      <c r="Q1526" t="s">
        <v>28</v>
      </c>
      <c r="R1526" t="s">
        <v>29</v>
      </c>
      <c r="S1526">
        <v>2026</v>
      </c>
      <c r="T1526" t="s">
        <v>2766</v>
      </c>
      <c r="U1526" t="s">
        <v>2769</v>
      </c>
      <c r="V1526" s="4">
        <v>0</v>
      </c>
      <c r="W1526" s="4">
        <v>1</v>
      </c>
    </row>
    <row r="1527" spans="1:23">
      <c r="A1527" t="s">
        <v>1659</v>
      </c>
      <c r="B1527" s="2">
        <v>45973</v>
      </c>
      <c r="C1527" t="s">
        <v>96</v>
      </c>
      <c r="D1527" t="s">
        <v>97</v>
      </c>
      <c r="E1527" t="s">
        <v>39</v>
      </c>
      <c r="F1527" t="s">
        <v>82</v>
      </c>
      <c r="G1527" t="s">
        <v>98</v>
      </c>
      <c r="H1527" t="s">
        <v>99</v>
      </c>
      <c r="I1527">
        <v>49</v>
      </c>
      <c r="J1527" s="3">
        <v>1136.5999999999999</v>
      </c>
      <c r="K1527" s="3">
        <v>55693.4</v>
      </c>
      <c r="L1527" t="s">
        <v>52</v>
      </c>
      <c r="M1527" s="2">
        <v>45987</v>
      </c>
      <c r="N1527" s="2">
        <v>45986</v>
      </c>
      <c r="O1527" t="s">
        <v>43</v>
      </c>
      <c r="P1527" t="s">
        <v>64</v>
      </c>
      <c r="Q1527" t="s">
        <v>28</v>
      </c>
      <c r="R1527" t="s">
        <v>29</v>
      </c>
      <c r="S1527">
        <v>2025</v>
      </c>
      <c r="T1527" t="s">
        <v>2763</v>
      </c>
      <c r="U1527" t="s">
        <v>2764</v>
      </c>
      <c r="V1527" s="4">
        <v>0</v>
      </c>
      <c r="W1527" s="4">
        <v>1</v>
      </c>
    </row>
    <row r="1528" spans="1:23">
      <c r="A1528" t="s">
        <v>1660</v>
      </c>
      <c r="B1528" s="2">
        <v>45992</v>
      </c>
      <c r="C1528" t="s">
        <v>104</v>
      </c>
      <c r="D1528" t="s">
        <v>105</v>
      </c>
      <c r="E1528" t="s">
        <v>112</v>
      </c>
      <c r="F1528" t="s">
        <v>49</v>
      </c>
      <c r="G1528" t="s">
        <v>113</v>
      </c>
      <c r="H1528" t="s">
        <v>114</v>
      </c>
      <c r="I1528">
        <v>3</v>
      </c>
      <c r="J1528" s="3">
        <v>37707.07</v>
      </c>
      <c r="K1528" s="3">
        <v>113121.21</v>
      </c>
      <c r="L1528" t="s">
        <v>25</v>
      </c>
      <c r="M1528" s="2">
        <v>46006</v>
      </c>
      <c r="N1528" s="2">
        <v>46003</v>
      </c>
      <c r="O1528" t="s">
        <v>60</v>
      </c>
      <c r="P1528" t="s">
        <v>115</v>
      </c>
      <c r="Q1528" t="s">
        <v>28</v>
      </c>
      <c r="R1528" t="s">
        <v>29</v>
      </c>
      <c r="S1528">
        <v>2025</v>
      </c>
      <c r="T1528" t="s">
        <v>2745</v>
      </c>
      <c r="U1528" t="s">
        <v>2746</v>
      </c>
      <c r="V1528" s="4">
        <v>0</v>
      </c>
      <c r="W1528" s="4">
        <v>1</v>
      </c>
    </row>
    <row r="1529" spans="1:23">
      <c r="A1529" t="s">
        <v>1661</v>
      </c>
      <c r="B1529" s="2">
        <v>45723</v>
      </c>
      <c r="C1529" t="s">
        <v>104</v>
      </c>
      <c r="D1529" t="s">
        <v>105</v>
      </c>
      <c r="E1529" t="s">
        <v>48</v>
      </c>
      <c r="F1529" t="s">
        <v>49</v>
      </c>
      <c r="G1529" t="s">
        <v>50</v>
      </c>
      <c r="H1529" t="s">
        <v>51</v>
      </c>
      <c r="I1529">
        <v>3</v>
      </c>
      <c r="J1529" s="3">
        <v>51129.61</v>
      </c>
      <c r="K1529" s="3">
        <v>153388.82999999999</v>
      </c>
      <c r="L1529" t="s">
        <v>25</v>
      </c>
      <c r="M1529" s="2">
        <v>45736</v>
      </c>
      <c r="N1529" s="2">
        <v>45734</v>
      </c>
      <c r="O1529" t="s">
        <v>76</v>
      </c>
      <c r="P1529" t="s">
        <v>53</v>
      </c>
      <c r="Q1529" t="s">
        <v>28</v>
      </c>
      <c r="R1529" t="s">
        <v>29</v>
      </c>
      <c r="S1529">
        <v>2025</v>
      </c>
      <c r="T1529" t="s">
        <v>2747</v>
      </c>
      <c r="U1529" t="s">
        <v>2748</v>
      </c>
      <c r="V1529" s="4">
        <v>0</v>
      </c>
      <c r="W1529" s="4">
        <v>1</v>
      </c>
    </row>
    <row r="1530" spans="1:23">
      <c r="A1530" t="s">
        <v>1662</v>
      </c>
      <c r="B1530" s="2">
        <v>45735</v>
      </c>
      <c r="C1530" t="s">
        <v>71</v>
      </c>
      <c r="D1530" t="s">
        <v>72</v>
      </c>
      <c r="E1530" t="s">
        <v>31</v>
      </c>
      <c r="F1530" t="s">
        <v>57</v>
      </c>
      <c r="G1530" t="s">
        <v>74</v>
      </c>
      <c r="H1530" t="s">
        <v>75</v>
      </c>
      <c r="I1530">
        <v>7</v>
      </c>
      <c r="J1530" s="3">
        <v>8451.0499999999993</v>
      </c>
      <c r="K1530" s="3">
        <v>59157.35</v>
      </c>
      <c r="L1530" t="s">
        <v>34</v>
      </c>
      <c r="M1530" s="2">
        <v>45750</v>
      </c>
      <c r="N1530" s="2">
        <v>45748</v>
      </c>
      <c r="O1530" t="s">
        <v>43</v>
      </c>
      <c r="P1530" t="s">
        <v>35</v>
      </c>
      <c r="Q1530" t="s">
        <v>28</v>
      </c>
      <c r="R1530" t="s">
        <v>29</v>
      </c>
      <c r="S1530">
        <v>2025</v>
      </c>
      <c r="T1530" t="s">
        <v>2747</v>
      </c>
      <c r="U1530" t="s">
        <v>2748</v>
      </c>
      <c r="V1530" s="4">
        <v>0</v>
      </c>
      <c r="W1530" s="4">
        <v>1</v>
      </c>
    </row>
    <row r="1531" spans="1:23">
      <c r="A1531" t="s">
        <v>1663</v>
      </c>
      <c r="B1531" s="2">
        <v>46198</v>
      </c>
      <c r="C1531" t="s">
        <v>71</v>
      </c>
      <c r="D1531" t="s">
        <v>72</v>
      </c>
      <c r="E1531" t="s">
        <v>48</v>
      </c>
      <c r="F1531" t="s">
        <v>57</v>
      </c>
      <c r="G1531" t="s">
        <v>101</v>
      </c>
      <c r="H1531" t="s">
        <v>102</v>
      </c>
      <c r="I1531">
        <v>54</v>
      </c>
      <c r="J1531" s="3">
        <v>1745.09</v>
      </c>
      <c r="K1531" s="3">
        <v>94234.86</v>
      </c>
      <c r="L1531" t="s">
        <v>34</v>
      </c>
      <c r="M1531" s="2">
        <v>46212</v>
      </c>
      <c r="N1531" s="2">
        <v>46211</v>
      </c>
      <c r="O1531" t="s">
        <v>43</v>
      </c>
      <c r="P1531" t="s">
        <v>53</v>
      </c>
      <c r="Q1531" t="s">
        <v>28</v>
      </c>
      <c r="R1531" t="s">
        <v>29</v>
      </c>
      <c r="S1531">
        <v>2026</v>
      </c>
      <c r="T1531" t="s">
        <v>2743</v>
      </c>
      <c r="U1531" t="s">
        <v>2744</v>
      </c>
      <c r="V1531" s="4">
        <v>0</v>
      </c>
      <c r="W1531" s="4">
        <v>1</v>
      </c>
    </row>
    <row r="1532" spans="1:23">
      <c r="A1532" t="s">
        <v>1664</v>
      </c>
      <c r="B1532" s="2">
        <v>45659</v>
      </c>
      <c r="C1532" t="s">
        <v>142</v>
      </c>
      <c r="D1532" t="s">
        <v>143</v>
      </c>
      <c r="E1532" t="s">
        <v>73</v>
      </c>
      <c r="F1532" t="s">
        <v>22</v>
      </c>
      <c r="G1532" t="s">
        <v>23</v>
      </c>
      <c r="H1532" t="s">
        <v>24</v>
      </c>
      <c r="I1532">
        <v>14</v>
      </c>
      <c r="J1532" s="3">
        <v>255.86</v>
      </c>
      <c r="K1532" s="3">
        <v>3582.04</v>
      </c>
      <c r="L1532" t="s">
        <v>25</v>
      </c>
      <c r="M1532" s="2">
        <v>45670</v>
      </c>
      <c r="N1532" s="2">
        <v>45670</v>
      </c>
      <c r="O1532" t="s">
        <v>43</v>
      </c>
      <c r="P1532" t="s">
        <v>77</v>
      </c>
      <c r="Q1532" t="s">
        <v>28</v>
      </c>
      <c r="R1532" t="s">
        <v>29</v>
      </c>
      <c r="S1532">
        <v>2025</v>
      </c>
      <c r="T1532" t="s">
        <v>2757</v>
      </c>
      <c r="U1532" t="s">
        <v>2768</v>
      </c>
      <c r="V1532" s="4">
        <v>0</v>
      </c>
      <c r="W1532" s="4">
        <v>1</v>
      </c>
    </row>
    <row r="1533" spans="1:23">
      <c r="A1533" t="s">
        <v>1665</v>
      </c>
      <c r="B1533" s="2">
        <v>45689</v>
      </c>
      <c r="C1533" t="s">
        <v>37</v>
      </c>
      <c r="D1533" t="s">
        <v>38</v>
      </c>
      <c r="E1533" t="s">
        <v>31</v>
      </c>
      <c r="F1533" t="s">
        <v>22</v>
      </c>
      <c r="G1533" t="s">
        <v>32</v>
      </c>
      <c r="H1533" t="s">
        <v>33</v>
      </c>
      <c r="I1533">
        <v>2</v>
      </c>
      <c r="J1533" s="3">
        <v>8733.9599999999991</v>
      </c>
      <c r="K1533" s="3">
        <v>17467.919999999998</v>
      </c>
      <c r="L1533" t="s">
        <v>25</v>
      </c>
      <c r="M1533" s="2">
        <v>45701</v>
      </c>
      <c r="N1533" s="2">
        <v>45700</v>
      </c>
      <c r="O1533" t="s">
        <v>60</v>
      </c>
      <c r="P1533" t="s">
        <v>94</v>
      </c>
      <c r="Q1533" t="s">
        <v>28</v>
      </c>
      <c r="R1533" t="s">
        <v>29</v>
      </c>
      <c r="S1533">
        <v>2025</v>
      </c>
      <c r="T1533" t="s">
        <v>2751</v>
      </c>
      <c r="U1533" t="s">
        <v>2752</v>
      </c>
      <c r="V1533" s="4">
        <v>0</v>
      </c>
      <c r="W1533" s="4">
        <v>1</v>
      </c>
    </row>
    <row r="1534" spans="1:23">
      <c r="A1534" t="s">
        <v>1666</v>
      </c>
      <c r="B1534" s="2">
        <v>46197</v>
      </c>
      <c r="C1534" t="s">
        <v>104</v>
      </c>
      <c r="D1534" t="s">
        <v>105</v>
      </c>
      <c r="E1534" t="s">
        <v>112</v>
      </c>
      <c r="F1534" t="s">
        <v>49</v>
      </c>
      <c r="G1534" t="s">
        <v>113</v>
      </c>
      <c r="H1534" t="s">
        <v>114</v>
      </c>
      <c r="I1534">
        <v>3</v>
      </c>
      <c r="J1534" s="3">
        <v>38245.879999999997</v>
      </c>
      <c r="K1534" s="3">
        <v>114737.64</v>
      </c>
      <c r="L1534" t="s">
        <v>25</v>
      </c>
      <c r="M1534" s="2">
        <v>46207</v>
      </c>
      <c r="N1534" s="2">
        <v>46206</v>
      </c>
      <c r="O1534" t="s">
        <v>76</v>
      </c>
      <c r="P1534" t="s">
        <v>115</v>
      </c>
      <c r="Q1534" t="s">
        <v>28</v>
      </c>
      <c r="R1534" t="s">
        <v>29</v>
      </c>
      <c r="S1534">
        <v>2026</v>
      </c>
      <c r="T1534" t="s">
        <v>2743</v>
      </c>
      <c r="U1534" t="s">
        <v>2744</v>
      </c>
      <c r="V1534" s="4">
        <v>0</v>
      </c>
      <c r="W1534" s="4">
        <v>1</v>
      </c>
    </row>
    <row r="1535" spans="1:23">
      <c r="A1535" t="s">
        <v>1667</v>
      </c>
      <c r="B1535" s="2">
        <v>45735</v>
      </c>
      <c r="C1535" t="s">
        <v>96</v>
      </c>
      <c r="D1535" t="s">
        <v>97</v>
      </c>
      <c r="E1535" t="s">
        <v>39</v>
      </c>
      <c r="F1535" t="s">
        <v>82</v>
      </c>
      <c r="G1535" t="s">
        <v>197</v>
      </c>
      <c r="H1535" t="s">
        <v>198</v>
      </c>
      <c r="I1535">
        <v>29</v>
      </c>
      <c r="J1535" s="3">
        <v>2150.66</v>
      </c>
      <c r="K1535" s="3">
        <v>62369.14</v>
      </c>
      <c r="L1535" t="s">
        <v>25</v>
      </c>
      <c r="M1535" s="2">
        <v>45753</v>
      </c>
      <c r="N1535" s="2">
        <v>45750</v>
      </c>
      <c r="O1535" t="s">
        <v>26</v>
      </c>
      <c r="P1535" t="s">
        <v>64</v>
      </c>
      <c r="Q1535" t="s">
        <v>28</v>
      </c>
      <c r="R1535" t="s">
        <v>29</v>
      </c>
      <c r="S1535">
        <v>2025</v>
      </c>
      <c r="T1535" t="s">
        <v>2747</v>
      </c>
      <c r="U1535" t="s">
        <v>2748</v>
      </c>
      <c r="V1535" s="4">
        <v>0</v>
      </c>
      <c r="W1535" s="4">
        <v>1</v>
      </c>
    </row>
    <row r="1536" spans="1:23">
      <c r="A1536" t="s">
        <v>1668</v>
      </c>
      <c r="B1536" s="2">
        <v>45691</v>
      </c>
      <c r="C1536" t="s">
        <v>117</v>
      </c>
      <c r="D1536" t="s">
        <v>118</v>
      </c>
      <c r="E1536" t="s">
        <v>48</v>
      </c>
      <c r="F1536" t="s">
        <v>57</v>
      </c>
      <c r="G1536" t="s">
        <v>127</v>
      </c>
      <c r="H1536" t="s">
        <v>128</v>
      </c>
      <c r="I1536">
        <v>3</v>
      </c>
      <c r="J1536" s="3">
        <v>15889.63</v>
      </c>
      <c r="K1536" s="3">
        <v>47668.89</v>
      </c>
      <c r="L1536" t="s">
        <v>25</v>
      </c>
      <c r="M1536" s="2">
        <v>45702</v>
      </c>
      <c r="N1536" s="2">
        <v>45700</v>
      </c>
      <c r="O1536" t="s">
        <v>26</v>
      </c>
      <c r="P1536" t="s">
        <v>53</v>
      </c>
      <c r="Q1536" t="s">
        <v>28</v>
      </c>
      <c r="R1536" t="s">
        <v>29</v>
      </c>
      <c r="S1536">
        <v>2025</v>
      </c>
      <c r="T1536" t="s">
        <v>2751</v>
      </c>
      <c r="U1536" t="s">
        <v>2752</v>
      </c>
      <c r="V1536" s="4">
        <v>0</v>
      </c>
      <c r="W1536" s="4">
        <v>1</v>
      </c>
    </row>
    <row r="1537" spans="1:23">
      <c r="A1537" t="s">
        <v>1669</v>
      </c>
      <c r="B1537" s="2">
        <v>46048</v>
      </c>
      <c r="C1537" t="s">
        <v>147</v>
      </c>
      <c r="D1537" t="s">
        <v>148</v>
      </c>
      <c r="E1537" t="s">
        <v>39</v>
      </c>
      <c r="F1537" t="s">
        <v>40</v>
      </c>
      <c r="G1537" t="s">
        <v>136</v>
      </c>
      <c r="H1537" t="s">
        <v>137</v>
      </c>
      <c r="I1537">
        <v>36</v>
      </c>
      <c r="J1537" s="3">
        <v>1617.65</v>
      </c>
      <c r="K1537" s="3">
        <v>58235.4</v>
      </c>
      <c r="L1537" t="s">
        <v>34</v>
      </c>
      <c r="M1537" s="2">
        <v>46053</v>
      </c>
      <c r="N1537" s="2">
        <v>46055</v>
      </c>
      <c r="O1537" t="s">
        <v>76</v>
      </c>
      <c r="P1537" t="s">
        <v>64</v>
      </c>
      <c r="Q1537" t="s">
        <v>28</v>
      </c>
      <c r="R1537" t="s">
        <v>129</v>
      </c>
      <c r="S1537">
        <v>2026</v>
      </c>
      <c r="T1537" t="s">
        <v>2757</v>
      </c>
      <c r="U1537" t="s">
        <v>2758</v>
      </c>
      <c r="V1537" s="4">
        <v>2</v>
      </c>
      <c r="W1537" s="4">
        <v>0</v>
      </c>
    </row>
    <row r="1538" spans="1:23">
      <c r="A1538" t="s">
        <v>1670</v>
      </c>
      <c r="B1538" s="2">
        <v>45963</v>
      </c>
      <c r="C1538" t="s">
        <v>19</v>
      </c>
      <c r="D1538" t="s">
        <v>20</v>
      </c>
      <c r="E1538" t="s">
        <v>112</v>
      </c>
      <c r="F1538" t="s">
        <v>22</v>
      </c>
      <c r="G1538" t="s">
        <v>160</v>
      </c>
      <c r="H1538" t="s">
        <v>161</v>
      </c>
      <c r="I1538">
        <v>15</v>
      </c>
      <c r="J1538" s="3">
        <v>3144.71</v>
      </c>
      <c r="K1538" s="3">
        <v>47170.65</v>
      </c>
      <c r="L1538" t="s">
        <v>25</v>
      </c>
      <c r="M1538" s="2">
        <v>45970</v>
      </c>
      <c r="N1538" s="2">
        <v>45967</v>
      </c>
      <c r="O1538" t="s">
        <v>43</v>
      </c>
      <c r="P1538" t="s">
        <v>115</v>
      </c>
      <c r="Q1538" t="s">
        <v>28</v>
      </c>
      <c r="R1538" t="s">
        <v>29</v>
      </c>
      <c r="S1538">
        <v>2025</v>
      </c>
      <c r="T1538" t="s">
        <v>2763</v>
      </c>
      <c r="U1538" t="s">
        <v>2764</v>
      </c>
      <c r="V1538" s="4">
        <v>0</v>
      </c>
      <c r="W1538" s="4">
        <v>1</v>
      </c>
    </row>
    <row r="1539" spans="1:23">
      <c r="A1539" t="s">
        <v>1671</v>
      </c>
      <c r="B1539" s="2">
        <v>45930</v>
      </c>
      <c r="C1539" t="s">
        <v>55</v>
      </c>
      <c r="D1539" t="s">
        <v>56</v>
      </c>
      <c r="E1539" t="s">
        <v>73</v>
      </c>
      <c r="F1539" t="s">
        <v>57</v>
      </c>
      <c r="G1539" t="s">
        <v>101</v>
      </c>
      <c r="H1539" t="s">
        <v>102</v>
      </c>
      <c r="I1539">
        <v>53</v>
      </c>
      <c r="J1539" s="3">
        <v>1985.82</v>
      </c>
      <c r="K1539" s="3">
        <v>105248.46</v>
      </c>
      <c r="L1539" t="s">
        <v>25</v>
      </c>
      <c r="M1539" s="2">
        <v>45942</v>
      </c>
      <c r="N1539" s="2">
        <v>45956</v>
      </c>
      <c r="O1539" t="s">
        <v>60</v>
      </c>
      <c r="P1539" t="s">
        <v>77</v>
      </c>
      <c r="Q1539" t="s">
        <v>28</v>
      </c>
      <c r="R1539" t="s">
        <v>129</v>
      </c>
      <c r="S1539">
        <v>2025</v>
      </c>
      <c r="T1539" t="s">
        <v>2753</v>
      </c>
      <c r="U1539" t="s">
        <v>2754</v>
      </c>
      <c r="V1539" s="4">
        <v>14</v>
      </c>
      <c r="W1539" s="4">
        <v>0</v>
      </c>
    </row>
    <row r="1540" spans="1:23">
      <c r="A1540" t="s">
        <v>1672</v>
      </c>
      <c r="B1540" s="2">
        <v>45973</v>
      </c>
      <c r="C1540" t="s">
        <v>55</v>
      </c>
      <c r="D1540" t="s">
        <v>56</v>
      </c>
      <c r="E1540" t="s">
        <v>21</v>
      </c>
      <c r="F1540" t="s">
        <v>57</v>
      </c>
      <c r="G1540" t="s">
        <v>74</v>
      </c>
      <c r="H1540" t="s">
        <v>75</v>
      </c>
      <c r="I1540">
        <v>12</v>
      </c>
      <c r="J1540" s="3">
        <v>9879.7000000000007</v>
      </c>
      <c r="K1540" s="3">
        <v>118556.4</v>
      </c>
      <c r="L1540" t="s">
        <v>34</v>
      </c>
      <c r="M1540" s="2">
        <v>45986</v>
      </c>
      <c r="N1540" s="2">
        <v>45984</v>
      </c>
      <c r="O1540" t="s">
        <v>76</v>
      </c>
      <c r="P1540" t="s">
        <v>27</v>
      </c>
      <c r="Q1540" t="s">
        <v>28</v>
      </c>
      <c r="R1540" t="s">
        <v>29</v>
      </c>
      <c r="S1540">
        <v>2025</v>
      </c>
      <c r="T1540" t="s">
        <v>2763</v>
      </c>
      <c r="U1540" t="s">
        <v>2764</v>
      </c>
      <c r="V1540" s="4">
        <v>0</v>
      </c>
      <c r="W1540" s="4">
        <v>1</v>
      </c>
    </row>
    <row r="1541" spans="1:23">
      <c r="A1541" t="s">
        <v>1673</v>
      </c>
      <c r="B1541" s="2">
        <v>46180</v>
      </c>
      <c r="C1541" t="s">
        <v>96</v>
      </c>
      <c r="D1541" t="s">
        <v>97</v>
      </c>
      <c r="E1541" t="s">
        <v>39</v>
      </c>
      <c r="F1541" t="s">
        <v>82</v>
      </c>
      <c r="G1541" t="s">
        <v>197</v>
      </c>
      <c r="H1541" t="s">
        <v>198</v>
      </c>
      <c r="I1541">
        <v>38</v>
      </c>
      <c r="J1541" s="3">
        <v>2131.3000000000002</v>
      </c>
      <c r="K1541" s="3">
        <v>80989.399999999994</v>
      </c>
      <c r="L1541" t="s">
        <v>25</v>
      </c>
      <c r="M1541" s="2">
        <v>46190</v>
      </c>
      <c r="N1541" s="2">
        <v>46187</v>
      </c>
      <c r="O1541" t="s">
        <v>26</v>
      </c>
      <c r="P1541" t="s">
        <v>64</v>
      </c>
      <c r="Q1541" t="s">
        <v>28</v>
      </c>
      <c r="R1541" t="s">
        <v>29</v>
      </c>
      <c r="S1541">
        <v>2026</v>
      </c>
      <c r="T1541" t="s">
        <v>2743</v>
      </c>
      <c r="U1541" t="s">
        <v>2744</v>
      </c>
      <c r="V1541" s="4">
        <v>0</v>
      </c>
      <c r="W1541" s="4">
        <v>1</v>
      </c>
    </row>
    <row r="1542" spans="1:23">
      <c r="A1542" t="s">
        <v>1674</v>
      </c>
      <c r="B1542" s="2">
        <v>45894</v>
      </c>
      <c r="C1542" t="s">
        <v>104</v>
      </c>
      <c r="D1542" t="s">
        <v>105</v>
      </c>
      <c r="E1542" t="s">
        <v>73</v>
      </c>
      <c r="F1542" t="s">
        <v>49</v>
      </c>
      <c r="G1542" t="s">
        <v>68</v>
      </c>
      <c r="H1542" t="s">
        <v>69</v>
      </c>
      <c r="I1542">
        <v>1</v>
      </c>
      <c r="J1542" s="3">
        <v>46398.34</v>
      </c>
      <c r="K1542" s="3">
        <v>46398.34</v>
      </c>
      <c r="L1542" t="s">
        <v>52</v>
      </c>
      <c r="M1542" s="2">
        <v>45908</v>
      </c>
      <c r="N1542" s="2">
        <v>45905</v>
      </c>
      <c r="O1542" t="s">
        <v>26</v>
      </c>
      <c r="P1542" t="s">
        <v>77</v>
      </c>
      <c r="Q1542" t="s">
        <v>28</v>
      </c>
      <c r="R1542" t="s">
        <v>29</v>
      </c>
      <c r="S1542">
        <v>2025</v>
      </c>
      <c r="T1542" t="s">
        <v>2761</v>
      </c>
      <c r="U1542" t="s">
        <v>2762</v>
      </c>
      <c r="V1542" s="4">
        <v>0</v>
      </c>
      <c r="W1542" s="4">
        <v>1</v>
      </c>
    </row>
    <row r="1543" spans="1:23">
      <c r="A1543" t="s">
        <v>1675</v>
      </c>
      <c r="B1543" s="2">
        <v>45848</v>
      </c>
      <c r="C1543" t="s">
        <v>19</v>
      </c>
      <c r="D1543" t="s">
        <v>20</v>
      </c>
      <c r="E1543" t="s">
        <v>73</v>
      </c>
      <c r="F1543" t="s">
        <v>22</v>
      </c>
      <c r="G1543" t="s">
        <v>160</v>
      </c>
      <c r="H1543" t="s">
        <v>161</v>
      </c>
      <c r="I1543">
        <v>7</v>
      </c>
      <c r="J1543" s="3">
        <v>2846.28</v>
      </c>
      <c r="K1543" s="3">
        <v>19923.96</v>
      </c>
      <c r="L1543" t="s">
        <v>52</v>
      </c>
      <c r="M1543" s="2">
        <v>45859</v>
      </c>
      <c r="N1543" s="2">
        <v>45856</v>
      </c>
      <c r="O1543" t="s">
        <v>60</v>
      </c>
      <c r="P1543" t="s">
        <v>77</v>
      </c>
      <c r="Q1543" t="s">
        <v>28</v>
      </c>
      <c r="R1543" t="s">
        <v>29</v>
      </c>
      <c r="S1543">
        <v>2025</v>
      </c>
      <c r="T1543" t="s">
        <v>2759</v>
      </c>
      <c r="U1543" t="s">
        <v>2760</v>
      </c>
      <c r="V1543" s="4">
        <v>0</v>
      </c>
      <c r="W1543" s="4">
        <v>1</v>
      </c>
    </row>
    <row r="1544" spans="1:23">
      <c r="A1544" t="s">
        <v>1676</v>
      </c>
      <c r="B1544" s="2">
        <v>46044</v>
      </c>
      <c r="C1544" t="s">
        <v>37</v>
      </c>
      <c r="D1544" t="s">
        <v>38</v>
      </c>
      <c r="E1544" t="s">
        <v>31</v>
      </c>
      <c r="F1544" t="s">
        <v>22</v>
      </c>
      <c r="G1544" t="s">
        <v>32</v>
      </c>
      <c r="H1544" t="s">
        <v>33</v>
      </c>
      <c r="I1544">
        <v>12</v>
      </c>
      <c r="J1544" s="3">
        <v>8453.82</v>
      </c>
      <c r="K1544" s="3">
        <v>101445.84</v>
      </c>
      <c r="L1544" t="s">
        <v>25</v>
      </c>
      <c r="M1544" s="2">
        <v>46058</v>
      </c>
      <c r="N1544" s="2">
        <v>46057</v>
      </c>
      <c r="O1544" t="s">
        <v>60</v>
      </c>
      <c r="P1544" t="s">
        <v>35</v>
      </c>
      <c r="Q1544" t="s">
        <v>28</v>
      </c>
      <c r="R1544" t="s">
        <v>29</v>
      </c>
      <c r="S1544">
        <v>2026</v>
      </c>
      <c r="T1544" t="s">
        <v>2757</v>
      </c>
      <c r="U1544" t="s">
        <v>2758</v>
      </c>
      <c r="V1544" s="4">
        <v>0</v>
      </c>
      <c r="W1544" s="4">
        <v>1</v>
      </c>
    </row>
    <row r="1545" spans="1:23">
      <c r="A1545" t="s">
        <v>1677</v>
      </c>
      <c r="B1545" s="2">
        <v>46185</v>
      </c>
      <c r="C1545" t="s">
        <v>142</v>
      </c>
      <c r="D1545" t="s">
        <v>143</v>
      </c>
      <c r="E1545" t="s">
        <v>31</v>
      </c>
      <c r="F1545" t="s">
        <v>22</v>
      </c>
      <c r="G1545" t="s">
        <v>23</v>
      </c>
      <c r="H1545" t="s">
        <v>24</v>
      </c>
      <c r="I1545">
        <v>5</v>
      </c>
      <c r="J1545" s="3">
        <v>252.42</v>
      </c>
      <c r="K1545" s="3">
        <v>1262.0999999999999</v>
      </c>
      <c r="L1545" t="s">
        <v>25</v>
      </c>
      <c r="M1545" s="2">
        <v>46194</v>
      </c>
      <c r="N1545" s="2">
        <v>46192</v>
      </c>
      <c r="O1545" t="s">
        <v>43</v>
      </c>
      <c r="P1545" t="s">
        <v>35</v>
      </c>
      <c r="Q1545" t="s">
        <v>28</v>
      </c>
      <c r="R1545" t="s">
        <v>29</v>
      </c>
      <c r="S1545">
        <v>2026</v>
      </c>
      <c r="T1545" t="s">
        <v>2743</v>
      </c>
      <c r="U1545" t="s">
        <v>2744</v>
      </c>
      <c r="V1545" s="4">
        <v>0</v>
      </c>
      <c r="W1545" s="4">
        <v>1</v>
      </c>
    </row>
    <row r="1546" spans="1:23">
      <c r="A1546" t="s">
        <v>1678</v>
      </c>
      <c r="B1546" s="2">
        <v>45910</v>
      </c>
      <c r="C1546" t="s">
        <v>96</v>
      </c>
      <c r="D1546" t="s">
        <v>97</v>
      </c>
      <c r="E1546" t="s">
        <v>39</v>
      </c>
      <c r="F1546" t="s">
        <v>82</v>
      </c>
      <c r="G1546" t="s">
        <v>197</v>
      </c>
      <c r="H1546" t="s">
        <v>198</v>
      </c>
      <c r="I1546">
        <v>10</v>
      </c>
      <c r="J1546" s="3">
        <v>2182.08</v>
      </c>
      <c r="K1546" s="3">
        <v>21820.799999999999</v>
      </c>
      <c r="L1546" t="s">
        <v>25</v>
      </c>
      <c r="M1546" s="2">
        <v>45917</v>
      </c>
      <c r="N1546" s="2">
        <v>45914</v>
      </c>
      <c r="O1546" t="s">
        <v>43</v>
      </c>
      <c r="P1546" t="s">
        <v>64</v>
      </c>
      <c r="Q1546" t="s">
        <v>28</v>
      </c>
      <c r="R1546" t="s">
        <v>29</v>
      </c>
      <c r="S1546">
        <v>2025</v>
      </c>
      <c r="T1546" t="s">
        <v>2753</v>
      </c>
      <c r="U1546" t="s">
        <v>2754</v>
      </c>
      <c r="V1546" s="4">
        <v>0</v>
      </c>
      <c r="W1546" s="4">
        <v>1</v>
      </c>
    </row>
    <row r="1547" spans="1:23">
      <c r="A1547" t="s">
        <v>1679</v>
      </c>
      <c r="B1547" s="2">
        <v>45954</v>
      </c>
      <c r="C1547" t="s">
        <v>104</v>
      </c>
      <c r="D1547" t="s">
        <v>105</v>
      </c>
      <c r="E1547" t="s">
        <v>48</v>
      </c>
      <c r="F1547" t="s">
        <v>49</v>
      </c>
      <c r="G1547" t="s">
        <v>68</v>
      </c>
      <c r="H1547" t="s">
        <v>69</v>
      </c>
      <c r="I1547">
        <v>1</v>
      </c>
      <c r="J1547" s="3">
        <v>48745.18</v>
      </c>
      <c r="K1547" s="3">
        <v>48745.18</v>
      </c>
      <c r="L1547" t="s">
        <v>52</v>
      </c>
      <c r="M1547" s="2">
        <v>45971</v>
      </c>
      <c r="N1547" s="2">
        <v>45970</v>
      </c>
      <c r="O1547" t="s">
        <v>76</v>
      </c>
      <c r="P1547" t="s">
        <v>53</v>
      </c>
      <c r="Q1547" t="s">
        <v>28</v>
      </c>
      <c r="R1547" t="s">
        <v>29</v>
      </c>
      <c r="S1547">
        <v>2025</v>
      </c>
      <c r="T1547" t="s">
        <v>2749</v>
      </c>
      <c r="U1547" t="s">
        <v>2750</v>
      </c>
      <c r="V1547" s="4">
        <v>0</v>
      </c>
      <c r="W1547" s="4">
        <v>1</v>
      </c>
    </row>
    <row r="1548" spans="1:23">
      <c r="A1548" t="s">
        <v>1680</v>
      </c>
      <c r="B1548" s="2">
        <v>45880</v>
      </c>
      <c r="C1548" t="s">
        <v>96</v>
      </c>
      <c r="D1548" t="s">
        <v>97</v>
      </c>
      <c r="E1548" t="s">
        <v>39</v>
      </c>
      <c r="F1548" t="s">
        <v>82</v>
      </c>
      <c r="G1548" t="s">
        <v>197</v>
      </c>
      <c r="H1548" t="s">
        <v>198</v>
      </c>
      <c r="I1548">
        <v>45</v>
      </c>
      <c r="J1548" s="3">
        <v>2065.23</v>
      </c>
      <c r="K1548" s="3">
        <v>92935.35</v>
      </c>
      <c r="L1548" t="s">
        <v>25</v>
      </c>
      <c r="M1548" s="2">
        <v>45898</v>
      </c>
      <c r="N1548" s="2">
        <v>45897</v>
      </c>
      <c r="O1548" t="s">
        <v>60</v>
      </c>
      <c r="P1548" t="s">
        <v>44</v>
      </c>
      <c r="Q1548" t="s">
        <v>28</v>
      </c>
      <c r="R1548" t="s">
        <v>29</v>
      </c>
      <c r="S1548">
        <v>2025</v>
      </c>
      <c r="T1548" t="s">
        <v>2761</v>
      </c>
      <c r="U1548" t="s">
        <v>2762</v>
      </c>
      <c r="V1548" s="4">
        <v>0</v>
      </c>
      <c r="W1548" s="4">
        <v>1</v>
      </c>
    </row>
    <row r="1549" spans="1:23">
      <c r="A1549" t="s">
        <v>1681</v>
      </c>
      <c r="B1549" s="2">
        <v>46050</v>
      </c>
      <c r="C1549" t="s">
        <v>131</v>
      </c>
      <c r="D1549" t="s">
        <v>132</v>
      </c>
      <c r="E1549" t="s">
        <v>48</v>
      </c>
      <c r="F1549" t="s">
        <v>57</v>
      </c>
      <c r="G1549" t="s">
        <v>58</v>
      </c>
      <c r="H1549" t="s">
        <v>59</v>
      </c>
      <c r="I1549">
        <v>3</v>
      </c>
      <c r="J1549" s="3">
        <v>59052.75</v>
      </c>
      <c r="K1549" s="3">
        <v>177158.25</v>
      </c>
      <c r="L1549" t="s">
        <v>25</v>
      </c>
      <c r="M1549" s="2">
        <v>46055</v>
      </c>
      <c r="N1549" s="2">
        <v>46054</v>
      </c>
      <c r="O1549" t="s">
        <v>26</v>
      </c>
      <c r="P1549" t="s">
        <v>53</v>
      </c>
      <c r="Q1549" t="s">
        <v>28</v>
      </c>
      <c r="R1549" t="s">
        <v>29</v>
      </c>
      <c r="S1549">
        <v>2026</v>
      </c>
      <c r="T1549" t="s">
        <v>2757</v>
      </c>
      <c r="U1549" t="s">
        <v>2758</v>
      </c>
      <c r="V1549" s="4">
        <v>0</v>
      </c>
      <c r="W1549" s="4">
        <v>1</v>
      </c>
    </row>
    <row r="1550" spans="1:23">
      <c r="A1550" t="s">
        <v>1682</v>
      </c>
      <c r="B1550" s="2">
        <v>46096</v>
      </c>
      <c r="C1550" t="s">
        <v>104</v>
      </c>
      <c r="D1550" t="s">
        <v>105</v>
      </c>
      <c r="E1550" t="s">
        <v>48</v>
      </c>
      <c r="F1550" t="s">
        <v>49</v>
      </c>
      <c r="G1550" t="s">
        <v>68</v>
      </c>
      <c r="H1550" t="s">
        <v>69</v>
      </c>
      <c r="I1550">
        <v>3</v>
      </c>
      <c r="J1550" s="3">
        <v>50130.83</v>
      </c>
      <c r="K1550" s="3">
        <v>150392.49</v>
      </c>
      <c r="L1550" t="s">
        <v>25</v>
      </c>
      <c r="M1550" s="2">
        <v>46114</v>
      </c>
      <c r="N1550" s="2">
        <v>46129</v>
      </c>
      <c r="O1550" t="s">
        <v>26</v>
      </c>
      <c r="P1550" t="s">
        <v>53</v>
      </c>
      <c r="Q1550" t="s">
        <v>28</v>
      </c>
      <c r="R1550" t="s">
        <v>129</v>
      </c>
      <c r="S1550">
        <v>2026</v>
      </c>
      <c r="T1550" t="s">
        <v>2747</v>
      </c>
      <c r="U1550" t="s">
        <v>2755</v>
      </c>
      <c r="V1550" s="4">
        <v>15</v>
      </c>
      <c r="W1550" s="4">
        <v>0</v>
      </c>
    </row>
    <row r="1551" spans="1:23">
      <c r="A1551" t="s">
        <v>1683</v>
      </c>
      <c r="B1551" s="2">
        <v>45745</v>
      </c>
      <c r="C1551" t="s">
        <v>71</v>
      </c>
      <c r="D1551" t="s">
        <v>72</v>
      </c>
      <c r="E1551" t="s">
        <v>73</v>
      </c>
      <c r="F1551" t="s">
        <v>57</v>
      </c>
      <c r="G1551" t="s">
        <v>101</v>
      </c>
      <c r="H1551" t="s">
        <v>102</v>
      </c>
      <c r="I1551">
        <v>11</v>
      </c>
      <c r="J1551" s="3">
        <v>1678.05</v>
      </c>
      <c r="K1551" s="3">
        <v>18458.55</v>
      </c>
      <c r="L1551" t="s">
        <v>52</v>
      </c>
      <c r="M1551" s="2">
        <v>45758</v>
      </c>
      <c r="N1551" s="2">
        <v>45756</v>
      </c>
      <c r="O1551" t="s">
        <v>26</v>
      </c>
      <c r="P1551" t="s">
        <v>77</v>
      </c>
      <c r="Q1551" t="s">
        <v>28</v>
      </c>
      <c r="R1551" t="s">
        <v>29</v>
      </c>
      <c r="S1551">
        <v>2025</v>
      </c>
      <c r="T1551" t="s">
        <v>2747</v>
      </c>
      <c r="U1551" t="s">
        <v>2748</v>
      </c>
      <c r="V1551" s="4">
        <v>0</v>
      </c>
      <c r="W1551" s="4">
        <v>1</v>
      </c>
    </row>
    <row r="1552" spans="1:23">
      <c r="A1552" t="s">
        <v>1684</v>
      </c>
      <c r="B1552" s="2">
        <v>45664</v>
      </c>
      <c r="C1552" t="s">
        <v>104</v>
      </c>
      <c r="D1552" t="s">
        <v>105</v>
      </c>
      <c r="E1552" t="s">
        <v>48</v>
      </c>
      <c r="F1552" t="s">
        <v>49</v>
      </c>
      <c r="G1552" t="s">
        <v>68</v>
      </c>
      <c r="H1552" t="s">
        <v>69</v>
      </c>
      <c r="I1552">
        <v>1</v>
      </c>
      <c r="J1552" s="3">
        <v>49150.75</v>
      </c>
      <c r="K1552" s="3">
        <v>49150.75</v>
      </c>
      <c r="L1552" t="s">
        <v>25</v>
      </c>
      <c r="M1552" s="2">
        <v>45672</v>
      </c>
      <c r="N1552" s="2">
        <v>45671</v>
      </c>
      <c r="O1552" t="s">
        <v>76</v>
      </c>
      <c r="P1552" t="s">
        <v>53</v>
      </c>
      <c r="Q1552" t="s">
        <v>28</v>
      </c>
      <c r="R1552" t="s">
        <v>29</v>
      </c>
      <c r="S1552">
        <v>2025</v>
      </c>
      <c r="T1552" t="s">
        <v>2757</v>
      </c>
      <c r="U1552" t="s">
        <v>2768</v>
      </c>
      <c r="V1552" s="4">
        <v>0</v>
      </c>
      <c r="W1552" s="4">
        <v>1</v>
      </c>
    </row>
    <row r="1553" spans="1:23">
      <c r="A1553" t="s">
        <v>1685</v>
      </c>
      <c r="B1553" s="2">
        <v>45757</v>
      </c>
      <c r="C1553" t="s">
        <v>71</v>
      </c>
      <c r="D1553" t="s">
        <v>72</v>
      </c>
      <c r="E1553" t="s">
        <v>31</v>
      </c>
      <c r="F1553" t="s">
        <v>57</v>
      </c>
      <c r="G1553" t="s">
        <v>86</v>
      </c>
      <c r="H1553" t="s">
        <v>87</v>
      </c>
      <c r="I1553">
        <v>6</v>
      </c>
      <c r="J1553" s="3">
        <v>9851.5300000000007</v>
      </c>
      <c r="K1553" s="3">
        <v>59109.18</v>
      </c>
      <c r="L1553" t="s">
        <v>34</v>
      </c>
      <c r="M1553" s="2">
        <v>45762</v>
      </c>
      <c r="N1553" s="2">
        <v>45765</v>
      </c>
      <c r="O1553" t="s">
        <v>26</v>
      </c>
      <c r="P1553" t="s">
        <v>94</v>
      </c>
      <c r="Q1553" t="s">
        <v>28</v>
      </c>
      <c r="R1553" t="s">
        <v>129</v>
      </c>
      <c r="S1553">
        <v>2025</v>
      </c>
      <c r="T1553" t="s">
        <v>2741</v>
      </c>
      <c r="U1553" t="s">
        <v>2742</v>
      </c>
      <c r="V1553" s="4">
        <v>3</v>
      </c>
      <c r="W1553" s="4">
        <v>0</v>
      </c>
    </row>
    <row r="1554" spans="1:23">
      <c r="A1554" t="s">
        <v>1686</v>
      </c>
      <c r="B1554" s="2">
        <v>45730</v>
      </c>
      <c r="C1554" t="s">
        <v>89</v>
      </c>
      <c r="D1554" t="s">
        <v>90</v>
      </c>
      <c r="E1554" t="s">
        <v>31</v>
      </c>
      <c r="F1554" t="s">
        <v>91</v>
      </c>
      <c r="G1554" t="s">
        <v>92</v>
      </c>
      <c r="H1554" t="s">
        <v>93</v>
      </c>
      <c r="I1554">
        <v>1</v>
      </c>
      <c r="J1554" s="3">
        <v>41037.74</v>
      </c>
      <c r="K1554" s="3">
        <v>41037.74</v>
      </c>
      <c r="L1554" t="s">
        <v>25</v>
      </c>
      <c r="M1554" s="2">
        <v>45747</v>
      </c>
      <c r="N1554" s="2">
        <v>45745</v>
      </c>
      <c r="O1554" t="s">
        <v>60</v>
      </c>
      <c r="P1554" t="s">
        <v>35</v>
      </c>
      <c r="Q1554" t="s">
        <v>28</v>
      </c>
      <c r="R1554" t="s">
        <v>29</v>
      </c>
      <c r="S1554">
        <v>2025</v>
      </c>
      <c r="T1554" t="s">
        <v>2747</v>
      </c>
      <c r="U1554" t="s">
        <v>2748</v>
      </c>
      <c r="V1554" s="4">
        <v>0</v>
      </c>
      <c r="W1554" s="4">
        <v>1</v>
      </c>
    </row>
    <row r="1555" spans="1:23">
      <c r="A1555" t="s">
        <v>1687</v>
      </c>
      <c r="B1555" s="2">
        <v>46163</v>
      </c>
      <c r="C1555" t="s">
        <v>131</v>
      </c>
      <c r="D1555" t="s">
        <v>132</v>
      </c>
      <c r="E1555" t="s">
        <v>73</v>
      </c>
      <c r="F1555" t="s">
        <v>57</v>
      </c>
      <c r="G1555" t="s">
        <v>74</v>
      </c>
      <c r="H1555" t="s">
        <v>75</v>
      </c>
      <c r="I1555">
        <v>6</v>
      </c>
      <c r="J1555" s="3">
        <v>9347.6299999999992</v>
      </c>
      <c r="K1555" s="3">
        <v>56085.78</v>
      </c>
      <c r="L1555" t="s">
        <v>34</v>
      </c>
      <c r="M1555" s="2">
        <v>46169</v>
      </c>
      <c r="N1555" s="2">
        <v>46169</v>
      </c>
      <c r="O1555" t="s">
        <v>60</v>
      </c>
      <c r="P1555" t="s">
        <v>77</v>
      </c>
      <c r="Q1555" t="s">
        <v>28</v>
      </c>
      <c r="R1555" t="s">
        <v>29</v>
      </c>
      <c r="S1555">
        <v>2026</v>
      </c>
      <c r="T1555" t="s">
        <v>2766</v>
      </c>
      <c r="U1555" t="s">
        <v>2769</v>
      </c>
      <c r="V1555" s="4">
        <v>0</v>
      </c>
      <c r="W1555" s="4">
        <v>1</v>
      </c>
    </row>
    <row r="1556" spans="1:23">
      <c r="A1556" t="s">
        <v>1688</v>
      </c>
      <c r="B1556" s="2">
        <v>45987</v>
      </c>
      <c r="C1556" t="s">
        <v>71</v>
      </c>
      <c r="D1556" t="s">
        <v>72</v>
      </c>
      <c r="E1556" t="s">
        <v>48</v>
      </c>
      <c r="F1556" t="s">
        <v>57</v>
      </c>
      <c r="G1556" t="s">
        <v>74</v>
      </c>
      <c r="H1556" t="s">
        <v>75</v>
      </c>
      <c r="I1556">
        <v>12</v>
      </c>
      <c r="J1556" s="3">
        <v>8487.52</v>
      </c>
      <c r="K1556" s="3">
        <v>101850.24000000001</v>
      </c>
      <c r="L1556" t="s">
        <v>25</v>
      </c>
      <c r="M1556" s="2">
        <v>46000</v>
      </c>
      <c r="N1556" s="2">
        <v>45998</v>
      </c>
      <c r="O1556" t="s">
        <v>26</v>
      </c>
      <c r="P1556" t="s">
        <v>53</v>
      </c>
      <c r="Q1556" t="s">
        <v>28</v>
      </c>
      <c r="R1556" t="s">
        <v>29</v>
      </c>
      <c r="S1556">
        <v>2025</v>
      </c>
      <c r="T1556" t="s">
        <v>2763</v>
      </c>
      <c r="U1556" t="s">
        <v>2764</v>
      </c>
      <c r="V1556" s="4">
        <v>0</v>
      </c>
      <c r="W1556" s="4">
        <v>1</v>
      </c>
    </row>
    <row r="1557" spans="1:23">
      <c r="A1557" t="s">
        <v>1689</v>
      </c>
      <c r="B1557" s="2">
        <v>46013</v>
      </c>
      <c r="C1557" t="s">
        <v>142</v>
      </c>
      <c r="D1557" t="s">
        <v>143</v>
      </c>
      <c r="E1557" t="s">
        <v>21</v>
      </c>
      <c r="F1557" t="s">
        <v>22</v>
      </c>
      <c r="G1557" t="s">
        <v>160</v>
      </c>
      <c r="H1557" t="s">
        <v>161</v>
      </c>
      <c r="I1557">
        <v>9</v>
      </c>
      <c r="J1557" s="3">
        <v>3254.75</v>
      </c>
      <c r="K1557" s="3">
        <v>29292.75</v>
      </c>
      <c r="L1557" t="s">
        <v>25</v>
      </c>
      <c r="M1557" s="2">
        <v>46030</v>
      </c>
      <c r="N1557" s="2">
        <v>46030</v>
      </c>
      <c r="O1557" t="s">
        <v>43</v>
      </c>
      <c r="P1557" t="s">
        <v>27</v>
      </c>
      <c r="Q1557" t="s">
        <v>28</v>
      </c>
      <c r="R1557" t="s">
        <v>29</v>
      </c>
      <c r="S1557">
        <v>2025</v>
      </c>
      <c r="T1557" t="s">
        <v>2745</v>
      </c>
      <c r="U1557" t="s">
        <v>2746</v>
      </c>
      <c r="V1557" s="4">
        <v>0</v>
      </c>
      <c r="W1557" s="4">
        <v>1</v>
      </c>
    </row>
    <row r="1558" spans="1:23">
      <c r="A1558" t="s">
        <v>1690</v>
      </c>
      <c r="B1558" s="2">
        <v>46120</v>
      </c>
      <c r="C1558" t="s">
        <v>104</v>
      </c>
      <c r="D1558" t="s">
        <v>105</v>
      </c>
      <c r="E1558" t="s">
        <v>48</v>
      </c>
      <c r="F1558" t="s">
        <v>49</v>
      </c>
      <c r="G1558" t="s">
        <v>165</v>
      </c>
      <c r="H1558" t="s">
        <v>166</v>
      </c>
      <c r="I1558">
        <v>2</v>
      </c>
      <c r="J1558" s="3">
        <v>45898.94</v>
      </c>
      <c r="K1558" s="3">
        <v>91797.88</v>
      </c>
      <c r="L1558" t="s">
        <v>25</v>
      </c>
      <c r="M1558" s="2">
        <v>46125</v>
      </c>
      <c r="N1558" s="2">
        <v>46122</v>
      </c>
      <c r="O1558" t="s">
        <v>76</v>
      </c>
      <c r="P1558" t="s">
        <v>53</v>
      </c>
      <c r="Q1558" t="s">
        <v>28</v>
      </c>
      <c r="R1558" t="s">
        <v>29</v>
      </c>
      <c r="S1558">
        <v>2026</v>
      </c>
      <c r="T1558" t="s">
        <v>2741</v>
      </c>
      <c r="U1558" t="s">
        <v>2770</v>
      </c>
      <c r="V1558" s="4">
        <v>0</v>
      </c>
      <c r="W1558" s="4">
        <v>1</v>
      </c>
    </row>
    <row r="1559" spans="1:23">
      <c r="A1559" t="s">
        <v>1691</v>
      </c>
      <c r="B1559" s="2">
        <v>45778</v>
      </c>
      <c r="C1559" t="s">
        <v>37</v>
      </c>
      <c r="D1559" t="s">
        <v>38</v>
      </c>
      <c r="E1559" t="s">
        <v>112</v>
      </c>
      <c r="F1559" t="s">
        <v>22</v>
      </c>
      <c r="G1559" t="s">
        <v>32</v>
      </c>
      <c r="H1559" t="s">
        <v>33</v>
      </c>
      <c r="I1559">
        <v>3</v>
      </c>
      <c r="J1559" s="3">
        <v>9059.67</v>
      </c>
      <c r="K1559" s="3">
        <v>27179.01</v>
      </c>
      <c r="L1559" t="s">
        <v>34</v>
      </c>
      <c r="M1559" s="2">
        <v>45785</v>
      </c>
      <c r="N1559" s="2">
        <v>45785</v>
      </c>
      <c r="O1559" t="s">
        <v>60</v>
      </c>
      <c r="P1559" t="s">
        <v>115</v>
      </c>
      <c r="Q1559" t="s">
        <v>28</v>
      </c>
      <c r="R1559" t="s">
        <v>29</v>
      </c>
      <c r="S1559">
        <v>2025</v>
      </c>
      <c r="T1559" t="s">
        <v>2766</v>
      </c>
      <c r="U1559" t="s">
        <v>2767</v>
      </c>
      <c r="V1559" s="4">
        <v>0</v>
      </c>
      <c r="W1559" s="4">
        <v>1</v>
      </c>
    </row>
    <row r="1560" spans="1:23">
      <c r="A1560" t="s">
        <v>1692</v>
      </c>
      <c r="B1560" s="2">
        <v>45698</v>
      </c>
      <c r="C1560" t="s">
        <v>71</v>
      </c>
      <c r="D1560" t="s">
        <v>72</v>
      </c>
      <c r="E1560" t="s">
        <v>73</v>
      </c>
      <c r="F1560" t="s">
        <v>57</v>
      </c>
      <c r="G1560" t="s">
        <v>127</v>
      </c>
      <c r="H1560" t="s">
        <v>128</v>
      </c>
      <c r="I1560">
        <v>1</v>
      </c>
      <c r="J1560" s="3">
        <v>15981.57</v>
      </c>
      <c r="K1560" s="3">
        <v>15981.57</v>
      </c>
      <c r="L1560" t="s">
        <v>25</v>
      </c>
      <c r="M1560" s="2">
        <v>45713</v>
      </c>
      <c r="N1560" s="2">
        <v>45713</v>
      </c>
      <c r="O1560" t="s">
        <v>76</v>
      </c>
      <c r="P1560" t="s">
        <v>77</v>
      </c>
      <c r="Q1560" t="s">
        <v>28</v>
      </c>
      <c r="R1560" t="s">
        <v>29</v>
      </c>
      <c r="S1560">
        <v>2025</v>
      </c>
      <c r="T1560" t="s">
        <v>2751</v>
      </c>
      <c r="U1560" t="s">
        <v>2752</v>
      </c>
      <c r="V1560" s="4">
        <v>0</v>
      </c>
      <c r="W1560" s="4">
        <v>1</v>
      </c>
    </row>
    <row r="1561" spans="1:23">
      <c r="A1561" t="s">
        <v>1693</v>
      </c>
      <c r="B1561" s="2">
        <v>46004</v>
      </c>
      <c r="C1561" t="s">
        <v>147</v>
      </c>
      <c r="D1561" t="s">
        <v>148</v>
      </c>
      <c r="E1561" t="s">
        <v>112</v>
      </c>
      <c r="F1561" t="s">
        <v>40</v>
      </c>
      <c r="G1561" t="s">
        <v>62</v>
      </c>
      <c r="H1561" t="s">
        <v>63</v>
      </c>
      <c r="I1561">
        <v>4</v>
      </c>
      <c r="J1561" s="3">
        <v>17379.900000000001</v>
      </c>
      <c r="K1561" s="3">
        <v>69519.600000000006</v>
      </c>
      <c r="L1561" t="s">
        <v>25</v>
      </c>
      <c r="M1561" s="2">
        <v>46020</v>
      </c>
      <c r="N1561" s="2">
        <v>46017</v>
      </c>
      <c r="O1561" t="s">
        <v>43</v>
      </c>
      <c r="P1561" t="s">
        <v>115</v>
      </c>
      <c r="Q1561" t="s">
        <v>28</v>
      </c>
      <c r="R1561" t="s">
        <v>29</v>
      </c>
      <c r="S1561">
        <v>2025</v>
      </c>
      <c r="T1561" t="s">
        <v>2745</v>
      </c>
      <c r="U1561" t="s">
        <v>2746</v>
      </c>
      <c r="V1561" s="4">
        <v>0</v>
      </c>
      <c r="W1561" s="4">
        <v>1</v>
      </c>
    </row>
    <row r="1562" spans="1:23">
      <c r="A1562" t="s">
        <v>1694</v>
      </c>
      <c r="B1562" s="2">
        <v>46137</v>
      </c>
      <c r="C1562" t="s">
        <v>66</v>
      </c>
      <c r="D1562" t="s">
        <v>67</v>
      </c>
      <c r="E1562" t="s">
        <v>112</v>
      </c>
      <c r="F1562" t="s">
        <v>49</v>
      </c>
      <c r="G1562" t="s">
        <v>113</v>
      </c>
      <c r="H1562" t="s">
        <v>114</v>
      </c>
      <c r="I1562">
        <v>2</v>
      </c>
      <c r="J1562" s="3">
        <v>38173.65</v>
      </c>
      <c r="K1562" s="3">
        <v>76347.3</v>
      </c>
      <c r="L1562" t="s">
        <v>52</v>
      </c>
      <c r="M1562" s="2">
        <v>46142</v>
      </c>
      <c r="N1562" s="2">
        <v>46139</v>
      </c>
      <c r="O1562" t="s">
        <v>43</v>
      </c>
      <c r="P1562" t="s">
        <v>115</v>
      </c>
      <c r="Q1562" t="s">
        <v>28</v>
      </c>
      <c r="R1562" t="s">
        <v>29</v>
      </c>
      <c r="S1562">
        <v>2026</v>
      </c>
      <c r="T1562" t="s">
        <v>2741</v>
      </c>
      <c r="U1562" t="s">
        <v>2770</v>
      </c>
      <c r="V1562" s="4">
        <v>0</v>
      </c>
      <c r="W1562" s="4">
        <v>1</v>
      </c>
    </row>
    <row r="1563" spans="1:23">
      <c r="A1563" t="s">
        <v>1695</v>
      </c>
      <c r="B1563" s="2">
        <v>45778</v>
      </c>
      <c r="C1563" t="s">
        <v>37</v>
      </c>
      <c r="D1563" t="s">
        <v>38</v>
      </c>
      <c r="E1563" t="s">
        <v>31</v>
      </c>
      <c r="F1563" t="s">
        <v>22</v>
      </c>
      <c r="G1563" t="s">
        <v>32</v>
      </c>
      <c r="H1563" t="s">
        <v>33</v>
      </c>
      <c r="I1563">
        <v>5</v>
      </c>
      <c r="J1563" s="3">
        <v>8484.7800000000007</v>
      </c>
      <c r="K1563" s="3">
        <v>42423.9</v>
      </c>
      <c r="L1563" t="s">
        <v>25</v>
      </c>
      <c r="M1563" s="2">
        <v>45796</v>
      </c>
      <c r="N1563" s="2">
        <v>45796</v>
      </c>
      <c r="O1563" t="s">
        <v>26</v>
      </c>
      <c r="P1563" t="s">
        <v>35</v>
      </c>
      <c r="Q1563" t="s">
        <v>28</v>
      </c>
      <c r="R1563" t="s">
        <v>29</v>
      </c>
      <c r="S1563">
        <v>2025</v>
      </c>
      <c r="T1563" t="s">
        <v>2766</v>
      </c>
      <c r="U1563" t="s">
        <v>2767</v>
      </c>
      <c r="V1563" s="4">
        <v>0</v>
      </c>
      <c r="W1563" s="4">
        <v>1</v>
      </c>
    </row>
    <row r="1564" spans="1:23">
      <c r="A1564" t="s">
        <v>1696</v>
      </c>
      <c r="B1564" s="2">
        <v>46045</v>
      </c>
      <c r="C1564" t="s">
        <v>46</v>
      </c>
      <c r="D1564" t="s">
        <v>47</v>
      </c>
      <c r="E1564" t="s">
        <v>21</v>
      </c>
      <c r="F1564" t="s">
        <v>49</v>
      </c>
      <c r="G1564" t="s">
        <v>165</v>
      </c>
      <c r="H1564" t="s">
        <v>166</v>
      </c>
      <c r="I1564">
        <v>2</v>
      </c>
      <c r="J1564" s="3">
        <v>47264.11</v>
      </c>
      <c r="K1564" s="3">
        <v>94528.22</v>
      </c>
      <c r="L1564" t="s">
        <v>25</v>
      </c>
      <c r="M1564" s="2">
        <v>46053</v>
      </c>
      <c r="N1564" s="2">
        <v>46053</v>
      </c>
      <c r="O1564" t="s">
        <v>60</v>
      </c>
      <c r="P1564" t="s">
        <v>27</v>
      </c>
      <c r="Q1564" t="s">
        <v>28</v>
      </c>
      <c r="R1564" t="s">
        <v>29</v>
      </c>
      <c r="S1564">
        <v>2026</v>
      </c>
      <c r="T1564" t="s">
        <v>2757</v>
      </c>
      <c r="U1564" t="s">
        <v>2758</v>
      </c>
      <c r="V1564" s="4">
        <v>0</v>
      </c>
      <c r="W1564" s="4">
        <v>1</v>
      </c>
    </row>
    <row r="1565" spans="1:23">
      <c r="A1565" t="s">
        <v>1697</v>
      </c>
      <c r="B1565" s="2">
        <v>45820</v>
      </c>
      <c r="C1565" t="s">
        <v>71</v>
      </c>
      <c r="D1565" t="s">
        <v>72</v>
      </c>
      <c r="E1565" t="s">
        <v>21</v>
      </c>
      <c r="F1565" t="s">
        <v>57</v>
      </c>
      <c r="G1565" t="s">
        <v>74</v>
      </c>
      <c r="H1565" t="s">
        <v>75</v>
      </c>
      <c r="I1565">
        <v>5</v>
      </c>
      <c r="J1565" s="3">
        <v>8122.04</v>
      </c>
      <c r="K1565" s="3">
        <v>40610.199999999997</v>
      </c>
      <c r="L1565" t="s">
        <v>25</v>
      </c>
      <c r="M1565" s="2">
        <v>45830</v>
      </c>
      <c r="N1565" s="2">
        <v>45828</v>
      </c>
      <c r="O1565" t="s">
        <v>43</v>
      </c>
      <c r="P1565" t="s">
        <v>27</v>
      </c>
      <c r="Q1565" t="s">
        <v>28</v>
      </c>
      <c r="R1565" t="s">
        <v>29</v>
      </c>
      <c r="S1565">
        <v>2025</v>
      </c>
      <c r="T1565" t="s">
        <v>2743</v>
      </c>
      <c r="U1565" t="s">
        <v>2756</v>
      </c>
      <c r="V1565" s="4">
        <v>0</v>
      </c>
      <c r="W1565" s="4">
        <v>1</v>
      </c>
    </row>
    <row r="1566" spans="1:23">
      <c r="A1566" t="s">
        <v>1698</v>
      </c>
      <c r="B1566" s="2">
        <v>45859</v>
      </c>
      <c r="C1566" t="s">
        <v>46</v>
      </c>
      <c r="D1566" t="s">
        <v>47</v>
      </c>
      <c r="E1566" t="s">
        <v>48</v>
      </c>
      <c r="F1566" t="s">
        <v>49</v>
      </c>
      <c r="G1566" t="s">
        <v>68</v>
      </c>
      <c r="H1566" t="s">
        <v>69</v>
      </c>
      <c r="I1566">
        <v>3</v>
      </c>
      <c r="J1566" s="3">
        <v>52612.91</v>
      </c>
      <c r="K1566" s="3">
        <v>157838.73000000001</v>
      </c>
      <c r="L1566" t="s">
        <v>25</v>
      </c>
      <c r="M1566" s="2">
        <v>45869</v>
      </c>
      <c r="N1566" s="2">
        <v>45867</v>
      </c>
      <c r="O1566" t="s">
        <v>60</v>
      </c>
      <c r="P1566" t="s">
        <v>53</v>
      </c>
      <c r="Q1566" t="s">
        <v>28</v>
      </c>
      <c r="R1566" t="s">
        <v>29</v>
      </c>
      <c r="S1566">
        <v>2025</v>
      </c>
      <c r="T1566" t="s">
        <v>2759</v>
      </c>
      <c r="U1566" t="s">
        <v>2760</v>
      </c>
      <c r="V1566" s="4">
        <v>0</v>
      </c>
      <c r="W1566" s="4">
        <v>1</v>
      </c>
    </row>
    <row r="1567" spans="1:23">
      <c r="A1567" t="s">
        <v>1699</v>
      </c>
      <c r="B1567" s="2">
        <v>46075</v>
      </c>
      <c r="C1567" t="s">
        <v>19</v>
      </c>
      <c r="D1567" t="s">
        <v>20</v>
      </c>
      <c r="E1567" t="s">
        <v>73</v>
      </c>
      <c r="F1567" t="s">
        <v>22</v>
      </c>
      <c r="G1567" t="s">
        <v>160</v>
      </c>
      <c r="H1567" t="s">
        <v>161</v>
      </c>
      <c r="I1567">
        <v>15</v>
      </c>
      <c r="J1567" s="3">
        <v>2964.24</v>
      </c>
      <c r="K1567" s="3">
        <v>44463.6</v>
      </c>
      <c r="L1567" t="s">
        <v>25</v>
      </c>
      <c r="M1567" s="2">
        <v>46080</v>
      </c>
      <c r="N1567" s="2">
        <v>46080</v>
      </c>
      <c r="O1567" t="s">
        <v>60</v>
      </c>
      <c r="P1567" t="s">
        <v>77</v>
      </c>
      <c r="Q1567" t="s">
        <v>28</v>
      </c>
      <c r="R1567" t="s">
        <v>29</v>
      </c>
      <c r="S1567">
        <v>2026</v>
      </c>
      <c r="T1567" t="s">
        <v>2751</v>
      </c>
      <c r="U1567" t="s">
        <v>2765</v>
      </c>
      <c r="V1567" s="4">
        <v>0</v>
      </c>
      <c r="W1567" s="4">
        <v>1</v>
      </c>
    </row>
    <row r="1568" spans="1:23">
      <c r="A1568" t="s">
        <v>1700</v>
      </c>
      <c r="B1568" s="2">
        <v>45966</v>
      </c>
      <c r="C1568" t="s">
        <v>117</v>
      </c>
      <c r="D1568" t="s">
        <v>118</v>
      </c>
      <c r="E1568" t="s">
        <v>73</v>
      </c>
      <c r="F1568" t="s">
        <v>57</v>
      </c>
      <c r="G1568" t="s">
        <v>74</v>
      </c>
      <c r="H1568" t="s">
        <v>75</v>
      </c>
      <c r="I1568">
        <v>9</v>
      </c>
      <c r="J1568" s="3">
        <v>9084.98</v>
      </c>
      <c r="K1568" s="3">
        <v>81764.820000000007</v>
      </c>
      <c r="L1568" t="s">
        <v>25</v>
      </c>
      <c r="M1568" s="2">
        <v>45977</v>
      </c>
      <c r="N1568" s="2">
        <v>45992</v>
      </c>
      <c r="O1568" t="s">
        <v>26</v>
      </c>
      <c r="P1568" t="s">
        <v>77</v>
      </c>
      <c r="Q1568" t="s">
        <v>28</v>
      </c>
      <c r="R1568" t="s">
        <v>129</v>
      </c>
      <c r="S1568">
        <v>2025</v>
      </c>
      <c r="T1568" t="s">
        <v>2763</v>
      </c>
      <c r="U1568" t="s">
        <v>2764</v>
      </c>
      <c r="V1568" s="4">
        <v>15</v>
      </c>
      <c r="W1568" s="4">
        <v>0</v>
      </c>
    </row>
    <row r="1569" spans="1:23">
      <c r="A1569" t="s">
        <v>1701</v>
      </c>
      <c r="B1569" s="2">
        <v>46063</v>
      </c>
      <c r="C1569" t="s">
        <v>142</v>
      </c>
      <c r="D1569" t="s">
        <v>143</v>
      </c>
      <c r="E1569" t="s">
        <v>73</v>
      </c>
      <c r="F1569" t="s">
        <v>22</v>
      </c>
      <c r="G1569" t="s">
        <v>160</v>
      </c>
      <c r="H1569" t="s">
        <v>161</v>
      </c>
      <c r="I1569">
        <v>15</v>
      </c>
      <c r="J1569" s="3">
        <v>3231.22</v>
      </c>
      <c r="K1569" s="3">
        <v>48468.3</v>
      </c>
      <c r="L1569" t="s">
        <v>25</v>
      </c>
      <c r="M1569" s="2">
        <v>46078</v>
      </c>
      <c r="N1569" s="2">
        <v>46075</v>
      </c>
      <c r="O1569" t="s">
        <v>43</v>
      </c>
      <c r="P1569" t="s">
        <v>77</v>
      </c>
      <c r="Q1569" t="s">
        <v>28</v>
      </c>
      <c r="R1569" t="s">
        <v>29</v>
      </c>
      <c r="S1569">
        <v>2026</v>
      </c>
      <c r="T1569" t="s">
        <v>2751</v>
      </c>
      <c r="U1569" t="s">
        <v>2765</v>
      </c>
      <c r="V1569" s="4">
        <v>0</v>
      </c>
      <c r="W1569" s="4">
        <v>1</v>
      </c>
    </row>
    <row r="1570" spans="1:23">
      <c r="A1570" t="s">
        <v>1702</v>
      </c>
      <c r="B1570" s="2">
        <v>45702</v>
      </c>
      <c r="C1570" t="s">
        <v>142</v>
      </c>
      <c r="D1570" t="s">
        <v>143</v>
      </c>
      <c r="E1570" t="s">
        <v>112</v>
      </c>
      <c r="F1570" t="s">
        <v>22</v>
      </c>
      <c r="G1570" t="s">
        <v>32</v>
      </c>
      <c r="H1570" t="s">
        <v>33</v>
      </c>
      <c r="I1570">
        <v>6</v>
      </c>
      <c r="J1570" s="3">
        <v>7958.72</v>
      </c>
      <c r="K1570" s="3">
        <v>47752.32</v>
      </c>
      <c r="L1570" t="s">
        <v>25</v>
      </c>
      <c r="M1570" s="2">
        <v>45709</v>
      </c>
      <c r="N1570" s="2">
        <v>45715</v>
      </c>
      <c r="O1570" t="s">
        <v>26</v>
      </c>
      <c r="P1570" t="s">
        <v>115</v>
      </c>
      <c r="Q1570" t="s">
        <v>28</v>
      </c>
      <c r="R1570" t="s">
        <v>129</v>
      </c>
      <c r="S1570">
        <v>2025</v>
      </c>
      <c r="T1570" t="s">
        <v>2751</v>
      </c>
      <c r="U1570" t="s">
        <v>2752</v>
      </c>
      <c r="V1570" s="4">
        <v>6</v>
      </c>
      <c r="W1570" s="4">
        <v>0</v>
      </c>
    </row>
    <row r="1571" spans="1:23">
      <c r="A1571" t="s">
        <v>1703</v>
      </c>
      <c r="B1571" s="2">
        <v>46037</v>
      </c>
      <c r="C1571" t="s">
        <v>66</v>
      </c>
      <c r="D1571" t="s">
        <v>67</v>
      </c>
      <c r="E1571" t="s">
        <v>48</v>
      </c>
      <c r="F1571" t="s">
        <v>49</v>
      </c>
      <c r="G1571" t="s">
        <v>50</v>
      </c>
      <c r="H1571" t="s">
        <v>51</v>
      </c>
      <c r="I1571">
        <v>1</v>
      </c>
      <c r="J1571" s="3">
        <v>51030.3</v>
      </c>
      <c r="K1571" s="3">
        <v>51030.3</v>
      </c>
      <c r="L1571" t="s">
        <v>34</v>
      </c>
      <c r="M1571" s="2">
        <v>46048</v>
      </c>
      <c r="N1571" s="2">
        <v>46059</v>
      </c>
      <c r="O1571" t="s">
        <v>60</v>
      </c>
      <c r="P1571" t="s">
        <v>53</v>
      </c>
      <c r="Q1571" t="s">
        <v>28</v>
      </c>
      <c r="R1571" t="s">
        <v>129</v>
      </c>
      <c r="S1571">
        <v>2026</v>
      </c>
      <c r="T1571" t="s">
        <v>2757</v>
      </c>
      <c r="U1571" t="s">
        <v>2758</v>
      </c>
      <c r="V1571" s="4">
        <v>11</v>
      </c>
      <c r="W1571" s="4">
        <v>0</v>
      </c>
    </row>
    <row r="1572" spans="1:23">
      <c r="A1572" t="s">
        <v>1704</v>
      </c>
      <c r="B1572" s="2">
        <v>46132</v>
      </c>
      <c r="C1572" t="s">
        <v>46</v>
      </c>
      <c r="D1572" t="s">
        <v>47</v>
      </c>
      <c r="E1572" t="s">
        <v>48</v>
      </c>
      <c r="F1572" t="s">
        <v>49</v>
      </c>
      <c r="G1572" t="s">
        <v>165</v>
      </c>
      <c r="H1572" t="s">
        <v>166</v>
      </c>
      <c r="I1572">
        <v>1</v>
      </c>
      <c r="J1572" s="3">
        <v>46898.69</v>
      </c>
      <c r="K1572" s="3">
        <v>46898.69</v>
      </c>
      <c r="L1572" t="s">
        <v>25</v>
      </c>
      <c r="M1572" s="2">
        <v>46147</v>
      </c>
      <c r="N1572" s="2">
        <v>46146</v>
      </c>
      <c r="O1572" t="s">
        <v>76</v>
      </c>
      <c r="P1572" t="s">
        <v>53</v>
      </c>
      <c r="Q1572" t="s">
        <v>28</v>
      </c>
      <c r="R1572" t="s">
        <v>29</v>
      </c>
      <c r="S1572">
        <v>2026</v>
      </c>
      <c r="T1572" t="s">
        <v>2741</v>
      </c>
      <c r="U1572" t="s">
        <v>2770</v>
      </c>
      <c r="V1572" s="4">
        <v>0</v>
      </c>
      <c r="W1572" s="4">
        <v>1</v>
      </c>
    </row>
    <row r="1573" spans="1:23">
      <c r="A1573" t="s">
        <v>1705</v>
      </c>
      <c r="B1573" s="2">
        <v>45888</v>
      </c>
      <c r="C1573" t="s">
        <v>19</v>
      </c>
      <c r="D1573" t="s">
        <v>20</v>
      </c>
      <c r="E1573" t="s">
        <v>39</v>
      </c>
      <c r="F1573" t="s">
        <v>22</v>
      </c>
      <c r="G1573" t="s">
        <v>32</v>
      </c>
      <c r="H1573" t="s">
        <v>33</v>
      </c>
      <c r="I1573">
        <v>10</v>
      </c>
      <c r="J1573" s="3">
        <v>7432.83</v>
      </c>
      <c r="K1573" s="3">
        <v>74328.3</v>
      </c>
      <c r="L1573" t="s">
        <v>25</v>
      </c>
      <c r="M1573" s="2">
        <v>45899</v>
      </c>
      <c r="N1573" s="2">
        <v>45897</v>
      </c>
      <c r="O1573" t="s">
        <v>76</v>
      </c>
      <c r="P1573" t="s">
        <v>44</v>
      </c>
      <c r="Q1573" t="s">
        <v>28</v>
      </c>
      <c r="R1573" t="s">
        <v>29</v>
      </c>
      <c r="S1573">
        <v>2025</v>
      </c>
      <c r="T1573" t="s">
        <v>2761</v>
      </c>
      <c r="U1573" t="s">
        <v>2762</v>
      </c>
      <c r="V1573" s="4">
        <v>0</v>
      </c>
      <c r="W1573" s="4">
        <v>1</v>
      </c>
    </row>
    <row r="1574" spans="1:23">
      <c r="A1574" t="s">
        <v>1706</v>
      </c>
      <c r="B1574" s="2">
        <v>45996</v>
      </c>
      <c r="C1574" t="s">
        <v>37</v>
      </c>
      <c r="D1574" t="s">
        <v>38</v>
      </c>
      <c r="E1574" t="s">
        <v>73</v>
      </c>
      <c r="F1574" t="s">
        <v>22</v>
      </c>
      <c r="G1574" t="s">
        <v>32</v>
      </c>
      <c r="H1574" t="s">
        <v>33</v>
      </c>
      <c r="I1574">
        <v>2</v>
      </c>
      <c r="J1574" s="3">
        <v>8290.83</v>
      </c>
      <c r="K1574" s="3">
        <v>16581.66</v>
      </c>
      <c r="L1574" t="s">
        <v>25</v>
      </c>
      <c r="M1574" s="2">
        <v>46008</v>
      </c>
      <c r="N1574" s="2">
        <v>46008</v>
      </c>
      <c r="O1574" t="s">
        <v>60</v>
      </c>
      <c r="P1574" t="s">
        <v>77</v>
      </c>
      <c r="Q1574" t="s">
        <v>28</v>
      </c>
      <c r="R1574" t="s">
        <v>29</v>
      </c>
      <c r="S1574">
        <v>2025</v>
      </c>
      <c r="T1574" t="s">
        <v>2745</v>
      </c>
      <c r="U1574" t="s">
        <v>2746</v>
      </c>
      <c r="V1574" s="4">
        <v>0</v>
      </c>
      <c r="W1574" s="4">
        <v>1</v>
      </c>
    </row>
    <row r="1575" spans="1:23">
      <c r="A1575" t="s">
        <v>1707</v>
      </c>
      <c r="B1575" s="2">
        <v>45670</v>
      </c>
      <c r="C1575" t="s">
        <v>71</v>
      </c>
      <c r="D1575" t="s">
        <v>72</v>
      </c>
      <c r="E1575" t="s">
        <v>48</v>
      </c>
      <c r="F1575" t="s">
        <v>57</v>
      </c>
      <c r="G1575" t="s">
        <v>74</v>
      </c>
      <c r="H1575" t="s">
        <v>75</v>
      </c>
      <c r="I1575">
        <v>7</v>
      </c>
      <c r="J1575" s="3">
        <v>8000.71</v>
      </c>
      <c r="K1575" s="3">
        <v>56004.97</v>
      </c>
      <c r="L1575" t="s">
        <v>25</v>
      </c>
      <c r="M1575" s="2">
        <v>45675</v>
      </c>
      <c r="N1575" s="2">
        <v>45673</v>
      </c>
      <c r="O1575" t="s">
        <v>26</v>
      </c>
      <c r="P1575" t="s">
        <v>53</v>
      </c>
      <c r="Q1575" t="s">
        <v>28</v>
      </c>
      <c r="R1575" t="s">
        <v>29</v>
      </c>
      <c r="S1575">
        <v>2025</v>
      </c>
      <c r="T1575" t="s">
        <v>2757</v>
      </c>
      <c r="U1575" t="s">
        <v>2768</v>
      </c>
      <c r="V1575" s="4">
        <v>0</v>
      </c>
      <c r="W1575" s="4">
        <v>1</v>
      </c>
    </row>
    <row r="1576" spans="1:23">
      <c r="A1576" t="s">
        <v>1708</v>
      </c>
      <c r="B1576" s="2">
        <v>46073</v>
      </c>
      <c r="C1576" t="s">
        <v>19</v>
      </c>
      <c r="D1576" t="s">
        <v>20</v>
      </c>
      <c r="E1576" t="s">
        <v>39</v>
      </c>
      <c r="F1576" t="s">
        <v>22</v>
      </c>
      <c r="G1576" t="s">
        <v>160</v>
      </c>
      <c r="H1576" t="s">
        <v>161</v>
      </c>
      <c r="I1576">
        <v>6</v>
      </c>
      <c r="J1576" s="3">
        <v>2819.48</v>
      </c>
      <c r="K1576" s="3">
        <v>16916.88</v>
      </c>
      <c r="L1576" t="s">
        <v>25</v>
      </c>
      <c r="M1576" s="2">
        <v>46081</v>
      </c>
      <c r="N1576" s="2">
        <v>46081</v>
      </c>
      <c r="O1576" t="s">
        <v>43</v>
      </c>
      <c r="P1576" t="s">
        <v>44</v>
      </c>
      <c r="Q1576" t="s">
        <v>28</v>
      </c>
      <c r="R1576" t="s">
        <v>29</v>
      </c>
      <c r="S1576">
        <v>2026</v>
      </c>
      <c r="T1576" t="s">
        <v>2751</v>
      </c>
      <c r="U1576" t="s">
        <v>2765</v>
      </c>
      <c r="V1576" s="4">
        <v>0</v>
      </c>
      <c r="W1576" s="4">
        <v>1</v>
      </c>
    </row>
    <row r="1577" spans="1:23">
      <c r="A1577" t="s">
        <v>1709</v>
      </c>
      <c r="B1577" s="2">
        <v>45981</v>
      </c>
      <c r="C1577" t="s">
        <v>104</v>
      </c>
      <c r="D1577" t="s">
        <v>105</v>
      </c>
      <c r="E1577" t="s">
        <v>21</v>
      </c>
      <c r="F1577" t="s">
        <v>49</v>
      </c>
      <c r="G1577" t="s">
        <v>113</v>
      </c>
      <c r="H1577" t="s">
        <v>114</v>
      </c>
      <c r="I1577">
        <v>1</v>
      </c>
      <c r="J1577" s="3">
        <v>37093.01</v>
      </c>
      <c r="K1577" s="3">
        <v>37093.01</v>
      </c>
      <c r="L1577" t="s">
        <v>25</v>
      </c>
      <c r="M1577" s="2">
        <v>45987</v>
      </c>
      <c r="N1577" s="2">
        <v>45985</v>
      </c>
      <c r="O1577" t="s">
        <v>76</v>
      </c>
      <c r="P1577" t="s">
        <v>27</v>
      </c>
      <c r="Q1577" t="s">
        <v>28</v>
      </c>
      <c r="R1577" t="s">
        <v>29</v>
      </c>
      <c r="S1577">
        <v>2025</v>
      </c>
      <c r="T1577" t="s">
        <v>2763</v>
      </c>
      <c r="U1577" t="s">
        <v>2764</v>
      </c>
      <c r="V1577" s="4">
        <v>0</v>
      </c>
      <c r="W1577" s="4">
        <v>1</v>
      </c>
    </row>
    <row r="1578" spans="1:23">
      <c r="A1578" t="s">
        <v>1710</v>
      </c>
      <c r="B1578" s="2">
        <v>46032</v>
      </c>
      <c r="C1578" t="s">
        <v>46</v>
      </c>
      <c r="D1578" t="s">
        <v>47</v>
      </c>
      <c r="E1578" t="s">
        <v>48</v>
      </c>
      <c r="F1578" t="s">
        <v>49</v>
      </c>
      <c r="G1578" t="s">
        <v>68</v>
      </c>
      <c r="H1578" t="s">
        <v>69</v>
      </c>
      <c r="I1578">
        <v>2</v>
      </c>
      <c r="J1578" s="3">
        <v>50307.02</v>
      </c>
      <c r="K1578" s="3">
        <v>100614.04</v>
      </c>
      <c r="L1578" t="s">
        <v>34</v>
      </c>
      <c r="M1578" s="2">
        <v>46038</v>
      </c>
      <c r="N1578" s="2">
        <v>46038</v>
      </c>
      <c r="O1578" t="s">
        <v>60</v>
      </c>
      <c r="P1578" t="s">
        <v>53</v>
      </c>
      <c r="Q1578" t="s">
        <v>28</v>
      </c>
      <c r="R1578" t="s">
        <v>29</v>
      </c>
      <c r="S1578">
        <v>2026</v>
      </c>
      <c r="T1578" t="s">
        <v>2757</v>
      </c>
      <c r="U1578" t="s">
        <v>2758</v>
      </c>
      <c r="V1578" s="4">
        <v>0</v>
      </c>
      <c r="W1578" s="4">
        <v>1</v>
      </c>
    </row>
    <row r="1579" spans="1:23">
      <c r="A1579" t="s">
        <v>1711</v>
      </c>
      <c r="B1579" s="2">
        <v>46072</v>
      </c>
      <c r="C1579" t="s">
        <v>46</v>
      </c>
      <c r="D1579" t="s">
        <v>47</v>
      </c>
      <c r="E1579" t="s">
        <v>73</v>
      </c>
      <c r="F1579" t="s">
        <v>49</v>
      </c>
      <c r="G1579" t="s">
        <v>113</v>
      </c>
      <c r="H1579" t="s">
        <v>114</v>
      </c>
      <c r="I1579">
        <v>1</v>
      </c>
      <c r="J1579" s="3">
        <v>39375.019999999997</v>
      </c>
      <c r="K1579" s="3">
        <v>39375.019999999997</v>
      </c>
      <c r="L1579" t="s">
        <v>34</v>
      </c>
      <c r="M1579" s="2">
        <v>46088</v>
      </c>
      <c r="N1579" s="2">
        <v>46086</v>
      </c>
      <c r="O1579" t="s">
        <v>60</v>
      </c>
      <c r="P1579" t="s">
        <v>77</v>
      </c>
      <c r="Q1579" t="s">
        <v>28</v>
      </c>
      <c r="R1579" t="s">
        <v>29</v>
      </c>
      <c r="S1579">
        <v>2026</v>
      </c>
      <c r="T1579" t="s">
        <v>2751</v>
      </c>
      <c r="U1579" t="s">
        <v>2765</v>
      </c>
      <c r="V1579" s="4">
        <v>0</v>
      </c>
      <c r="W1579" s="4">
        <v>1</v>
      </c>
    </row>
    <row r="1580" spans="1:23">
      <c r="A1580" t="s">
        <v>1712</v>
      </c>
      <c r="B1580" s="2">
        <v>45665</v>
      </c>
      <c r="C1580" t="s">
        <v>37</v>
      </c>
      <c r="D1580" t="s">
        <v>38</v>
      </c>
      <c r="E1580" t="s">
        <v>73</v>
      </c>
      <c r="F1580" t="s">
        <v>22</v>
      </c>
      <c r="G1580" t="s">
        <v>23</v>
      </c>
      <c r="H1580" t="s">
        <v>24</v>
      </c>
      <c r="I1580">
        <v>59</v>
      </c>
      <c r="J1580" s="3">
        <v>268.04000000000002</v>
      </c>
      <c r="K1580" s="3">
        <v>15814.36</v>
      </c>
      <c r="L1580" t="s">
        <v>25</v>
      </c>
      <c r="M1580" s="2">
        <v>45677</v>
      </c>
      <c r="N1580" s="2">
        <v>45677</v>
      </c>
      <c r="O1580" t="s">
        <v>26</v>
      </c>
      <c r="P1580" t="s">
        <v>77</v>
      </c>
      <c r="Q1580" t="s">
        <v>28</v>
      </c>
      <c r="R1580" t="s">
        <v>29</v>
      </c>
      <c r="S1580">
        <v>2025</v>
      </c>
      <c r="T1580" t="s">
        <v>2757</v>
      </c>
      <c r="U1580" t="s">
        <v>2768</v>
      </c>
      <c r="V1580" s="4">
        <v>0</v>
      </c>
      <c r="W1580" s="4">
        <v>1</v>
      </c>
    </row>
    <row r="1581" spans="1:23">
      <c r="A1581" t="s">
        <v>1713</v>
      </c>
      <c r="B1581" s="2">
        <v>45760</v>
      </c>
      <c r="C1581" t="s">
        <v>96</v>
      </c>
      <c r="D1581" t="s">
        <v>97</v>
      </c>
      <c r="E1581" t="s">
        <v>39</v>
      </c>
      <c r="F1581" t="s">
        <v>82</v>
      </c>
      <c r="G1581" t="s">
        <v>98</v>
      </c>
      <c r="H1581" t="s">
        <v>99</v>
      </c>
      <c r="I1581">
        <v>17</v>
      </c>
      <c r="J1581" s="3">
        <v>1140.33</v>
      </c>
      <c r="K1581" s="3">
        <v>19385.61</v>
      </c>
      <c r="L1581" t="s">
        <v>25</v>
      </c>
      <c r="M1581" s="2">
        <v>45778</v>
      </c>
      <c r="N1581" s="2">
        <v>45775</v>
      </c>
      <c r="O1581" t="s">
        <v>26</v>
      </c>
      <c r="P1581" t="s">
        <v>64</v>
      </c>
      <c r="Q1581" t="s">
        <v>28</v>
      </c>
      <c r="R1581" t="s">
        <v>29</v>
      </c>
      <c r="S1581">
        <v>2025</v>
      </c>
      <c r="T1581" t="s">
        <v>2741</v>
      </c>
      <c r="U1581" t="s">
        <v>2742</v>
      </c>
      <c r="V1581" s="4">
        <v>0</v>
      </c>
      <c r="W1581" s="4">
        <v>1</v>
      </c>
    </row>
    <row r="1582" spans="1:23">
      <c r="A1582" t="s">
        <v>1714</v>
      </c>
      <c r="B1582" s="2">
        <v>46072</v>
      </c>
      <c r="C1582" t="s">
        <v>96</v>
      </c>
      <c r="D1582" t="s">
        <v>97</v>
      </c>
      <c r="E1582" t="s">
        <v>39</v>
      </c>
      <c r="F1582" t="s">
        <v>82</v>
      </c>
      <c r="G1582" t="s">
        <v>83</v>
      </c>
      <c r="H1582" t="s">
        <v>84</v>
      </c>
      <c r="I1582">
        <v>57</v>
      </c>
      <c r="J1582" s="3">
        <v>748.05</v>
      </c>
      <c r="K1582" s="3">
        <v>42638.85</v>
      </c>
      <c r="L1582" t="s">
        <v>25</v>
      </c>
      <c r="M1582" s="2">
        <v>46083</v>
      </c>
      <c r="N1582" s="2">
        <v>46080</v>
      </c>
      <c r="O1582" t="s">
        <v>26</v>
      </c>
      <c r="P1582" t="s">
        <v>44</v>
      </c>
      <c r="Q1582" t="s">
        <v>28</v>
      </c>
      <c r="R1582" t="s">
        <v>29</v>
      </c>
      <c r="S1582">
        <v>2026</v>
      </c>
      <c r="T1582" t="s">
        <v>2751</v>
      </c>
      <c r="U1582" t="s">
        <v>2765</v>
      </c>
      <c r="V1582" s="4">
        <v>0</v>
      </c>
      <c r="W1582" s="4">
        <v>1</v>
      </c>
    </row>
    <row r="1583" spans="1:23">
      <c r="A1583" t="s">
        <v>1715</v>
      </c>
      <c r="B1583" s="2">
        <v>45827</v>
      </c>
      <c r="C1583" t="s">
        <v>104</v>
      </c>
      <c r="D1583" t="s">
        <v>105</v>
      </c>
      <c r="E1583" t="s">
        <v>112</v>
      </c>
      <c r="F1583" t="s">
        <v>49</v>
      </c>
      <c r="G1583" t="s">
        <v>50</v>
      </c>
      <c r="H1583" t="s">
        <v>51</v>
      </c>
      <c r="I1583">
        <v>1</v>
      </c>
      <c r="J1583" s="3">
        <v>52423.41</v>
      </c>
      <c r="K1583" s="3">
        <v>52423.41</v>
      </c>
      <c r="L1583" t="s">
        <v>25</v>
      </c>
      <c r="M1583" s="2">
        <v>45842</v>
      </c>
      <c r="N1583" s="2">
        <v>45841</v>
      </c>
      <c r="O1583" t="s">
        <v>26</v>
      </c>
      <c r="P1583" t="s">
        <v>115</v>
      </c>
      <c r="Q1583" t="s">
        <v>28</v>
      </c>
      <c r="R1583" t="s">
        <v>29</v>
      </c>
      <c r="S1583">
        <v>2025</v>
      </c>
      <c r="T1583" t="s">
        <v>2743</v>
      </c>
      <c r="U1583" t="s">
        <v>2756</v>
      </c>
      <c r="V1583" s="4">
        <v>0</v>
      </c>
      <c r="W1583" s="4">
        <v>1</v>
      </c>
    </row>
    <row r="1584" spans="1:23">
      <c r="A1584" t="s">
        <v>1716</v>
      </c>
      <c r="B1584" s="2">
        <v>45754</v>
      </c>
      <c r="C1584" t="s">
        <v>19</v>
      </c>
      <c r="D1584" t="s">
        <v>20</v>
      </c>
      <c r="E1584" t="s">
        <v>112</v>
      </c>
      <c r="F1584" t="s">
        <v>22</v>
      </c>
      <c r="G1584" t="s">
        <v>160</v>
      </c>
      <c r="H1584" t="s">
        <v>161</v>
      </c>
      <c r="I1584">
        <v>13</v>
      </c>
      <c r="J1584" s="3">
        <v>3044.77</v>
      </c>
      <c r="K1584" s="3">
        <v>39582.01</v>
      </c>
      <c r="L1584" t="s">
        <v>25</v>
      </c>
      <c r="M1584" s="2">
        <v>45761</v>
      </c>
      <c r="N1584" s="2">
        <v>45759</v>
      </c>
      <c r="O1584" t="s">
        <v>76</v>
      </c>
      <c r="P1584" t="s">
        <v>115</v>
      </c>
      <c r="Q1584" t="s">
        <v>28</v>
      </c>
      <c r="R1584" t="s">
        <v>29</v>
      </c>
      <c r="S1584">
        <v>2025</v>
      </c>
      <c r="T1584" t="s">
        <v>2741</v>
      </c>
      <c r="U1584" t="s">
        <v>2742</v>
      </c>
      <c r="V1584" s="4">
        <v>0</v>
      </c>
      <c r="W1584" s="4">
        <v>1</v>
      </c>
    </row>
    <row r="1585" spans="1:23">
      <c r="A1585" t="s">
        <v>1717</v>
      </c>
      <c r="B1585" s="2">
        <v>45730</v>
      </c>
      <c r="C1585" t="s">
        <v>37</v>
      </c>
      <c r="D1585" t="s">
        <v>38</v>
      </c>
      <c r="E1585" t="s">
        <v>31</v>
      </c>
      <c r="F1585" t="s">
        <v>22</v>
      </c>
      <c r="G1585" t="s">
        <v>23</v>
      </c>
      <c r="H1585" t="s">
        <v>24</v>
      </c>
      <c r="I1585">
        <v>57</v>
      </c>
      <c r="J1585" s="3">
        <v>263.07</v>
      </c>
      <c r="K1585" s="3">
        <v>14994.99</v>
      </c>
      <c r="L1585" t="s">
        <v>34</v>
      </c>
      <c r="M1585" s="2">
        <v>45740</v>
      </c>
      <c r="N1585" s="2">
        <v>45738</v>
      </c>
      <c r="O1585" t="s">
        <v>76</v>
      </c>
      <c r="P1585" t="s">
        <v>94</v>
      </c>
      <c r="Q1585" t="s">
        <v>28</v>
      </c>
      <c r="R1585" t="s">
        <v>29</v>
      </c>
      <c r="S1585">
        <v>2025</v>
      </c>
      <c r="T1585" t="s">
        <v>2747</v>
      </c>
      <c r="U1585" t="s">
        <v>2748</v>
      </c>
      <c r="V1585" s="4">
        <v>0</v>
      </c>
      <c r="W1585" s="4">
        <v>1</v>
      </c>
    </row>
    <row r="1586" spans="1:23">
      <c r="A1586" t="s">
        <v>1718</v>
      </c>
      <c r="B1586" s="2">
        <v>46056</v>
      </c>
      <c r="C1586" t="s">
        <v>134</v>
      </c>
      <c r="D1586" t="s">
        <v>135</v>
      </c>
      <c r="E1586" t="s">
        <v>112</v>
      </c>
      <c r="F1586" t="s">
        <v>40</v>
      </c>
      <c r="G1586" t="s">
        <v>62</v>
      </c>
      <c r="H1586" t="s">
        <v>63</v>
      </c>
      <c r="I1586">
        <v>2</v>
      </c>
      <c r="J1586" s="3">
        <v>18774.57</v>
      </c>
      <c r="K1586" s="3">
        <v>37549.14</v>
      </c>
      <c r="L1586" t="s">
        <v>25</v>
      </c>
      <c r="M1586" s="2">
        <v>46064</v>
      </c>
      <c r="N1586" s="2">
        <v>46063</v>
      </c>
      <c r="O1586" t="s">
        <v>43</v>
      </c>
      <c r="P1586" t="s">
        <v>115</v>
      </c>
      <c r="Q1586" t="s">
        <v>28</v>
      </c>
      <c r="R1586" t="s">
        <v>29</v>
      </c>
      <c r="S1586">
        <v>2026</v>
      </c>
      <c r="T1586" t="s">
        <v>2751</v>
      </c>
      <c r="U1586" t="s">
        <v>2765</v>
      </c>
      <c r="V1586" s="4">
        <v>0</v>
      </c>
      <c r="W1586" s="4">
        <v>1</v>
      </c>
    </row>
    <row r="1587" spans="1:23">
      <c r="A1587" t="s">
        <v>1719</v>
      </c>
      <c r="B1587" s="2">
        <v>46162</v>
      </c>
      <c r="C1587" t="s">
        <v>142</v>
      </c>
      <c r="D1587" t="s">
        <v>143</v>
      </c>
      <c r="E1587" t="s">
        <v>73</v>
      </c>
      <c r="F1587" t="s">
        <v>22</v>
      </c>
      <c r="G1587" t="s">
        <v>23</v>
      </c>
      <c r="H1587" t="s">
        <v>24</v>
      </c>
      <c r="I1587">
        <v>49</v>
      </c>
      <c r="J1587" s="3">
        <v>251.21</v>
      </c>
      <c r="K1587" s="3">
        <v>12309.29</v>
      </c>
      <c r="L1587" t="s">
        <v>52</v>
      </c>
      <c r="M1587" s="2">
        <v>46167</v>
      </c>
      <c r="N1587" s="2">
        <v>46164</v>
      </c>
      <c r="O1587" t="s">
        <v>60</v>
      </c>
      <c r="P1587" t="s">
        <v>77</v>
      </c>
      <c r="Q1587" t="s">
        <v>28</v>
      </c>
      <c r="R1587" t="s">
        <v>29</v>
      </c>
      <c r="S1587">
        <v>2026</v>
      </c>
      <c r="T1587" t="s">
        <v>2766</v>
      </c>
      <c r="U1587" t="s">
        <v>2769</v>
      </c>
      <c r="V1587" s="4">
        <v>0</v>
      </c>
      <c r="W1587" s="4">
        <v>1</v>
      </c>
    </row>
    <row r="1588" spans="1:23">
      <c r="A1588" t="s">
        <v>1720</v>
      </c>
      <c r="B1588" s="2">
        <v>46111</v>
      </c>
      <c r="C1588" t="s">
        <v>89</v>
      </c>
      <c r="D1588" t="s">
        <v>90</v>
      </c>
      <c r="E1588" t="s">
        <v>31</v>
      </c>
      <c r="F1588" t="s">
        <v>91</v>
      </c>
      <c r="G1588" t="s">
        <v>92</v>
      </c>
      <c r="H1588" t="s">
        <v>93</v>
      </c>
      <c r="I1588">
        <v>3</v>
      </c>
      <c r="J1588" s="3">
        <v>40450.61</v>
      </c>
      <c r="K1588" s="3">
        <v>121351.83</v>
      </c>
      <c r="L1588" t="s">
        <v>25</v>
      </c>
      <c r="M1588" s="2">
        <v>46121</v>
      </c>
      <c r="N1588" s="2">
        <v>46119</v>
      </c>
      <c r="O1588" t="s">
        <v>76</v>
      </c>
      <c r="P1588" t="s">
        <v>94</v>
      </c>
      <c r="Q1588" t="s">
        <v>28</v>
      </c>
      <c r="R1588" t="s">
        <v>29</v>
      </c>
      <c r="S1588">
        <v>2026</v>
      </c>
      <c r="T1588" t="s">
        <v>2747</v>
      </c>
      <c r="U1588" t="s">
        <v>2755</v>
      </c>
      <c r="V1588" s="4">
        <v>0</v>
      </c>
      <c r="W1588" s="4">
        <v>1</v>
      </c>
    </row>
    <row r="1589" spans="1:23">
      <c r="A1589" t="s">
        <v>1721</v>
      </c>
      <c r="B1589" s="2">
        <v>45962</v>
      </c>
      <c r="C1589" t="s">
        <v>37</v>
      </c>
      <c r="D1589" t="s">
        <v>38</v>
      </c>
      <c r="E1589" t="s">
        <v>39</v>
      </c>
      <c r="F1589" t="s">
        <v>40</v>
      </c>
      <c r="G1589" t="s">
        <v>136</v>
      </c>
      <c r="H1589" t="s">
        <v>137</v>
      </c>
      <c r="I1589">
        <v>32</v>
      </c>
      <c r="J1589" s="3">
        <v>1797.84</v>
      </c>
      <c r="K1589" s="3">
        <v>57530.879999999997</v>
      </c>
      <c r="L1589" t="s">
        <v>25</v>
      </c>
      <c r="M1589" s="2">
        <v>45974</v>
      </c>
      <c r="N1589" s="2">
        <v>45972</v>
      </c>
      <c r="O1589" t="s">
        <v>60</v>
      </c>
      <c r="P1589" t="s">
        <v>44</v>
      </c>
      <c r="Q1589" t="s">
        <v>28</v>
      </c>
      <c r="R1589" t="s">
        <v>29</v>
      </c>
      <c r="S1589">
        <v>2025</v>
      </c>
      <c r="T1589" t="s">
        <v>2763</v>
      </c>
      <c r="U1589" t="s">
        <v>2764</v>
      </c>
      <c r="V1589" s="4">
        <v>0</v>
      </c>
      <c r="W1589" s="4">
        <v>1</v>
      </c>
    </row>
    <row r="1590" spans="1:23">
      <c r="A1590" t="s">
        <v>1722</v>
      </c>
      <c r="B1590" s="2">
        <v>46088</v>
      </c>
      <c r="C1590" t="s">
        <v>107</v>
      </c>
      <c r="D1590" t="s">
        <v>108</v>
      </c>
      <c r="E1590" t="s">
        <v>31</v>
      </c>
      <c r="F1590" t="s">
        <v>91</v>
      </c>
      <c r="G1590" t="s">
        <v>109</v>
      </c>
      <c r="H1590" t="s">
        <v>110</v>
      </c>
      <c r="I1590">
        <v>1</v>
      </c>
      <c r="J1590" s="3">
        <v>13217.07</v>
      </c>
      <c r="K1590" s="3">
        <v>13217.07</v>
      </c>
      <c r="L1590" t="s">
        <v>34</v>
      </c>
      <c r="M1590" s="2">
        <v>46096</v>
      </c>
      <c r="N1590" s="2">
        <v>46095</v>
      </c>
      <c r="O1590" t="s">
        <v>76</v>
      </c>
      <c r="P1590" t="s">
        <v>35</v>
      </c>
      <c r="Q1590" t="s">
        <v>28</v>
      </c>
      <c r="R1590" t="s">
        <v>29</v>
      </c>
      <c r="S1590">
        <v>2026</v>
      </c>
      <c r="T1590" t="s">
        <v>2747</v>
      </c>
      <c r="U1590" t="s">
        <v>2755</v>
      </c>
      <c r="V1590" s="4">
        <v>0</v>
      </c>
      <c r="W1590" s="4">
        <v>1</v>
      </c>
    </row>
    <row r="1591" spans="1:23">
      <c r="A1591" t="s">
        <v>1723</v>
      </c>
      <c r="B1591" s="2">
        <v>45730</v>
      </c>
      <c r="C1591" t="s">
        <v>46</v>
      </c>
      <c r="D1591" t="s">
        <v>47</v>
      </c>
      <c r="E1591" t="s">
        <v>73</v>
      </c>
      <c r="F1591" t="s">
        <v>49</v>
      </c>
      <c r="G1591" t="s">
        <v>68</v>
      </c>
      <c r="H1591" t="s">
        <v>69</v>
      </c>
      <c r="I1591">
        <v>3</v>
      </c>
      <c r="J1591" s="3">
        <v>49801.24</v>
      </c>
      <c r="K1591" s="3">
        <v>149403.72</v>
      </c>
      <c r="L1591" t="s">
        <v>34</v>
      </c>
      <c r="M1591" s="2">
        <v>45738</v>
      </c>
      <c r="N1591" s="2">
        <v>45735</v>
      </c>
      <c r="O1591" t="s">
        <v>76</v>
      </c>
      <c r="P1591" t="s">
        <v>77</v>
      </c>
      <c r="Q1591" t="s">
        <v>28</v>
      </c>
      <c r="R1591" t="s">
        <v>29</v>
      </c>
      <c r="S1591">
        <v>2025</v>
      </c>
      <c r="T1591" t="s">
        <v>2747</v>
      </c>
      <c r="U1591" t="s">
        <v>2748</v>
      </c>
      <c r="V1591" s="4">
        <v>0</v>
      </c>
      <c r="W1591" s="4">
        <v>1</v>
      </c>
    </row>
    <row r="1592" spans="1:23">
      <c r="A1592" t="s">
        <v>1724</v>
      </c>
      <c r="B1592" s="2">
        <v>45921</v>
      </c>
      <c r="C1592" t="s">
        <v>46</v>
      </c>
      <c r="D1592" t="s">
        <v>47</v>
      </c>
      <c r="E1592" t="s">
        <v>48</v>
      </c>
      <c r="F1592" t="s">
        <v>49</v>
      </c>
      <c r="G1592" t="s">
        <v>113</v>
      </c>
      <c r="H1592" t="s">
        <v>114</v>
      </c>
      <c r="I1592">
        <v>1</v>
      </c>
      <c r="J1592" s="3">
        <v>40917.22</v>
      </c>
      <c r="K1592" s="3">
        <v>40917.22</v>
      </c>
      <c r="L1592" t="s">
        <v>34</v>
      </c>
      <c r="M1592" s="2">
        <v>45939</v>
      </c>
      <c r="N1592" s="2">
        <v>45937</v>
      </c>
      <c r="O1592" t="s">
        <v>26</v>
      </c>
      <c r="P1592" t="s">
        <v>53</v>
      </c>
      <c r="Q1592" t="s">
        <v>28</v>
      </c>
      <c r="R1592" t="s">
        <v>29</v>
      </c>
      <c r="S1592">
        <v>2025</v>
      </c>
      <c r="T1592" t="s">
        <v>2753</v>
      </c>
      <c r="U1592" t="s">
        <v>2754</v>
      </c>
      <c r="V1592" s="4">
        <v>0</v>
      </c>
      <c r="W1592" s="4">
        <v>1</v>
      </c>
    </row>
    <row r="1593" spans="1:23">
      <c r="A1593" t="s">
        <v>1725</v>
      </c>
      <c r="B1593" s="2">
        <v>46084</v>
      </c>
      <c r="C1593" t="s">
        <v>142</v>
      </c>
      <c r="D1593" t="s">
        <v>143</v>
      </c>
      <c r="E1593" t="s">
        <v>73</v>
      </c>
      <c r="F1593" t="s">
        <v>22</v>
      </c>
      <c r="G1593" t="s">
        <v>23</v>
      </c>
      <c r="H1593" t="s">
        <v>24</v>
      </c>
      <c r="I1593">
        <v>42</v>
      </c>
      <c r="J1593" s="3">
        <v>240.1</v>
      </c>
      <c r="K1593" s="3">
        <v>10084.200000000001</v>
      </c>
      <c r="L1593" t="s">
        <v>25</v>
      </c>
      <c r="M1593" s="2">
        <v>46093</v>
      </c>
      <c r="N1593" s="2">
        <v>46093</v>
      </c>
      <c r="O1593" t="s">
        <v>26</v>
      </c>
      <c r="P1593" t="s">
        <v>77</v>
      </c>
      <c r="Q1593" t="s">
        <v>28</v>
      </c>
      <c r="R1593" t="s">
        <v>29</v>
      </c>
      <c r="S1593">
        <v>2026</v>
      </c>
      <c r="T1593" t="s">
        <v>2747</v>
      </c>
      <c r="U1593" t="s">
        <v>2755</v>
      </c>
      <c r="V1593" s="4">
        <v>0</v>
      </c>
      <c r="W1593" s="4">
        <v>1</v>
      </c>
    </row>
    <row r="1594" spans="1:23">
      <c r="A1594" t="s">
        <v>1726</v>
      </c>
      <c r="B1594" s="2">
        <v>45764</v>
      </c>
      <c r="C1594" t="s">
        <v>104</v>
      </c>
      <c r="D1594" t="s">
        <v>105</v>
      </c>
      <c r="E1594" t="s">
        <v>21</v>
      </c>
      <c r="F1594" t="s">
        <v>49</v>
      </c>
      <c r="G1594" t="s">
        <v>50</v>
      </c>
      <c r="H1594" t="s">
        <v>51</v>
      </c>
      <c r="I1594">
        <v>1</v>
      </c>
      <c r="J1594" s="3">
        <v>49939.11</v>
      </c>
      <c r="K1594" s="3">
        <v>49939.11</v>
      </c>
      <c r="L1594" t="s">
        <v>34</v>
      </c>
      <c r="M1594" s="2">
        <v>45771</v>
      </c>
      <c r="N1594" s="2">
        <v>45768</v>
      </c>
      <c r="O1594" t="s">
        <v>26</v>
      </c>
      <c r="P1594" t="s">
        <v>27</v>
      </c>
      <c r="Q1594" t="s">
        <v>28</v>
      </c>
      <c r="R1594" t="s">
        <v>29</v>
      </c>
      <c r="S1594">
        <v>2025</v>
      </c>
      <c r="T1594" t="s">
        <v>2741</v>
      </c>
      <c r="U1594" t="s">
        <v>2742</v>
      </c>
      <c r="V1594" s="4">
        <v>0</v>
      </c>
      <c r="W1594" s="4">
        <v>1</v>
      </c>
    </row>
    <row r="1595" spans="1:23">
      <c r="A1595" t="s">
        <v>1727</v>
      </c>
      <c r="B1595" s="2">
        <v>45965</v>
      </c>
      <c r="C1595" t="s">
        <v>104</v>
      </c>
      <c r="D1595" t="s">
        <v>105</v>
      </c>
      <c r="E1595" t="s">
        <v>112</v>
      </c>
      <c r="F1595" t="s">
        <v>49</v>
      </c>
      <c r="G1595" t="s">
        <v>50</v>
      </c>
      <c r="H1595" t="s">
        <v>51</v>
      </c>
      <c r="I1595">
        <v>3</v>
      </c>
      <c r="J1595" s="3">
        <v>53266.82</v>
      </c>
      <c r="K1595" s="3">
        <v>159800.46</v>
      </c>
      <c r="L1595" t="s">
        <v>52</v>
      </c>
      <c r="M1595" s="2">
        <v>45981</v>
      </c>
      <c r="N1595" s="2">
        <v>45980</v>
      </c>
      <c r="O1595" t="s">
        <v>26</v>
      </c>
      <c r="P1595" t="s">
        <v>115</v>
      </c>
      <c r="Q1595" t="s">
        <v>28</v>
      </c>
      <c r="R1595" t="s">
        <v>29</v>
      </c>
      <c r="S1595">
        <v>2025</v>
      </c>
      <c r="T1595" t="s">
        <v>2763</v>
      </c>
      <c r="U1595" t="s">
        <v>2764</v>
      </c>
      <c r="V1595" s="4">
        <v>0</v>
      </c>
      <c r="W1595" s="4">
        <v>1</v>
      </c>
    </row>
    <row r="1596" spans="1:23">
      <c r="A1596" t="s">
        <v>1728</v>
      </c>
      <c r="B1596" s="2">
        <v>46119</v>
      </c>
      <c r="C1596" t="s">
        <v>55</v>
      </c>
      <c r="D1596" t="s">
        <v>56</v>
      </c>
      <c r="E1596" t="s">
        <v>31</v>
      </c>
      <c r="F1596" t="s">
        <v>57</v>
      </c>
      <c r="G1596" t="s">
        <v>101</v>
      </c>
      <c r="H1596" t="s">
        <v>102</v>
      </c>
      <c r="I1596">
        <v>59</v>
      </c>
      <c r="J1596" s="3">
        <v>2016.38</v>
      </c>
      <c r="K1596" s="3">
        <v>118966.42</v>
      </c>
      <c r="L1596" t="s">
        <v>25</v>
      </c>
      <c r="M1596" s="2">
        <v>46128</v>
      </c>
      <c r="N1596" s="2">
        <v>46128</v>
      </c>
      <c r="O1596" t="s">
        <v>43</v>
      </c>
      <c r="P1596" t="s">
        <v>94</v>
      </c>
      <c r="Q1596" t="s">
        <v>28</v>
      </c>
      <c r="R1596" t="s">
        <v>29</v>
      </c>
      <c r="S1596">
        <v>2026</v>
      </c>
      <c r="T1596" t="s">
        <v>2741</v>
      </c>
      <c r="U1596" t="s">
        <v>2770</v>
      </c>
      <c r="V1596" s="4">
        <v>0</v>
      </c>
      <c r="W1596" s="4">
        <v>1</v>
      </c>
    </row>
    <row r="1597" spans="1:23">
      <c r="A1597" t="s">
        <v>1729</v>
      </c>
      <c r="B1597" s="2">
        <v>45919</v>
      </c>
      <c r="C1597" t="s">
        <v>46</v>
      </c>
      <c r="D1597" t="s">
        <v>47</v>
      </c>
      <c r="E1597" t="s">
        <v>73</v>
      </c>
      <c r="F1597" t="s">
        <v>49</v>
      </c>
      <c r="G1597" t="s">
        <v>68</v>
      </c>
      <c r="H1597" t="s">
        <v>69</v>
      </c>
      <c r="I1597">
        <v>3</v>
      </c>
      <c r="J1597" s="3">
        <v>51477.63</v>
      </c>
      <c r="K1597" s="3">
        <v>154432.89000000001</v>
      </c>
      <c r="L1597" t="s">
        <v>25</v>
      </c>
      <c r="M1597" s="2">
        <v>45937</v>
      </c>
      <c r="N1597" s="2">
        <v>45934</v>
      </c>
      <c r="O1597" t="s">
        <v>76</v>
      </c>
      <c r="P1597" t="s">
        <v>77</v>
      </c>
      <c r="Q1597" t="s">
        <v>28</v>
      </c>
      <c r="R1597" t="s">
        <v>29</v>
      </c>
      <c r="S1597">
        <v>2025</v>
      </c>
      <c r="T1597" t="s">
        <v>2753</v>
      </c>
      <c r="U1597" t="s">
        <v>2754</v>
      </c>
      <c r="V1597" s="4">
        <v>0</v>
      </c>
      <c r="W1597" s="4">
        <v>1</v>
      </c>
    </row>
    <row r="1598" spans="1:23">
      <c r="A1598" t="s">
        <v>1730</v>
      </c>
      <c r="B1598" s="2">
        <v>46112</v>
      </c>
      <c r="C1598" t="s">
        <v>131</v>
      </c>
      <c r="D1598" t="s">
        <v>132</v>
      </c>
      <c r="E1598" t="s">
        <v>31</v>
      </c>
      <c r="F1598" t="s">
        <v>57</v>
      </c>
      <c r="G1598" t="s">
        <v>86</v>
      </c>
      <c r="H1598" t="s">
        <v>87</v>
      </c>
      <c r="I1598">
        <v>1</v>
      </c>
      <c r="J1598" s="3">
        <v>11523.87</v>
      </c>
      <c r="K1598" s="3">
        <v>11523.87</v>
      </c>
      <c r="L1598" t="s">
        <v>25</v>
      </c>
      <c r="M1598" s="2">
        <v>46130</v>
      </c>
      <c r="N1598" s="2">
        <v>46127</v>
      </c>
      <c r="O1598" t="s">
        <v>60</v>
      </c>
      <c r="P1598" t="s">
        <v>94</v>
      </c>
      <c r="Q1598" t="s">
        <v>28</v>
      </c>
      <c r="R1598" t="s">
        <v>29</v>
      </c>
      <c r="S1598">
        <v>2026</v>
      </c>
      <c r="T1598" t="s">
        <v>2747</v>
      </c>
      <c r="U1598" t="s">
        <v>2755</v>
      </c>
      <c r="V1598" s="4">
        <v>0</v>
      </c>
      <c r="W1598" s="4">
        <v>1</v>
      </c>
    </row>
    <row r="1599" spans="1:23">
      <c r="A1599" t="s">
        <v>1731</v>
      </c>
      <c r="B1599" s="2">
        <v>45718</v>
      </c>
      <c r="C1599" t="s">
        <v>142</v>
      </c>
      <c r="D1599" t="s">
        <v>143</v>
      </c>
      <c r="E1599" t="s">
        <v>39</v>
      </c>
      <c r="F1599" t="s">
        <v>22</v>
      </c>
      <c r="G1599" t="s">
        <v>160</v>
      </c>
      <c r="H1599" t="s">
        <v>161</v>
      </c>
      <c r="I1599">
        <v>7</v>
      </c>
      <c r="J1599" s="3">
        <v>3026.1</v>
      </c>
      <c r="K1599" s="3">
        <v>21182.7</v>
      </c>
      <c r="L1599" t="s">
        <v>34</v>
      </c>
      <c r="M1599" s="2">
        <v>45728</v>
      </c>
      <c r="N1599" s="2">
        <v>45726</v>
      </c>
      <c r="O1599" t="s">
        <v>60</v>
      </c>
      <c r="P1599" t="s">
        <v>44</v>
      </c>
      <c r="Q1599" t="s">
        <v>28</v>
      </c>
      <c r="R1599" t="s">
        <v>29</v>
      </c>
      <c r="S1599">
        <v>2025</v>
      </c>
      <c r="T1599" t="s">
        <v>2747</v>
      </c>
      <c r="U1599" t="s">
        <v>2748</v>
      </c>
      <c r="V1599" s="4">
        <v>0</v>
      </c>
      <c r="W1599" s="4">
        <v>1</v>
      </c>
    </row>
    <row r="1600" spans="1:23">
      <c r="A1600" t="s">
        <v>1732</v>
      </c>
      <c r="B1600" s="2">
        <v>45996</v>
      </c>
      <c r="C1600" t="s">
        <v>37</v>
      </c>
      <c r="D1600" t="s">
        <v>38</v>
      </c>
      <c r="E1600" t="s">
        <v>112</v>
      </c>
      <c r="F1600" t="s">
        <v>40</v>
      </c>
      <c r="G1600" t="s">
        <v>136</v>
      </c>
      <c r="H1600" t="s">
        <v>137</v>
      </c>
      <c r="I1600">
        <v>36</v>
      </c>
      <c r="J1600" s="3">
        <v>1815.43</v>
      </c>
      <c r="K1600" s="3">
        <v>65355.48</v>
      </c>
      <c r="L1600" t="s">
        <v>25</v>
      </c>
      <c r="M1600" s="2">
        <v>46006</v>
      </c>
      <c r="N1600" s="2">
        <v>46005</v>
      </c>
      <c r="O1600" t="s">
        <v>60</v>
      </c>
      <c r="P1600" t="s">
        <v>115</v>
      </c>
      <c r="Q1600" t="s">
        <v>28</v>
      </c>
      <c r="R1600" t="s">
        <v>29</v>
      </c>
      <c r="S1600">
        <v>2025</v>
      </c>
      <c r="T1600" t="s">
        <v>2745</v>
      </c>
      <c r="U1600" t="s">
        <v>2746</v>
      </c>
      <c r="V1600" s="4">
        <v>0</v>
      </c>
      <c r="W1600" s="4">
        <v>1</v>
      </c>
    </row>
    <row r="1601" spans="1:23">
      <c r="A1601" t="s">
        <v>1733</v>
      </c>
      <c r="B1601" s="2">
        <v>45663</v>
      </c>
      <c r="C1601" t="s">
        <v>46</v>
      </c>
      <c r="D1601" t="s">
        <v>47</v>
      </c>
      <c r="E1601" t="s">
        <v>73</v>
      </c>
      <c r="F1601" t="s">
        <v>49</v>
      </c>
      <c r="G1601" t="s">
        <v>165</v>
      </c>
      <c r="H1601" t="s">
        <v>166</v>
      </c>
      <c r="I1601">
        <v>3</v>
      </c>
      <c r="J1601" s="3">
        <v>49266.3</v>
      </c>
      <c r="K1601" s="3">
        <v>147798.9</v>
      </c>
      <c r="L1601" t="s">
        <v>25</v>
      </c>
      <c r="M1601" s="2">
        <v>45681</v>
      </c>
      <c r="N1601" s="2">
        <v>45681</v>
      </c>
      <c r="O1601" t="s">
        <v>60</v>
      </c>
      <c r="P1601" t="s">
        <v>77</v>
      </c>
      <c r="Q1601" t="s">
        <v>28</v>
      </c>
      <c r="R1601" t="s">
        <v>29</v>
      </c>
      <c r="S1601">
        <v>2025</v>
      </c>
      <c r="T1601" t="s">
        <v>2757</v>
      </c>
      <c r="U1601" t="s">
        <v>2768</v>
      </c>
      <c r="V1601" s="4">
        <v>0</v>
      </c>
      <c r="W1601" s="4">
        <v>1</v>
      </c>
    </row>
    <row r="1602" spans="1:23">
      <c r="A1602" t="s">
        <v>1734</v>
      </c>
      <c r="B1602" s="2">
        <v>46019</v>
      </c>
      <c r="C1602" t="s">
        <v>37</v>
      </c>
      <c r="D1602" t="s">
        <v>38</v>
      </c>
      <c r="E1602" t="s">
        <v>39</v>
      </c>
      <c r="F1602" t="s">
        <v>22</v>
      </c>
      <c r="G1602" t="s">
        <v>160</v>
      </c>
      <c r="H1602" t="s">
        <v>161</v>
      </c>
      <c r="I1602">
        <v>13</v>
      </c>
      <c r="J1602" s="3">
        <v>3314.55</v>
      </c>
      <c r="K1602" s="3">
        <v>43089.15</v>
      </c>
      <c r="L1602" t="s">
        <v>52</v>
      </c>
      <c r="M1602" s="2">
        <v>46032</v>
      </c>
      <c r="N1602" s="2">
        <v>46029</v>
      </c>
      <c r="O1602" t="s">
        <v>43</v>
      </c>
      <c r="P1602" t="s">
        <v>64</v>
      </c>
      <c r="Q1602" t="s">
        <v>28</v>
      </c>
      <c r="R1602" t="s">
        <v>29</v>
      </c>
      <c r="S1602">
        <v>2025</v>
      </c>
      <c r="T1602" t="s">
        <v>2745</v>
      </c>
      <c r="U1602" t="s">
        <v>2746</v>
      </c>
      <c r="V1602" s="4">
        <v>0</v>
      </c>
      <c r="W1602" s="4">
        <v>1</v>
      </c>
    </row>
    <row r="1603" spans="1:23">
      <c r="A1603" t="s">
        <v>1735</v>
      </c>
      <c r="B1603" s="2">
        <v>45864</v>
      </c>
      <c r="C1603" t="s">
        <v>117</v>
      </c>
      <c r="D1603" t="s">
        <v>118</v>
      </c>
      <c r="E1603" t="s">
        <v>73</v>
      </c>
      <c r="F1603" t="s">
        <v>57</v>
      </c>
      <c r="G1603" t="s">
        <v>74</v>
      </c>
      <c r="H1603" t="s">
        <v>75</v>
      </c>
      <c r="I1603">
        <v>14</v>
      </c>
      <c r="J1603" s="3">
        <v>8981.9</v>
      </c>
      <c r="K1603" s="3">
        <v>125746.6</v>
      </c>
      <c r="L1603" t="s">
        <v>34</v>
      </c>
      <c r="M1603" s="2">
        <v>45874</v>
      </c>
      <c r="N1603" s="2">
        <v>45874</v>
      </c>
      <c r="O1603" t="s">
        <v>60</v>
      </c>
      <c r="P1603" t="s">
        <v>77</v>
      </c>
      <c r="Q1603" t="s">
        <v>28</v>
      </c>
      <c r="R1603" t="s">
        <v>29</v>
      </c>
      <c r="S1603">
        <v>2025</v>
      </c>
      <c r="T1603" t="s">
        <v>2759</v>
      </c>
      <c r="U1603" t="s">
        <v>2760</v>
      </c>
      <c r="V1603" s="4">
        <v>0</v>
      </c>
      <c r="W1603" s="4">
        <v>1</v>
      </c>
    </row>
    <row r="1604" spans="1:23">
      <c r="A1604" t="s">
        <v>1736</v>
      </c>
      <c r="B1604" s="2">
        <v>45909</v>
      </c>
      <c r="C1604" t="s">
        <v>80</v>
      </c>
      <c r="D1604" t="s">
        <v>81</v>
      </c>
      <c r="E1604" t="s">
        <v>39</v>
      </c>
      <c r="F1604" t="s">
        <v>82</v>
      </c>
      <c r="G1604" t="s">
        <v>98</v>
      </c>
      <c r="H1604" t="s">
        <v>99</v>
      </c>
      <c r="I1604">
        <v>18</v>
      </c>
      <c r="J1604" s="3">
        <v>1075.1300000000001</v>
      </c>
      <c r="K1604" s="3">
        <v>19352.34</v>
      </c>
      <c r="L1604" t="s">
        <v>25</v>
      </c>
      <c r="M1604" s="2">
        <v>45922</v>
      </c>
      <c r="N1604" s="2">
        <v>45922</v>
      </c>
      <c r="O1604" t="s">
        <v>76</v>
      </c>
      <c r="P1604" t="s">
        <v>64</v>
      </c>
      <c r="Q1604" t="s">
        <v>28</v>
      </c>
      <c r="R1604" t="s">
        <v>29</v>
      </c>
      <c r="S1604">
        <v>2025</v>
      </c>
      <c r="T1604" t="s">
        <v>2753</v>
      </c>
      <c r="U1604" t="s">
        <v>2754</v>
      </c>
      <c r="V1604" s="4">
        <v>0</v>
      </c>
      <c r="W1604" s="4">
        <v>1</v>
      </c>
    </row>
    <row r="1605" spans="1:23">
      <c r="A1605" t="s">
        <v>1737</v>
      </c>
      <c r="B1605" s="2">
        <v>45886</v>
      </c>
      <c r="C1605" t="s">
        <v>117</v>
      </c>
      <c r="D1605" t="s">
        <v>118</v>
      </c>
      <c r="E1605" t="s">
        <v>31</v>
      </c>
      <c r="F1605" t="s">
        <v>57</v>
      </c>
      <c r="G1605" t="s">
        <v>120</v>
      </c>
      <c r="H1605" t="s">
        <v>121</v>
      </c>
      <c r="I1605">
        <v>1</v>
      </c>
      <c r="J1605" s="3">
        <v>21702.06</v>
      </c>
      <c r="K1605" s="3">
        <v>21702.06</v>
      </c>
      <c r="L1605" t="s">
        <v>34</v>
      </c>
      <c r="M1605" s="2">
        <v>45900</v>
      </c>
      <c r="N1605" s="2">
        <v>45900</v>
      </c>
      <c r="O1605" t="s">
        <v>60</v>
      </c>
      <c r="P1605" t="s">
        <v>35</v>
      </c>
      <c r="Q1605" t="s">
        <v>28</v>
      </c>
      <c r="R1605" t="s">
        <v>29</v>
      </c>
      <c r="S1605">
        <v>2025</v>
      </c>
      <c r="T1605" t="s">
        <v>2761</v>
      </c>
      <c r="U1605" t="s">
        <v>2762</v>
      </c>
      <c r="V1605" s="4">
        <v>0</v>
      </c>
      <c r="W1605" s="4">
        <v>1</v>
      </c>
    </row>
    <row r="1606" spans="1:23">
      <c r="A1606" t="s">
        <v>1738</v>
      </c>
      <c r="B1606" s="2">
        <v>46156</v>
      </c>
      <c r="C1606" t="s">
        <v>142</v>
      </c>
      <c r="D1606" t="s">
        <v>143</v>
      </c>
      <c r="E1606" t="s">
        <v>21</v>
      </c>
      <c r="F1606" t="s">
        <v>22</v>
      </c>
      <c r="G1606" t="s">
        <v>32</v>
      </c>
      <c r="H1606" t="s">
        <v>33</v>
      </c>
      <c r="I1606">
        <v>7</v>
      </c>
      <c r="J1606" s="3">
        <v>7635.24</v>
      </c>
      <c r="K1606" s="3">
        <v>53446.68</v>
      </c>
      <c r="L1606" t="s">
        <v>25</v>
      </c>
      <c r="M1606" s="2">
        <v>46170</v>
      </c>
      <c r="N1606" s="2">
        <v>46170</v>
      </c>
      <c r="O1606" t="s">
        <v>43</v>
      </c>
      <c r="P1606" t="s">
        <v>27</v>
      </c>
      <c r="Q1606" t="s">
        <v>28</v>
      </c>
      <c r="R1606" t="s">
        <v>29</v>
      </c>
      <c r="S1606">
        <v>2026</v>
      </c>
      <c r="T1606" t="s">
        <v>2766</v>
      </c>
      <c r="U1606" t="s">
        <v>2769</v>
      </c>
      <c r="V1606" s="4">
        <v>0</v>
      </c>
      <c r="W1606" s="4">
        <v>1</v>
      </c>
    </row>
    <row r="1607" spans="1:23">
      <c r="A1607" t="s">
        <v>1739</v>
      </c>
      <c r="B1607" s="2">
        <v>45867</v>
      </c>
      <c r="C1607" t="s">
        <v>66</v>
      </c>
      <c r="D1607" t="s">
        <v>67</v>
      </c>
      <c r="E1607" t="s">
        <v>48</v>
      </c>
      <c r="F1607" t="s">
        <v>49</v>
      </c>
      <c r="G1607" t="s">
        <v>165</v>
      </c>
      <c r="H1607" t="s">
        <v>166</v>
      </c>
      <c r="I1607">
        <v>1</v>
      </c>
      <c r="J1607" s="3">
        <v>45729.11</v>
      </c>
      <c r="K1607" s="3">
        <v>45729.11</v>
      </c>
      <c r="L1607" t="s">
        <v>34</v>
      </c>
      <c r="M1607" s="2">
        <v>45881</v>
      </c>
      <c r="N1607" s="2">
        <v>45880</v>
      </c>
      <c r="O1607" t="s">
        <v>43</v>
      </c>
      <c r="P1607" t="s">
        <v>53</v>
      </c>
      <c r="Q1607" t="s">
        <v>28</v>
      </c>
      <c r="R1607" t="s">
        <v>29</v>
      </c>
      <c r="S1607">
        <v>2025</v>
      </c>
      <c r="T1607" t="s">
        <v>2759</v>
      </c>
      <c r="U1607" t="s">
        <v>2760</v>
      </c>
      <c r="V1607" s="4">
        <v>0</v>
      </c>
      <c r="W1607" s="4">
        <v>1</v>
      </c>
    </row>
    <row r="1608" spans="1:23">
      <c r="A1608" t="s">
        <v>1740</v>
      </c>
      <c r="B1608" s="2">
        <v>45704</v>
      </c>
      <c r="C1608" t="s">
        <v>19</v>
      </c>
      <c r="D1608" t="s">
        <v>20</v>
      </c>
      <c r="E1608" t="s">
        <v>112</v>
      </c>
      <c r="F1608" t="s">
        <v>22</v>
      </c>
      <c r="G1608" t="s">
        <v>23</v>
      </c>
      <c r="H1608" t="s">
        <v>24</v>
      </c>
      <c r="I1608">
        <v>14</v>
      </c>
      <c r="J1608" s="3">
        <v>237.32</v>
      </c>
      <c r="K1608" s="3">
        <v>3322.48</v>
      </c>
      <c r="L1608" t="s">
        <v>34</v>
      </c>
      <c r="M1608" s="2">
        <v>45719</v>
      </c>
      <c r="N1608" s="2">
        <v>45719</v>
      </c>
      <c r="O1608" t="s">
        <v>43</v>
      </c>
      <c r="P1608" t="s">
        <v>115</v>
      </c>
      <c r="Q1608" t="s">
        <v>28</v>
      </c>
      <c r="R1608" t="s">
        <v>29</v>
      </c>
      <c r="S1608">
        <v>2025</v>
      </c>
      <c r="T1608" t="s">
        <v>2751</v>
      </c>
      <c r="U1608" t="s">
        <v>2752</v>
      </c>
      <c r="V1608" s="4">
        <v>0</v>
      </c>
      <c r="W1608" s="4">
        <v>1</v>
      </c>
    </row>
    <row r="1609" spans="1:23">
      <c r="A1609" t="s">
        <v>1741</v>
      </c>
      <c r="B1609" s="2">
        <v>46201</v>
      </c>
      <c r="C1609" t="s">
        <v>46</v>
      </c>
      <c r="D1609" t="s">
        <v>47</v>
      </c>
      <c r="E1609" t="s">
        <v>48</v>
      </c>
      <c r="F1609" t="s">
        <v>49</v>
      </c>
      <c r="G1609" t="s">
        <v>165</v>
      </c>
      <c r="H1609" t="s">
        <v>166</v>
      </c>
      <c r="I1609">
        <v>2</v>
      </c>
      <c r="J1609" s="3">
        <v>49531.22</v>
      </c>
      <c r="K1609" s="3">
        <v>99062.44</v>
      </c>
      <c r="L1609" t="s">
        <v>25</v>
      </c>
      <c r="M1609" s="2">
        <v>46209</v>
      </c>
      <c r="N1609" s="2"/>
      <c r="O1609" t="s">
        <v>60</v>
      </c>
      <c r="P1609" t="s">
        <v>53</v>
      </c>
      <c r="Q1609" t="s">
        <v>167</v>
      </c>
      <c r="R1609" t="s">
        <v>167</v>
      </c>
      <c r="S1609">
        <v>2026</v>
      </c>
      <c r="T1609" t="s">
        <v>2743</v>
      </c>
      <c r="U1609" t="s">
        <v>2744</v>
      </c>
      <c r="V1609" s="4"/>
      <c r="W1609" s="4"/>
    </row>
    <row r="1610" spans="1:23">
      <c r="A1610" t="s">
        <v>1742</v>
      </c>
      <c r="B1610" s="2">
        <v>46140</v>
      </c>
      <c r="C1610" t="s">
        <v>66</v>
      </c>
      <c r="D1610" t="s">
        <v>67</v>
      </c>
      <c r="E1610" t="s">
        <v>73</v>
      </c>
      <c r="F1610" t="s">
        <v>49</v>
      </c>
      <c r="G1610" t="s">
        <v>165</v>
      </c>
      <c r="H1610" t="s">
        <v>166</v>
      </c>
      <c r="I1610">
        <v>1</v>
      </c>
      <c r="J1610" s="3">
        <v>42350.59</v>
      </c>
      <c r="K1610" s="3">
        <v>42350.59</v>
      </c>
      <c r="L1610" t="s">
        <v>34</v>
      </c>
      <c r="M1610" s="2">
        <v>46146</v>
      </c>
      <c r="N1610" s="2">
        <v>46143</v>
      </c>
      <c r="O1610" t="s">
        <v>26</v>
      </c>
      <c r="P1610" t="s">
        <v>77</v>
      </c>
      <c r="Q1610" t="s">
        <v>28</v>
      </c>
      <c r="R1610" t="s">
        <v>29</v>
      </c>
      <c r="S1610">
        <v>2026</v>
      </c>
      <c r="T1610" t="s">
        <v>2741</v>
      </c>
      <c r="U1610" t="s">
        <v>2770</v>
      </c>
      <c r="V1610" s="4">
        <v>0</v>
      </c>
      <c r="W1610" s="4">
        <v>1</v>
      </c>
    </row>
    <row r="1611" spans="1:23">
      <c r="A1611" t="s">
        <v>1743</v>
      </c>
      <c r="B1611" s="2">
        <v>45661</v>
      </c>
      <c r="C1611" t="s">
        <v>55</v>
      </c>
      <c r="D1611" t="s">
        <v>56</v>
      </c>
      <c r="E1611" t="s">
        <v>48</v>
      </c>
      <c r="F1611" t="s">
        <v>57</v>
      </c>
      <c r="G1611" t="s">
        <v>127</v>
      </c>
      <c r="H1611" t="s">
        <v>128</v>
      </c>
      <c r="I1611">
        <v>7</v>
      </c>
      <c r="J1611" s="3">
        <v>18465.599999999999</v>
      </c>
      <c r="K1611" s="3">
        <v>129259.2</v>
      </c>
      <c r="L1611" t="s">
        <v>25</v>
      </c>
      <c r="M1611" s="2">
        <v>45677</v>
      </c>
      <c r="N1611" s="2">
        <v>45675</v>
      </c>
      <c r="O1611" t="s">
        <v>60</v>
      </c>
      <c r="P1611" t="s">
        <v>53</v>
      </c>
      <c r="Q1611" t="s">
        <v>28</v>
      </c>
      <c r="R1611" t="s">
        <v>29</v>
      </c>
      <c r="S1611">
        <v>2025</v>
      </c>
      <c r="T1611" t="s">
        <v>2757</v>
      </c>
      <c r="U1611" t="s">
        <v>2768</v>
      </c>
      <c r="V1611" s="4">
        <v>0</v>
      </c>
      <c r="W1611" s="4">
        <v>1</v>
      </c>
    </row>
    <row r="1612" spans="1:23">
      <c r="A1612" t="s">
        <v>1744</v>
      </c>
      <c r="B1612" s="2">
        <v>45883</v>
      </c>
      <c r="C1612" t="s">
        <v>19</v>
      </c>
      <c r="D1612" t="s">
        <v>20</v>
      </c>
      <c r="E1612" t="s">
        <v>112</v>
      </c>
      <c r="F1612" t="s">
        <v>22</v>
      </c>
      <c r="G1612" t="s">
        <v>32</v>
      </c>
      <c r="H1612" t="s">
        <v>33</v>
      </c>
      <c r="I1612">
        <v>7</v>
      </c>
      <c r="J1612" s="3">
        <v>7881.71</v>
      </c>
      <c r="K1612" s="3">
        <v>55171.97</v>
      </c>
      <c r="L1612" t="s">
        <v>25</v>
      </c>
      <c r="M1612" s="2">
        <v>45899</v>
      </c>
      <c r="N1612" s="2">
        <v>45897</v>
      </c>
      <c r="O1612" t="s">
        <v>60</v>
      </c>
      <c r="P1612" t="s">
        <v>115</v>
      </c>
      <c r="Q1612" t="s">
        <v>28</v>
      </c>
      <c r="R1612" t="s">
        <v>29</v>
      </c>
      <c r="S1612">
        <v>2025</v>
      </c>
      <c r="T1612" t="s">
        <v>2761</v>
      </c>
      <c r="U1612" t="s">
        <v>2762</v>
      </c>
      <c r="V1612" s="4">
        <v>0</v>
      </c>
      <c r="W1612" s="4">
        <v>1</v>
      </c>
    </row>
    <row r="1613" spans="1:23">
      <c r="A1613" t="s">
        <v>1745</v>
      </c>
      <c r="B1613" s="2">
        <v>45872</v>
      </c>
      <c r="C1613" t="s">
        <v>142</v>
      </c>
      <c r="D1613" t="s">
        <v>143</v>
      </c>
      <c r="E1613" t="s">
        <v>112</v>
      </c>
      <c r="F1613" t="s">
        <v>22</v>
      </c>
      <c r="G1613" t="s">
        <v>32</v>
      </c>
      <c r="H1613" t="s">
        <v>33</v>
      </c>
      <c r="I1613">
        <v>14</v>
      </c>
      <c r="J1613" s="3">
        <v>8237.0499999999993</v>
      </c>
      <c r="K1613" s="3">
        <v>115318.7</v>
      </c>
      <c r="L1613" t="s">
        <v>25</v>
      </c>
      <c r="M1613" s="2">
        <v>45886</v>
      </c>
      <c r="N1613" s="2">
        <v>45886</v>
      </c>
      <c r="O1613" t="s">
        <v>43</v>
      </c>
      <c r="P1613" t="s">
        <v>115</v>
      </c>
      <c r="Q1613" t="s">
        <v>28</v>
      </c>
      <c r="R1613" t="s">
        <v>29</v>
      </c>
      <c r="S1613">
        <v>2025</v>
      </c>
      <c r="T1613" t="s">
        <v>2761</v>
      </c>
      <c r="U1613" t="s">
        <v>2762</v>
      </c>
      <c r="V1613" s="4">
        <v>0</v>
      </c>
      <c r="W1613" s="4">
        <v>1</v>
      </c>
    </row>
    <row r="1614" spans="1:23">
      <c r="A1614" t="s">
        <v>1746</v>
      </c>
      <c r="B1614" s="2">
        <v>46170</v>
      </c>
      <c r="C1614" t="s">
        <v>66</v>
      </c>
      <c r="D1614" t="s">
        <v>67</v>
      </c>
      <c r="E1614" t="s">
        <v>48</v>
      </c>
      <c r="F1614" t="s">
        <v>49</v>
      </c>
      <c r="G1614" t="s">
        <v>165</v>
      </c>
      <c r="H1614" t="s">
        <v>166</v>
      </c>
      <c r="I1614">
        <v>2</v>
      </c>
      <c r="J1614" s="3">
        <v>44116.24</v>
      </c>
      <c r="K1614" s="3">
        <v>88232.48</v>
      </c>
      <c r="L1614" t="s">
        <v>52</v>
      </c>
      <c r="M1614" s="2">
        <v>46184</v>
      </c>
      <c r="N1614" s="2">
        <v>46184</v>
      </c>
      <c r="O1614" t="s">
        <v>26</v>
      </c>
      <c r="P1614" t="s">
        <v>53</v>
      </c>
      <c r="Q1614" t="s">
        <v>28</v>
      </c>
      <c r="R1614" t="s">
        <v>29</v>
      </c>
      <c r="S1614">
        <v>2026</v>
      </c>
      <c r="T1614" t="s">
        <v>2766</v>
      </c>
      <c r="U1614" t="s">
        <v>2769</v>
      </c>
      <c r="V1614" s="4">
        <v>0</v>
      </c>
      <c r="W1614" s="4">
        <v>1</v>
      </c>
    </row>
    <row r="1615" spans="1:23">
      <c r="A1615" t="s">
        <v>1747</v>
      </c>
      <c r="B1615" s="2">
        <v>45794</v>
      </c>
      <c r="C1615" t="s">
        <v>96</v>
      </c>
      <c r="D1615" t="s">
        <v>97</v>
      </c>
      <c r="E1615" t="s">
        <v>39</v>
      </c>
      <c r="F1615" t="s">
        <v>82</v>
      </c>
      <c r="G1615" t="s">
        <v>98</v>
      </c>
      <c r="H1615" t="s">
        <v>99</v>
      </c>
      <c r="I1615">
        <v>42</v>
      </c>
      <c r="J1615" s="3">
        <v>1180.3399999999999</v>
      </c>
      <c r="K1615" s="3">
        <v>49574.28</v>
      </c>
      <c r="L1615" t="s">
        <v>25</v>
      </c>
      <c r="M1615" s="2">
        <v>45799</v>
      </c>
      <c r="N1615" s="2">
        <v>45798</v>
      </c>
      <c r="O1615" t="s">
        <v>43</v>
      </c>
      <c r="P1615" t="s">
        <v>64</v>
      </c>
      <c r="Q1615" t="s">
        <v>28</v>
      </c>
      <c r="R1615" t="s">
        <v>29</v>
      </c>
      <c r="S1615">
        <v>2025</v>
      </c>
      <c r="T1615" t="s">
        <v>2766</v>
      </c>
      <c r="U1615" t="s">
        <v>2767</v>
      </c>
      <c r="V1615" s="4">
        <v>0</v>
      </c>
      <c r="W1615" s="4">
        <v>1</v>
      </c>
    </row>
    <row r="1616" spans="1:23">
      <c r="A1616" t="s">
        <v>1748</v>
      </c>
      <c r="B1616" s="2">
        <v>46096</v>
      </c>
      <c r="C1616" t="s">
        <v>71</v>
      </c>
      <c r="D1616" t="s">
        <v>72</v>
      </c>
      <c r="E1616" t="s">
        <v>21</v>
      </c>
      <c r="F1616" t="s">
        <v>57</v>
      </c>
      <c r="G1616" t="s">
        <v>127</v>
      </c>
      <c r="H1616" t="s">
        <v>128</v>
      </c>
      <c r="I1616">
        <v>5</v>
      </c>
      <c r="J1616" s="3">
        <v>15292.92</v>
      </c>
      <c r="K1616" s="3">
        <v>76464.600000000006</v>
      </c>
      <c r="L1616" t="s">
        <v>34</v>
      </c>
      <c r="M1616" s="2">
        <v>46113</v>
      </c>
      <c r="N1616" s="2">
        <v>46110</v>
      </c>
      <c r="O1616" t="s">
        <v>76</v>
      </c>
      <c r="P1616" t="s">
        <v>27</v>
      </c>
      <c r="Q1616" t="s">
        <v>28</v>
      </c>
      <c r="R1616" t="s">
        <v>29</v>
      </c>
      <c r="S1616">
        <v>2026</v>
      </c>
      <c r="T1616" t="s">
        <v>2747</v>
      </c>
      <c r="U1616" t="s">
        <v>2755</v>
      </c>
      <c r="V1616" s="4">
        <v>0</v>
      </c>
      <c r="W1616" s="4">
        <v>1</v>
      </c>
    </row>
    <row r="1617" spans="1:23">
      <c r="A1617" t="s">
        <v>1749</v>
      </c>
      <c r="B1617" s="2">
        <v>46113</v>
      </c>
      <c r="C1617" t="s">
        <v>19</v>
      </c>
      <c r="D1617" t="s">
        <v>20</v>
      </c>
      <c r="E1617" t="s">
        <v>21</v>
      </c>
      <c r="F1617" t="s">
        <v>22</v>
      </c>
      <c r="G1617" t="s">
        <v>32</v>
      </c>
      <c r="H1617" t="s">
        <v>33</v>
      </c>
      <c r="I1617">
        <v>15</v>
      </c>
      <c r="J1617" s="3">
        <v>7609.41</v>
      </c>
      <c r="K1617" s="3">
        <v>114141.15</v>
      </c>
      <c r="L1617" t="s">
        <v>34</v>
      </c>
      <c r="M1617" s="2">
        <v>46131</v>
      </c>
      <c r="N1617" s="2">
        <v>46131</v>
      </c>
      <c r="O1617" t="s">
        <v>26</v>
      </c>
      <c r="P1617" t="s">
        <v>27</v>
      </c>
      <c r="Q1617" t="s">
        <v>28</v>
      </c>
      <c r="R1617" t="s">
        <v>29</v>
      </c>
      <c r="S1617">
        <v>2026</v>
      </c>
      <c r="T1617" t="s">
        <v>2741</v>
      </c>
      <c r="U1617" t="s">
        <v>2770</v>
      </c>
      <c r="V1617" s="4">
        <v>0</v>
      </c>
      <c r="W1617" s="4">
        <v>1</v>
      </c>
    </row>
    <row r="1618" spans="1:23">
      <c r="A1618" t="s">
        <v>1750</v>
      </c>
      <c r="B1618" s="2">
        <v>46184</v>
      </c>
      <c r="C1618" t="s">
        <v>71</v>
      </c>
      <c r="D1618" t="s">
        <v>72</v>
      </c>
      <c r="E1618" t="s">
        <v>31</v>
      </c>
      <c r="F1618" t="s">
        <v>57</v>
      </c>
      <c r="G1618" t="s">
        <v>74</v>
      </c>
      <c r="H1618" t="s">
        <v>75</v>
      </c>
      <c r="I1618">
        <v>5</v>
      </c>
      <c r="J1618" s="3">
        <v>8181.65</v>
      </c>
      <c r="K1618" s="3">
        <v>40908.25</v>
      </c>
      <c r="L1618" t="s">
        <v>25</v>
      </c>
      <c r="M1618" s="2">
        <v>46194</v>
      </c>
      <c r="N1618" s="2">
        <v>46191</v>
      </c>
      <c r="O1618" t="s">
        <v>26</v>
      </c>
      <c r="P1618" t="s">
        <v>35</v>
      </c>
      <c r="Q1618" t="s">
        <v>28</v>
      </c>
      <c r="R1618" t="s">
        <v>29</v>
      </c>
      <c r="S1618">
        <v>2026</v>
      </c>
      <c r="T1618" t="s">
        <v>2743</v>
      </c>
      <c r="U1618" t="s">
        <v>2744</v>
      </c>
      <c r="V1618" s="4">
        <v>0</v>
      </c>
      <c r="W1618" s="4">
        <v>1</v>
      </c>
    </row>
    <row r="1619" spans="1:23">
      <c r="A1619" t="s">
        <v>1751</v>
      </c>
      <c r="B1619" s="2">
        <v>46182</v>
      </c>
      <c r="C1619" t="s">
        <v>37</v>
      </c>
      <c r="D1619" t="s">
        <v>38</v>
      </c>
      <c r="E1619" t="s">
        <v>39</v>
      </c>
      <c r="F1619" t="s">
        <v>22</v>
      </c>
      <c r="G1619" t="s">
        <v>23</v>
      </c>
      <c r="H1619" t="s">
        <v>24</v>
      </c>
      <c r="I1619">
        <v>30</v>
      </c>
      <c r="J1619" s="3">
        <v>267.83</v>
      </c>
      <c r="K1619" s="3">
        <v>8034.9</v>
      </c>
      <c r="L1619" t="s">
        <v>34</v>
      </c>
      <c r="M1619" s="2">
        <v>46188</v>
      </c>
      <c r="N1619" s="2">
        <v>46185</v>
      </c>
      <c r="O1619" t="s">
        <v>26</v>
      </c>
      <c r="P1619" t="s">
        <v>64</v>
      </c>
      <c r="Q1619" t="s">
        <v>28</v>
      </c>
      <c r="R1619" t="s">
        <v>29</v>
      </c>
      <c r="S1619">
        <v>2026</v>
      </c>
      <c r="T1619" t="s">
        <v>2743</v>
      </c>
      <c r="U1619" t="s">
        <v>2744</v>
      </c>
      <c r="V1619" s="4">
        <v>0</v>
      </c>
      <c r="W1619" s="4">
        <v>1</v>
      </c>
    </row>
    <row r="1620" spans="1:23">
      <c r="A1620" t="s">
        <v>1752</v>
      </c>
      <c r="B1620" s="2">
        <v>45686</v>
      </c>
      <c r="C1620" t="s">
        <v>37</v>
      </c>
      <c r="D1620" t="s">
        <v>38</v>
      </c>
      <c r="E1620" t="s">
        <v>21</v>
      </c>
      <c r="F1620" t="s">
        <v>22</v>
      </c>
      <c r="G1620" t="s">
        <v>32</v>
      </c>
      <c r="H1620" t="s">
        <v>33</v>
      </c>
      <c r="I1620">
        <v>3</v>
      </c>
      <c r="J1620" s="3">
        <v>8422.9</v>
      </c>
      <c r="K1620" s="3">
        <v>25268.7</v>
      </c>
      <c r="L1620" t="s">
        <v>34</v>
      </c>
      <c r="M1620" s="2">
        <v>45700</v>
      </c>
      <c r="N1620" s="2">
        <v>45697</v>
      </c>
      <c r="O1620" t="s">
        <v>43</v>
      </c>
      <c r="P1620" t="s">
        <v>27</v>
      </c>
      <c r="Q1620" t="s">
        <v>28</v>
      </c>
      <c r="R1620" t="s">
        <v>29</v>
      </c>
      <c r="S1620">
        <v>2025</v>
      </c>
      <c r="T1620" t="s">
        <v>2757</v>
      </c>
      <c r="U1620" t="s">
        <v>2768</v>
      </c>
      <c r="V1620" s="4">
        <v>0</v>
      </c>
      <c r="W1620" s="4">
        <v>1</v>
      </c>
    </row>
    <row r="1621" spans="1:23">
      <c r="A1621" t="s">
        <v>1753</v>
      </c>
      <c r="B1621" s="2">
        <v>46158</v>
      </c>
      <c r="C1621" t="s">
        <v>117</v>
      </c>
      <c r="D1621" t="s">
        <v>118</v>
      </c>
      <c r="E1621" t="s">
        <v>73</v>
      </c>
      <c r="F1621" t="s">
        <v>57</v>
      </c>
      <c r="G1621" t="s">
        <v>127</v>
      </c>
      <c r="H1621" t="s">
        <v>128</v>
      </c>
      <c r="I1621">
        <v>8</v>
      </c>
      <c r="J1621" s="3">
        <v>15980.91</v>
      </c>
      <c r="K1621" s="3">
        <v>127847.28</v>
      </c>
      <c r="L1621" t="s">
        <v>34</v>
      </c>
      <c r="M1621" s="2">
        <v>46172</v>
      </c>
      <c r="N1621" s="2">
        <v>46169</v>
      </c>
      <c r="O1621" t="s">
        <v>26</v>
      </c>
      <c r="P1621" t="s">
        <v>77</v>
      </c>
      <c r="Q1621" t="s">
        <v>28</v>
      </c>
      <c r="R1621" t="s">
        <v>29</v>
      </c>
      <c r="S1621">
        <v>2026</v>
      </c>
      <c r="T1621" t="s">
        <v>2766</v>
      </c>
      <c r="U1621" t="s">
        <v>2769</v>
      </c>
      <c r="V1621" s="4">
        <v>0</v>
      </c>
      <c r="W1621" s="4">
        <v>1</v>
      </c>
    </row>
    <row r="1622" spans="1:23">
      <c r="A1622" t="s">
        <v>1754</v>
      </c>
      <c r="B1622" s="2">
        <v>45894</v>
      </c>
      <c r="C1622" t="s">
        <v>46</v>
      </c>
      <c r="D1622" t="s">
        <v>47</v>
      </c>
      <c r="E1622" t="s">
        <v>112</v>
      </c>
      <c r="F1622" t="s">
        <v>49</v>
      </c>
      <c r="G1622" t="s">
        <v>68</v>
      </c>
      <c r="H1622" t="s">
        <v>69</v>
      </c>
      <c r="I1622">
        <v>2</v>
      </c>
      <c r="J1622" s="3">
        <v>51626.54</v>
      </c>
      <c r="K1622" s="3">
        <v>103253.08</v>
      </c>
      <c r="L1622" t="s">
        <v>25</v>
      </c>
      <c r="M1622" s="2">
        <v>45899</v>
      </c>
      <c r="N1622" s="2">
        <v>45897</v>
      </c>
      <c r="O1622" t="s">
        <v>60</v>
      </c>
      <c r="P1622" t="s">
        <v>115</v>
      </c>
      <c r="Q1622" t="s">
        <v>28</v>
      </c>
      <c r="R1622" t="s">
        <v>29</v>
      </c>
      <c r="S1622">
        <v>2025</v>
      </c>
      <c r="T1622" t="s">
        <v>2761</v>
      </c>
      <c r="U1622" t="s">
        <v>2762</v>
      </c>
      <c r="V1622" s="4">
        <v>0</v>
      </c>
      <c r="W1622" s="4">
        <v>1</v>
      </c>
    </row>
    <row r="1623" spans="1:23">
      <c r="A1623" t="s">
        <v>1755</v>
      </c>
      <c r="B1623" s="2">
        <v>46129</v>
      </c>
      <c r="C1623" t="s">
        <v>131</v>
      </c>
      <c r="D1623" t="s">
        <v>132</v>
      </c>
      <c r="E1623" t="s">
        <v>73</v>
      </c>
      <c r="F1623" t="s">
        <v>57</v>
      </c>
      <c r="G1623" t="s">
        <v>120</v>
      </c>
      <c r="H1623" t="s">
        <v>121</v>
      </c>
      <c r="I1623">
        <v>4</v>
      </c>
      <c r="J1623" s="3">
        <v>24090.36</v>
      </c>
      <c r="K1623" s="3">
        <v>96361.44</v>
      </c>
      <c r="L1623" t="s">
        <v>25</v>
      </c>
      <c r="M1623" s="2">
        <v>46139</v>
      </c>
      <c r="N1623" s="2">
        <v>46136</v>
      </c>
      <c r="O1623" t="s">
        <v>60</v>
      </c>
      <c r="P1623" t="s">
        <v>77</v>
      </c>
      <c r="Q1623" t="s">
        <v>28</v>
      </c>
      <c r="R1623" t="s">
        <v>29</v>
      </c>
      <c r="S1623">
        <v>2026</v>
      </c>
      <c r="T1623" t="s">
        <v>2741</v>
      </c>
      <c r="U1623" t="s">
        <v>2770</v>
      </c>
      <c r="V1623" s="4">
        <v>0</v>
      </c>
      <c r="W1623" s="4">
        <v>1</v>
      </c>
    </row>
    <row r="1624" spans="1:23">
      <c r="A1624" t="s">
        <v>1756</v>
      </c>
      <c r="B1624" s="2">
        <v>45881</v>
      </c>
      <c r="C1624" t="s">
        <v>71</v>
      </c>
      <c r="D1624" t="s">
        <v>72</v>
      </c>
      <c r="E1624" t="s">
        <v>21</v>
      </c>
      <c r="F1624" t="s">
        <v>57</v>
      </c>
      <c r="G1624" t="s">
        <v>101</v>
      </c>
      <c r="H1624" t="s">
        <v>102</v>
      </c>
      <c r="I1624">
        <v>33</v>
      </c>
      <c r="J1624" s="3">
        <v>1732.47</v>
      </c>
      <c r="K1624" s="3">
        <v>57171.51</v>
      </c>
      <c r="L1624" t="s">
        <v>25</v>
      </c>
      <c r="M1624" s="2">
        <v>45896</v>
      </c>
      <c r="N1624" s="2">
        <v>45894</v>
      </c>
      <c r="O1624" t="s">
        <v>43</v>
      </c>
      <c r="P1624" t="s">
        <v>27</v>
      </c>
      <c r="Q1624" t="s">
        <v>28</v>
      </c>
      <c r="R1624" t="s">
        <v>29</v>
      </c>
      <c r="S1624">
        <v>2025</v>
      </c>
      <c r="T1624" t="s">
        <v>2761</v>
      </c>
      <c r="U1624" t="s">
        <v>2762</v>
      </c>
      <c r="V1624" s="4">
        <v>0</v>
      </c>
      <c r="W1624" s="4">
        <v>1</v>
      </c>
    </row>
    <row r="1625" spans="1:23">
      <c r="A1625" t="s">
        <v>1757</v>
      </c>
      <c r="B1625" s="2">
        <v>45885</v>
      </c>
      <c r="C1625" t="s">
        <v>104</v>
      </c>
      <c r="D1625" t="s">
        <v>105</v>
      </c>
      <c r="E1625" t="s">
        <v>48</v>
      </c>
      <c r="F1625" t="s">
        <v>49</v>
      </c>
      <c r="G1625" t="s">
        <v>165</v>
      </c>
      <c r="H1625" t="s">
        <v>166</v>
      </c>
      <c r="I1625">
        <v>3</v>
      </c>
      <c r="J1625" s="3">
        <v>44688.959999999999</v>
      </c>
      <c r="K1625" s="3">
        <v>134066.88</v>
      </c>
      <c r="L1625" t="s">
        <v>25</v>
      </c>
      <c r="M1625" s="2">
        <v>45898</v>
      </c>
      <c r="N1625" s="2">
        <v>45898</v>
      </c>
      <c r="O1625" t="s">
        <v>76</v>
      </c>
      <c r="P1625" t="s">
        <v>53</v>
      </c>
      <c r="Q1625" t="s">
        <v>28</v>
      </c>
      <c r="R1625" t="s">
        <v>29</v>
      </c>
      <c r="S1625">
        <v>2025</v>
      </c>
      <c r="T1625" t="s">
        <v>2761</v>
      </c>
      <c r="U1625" t="s">
        <v>2762</v>
      </c>
      <c r="V1625" s="4">
        <v>0</v>
      </c>
      <c r="W1625" s="4">
        <v>1</v>
      </c>
    </row>
    <row r="1626" spans="1:23">
      <c r="A1626" t="s">
        <v>1758</v>
      </c>
      <c r="B1626" s="2">
        <v>45861</v>
      </c>
      <c r="C1626" t="s">
        <v>19</v>
      </c>
      <c r="D1626" t="s">
        <v>20</v>
      </c>
      <c r="E1626" t="s">
        <v>112</v>
      </c>
      <c r="F1626" t="s">
        <v>22</v>
      </c>
      <c r="G1626" t="s">
        <v>160</v>
      </c>
      <c r="H1626" t="s">
        <v>161</v>
      </c>
      <c r="I1626">
        <v>15</v>
      </c>
      <c r="J1626" s="3">
        <v>3091.04</v>
      </c>
      <c r="K1626" s="3">
        <v>46365.599999999999</v>
      </c>
      <c r="L1626" t="s">
        <v>34</v>
      </c>
      <c r="M1626" s="2">
        <v>45878</v>
      </c>
      <c r="N1626" s="2">
        <v>45878</v>
      </c>
      <c r="O1626" t="s">
        <v>60</v>
      </c>
      <c r="P1626" t="s">
        <v>115</v>
      </c>
      <c r="Q1626" t="s">
        <v>28</v>
      </c>
      <c r="R1626" t="s">
        <v>29</v>
      </c>
      <c r="S1626">
        <v>2025</v>
      </c>
      <c r="T1626" t="s">
        <v>2759</v>
      </c>
      <c r="U1626" t="s">
        <v>2760</v>
      </c>
      <c r="V1626" s="4">
        <v>0</v>
      </c>
      <c r="W1626" s="4">
        <v>1</v>
      </c>
    </row>
    <row r="1627" spans="1:23">
      <c r="A1627" t="s">
        <v>1759</v>
      </c>
      <c r="B1627" s="2">
        <v>46115</v>
      </c>
      <c r="C1627" t="s">
        <v>19</v>
      </c>
      <c r="D1627" t="s">
        <v>20</v>
      </c>
      <c r="E1627" t="s">
        <v>112</v>
      </c>
      <c r="F1627" t="s">
        <v>22</v>
      </c>
      <c r="G1627" t="s">
        <v>23</v>
      </c>
      <c r="H1627" t="s">
        <v>24</v>
      </c>
      <c r="I1627">
        <v>54</v>
      </c>
      <c r="J1627" s="3">
        <v>238.44</v>
      </c>
      <c r="K1627" s="3">
        <v>12875.76</v>
      </c>
      <c r="L1627" t="s">
        <v>25</v>
      </c>
      <c r="M1627" s="2">
        <v>46130</v>
      </c>
      <c r="N1627" s="2">
        <v>46127</v>
      </c>
      <c r="O1627" t="s">
        <v>76</v>
      </c>
      <c r="P1627" t="s">
        <v>115</v>
      </c>
      <c r="Q1627" t="s">
        <v>28</v>
      </c>
      <c r="R1627" t="s">
        <v>29</v>
      </c>
      <c r="S1627">
        <v>2026</v>
      </c>
      <c r="T1627" t="s">
        <v>2741</v>
      </c>
      <c r="U1627" t="s">
        <v>2770</v>
      </c>
      <c r="V1627" s="4">
        <v>0</v>
      </c>
      <c r="W1627" s="4">
        <v>1</v>
      </c>
    </row>
    <row r="1628" spans="1:23">
      <c r="A1628" t="s">
        <v>1760</v>
      </c>
      <c r="B1628" s="2">
        <v>46142</v>
      </c>
      <c r="C1628" t="s">
        <v>19</v>
      </c>
      <c r="D1628" t="s">
        <v>20</v>
      </c>
      <c r="E1628" t="s">
        <v>21</v>
      </c>
      <c r="F1628" t="s">
        <v>22</v>
      </c>
      <c r="G1628" t="s">
        <v>160</v>
      </c>
      <c r="H1628" t="s">
        <v>161</v>
      </c>
      <c r="I1628">
        <v>5</v>
      </c>
      <c r="J1628" s="3">
        <v>2924.97</v>
      </c>
      <c r="K1628" s="3">
        <v>14624.85</v>
      </c>
      <c r="L1628" t="s">
        <v>25</v>
      </c>
      <c r="M1628" s="2">
        <v>46160</v>
      </c>
      <c r="N1628" s="2">
        <v>46168</v>
      </c>
      <c r="O1628" t="s">
        <v>26</v>
      </c>
      <c r="P1628" t="s">
        <v>27</v>
      </c>
      <c r="Q1628" t="s">
        <v>28</v>
      </c>
      <c r="R1628" t="s">
        <v>129</v>
      </c>
      <c r="S1628">
        <v>2026</v>
      </c>
      <c r="T1628" t="s">
        <v>2741</v>
      </c>
      <c r="U1628" t="s">
        <v>2770</v>
      </c>
      <c r="V1628" s="4">
        <v>8</v>
      </c>
      <c r="W1628" s="4">
        <v>0</v>
      </c>
    </row>
    <row r="1629" spans="1:23">
      <c r="A1629" t="s">
        <v>1761</v>
      </c>
      <c r="B1629" s="2">
        <v>46149</v>
      </c>
      <c r="C1629" t="s">
        <v>37</v>
      </c>
      <c r="D1629" t="s">
        <v>38</v>
      </c>
      <c r="E1629" t="s">
        <v>31</v>
      </c>
      <c r="F1629" t="s">
        <v>22</v>
      </c>
      <c r="G1629" t="s">
        <v>23</v>
      </c>
      <c r="H1629" t="s">
        <v>24</v>
      </c>
      <c r="I1629">
        <v>36</v>
      </c>
      <c r="J1629" s="3">
        <v>260.04000000000002</v>
      </c>
      <c r="K1629" s="3">
        <v>9361.44</v>
      </c>
      <c r="L1629" t="s">
        <v>34</v>
      </c>
      <c r="M1629" s="2">
        <v>46159</v>
      </c>
      <c r="N1629" s="2">
        <v>46158</v>
      </c>
      <c r="O1629" t="s">
        <v>26</v>
      </c>
      <c r="P1629" t="s">
        <v>35</v>
      </c>
      <c r="Q1629" t="s">
        <v>28</v>
      </c>
      <c r="R1629" t="s">
        <v>29</v>
      </c>
      <c r="S1629">
        <v>2026</v>
      </c>
      <c r="T1629" t="s">
        <v>2766</v>
      </c>
      <c r="U1629" t="s">
        <v>2769</v>
      </c>
      <c r="V1629" s="4">
        <v>0</v>
      </c>
      <c r="W1629" s="4">
        <v>1</v>
      </c>
    </row>
    <row r="1630" spans="1:23">
      <c r="A1630" t="s">
        <v>1762</v>
      </c>
      <c r="B1630" s="2">
        <v>45897</v>
      </c>
      <c r="C1630" t="s">
        <v>117</v>
      </c>
      <c r="D1630" t="s">
        <v>118</v>
      </c>
      <c r="E1630" t="s">
        <v>73</v>
      </c>
      <c r="F1630" t="s">
        <v>57</v>
      </c>
      <c r="G1630" t="s">
        <v>120</v>
      </c>
      <c r="H1630" t="s">
        <v>121</v>
      </c>
      <c r="I1630">
        <v>2</v>
      </c>
      <c r="J1630" s="3">
        <v>21242.91</v>
      </c>
      <c r="K1630" s="3">
        <v>42485.82</v>
      </c>
      <c r="L1630" t="s">
        <v>34</v>
      </c>
      <c r="M1630" s="2">
        <v>45907</v>
      </c>
      <c r="N1630" s="2">
        <v>45905</v>
      </c>
      <c r="O1630" t="s">
        <v>26</v>
      </c>
      <c r="P1630" t="s">
        <v>77</v>
      </c>
      <c r="Q1630" t="s">
        <v>28</v>
      </c>
      <c r="R1630" t="s">
        <v>29</v>
      </c>
      <c r="S1630">
        <v>2025</v>
      </c>
      <c r="T1630" t="s">
        <v>2761</v>
      </c>
      <c r="U1630" t="s">
        <v>2762</v>
      </c>
      <c r="V1630" s="4">
        <v>0</v>
      </c>
      <c r="W1630" s="4">
        <v>1</v>
      </c>
    </row>
    <row r="1631" spans="1:23">
      <c r="A1631" t="s">
        <v>1763</v>
      </c>
      <c r="B1631" s="2">
        <v>45837</v>
      </c>
      <c r="C1631" t="s">
        <v>117</v>
      </c>
      <c r="D1631" t="s">
        <v>118</v>
      </c>
      <c r="E1631" t="s">
        <v>73</v>
      </c>
      <c r="F1631" t="s">
        <v>57</v>
      </c>
      <c r="G1631" t="s">
        <v>58</v>
      </c>
      <c r="H1631" t="s">
        <v>59</v>
      </c>
      <c r="I1631">
        <v>5</v>
      </c>
      <c r="J1631" s="3">
        <v>56827.01</v>
      </c>
      <c r="K1631" s="3">
        <v>284135.05</v>
      </c>
      <c r="L1631" t="s">
        <v>34</v>
      </c>
      <c r="M1631" s="2">
        <v>45850</v>
      </c>
      <c r="N1631" s="2">
        <v>45847</v>
      </c>
      <c r="O1631" t="s">
        <v>43</v>
      </c>
      <c r="P1631" t="s">
        <v>77</v>
      </c>
      <c r="Q1631" t="s">
        <v>28</v>
      </c>
      <c r="R1631" t="s">
        <v>29</v>
      </c>
      <c r="S1631">
        <v>2025</v>
      </c>
      <c r="T1631" t="s">
        <v>2743</v>
      </c>
      <c r="U1631" t="s">
        <v>2756</v>
      </c>
      <c r="V1631" s="4">
        <v>0</v>
      </c>
      <c r="W1631" s="4">
        <v>1</v>
      </c>
    </row>
    <row r="1632" spans="1:23">
      <c r="A1632" t="s">
        <v>1764</v>
      </c>
      <c r="B1632" s="2">
        <v>45870</v>
      </c>
      <c r="C1632" t="s">
        <v>104</v>
      </c>
      <c r="D1632" t="s">
        <v>105</v>
      </c>
      <c r="E1632" t="s">
        <v>48</v>
      </c>
      <c r="F1632" t="s">
        <v>49</v>
      </c>
      <c r="G1632" t="s">
        <v>165</v>
      </c>
      <c r="H1632" t="s">
        <v>166</v>
      </c>
      <c r="I1632">
        <v>1</v>
      </c>
      <c r="J1632" s="3">
        <v>46144.98</v>
      </c>
      <c r="K1632" s="3">
        <v>46144.98</v>
      </c>
      <c r="L1632" t="s">
        <v>25</v>
      </c>
      <c r="M1632" s="2">
        <v>45886</v>
      </c>
      <c r="N1632" s="2">
        <v>45884</v>
      </c>
      <c r="O1632" t="s">
        <v>43</v>
      </c>
      <c r="P1632" t="s">
        <v>53</v>
      </c>
      <c r="Q1632" t="s">
        <v>28</v>
      </c>
      <c r="R1632" t="s">
        <v>29</v>
      </c>
      <c r="S1632">
        <v>2025</v>
      </c>
      <c r="T1632" t="s">
        <v>2761</v>
      </c>
      <c r="U1632" t="s">
        <v>2762</v>
      </c>
      <c r="V1632" s="4">
        <v>0</v>
      </c>
      <c r="W1632" s="4">
        <v>1</v>
      </c>
    </row>
    <row r="1633" spans="1:23">
      <c r="A1633" t="s">
        <v>1765</v>
      </c>
      <c r="B1633" s="2">
        <v>45932</v>
      </c>
      <c r="C1633" t="s">
        <v>104</v>
      </c>
      <c r="D1633" t="s">
        <v>105</v>
      </c>
      <c r="E1633" t="s">
        <v>112</v>
      </c>
      <c r="F1633" t="s">
        <v>49</v>
      </c>
      <c r="G1633" t="s">
        <v>113</v>
      </c>
      <c r="H1633" t="s">
        <v>114</v>
      </c>
      <c r="I1633">
        <v>1</v>
      </c>
      <c r="J1633" s="3">
        <v>37991.480000000003</v>
      </c>
      <c r="K1633" s="3">
        <v>37991.480000000003</v>
      </c>
      <c r="L1633" t="s">
        <v>25</v>
      </c>
      <c r="M1633" s="2">
        <v>45937</v>
      </c>
      <c r="N1633" s="2">
        <v>45936</v>
      </c>
      <c r="O1633" t="s">
        <v>43</v>
      </c>
      <c r="P1633" t="s">
        <v>115</v>
      </c>
      <c r="Q1633" t="s">
        <v>28</v>
      </c>
      <c r="R1633" t="s">
        <v>29</v>
      </c>
      <c r="S1633">
        <v>2025</v>
      </c>
      <c r="T1633" t="s">
        <v>2749</v>
      </c>
      <c r="U1633" t="s">
        <v>2750</v>
      </c>
      <c r="V1633" s="4">
        <v>0</v>
      </c>
      <c r="W1633" s="4">
        <v>1</v>
      </c>
    </row>
    <row r="1634" spans="1:23">
      <c r="A1634" t="s">
        <v>1766</v>
      </c>
      <c r="B1634" s="2">
        <v>45731</v>
      </c>
      <c r="C1634" t="s">
        <v>37</v>
      </c>
      <c r="D1634" t="s">
        <v>38</v>
      </c>
      <c r="E1634" t="s">
        <v>112</v>
      </c>
      <c r="F1634" t="s">
        <v>22</v>
      </c>
      <c r="G1634" t="s">
        <v>23</v>
      </c>
      <c r="H1634" t="s">
        <v>24</v>
      </c>
      <c r="I1634">
        <v>22</v>
      </c>
      <c r="J1634" s="3">
        <v>274.26</v>
      </c>
      <c r="K1634" s="3">
        <v>6033.72</v>
      </c>
      <c r="L1634" t="s">
        <v>34</v>
      </c>
      <c r="M1634" s="2">
        <v>45746</v>
      </c>
      <c r="N1634" s="2">
        <v>45746</v>
      </c>
      <c r="O1634" t="s">
        <v>76</v>
      </c>
      <c r="P1634" t="s">
        <v>115</v>
      </c>
      <c r="Q1634" t="s">
        <v>28</v>
      </c>
      <c r="R1634" t="s">
        <v>29</v>
      </c>
      <c r="S1634">
        <v>2025</v>
      </c>
      <c r="T1634" t="s">
        <v>2747</v>
      </c>
      <c r="U1634" t="s">
        <v>2748</v>
      </c>
      <c r="V1634" s="4">
        <v>0</v>
      </c>
      <c r="W1634" s="4">
        <v>1</v>
      </c>
    </row>
    <row r="1635" spans="1:23">
      <c r="A1635" t="s">
        <v>1767</v>
      </c>
      <c r="B1635" s="2">
        <v>45952</v>
      </c>
      <c r="C1635" t="s">
        <v>46</v>
      </c>
      <c r="D1635" t="s">
        <v>47</v>
      </c>
      <c r="E1635" t="s">
        <v>112</v>
      </c>
      <c r="F1635" t="s">
        <v>49</v>
      </c>
      <c r="G1635" t="s">
        <v>50</v>
      </c>
      <c r="H1635" t="s">
        <v>51</v>
      </c>
      <c r="I1635">
        <v>1</v>
      </c>
      <c r="J1635" s="3">
        <v>54346.96</v>
      </c>
      <c r="K1635" s="3">
        <v>54346.96</v>
      </c>
      <c r="L1635" t="s">
        <v>34</v>
      </c>
      <c r="M1635" s="2">
        <v>45960</v>
      </c>
      <c r="N1635" s="2">
        <v>45960</v>
      </c>
      <c r="O1635" t="s">
        <v>60</v>
      </c>
      <c r="P1635" t="s">
        <v>115</v>
      </c>
      <c r="Q1635" t="s">
        <v>28</v>
      </c>
      <c r="R1635" t="s">
        <v>29</v>
      </c>
      <c r="S1635">
        <v>2025</v>
      </c>
      <c r="T1635" t="s">
        <v>2749</v>
      </c>
      <c r="U1635" t="s">
        <v>2750</v>
      </c>
      <c r="V1635" s="4">
        <v>0</v>
      </c>
      <c r="W1635" s="4">
        <v>1</v>
      </c>
    </row>
    <row r="1636" spans="1:23">
      <c r="A1636" t="s">
        <v>1768</v>
      </c>
      <c r="B1636" s="2">
        <v>45688</v>
      </c>
      <c r="C1636" t="s">
        <v>71</v>
      </c>
      <c r="D1636" t="s">
        <v>72</v>
      </c>
      <c r="E1636" t="s">
        <v>31</v>
      </c>
      <c r="F1636" t="s">
        <v>57</v>
      </c>
      <c r="G1636" t="s">
        <v>120</v>
      </c>
      <c r="H1636" t="s">
        <v>121</v>
      </c>
      <c r="I1636">
        <v>4</v>
      </c>
      <c r="J1636" s="3">
        <v>19870.82</v>
      </c>
      <c r="K1636" s="3">
        <v>79483.28</v>
      </c>
      <c r="L1636" t="s">
        <v>25</v>
      </c>
      <c r="M1636" s="2">
        <v>45699</v>
      </c>
      <c r="N1636" s="2">
        <v>45696</v>
      </c>
      <c r="O1636" t="s">
        <v>60</v>
      </c>
      <c r="P1636" t="s">
        <v>35</v>
      </c>
      <c r="Q1636" t="s">
        <v>28</v>
      </c>
      <c r="R1636" t="s">
        <v>29</v>
      </c>
      <c r="S1636">
        <v>2025</v>
      </c>
      <c r="T1636" t="s">
        <v>2757</v>
      </c>
      <c r="U1636" t="s">
        <v>2768</v>
      </c>
      <c r="V1636" s="4">
        <v>0</v>
      </c>
      <c r="W1636" s="4">
        <v>1</v>
      </c>
    </row>
    <row r="1637" spans="1:23">
      <c r="A1637" t="s">
        <v>1769</v>
      </c>
      <c r="B1637" s="2">
        <v>46081</v>
      </c>
      <c r="C1637" t="s">
        <v>19</v>
      </c>
      <c r="D1637" t="s">
        <v>20</v>
      </c>
      <c r="E1637" t="s">
        <v>39</v>
      </c>
      <c r="F1637" t="s">
        <v>22</v>
      </c>
      <c r="G1637" t="s">
        <v>160</v>
      </c>
      <c r="H1637" t="s">
        <v>161</v>
      </c>
      <c r="I1637">
        <v>5</v>
      </c>
      <c r="J1637" s="3">
        <v>3053.64</v>
      </c>
      <c r="K1637" s="3">
        <v>15268.2</v>
      </c>
      <c r="L1637" t="s">
        <v>25</v>
      </c>
      <c r="M1637" s="2">
        <v>46088</v>
      </c>
      <c r="N1637" s="2">
        <v>46088</v>
      </c>
      <c r="O1637" t="s">
        <v>26</v>
      </c>
      <c r="P1637" t="s">
        <v>64</v>
      </c>
      <c r="Q1637" t="s">
        <v>28</v>
      </c>
      <c r="R1637" t="s">
        <v>29</v>
      </c>
      <c r="S1637">
        <v>2026</v>
      </c>
      <c r="T1637" t="s">
        <v>2751</v>
      </c>
      <c r="U1637" t="s">
        <v>2765</v>
      </c>
      <c r="V1637" s="4">
        <v>0</v>
      </c>
      <c r="W1637" s="4">
        <v>1</v>
      </c>
    </row>
    <row r="1638" spans="1:23">
      <c r="A1638" t="s">
        <v>1770</v>
      </c>
      <c r="B1638" s="2">
        <v>45883</v>
      </c>
      <c r="C1638" t="s">
        <v>107</v>
      </c>
      <c r="D1638" t="s">
        <v>108</v>
      </c>
      <c r="E1638" t="s">
        <v>31</v>
      </c>
      <c r="F1638" t="s">
        <v>91</v>
      </c>
      <c r="G1638" t="s">
        <v>92</v>
      </c>
      <c r="H1638" t="s">
        <v>93</v>
      </c>
      <c r="I1638">
        <v>2</v>
      </c>
      <c r="J1638" s="3">
        <v>45220.01</v>
      </c>
      <c r="K1638" s="3">
        <v>90440.02</v>
      </c>
      <c r="L1638" t="s">
        <v>25</v>
      </c>
      <c r="M1638" s="2">
        <v>45894</v>
      </c>
      <c r="N1638" s="2">
        <v>45891</v>
      </c>
      <c r="O1638" t="s">
        <v>43</v>
      </c>
      <c r="P1638" t="s">
        <v>94</v>
      </c>
      <c r="Q1638" t="s">
        <v>28</v>
      </c>
      <c r="R1638" t="s">
        <v>29</v>
      </c>
      <c r="S1638">
        <v>2025</v>
      </c>
      <c r="T1638" t="s">
        <v>2761</v>
      </c>
      <c r="U1638" t="s">
        <v>2762</v>
      </c>
      <c r="V1638" s="4">
        <v>0</v>
      </c>
      <c r="W1638" s="4">
        <v>1</v>
      </c>
    </row>
    <row r="1639" spans="1:23">
      <c r="A1639" t="s">
        <v>1771</v>
      </c>
      <c r="B1639" s="2">
        <v>45731</v>
      </c>
      <c r="C1639" t="s">
        <v>117</v>
      </c>
      <c r="D1639" t="s">
        <v>118</v>
      </c>
      <c r="E1639" t="s">
        <v>31</v>
      </c>
      <c r="F1639" t="s">
        <v>57</v>
      </c>
      <c r="G1639" t="s">
        <v>74</v>
      </c>
      <c r="H1639" t="s">
        <v>75</v>
      </c>
      <c r="I1639">
        <v>10</v>
      </c>
      <c r="J1639" s="3">
        <v>8603.7199999999993</v>
      </c>
      <c r="K1639" s="3">
        <v>86037.2</v>
      </c>
      <c r="L1639" t="s">
        <v>25</v>
      </c>
      <c r="M1639" s="2">
        <v>45738</v>
      </c>
      <c r="N1639" s="2">
        <v>45736</v>
      </c>
      <c r="O1639" t="s">
        <v>76</v>
      </c>
      <c r="P1639" t="s">
        <v>35</v>
      </c>
      <c r="Q1639" t="s">
        <v>28</v>
      </c>
      <c r="R1639" t="s">
        <v>29</v>
      </c>
      <c r="S1639">
        <v>2025</v>
      </c>
      <c r="T1639" t="s">
        <v>2747</v>
      </c>
      <c r="U1639" t="s">
        <v>2748</v>
      </c>
      <c r="V1639" s="4">
        <v>0</v>
      </c>
      <c r="W1639" s="4">
        <v>1</v>
      </c>
    </row>
    <row r="1640" spans="1:23">
      <c r="A1640" t="s">
        <v>1772</v>
      </c>
      <c r="B1640" s="2">
        <v>46027</v>
      </c>
      <c r="C1640" t="s">
        <v>104</v>
      </c>
      <c r="D1640" t="s">
        <v>105</v>
      </c>
      <c r="E1640" t="s">
        <v>21</v>
      </c>
      <c r="F1640" t="s">
        <v>49</v>
      </c>
      <c r="G1640" t="s">
        <v>113</v>
      </c>
      <c r="H1640" t="s">
        <v>114</v>
      </c>
      <c r="I1640">
        <v>2</v>
      </c>
      <c r="J1640" s="3">
        <v>37792.36</v>
      </c>
      <c r="K1640" s="3">
        <v>75584.72</v>
      </c>
      <c r="L1640" t="s">
        <v>25</v>
      </c>
      <c r="M1640" s="2">
        <v>46044</v>
      </c>
      <c r="N1640" s="2">
        <v>46043</v>
      </c>
      <c r="O1640" t="s">
        <v>76</v>
      </c>
      <c r="P1640" t="s">
        <v>27</v>
      </c>
      <c r="Q1640" t="s">
        <v>28</v>
      </c>
      <c r="R1640" t="s">
        <v>29</v>
      </c>
      <c r="S1640">
        <v>2026</v>
      </c>
      <c r="T1640" t="s">
        <v>2757</v>
      </c>
      <c r="U1640" t="s">
        <v>2758</v>
      </c>
      <c r="V1640" s="4">
        <v>0</v>
      </c>
      <c r="W1640" s="4">
        <v>1</v>
      </c>
    </row>
    <row r="1641" spans="1:23">
      <c r="A1641" t="s">
        <v>1773</v>
      </c>
      <c r="B1641" s="2">
        <v>46000</v>
      </c>
      <c r="C1641" t="s">
        <v>71</v>
      </c>
      <c r="D1641" t="s">
        <v>72</v>
      </c>
      <c r="E1641" t="s">
        <v>48</v>
      </c>
      <c r="F1641" t="s">
        <v>57</v>
      </c>
      <c r="G1641" t="s">
        <v>74</v>
      </c>
      <c r="H1641" t="s">
        <v>75</v>
      </c>
      <c r="I1641">
        <v>15</v>
      </c>
      <c r="J1641" s="3">
        <v>8048.84</v>
      </c>
      <c r="K1641" s="3">
        <v>120732.6</v>
      </c>
      <c r="L1641" t="s">
        <v>34</v>
      </c>
      <c r="M1641" s="2">
        <v>46009</v>
      </c>
      <c r="N1641" s="2">
        <v>46007</v>
      </c>
      <c r="O1641" t="s">
        <v>43</v>
      </c>
      <c r="P1641" t="s">
        <v>53</v>
      </c>
      <c r="Q1641" t="s">
        <v>28</v>
      </c>
      <c r="R1641" t="s">
        <v>29</v>
      </c>
      <c r="S1641">
        <v>2025</v>
      </c>
      <c r="T1641" t="s">
        <v>2745</v>
      </c>
      <c r="U1641" t="s">
        <v>2746</v>
      </c>
      <c r="V1641" s="4">
        <v>0</v>
      </c>
      <c r="W1641" s="4">
        <v>1</v>
      </c>
    </row>
    <row r="1642" spans="1:23">
      <c r="A1642" t="s">
        <v>1774</v>
      </c>
      <c r="B1642" s="2">
        <v>45989</v>
      </c>
      <c r="C1642" t="s">
        <v>37</v>
      </c>
      <c r="D1642" t="s">
        <v>38</v>
      </c>
      <c r="E1642" t="s">
        <v>39</v>
      </c>
      <c r="F1642" t="s">
        <v>40</v>
      </c>
      <c r="G1642" t="s">
        <v>136</v>
      </c>
      <c r="H1642" t="s">
        <v>137</v>
      </c>
      <c r="I1642">
        <v>18</v>
      </c>
      <c r="J1642" s="3">
        <v>1809.6</v>
      </c>
      <c r="K1642" s="3">
        <v>32572.799999999999</v>
      </c>
      <c r="L1642" t="s">
        <v>34</v>
      </c>
      <c r="M1642" s="2">
        <v>46007</v>
      </c>
      <c r="N1642" s="2">
        <v>46005</v>
      </c>
      <c r="O1642" t="s">
        <v>76</v>
      </c>
      <c r="P1642" t="s">
        <v>44</v>
      </c>
      <c r="Q1642" t="s">
        <v>28</v>
      </c>
      <c r="R1642" t="s">
        <v>29</v>
      </c>
      <c r="S1642">
        <v>2025</v>
      </c>
      <c r="T1642" t="s">
        <v>2763</v>
      </c>
      <c r="U1642" t="s">
        <v>2764</v>
      </c>
      <c r="V1642" s="4">
        <v>0</v>
      </c>
      <c r="W1642" s="4">
        <v>1</v>
      </c>
    </row>
    <row r="1643" spans="1:23">
      <c r="A1643" t="s">
        <v>1775</v>
      </c>
      <c r="B1643" s="2">
        <v>46150</v>
      </c>
      <c r="C1643" t="s">
        <v>19</v>
      </c>
      <c r="D1643" t="s">
        <v>20</v>
      </c>
      <c r="E1643" t="s">
        <v>31</v>
      </c>
      <c r="F1643" t="s">
        <v>22</v>
      </c>
      <c r="G1643" t="s">
        <v>23</v>
      </c>
      <c r="H1643" t="s">
        <v>24</v>
      </c>
      <c r="I1643">
        <v>53</v>
      </c>
      <c r="J1643" s="3">
        <v>224.9</v>
      </c>
      <c r="K1643" s="3">
        <v>11919.7</v>
      </c>
      <c r="L1643" t="s">
        <v>25</v>
      </c>
      <c r="M1643" s="2">
        <v>46158</v>
      </c>
      <c r="N1643" s="2">
        <v>46158</v>
      </c>
      <c r="O1643" t="s">
        <v>76</v>
      </c>
      <c r="P1643" t="s">
        <v>35</v>
      </c>
      <c r="Q1643" t="s">
        <v>28</v>
      </c>
      <c r="R1643" t="s">
        <v>29</v>
      </c>
      <c r="S1643">
        <v>2026</v>
      </c>
      <c r="T1643" t="s">
        <v>2766</v>
      </c>
      <c r="U1643" t="s">
        <v>2769</v>
      </c>
      <c r="V1643" s="4">
        <v>0</v>
      </c>
      <c r="W1643" s="4">
        <v>1</v>
      </c>
    </row>
    <row r="1644" spans="1:23">
      <c r="A1644" t="s">
        <v>1776</v>
      </c>
      <c r="B1644" s="2">
        <v>45743</v>
      </c>
      <c r="C1644" t="s">
        <v>142</v>
      </c>
      <c r="D1644" t="s">
        <v>143</v>
      </c>
      <c r="E1644" t="s">
        <v>31</v>
      </c>
      <c r="F1644" t="s">
        <v>22</v>
      </c>
      <c r="G1644" t="s">
        <v>23</v>
      </c>
      <c r="H1644" t="s">
        <v>24</v>
      </c>
      <c r="I1644">
        <v>21</v>
      </c>
      <c r="J1644" s="3">
        <v>237.25</v>
      </c>
      <c r="K1644" s="3">
        <v>4982.25</v>
      </c>
      <c r="L1644" t="s">
        <v>25</v>
      </c>
      <c r="M1644" s="2">
        <v>45759</v>
      </c>
      <c r="N1644" s="2">
        <v>45756</v>
      </c>
      <c r="O1644" t="s">
        <v>60</v>
      </c>
      <c r="P1644" t="s">
        <v>35</v>
      </c>
      <c r="Q1644" t="s">
        <v>28</v>
      </c>
      <c r="R1644" t="s">
        <v>29</v>
      </c>
      <c r="S1644">
        <v>2025</v>
      </c>
      <c r="T1644" t="s">
        <v>2747</v>
      </c>
      <c r="U1644" t="s">
        <v>2748</v>
      </c>
      <c r="V1644" s="4">
        <v>0</v>
      </c>
      <c r="W1644" s="4">
        <v>1</v>
      </c>
    </row>
    <row r="1645" spans="1:23">
      <c r="A1645" t="s">
        <v>1777</v>
      </c>
      <c r="B1645" s="2">
        <v>45876</v>
      </c>
      <c r="C1645" t="s">
        <v>142</v>
      </c>
      <c r="D1645" t="s">
        <v>143</v>
      </c>
      <c r="E1645" t="s">
        <v>112</v>
      </c>
      <c r="F1645" t="s">
        <v>22</v>
      </c>
      <c r="G1645" t="s">
        <v>160</v>
      </c>
      <c r="H1645" t="s">
        <v>161</v>
      </c>
      <c r="I1645">
        <v>4</v>
      </c>
      <c r="J1645" s="3">
        <v>3302.27</v>
      </c>
      <c r="K1645" s="3">
        <v>13209.08</v>
      </c>
      <c r="L1645" t="s">
        <v>25</v>
      </c>
      <c r="M1645" s="2">
        <v>45888</v>
      </c>
      <c r="N1645" s="2">
        <v>45885</v>
      </c>
      <c r="O1645" t="s">
        <v>26</v>
      </c>
      <c r="P1645" t="s">
        <v>115</v>
      </c>
      <c r="Q1645" t="s">
        <v>28</v>
      </c>
      <c r="R1645" t="s">
        <v>29</v>
      </c>
      <c r="S1645">
        <v>2025</v>
      </c>
      <c r="T1645" t="s">
        <v>2761</v>
      </c>
      <c r="U1645" t="s">
        <v>2762</v>
      </c>
      <c r="V1645" s="4">
        <v>0</v>
      </c>
      <c r="W1645" s="4">
        <v>1</v>
      </c>
    </row>
    <row r="1646" spans="1:23">
      <c r="A1646" t="s">
        <v>1778</v>
      </c>
      <c r="B1646" s="2">
        <v>46172</v>
      </c>
      <c r="C1646" t="s">
        <v>96</v>
      </c>
      <c r="D1646" t="s">
        <v>97</v>
      </c>
      <c r="E1646" t="s">
        <v>39</v>
      </c>
      <c r="F1646" t="s">
        <v>82</v>
      </c>
      <c r="G1646" t="s">
        <v>197</v>
      </c>
      <c r="H1646" t="s">
        <v>198</v>
      </c>
      <c r="I1646">
        <v>24</v>
      </c>
      <c r="J1646" s="3">
        <v>2082.59</v>
      </c>
      <c r="K1646" s="3">
        <v>49982.16</v>
      </c>
      <c r="L1646" t="s">
        <v>25</v>
      </c>
      <c r="M1646" s="2">
        <v>46180</v>
      </c>
      <c r="N1646" s="2">
        <v>46178</v>
      </c>
      <c r="O1646" t="s">
        <v>43</v>
      </c>
      <c r="P1646" t="s">
        <v>44</v>
      </c>
      <c r="Q1646" t="s">
        <v>28</v>
      </c>
      <c r="R1646" t="s">
        <v>29</v>
      </c>
      <c r="S1646">
        <v>2026</v>
      </c>
      <c r="T1646" t="s">
        <v>2766</v>
      </c>
      <c r="U1646" t="s">
        <v>2769</v>
      </c>
      <c r="V1646" s="4">
        <v>0</v>
      </c>
      <c r="W1646" s="4">
        <v>1</v>
      </c>
    </row>
    <row r="1647" spans="1:23">
      <c r="A1647" t="s">
        <v>1779</v>
      </c>
      <c r="B1647" s="2">
        <v>45892</v>
      </c>
      <c r="C1647" t="s">
        <v>107</v>
      </c>
      <c r="D1647" t="s">
        <v>108</v>
      </c>
      <c r="E1647" t="s">
        <v>31</v>
      </c>
      <c r="F1647" t="s">
        <v>91</v>
      </c>
      <c r="G1647" t="s">
        <v>92</v>
      </c>
      <c r="H1647" t="s">
        <v>93</v>
      </c>
      <c r="I1647">
        <v>3</v>
      </c>
      <c r="J1647" s="3">
        <v>44413.46</v>
      </c>
      <c r="K1647" s="3">
        <v>133240.38</v>
      </c>
      <c r="L1647" t="s">
        <v>25</v>
      </c>
      <c r="M1647" s="2">
        <v>45898</v>
      </c>
      <c r="N1647" s="2">
        <v>45898</v>
      </c>
      <c r="O1647" t="s">
        <v>60</v>
      </c>
      <c r="P1647" t="s">
        <v>35</v>
      </c>
      <c r="Q1647" t="s">
        <v>28</v>
      </c>
      <c r="R1647" t="s">
        <v>29</v>
      </c>
      <c r="S1647">
        <v>2025</v>
      </c>
      <c r="T1647" t="s">
        <v>2761</v>
      </c>
      <c r="U1647" t="s">
        <v>2762</v>
      </c>
      <c r="V1647" s="4">
        <v>0</v>
      </c>
      <c r="W1647" s="4">
        <v>1</v>
      </c>
    </row>
    <row r="1648" spans="1:23">
      <c r="A1648" t="s">
        <v>1780</v>
      </c>
      <c r="B1648" s="2">
        <v>46091</v>
      </c>
      <c r="C1648" t="s">
        <v>104</v>
      </c>
      <c r="D1648" t="s">
        <v>105</v>
      </c>
      <c r="E1648" t="s">
        <v>21</v>
      </c>
      <c r="F1648" t="s">
        <v>49</v>
      </c>
      <c r="G1648" t="s">
        <v>113</v>
      </c>
      <c r="H1648" t="s">
        <v>114</v>
      </c>
      <c r="I1648">
        <v>1</v>
      </c>
      <c r="J1648" s="3">
        <v>38353.870000000003</v>
      </c>
      <c r="K1648" s="3">
        <v>38353.870000000003</v>
      </c>
      <c r="L1648" t="s">
        <v>25</v>
      </c>
      <c r="M1648" s="2">
        <v>46098</v>
      </c>
      <c r="N1648" s="2">
        <v>46097</v>
      </c>
      <c r="O1648" t="s">
        <v>43</v>
      </c>
      <c r="P1648" t="s">
        <v>27</v>
      </c>
      <c r="Q1648" t="s">
        <v>28</v>
      </c>
      <c r="R1648" t="s">
        <v>29</v>
      </c>
      <c r="S1648">
        <v>2026</v>
      </c>
      <c r="T1648" t="s">
        <v>2747</v>
      </c>
      <c r="U1648" t="s">
        <v>2755</v>
      </c>
      <c r="V1648" s="4">
        <v>0</v>
      </c>
      <c r="W1648" s="4">
        <v>1</v>
      </c>
    </row>
    <row r="1649" spans="1:23">
      <c r="A1649" t="s">
        <v>1781</v>
      </c>
      <c r="B1649" s="2">
        <v>45927</v>
      </c>
      <c r="C1649" t="s">
        <v>117</v>
      </c>
      <c r="D1649" t="s">
        <v>118</v>
      </c>
      <c r="E1649" t="s">
        <v>48</v>
      </c>
      <c r="F1649" t="s">
        <v>57</v>
      </c>
      <c r="G1649" t="s">
        <v>74</v>
      </c>
      <c r="H1649" t="s">
        <v>75</v>
      </c>
      <c r="I1649">
        <v>1</v>
      </c>
      <c r="J1649" s="3">
        <v>8518.09</v>
      </c>
      <c r="K1649" s="3">
        <v>8518.09</v>
      </c>
      <c r="L1649" t="s">
        <v>52</v>
      </c>
      <c r="M1649" s="2">
        <v>45934</v>
      </c>
      <c r="N1649" s="2">
        <v>45931</v>
      </c>
      <c r="O1649" t="s">
        <v>76</v>
      </c>
      <c r="P1649" t="s">
        <v>53</v>
      </c>
      <c r="Q1649" t="s">
        <v>28</v>
      </c>
      <c r="R1649" t="s">
        <v>29</v>
      </c>
      <c r="S1649">
        <v>2025</v>
      </c>
      <c r="T1649" t="s">
        <v>2753</v>
      </c>
      <c r="U1649" t="s">
        <v>2754</v>
      </c>
      <c r="V1649" s="4">
        <v>0</v>
      </c>
      <c r="W1649" s="4">
        <v>1</v>
      </c>
    </row>
    <row r="1650" spans="1:23">
      <c r="A1650" t="s">
        <v>1782</v>
      </c>
      <c r="B1650" s="2">
        <v>45799</v>
      </c>
      <c r="C1650" t="s">
        <v>71</v>
      </c>
      <c r="D1650" t="s">
        <v>72</v>
      </c>
      <c r="E1650" t="s">
        <v>48</v>
      </c>
      <c r="F1650" t="s">
        <v>57</v>
      </c>
      <c r="G1650" t="s">
        <v>58</v>
      </c>
      <c r="H1650" t="s">
        <v>59</v>
      </c>
      <c r="I1650">
        <v>7</v>
      </c>
      <c r="J1650" s="3">
        <v>51236.44</v>
      </c>
      <c r="K1650" s="3">
        <v>358655.08</v>
      </c>
      <c r="L1650" t="s">
        <v>25</v>
      </c>
      <c r="M1650" s="2">
        <v>45811</v>
      </c>
      <c r="N1650" s="2">
        <v>45818</v>
      </c>
      <c r="O1650" t="s">
        <v>76</v>
      </c>
      <c r="P1650" t="s">
        <v>53</v>
      </c>
      <c r="Q1650" t="s">
        <v>28</v>
      </c>
      <c r="R1650" t="s">
        <v>129</v>
      </c>
      <c r="S1650">
        <v>2025</v>
      </c>
      <c r="T1650" t="s">
        <v>2766</v>
      </c>
      <c r="U1650" t="s">
        <v>2767</v>
      </c>
      <c r="V1650" s="4">
        <v>7</v>
      </c>
      <c r="W1650" s="4">
        <v>0</v>
      </c>
    </row>
    <row r="1651" spans="1:23">
      <c r="A1651" t="s">
        <v>1783</v>
      </c>
      <c r="B1651" s="2">
        <v>45677</v>
      </c>
      <c r="C1651" t="s">
        <v>37</v>
      </c>
      <c r="D1651" t="s">
        <v>38</v>
      </c>
      <c r="E1651" t="s">
        <v>112</v>
      </c>
      <c r="F1651" t="s">
        <v>40</v>
      </c>
      <c r="G1651" t="s">
        <v>149</v>
      </c>
      <c r="H1651" t="s">
        <v>150</v>
      </c>
      <c r="I1651">
        <v>14</v>
      </c>
      <c r="J1651" s="3">
        <v>1482.95</v>
      </c>
      <c r="K1651" s="3">
        <v>20761.3</v>
      </c>
      <c r="L1651" t="s">
        <v>25</v>
      </c>
      <c r="M1651" s="2">
        <v>45684</v>
      </c>
      <c r="N1651" s="2">
        <v>45683</v>
      </c>
      <c r="O1651" t="s">
        <v>43</v>
      </c>
      <c r="P1651" t="s">
        <v>115</v>
      </c>
      <c r="Q1651" t="s">
        <v>28</v>
      </c>
      <c r="R1651" t="s">
        <v>29</v>
      </c>
      <c r="S1651">
        <v>2025</v>
      </c>
      <c r="T1651" t="s">
        <v>2757</v>
      </c>
      <c r="U1651" t="s">
        <v>2768</v>
      </c>
      <c r="V1651" s="4">
        <v>0</v>
      </c>
      <c r="W1651" s="4">
        <v>1</v>
      </c>
    </row>
    <row r="1652" spans="1:23">
      <c r="A1652" t="s">
        <v>1784</v>
      </c>
      <c r="B1652" s="2">
        <v>45791</v>
      </c>
      <c r="C1652" t="s">
        <v>37</v>
      </c>
      <c r="D1652" t="s">
        <v>38</v>
      </c>
      <c r="E1652" t="s">
        <v>39</v>
      </c>
      <c r="F1652" t="s">
        <v>40</v>
      </c>
      <c r="G1652" t="s">
        <v>62</v>
      </c>
      <c r="H1652" t="s">
        <v>63</v>
      </c>
      <c r="I1652">
        <v>1</v>
      </c>
      <c r="J1652" s="3">
        <v>19052.25</v>
      </c>
      <c r="K1652" s="3">
        <v>19052.25</v>
      </c>
      <c r="L1652" t="s">
        <v>25</v>
      </c>
      <c r="M1652" s="2">
        <v>45809</v>
      </c>
      <c r="N1652" s="2">
        <v>45808</v>
      </c>
      <c r="O1652" t="s">
        <v>76</v>
      </c>
      <c r="P1652" t="s">
        <v>64</v>
      </c>
      <c r="Q1652" t="s">
        <v>28</v>
      </c>
      <c r="R1652" t="s">
        <v>29</v>
      </c>
      <c r="S1652">
        <v>2025</v>
      </c>
      <c r="T1652" t="s">
        <v>2766</v>
      </c>
      <c r="U1652" t="s">
        <v>2767</v>
      </c>
      <c r="V1652" s="4">
        <v>0</v>
      </c>
      <c r="W1652" s="4">
        <v>1</v>
      </c>
    </row>
    <row r="1653" spans="1:23">
      <c r="A1653" t="s">
        <v>1785</v>
      </c>
      <c r="B1653" s="2">
        <v>45886</v>
      </c>
      <c r="C1653" t="s">
        <v>96</v>
      </c>
      <c r="D1653" t="s">
        <v>97</v>
      </c>
      <c r="E1653" t="s">
        <v>39</v>
      </c>
      <c r="F1653" t="s">
        <v>82</v>
      </c>
      <c r="G1653" t="s">
        <v>83</v>
      </c>
      <c r="H1653" t="s">
        <v>84</v>
      </c>
      <c r="I1653">
        <v>12</v>
      </c>
      <c r="J1653" s="3">
        <v>731.95</v>
      </c>
      <c r="K1653" s="3">
        <v>8783.4</v>
      </c>
      <c r="L1653" t="s">
        <v>34</v>
      </c>
      <c r="M1653" s="2">
        <v>45903</v>
      </c>
      <c r="N1653" s="2">
        <v>45902</v>
      </c>
      <c r="O1653" t="s">
        <v>76</v>
      </c>
      <c r="P1653" t="s">
        <v>44</v>
      </c>
      <c r="Q1653" t="s">
        <v>28</v>
      </c>
      <c r="R1653" t="s">
        <v>29</v>
      </c>
      <c r="S1653">
        <v>2025</v>
      </c>
      <c r="T1653" t="s">
        <v>2761</v>
      </c>
      <c r="U1653" t="s">
        <v>2762</v>
      </c>
      <c r="V1653" s="4">
        <v>0</v>
      </c>
      <c r="W1653" s="4">
        <v>1</v>
      </c>
    </row>
    <row r="1654" spans="1:23">
      <c r="A1654" t="s">
        <v>1786</v>
      </c>
      <c r="B1654" s="2">
        <v>45999</v>
      </c>
      <c r="C1654" t="s">
        <v>55</v>
      </c>
      <c r="D1654" t="s">
        <v>56</v>
      </c>
      <c r="E1654" t="s">
        <v>21</v>
      </c>
      <c r="F1654" t="s">
        <v>57</v>
      </c>
      <c r="G1654" t="s">
        <v>74</v>
      </c>
      <c r="H1654" t="s">
        <v>75</v>
      </c>
      <c r="I1654">
        <v>10</v>
      </c>
      <c r="J1654" s="3">
        <v>9923.18</v>
      </c>
      <c r="K1654" s="3">
        <v>99231.8</v>
      </c>
      <c r="L1654" t="s">
        <v>25</v>
      </c>
      <c r="M1654" s="2">
        <v>46011</v>
      </c>
      <c r="N1654" s="2">
        <v>46011</v>
      </c>
      <c r="O1654" t="s">
        <v>60</v>
      </c>
      <c r="P1654" t="s">
        <v>27</v>
      </c>
      <c r="Q1654" t="s">
        <v>28</v>
      </c>
      <c r="R1654" t="s">
        <v>29</v>
      </c>
      <c r="S1654">
        <v>2025</v>
      </c>
      <c r="T1654" t="s">
        <v>2745</v>
      </c>
      <c r="U1654" t="s">
        <v>2746</v>
      </c>
      <c r="V1654" s="4">
        <v>0</v>
      </c>
      <c r="W1654" s="4">
        <v>1</v>
      </c>
    </row>
    <row r="1655" spans="1:23">
      <c r="A1655" t="s">
        <v>1787</v>
      </c>
      <c r="B1655" s="2">
        <v>45855</v>
      </c>
      <c r="C1655" t="s">
        <v>104</v>
      </c>
      <c r="D1655" t="s">
        <v>105</v>
      </c>
      <c r="E1655" t="s">
        <v>48</v>
      </c>
      <c r="F1655" t="s">
        <v>49</v>
      </c>
      <c r="G1655" t="s">
        <v>50</v>
      </c>
      <c r="H1655" t="s">
        <v>51</v>
      </c>
      <c r="I1655">
        <v>2</v>
      </c>
      <c r="J1655" s="3">
        <v>52043.86</v>
      </c>
      <c r="K1655" s="3">
        <v>104087.72</v>
      </c>
      <c r="L1655" t="s">
        <v>25</v>
      </c>
      <c r="M1655" s="2">
        <v>45870</v>
      </c>
      <c r="N1655" s="2">
        <v>45869</v>
      </c>
      <c r="O1655" t="s">
        <v>76</v>
      </c>
      <c r="P1655" t="s">
        <v>53</v>
      </c>
      <c r="Q1655" t="s">
        <v>28</v>
      </c>
      <c r="R1655" t="s">
        <v>29</v>
      </c>
      <c r="S1655">
        <v>2025</v>
      </c>
      <c r="T1655" t="s">
        <v>2759</v>
      </c>
      <c r="U1655" t="s">
        <v>2760</v>
      </c>
      <c r="V1655" s="4">
        <v>0</v>
      </c>
      <c r="W1655" s="4">
        <v>1</v>
      </c>
    </row>
    <row r="1656" spans="1:23">
      <c r="A1656" t="s">
        <v>1788</v>
      </c>
      <c r="B1656" s="2">
        <v>46022</v>
      </c>
      <c r="C1656" t="s">
        <v>66</v>
      </c>
      <c r="D1656" t="s">
        <v>67</v>
      </c>
      <c r="E1656" t="s">
        <v>48</v>
      </c>
      <c r="F1656" t="s">
        <v>49</v>
      </c>
      <c r="G1656" t="s">
        <v>50</v>
      </c>
      <c r="H1656" t="s">
        <v>51</v>
      </c>
      <c r="I1656">
        <v>2</v>
      </c>
      <c r="J1656" s="3">
        <v>52879.54</v>
      </c>
      <c r="K1656" s="3">
        <v>105759.08</v>
      </c>
      <c r="L1656" t="s">
        <v>25</v>
      </c>
      <c r="M1656" s="2">
        <v>46032</v>
      </c>
      <c r="N1656" s="2">
        <v>46032</v>
      </c>
      <c r="O1656" t="s">
        <v>60</v>
      </c>
      <c r="P1656" t="s">
        <v>53</v>
      </c>
      <c r="Q1656" t="s">
        <v>28</v>
      </c>
      <c r="R1656" t="s">
        <v>29</v>
      </c>
      <c r="S1656">
        <v>2025</v>
      </c>
      <c r="T1656" t="s">
        <v>2745</v>
      </c>
      <c r="U1656" t="s">
        <v>2746</v>
      </c>
      <c r="V1656" s="4">
        <v>0</v>
      </c>
      <c r="W1656" s="4">
        <v>1</v>
      </c>
    </row>
    <row r="1657" spans="1:23">
      <c r="A1657" t="s">
        <v>1789</v>
      </c>
      <c r="B1657" s="2">
        <v>46181</v>
      </c>
      <c r="C1657" t="s">
        <v>37</v>
      </c>
      <c r="D1657" t="s">
        <v>38</v>
      </c>
      <c r="E1657" t="s">
        <v>112</v>
      </c>
      <c r="F1657" t="s">
        <v>40</v>
      </c>
      <c r="G1657" t="s">
        <v>136</v>
      </c>
      <c r="H1657" t="s">
        <v>137</v>
      </c>
      <c r="I1657">
        <v>28</v>
      </c>
      <c r="J1657" s="3">
        <v>1769.99</v>
      </c>
      <c r="K1657" s="3">
        <v>49559.72</v>
      </c>
      <c r="L1657" t="s">
        <v>25</v>
      </c>
      <c r="M1657" s="2">
        <v>46189</v>
      </c>
      <c r="N1657" s="2">
        <v>46187</v>
      </c>
      <c r="O1657" t="s">
        <v>60</v>
      </c>
      <c r="P1657" t="s">
        <v>115</v>
      </c>
      <c r="Q1657" t="s">
        <v>28</v>
      </c>
      <c r="R1657" t="s">
        <v>29</v>
      </c>
      <c r="S1657">
        <v>2026</v>
      </c>
      <c r="T1657" t="s">
        <v>2743</v>
      </c>
      <c r="U1657" t="s">
        <v>2744</v>
      </c>
      <c r="V1657" s="4">
        <v>0</v>
      </c>
      <c r="W1657" s="4">
        <v>1</v>
      </c>
    </row>
    <row r="1658" spans="1:23">
      <c r="A1658" t="s">
        <v>1790</v>
      </c>
      <c r="B1658" s="2">
        <v>46061</v>
      </c>
      <c r="C1658" t="s">
        <v>142</v>
      </c>
      <c r="D1658" t="s">
        <v>143</v>
      </c>
      <c r="E1658" t="s">
        <v>21</v>
      </c>
      <c r="F1658" t="s">
        <v>22</v>
      </c>
      <c r="G1658" t="s">
        <v>160</v>
      </c>
      <c r="H1658" t="s">
        <v>161</v>
      </c>
      <c r="I1658">
        <v>12</v>
      </c>
      <c r="J1658" s="3">
        <v>3188.59</v>
      </c>
      <c r="K1658" s="3">
        <v>38263.08</v>
      </c>
      <c r="L1658" t="s">
        <v>34</v>
      </c>
      <c r="M1658" s="2">
        <v>46077</v>
      </c>
      <c r="N1658" s="2">
        <v>46076</v>
      </c>
      <c r="O1658" t="s">
        <v>76</v>
      </c>
      <c r="P1658" t="s">
        <v>27</v>
      </c>
      <c r="Q1658" t="s">
        <v>28</v>
      </c>
      <c r="R1658" t="s">
        <v>29</v>
      </c>
      <c r="S1658">
        <v>2026</v>
      </c>
      <c r="T1658" t="s">
        <v>2751</v>
      </c>
      <c r="U1658" t="s">
        <v>2765</v>
      </c>
      <c r="V1658" s="4">
        <v>0</v>
      </c>
      <c r="W1658" s="4">
        <v>1</v>
      </c>
    </row>
    <row r="1659" spans="1:23">
      <c r="A1659" t="s">
        <v>1791</v>
      </c>
      <c r="B1659" s="2">
        <v>45815</v>
      </c>
      <c r="C1659" t="s">
        <v>104</v>
      </c>
      <c r="D1659" t="s">
        <v>105</v>
      </c>
      <c r="E1659" t="s">
        <v>112</v>
      </c>
      <c r="F1659" t="s">
        <v>49</v>
      </c>
      <c r="G1659" t="s">
        <v>68</v>
      </c>
      <c r="H1659" t="s">
        <v>69</v>
      </c>
      <c r="I1659">
        <v>1</v>
      </c>
      <c r="J1659" s="3">
        <v>48639.13</v>
      </c>
      <c r="K1659" s="3">
        <v>48639.13</v>
      </c>
      <c r="L1659" t="s">
        <v>25</v>
      </c>
      <c r="M1659" s="2">
        <v>45821</v>
      </c>
      <c r="N1659" s="2">
        <v>45821</v>
      </c>
      <c r="O1659" t="s">
        <v>60</v>
      </c>
      <c r="P1659" t="s">
        <v>115</v>
      </c>
      <c r="Q1659" t="s">
        <v>28</v>
      </c>
      <c r="R1659" t="s">
        <v>29</v>
      </c>
      <c r="S1659">
        <v>2025</v>
      </c>
      <c r="T1659" t="s">
        <v>2743</v>
      </c>
      <c r="U1659" t="s">
        <v>2756</v>
      </c>
      <c r="V1659" s="4">
        <v>0</v>
      </c>
      <c r="W1659" s="4">
        <v>1</v>
      </c>
    </row>
    <row r="1660" spans="1:23">
      <c r="A1660" t="s">
        <v>1792</v>
      </c>
      <c r="B1660" s="2">
        <v>45887</v>
      </c>
      <c r="C1660" t="s">
        <v>96</v>
      </c>
      <c r="D1660" t="s">
        <v>97</v>
      </c>
      <c r="E1660" t="s">
        <v>39</v>
      </c>
      <c r="F1660" t="s">
        <v>82</v>
      </c>
      <c r="G1660" t="s">
        <v>98</v>
      </c>
      <c r="H1660" t="s">
        <v>99</v>
      </c>
      <c r="I1660">
        <v>52</v>
      </c>
      <c r="J1660" s="3">
        <v>1149.3800000000001</v>
      </c>
      <c r="K1660" s="3">
        <v>59767.76</v>
      </c>
      <c r="L1660" t="s">
        <v>25</v>
      </c>
      <c r="M1660" s="2">
        <v>45898</v>
      </c>
      <c r="N1660" s="2">
        <v>45898</v>
      </c>
      <c r="O1660" t="s">
        <v>43</v>
      </c>
      <c r="P1660" t="s">
        <v>44</v>
      </c>
      <c r="Q1660" t="s">
        <v>28</v>
      </c>
      <c r="R1660" t="s">
        <v>29</v>
      </c>
      <c r="S1660">
        <v>2025</v>
      </c>
      <c r="T1660" t="s">
        <v>2761</v>
      </c>
      <c r="U1660" t="s">
        <v>2762</v>
      </c>
      <c r="V1660" s="4">
        <v>0</v>
      </c>
      <c r="W1660" s="4">
        <v>1</v>
      </c>
    </row>
    <row r="1661" spans="1:23">
      <c r="A1661" t="s">
        <v>1793</v>
      </c>
      <c r="B1661" s="2">
        <v>45808</v>
      </c>
      <c r="C1661" t="s">
        <v>19</v>
      </c>
      <c r="D1661" t="s">
        <v>20</v>
      </c>
      <c r="E1661" t="s">
        <v>31</v>
      </c>
      <c r="F1661" t="s">
        <v>22</v>
      </c>
      <c r="G1661" t="s">
        <v>23</v>
      </c>
      <c r="H1661" t="s">
        <v>24</v>
      </c>
      <c r="I1661">
        <v>53</v>
      </c>
      <c r="J1661" s="3">
        <v>234.16</v>
      </c>
      <c r="K1661" s="3">
        <v>12410.48</v>
      </c>
      <c r="L1661" t="s">
        <v>25</v>
      </c>
      <c r="M1661" s="2">
        <v>45821</v>
      </c>
      <c r="N1661" s="2">
        <v>45821</v>
      </c>
      <c r="O1661" t="s">
        <v>76</v>
      </c>
      <c r="P1661" t="s">
        <v>94</v>
      </c>
      <c r="Q1661" t="s">
        <v>28</v>
      </c>
      <c r="R1661" t="s">
        <v>29</v>
      </c>
      <c r="S1661">
        <v>2025</v>
      </c>
      <c r="T1661" t="s">
        <v>2766</v>
      </c>
      <c r="U1661" t="s">
        <v>2767</v>
      </c>
      <c r="V1661" s="4">
        <v>0</v>
      </c>
      <c r="W1661" s="4">
        <v>1</v>
      </c>
    </row>
    <row r="1662" spans="1:23">
      <c r="A1662" t="s">
        <v>1794</v>
      </c>
      <c r="B1662" s="2">
        <v>46170</v>
      </c>
      <c r="C1662" t="s">
        <v>117</v>
      </c>
      <c r="D1662" t="s">
        <v>118</v>
      </c>
      <c r="E1662" t="s">
        <v>73</v>
      </c>
      <c r="F1662" t="s">
        <v>57</v>
      </c>
      <c r="G1662" t="s">
        <v>120</v>
      </c>
      <c r="H1662" t="s">
        <v>121</v>
      </c>
      <c r="I1662">
        <v>1</v>
      </c>
      <c r="J1662" s="3">
        <v>22084.65</v>
      </c>
      <c r="K1662" s="3">
        <v>22084.65</v>
      </c>
      <c r="L1662" t="s">
        <v>25</v>
      </c>
      <c r="M1662" s="2">
        <v>46178</v>
      </c>
      <c r="N1662" s="2">
        <v>46192</v>
      </c>
      <c r="O1662" t="s">
        <v>26</v>
      </c>
      <c r="P1662" t="s">
        <v>77</v>
      </c>
      <c r="Q1662" t="s">
        <v>28</v>
      </c>
      <c r="R1662" t="s">
        <v>129</v>
      </c>
      <c r="S1662">
        <v>2026</v>
      </c>
      <c r="T1662" t="s">
        <v>2766</v>
      </c>
      <c r="U1662" t="s">
        <v>2769</v>
      </c>
      <c r="V1662" s="4">
        <v>14</v>
      </c>
      <c r="W1662" s="4">
        <v>0</v>
      </c>
    </row>
    <row r="1663" spans="1:23">
      <c r="A1663" t="s">
        <v>1795</v>
      </c>
      <c r="B1663" s="2">
        <v>45718</v>
      </c>
      <c r="C1663" t="s">
        <v>142</v>
      </c>
      <c r="D1663" t="s">
        <v>143</v>
      </c>
      <c r="E1663" t="s">
        <v>39</v>
      </c>
      <c r="F1663" t="s">
        <v>22</v>
      </c>
      <c r="G1663" t="s">
        <v>23</v>
      </c>
      <c r="H1663" t="s">
        <v>24</v>
      </c>
      <c r="I1663">
        <v>57</v>
      </c>
      <c r="J1663" s="3">
        <v>248.73</v>
      </c>
      <c r="K1663" s="3">
        <v>14177.61</v>
      </c>
      <c r="L1663" t="s">
        <v>34</v>
      </c>
      <c r="M1663" s="2">
        <v>45730</v>
      </c>
      <c r="N1663" s="2">
        <v>45730</v>
      </c>
      <c r="O1663" t="s">
        <v>26</v>
      </c>
      <c r="P1663" t="s">
        <v>44</v>
      </c>
      <c r="Q1663" t="s">
        <v>28</v>
      </c>
      <c r="R1663" t="s">
        <v>29</v>
      </c>
      <c r="S1663">
        <v>2025</v>
      </c>
      <c r="T1663" t="s">
        <v>2747</v>
      </c>
      <c r="U1663" t="s">
        <v>2748</v>
      </c>
      <c r="V1663" s="4">
        <v>0</v>
      </c>
      <c r="W1663" s="4">
        <v>1</v>
      </c>
    </row>
    <row r="1664" spans="1:23">
      <c r="A1664" t="s">
        <v>1796</v>
      </c>
      <c r="B1664" s="2">
        <v>45939</v>
      </c>
      <c r="C1664" t="s">
        <v>142</v>
      </c>
      <c r="D1664" t="s">
        <v>143</v>
      </c>
      <c r="E1664" t="s">
        <v>39</v>
      </c>
      <c r="F1664" t="s">
        <v>22</v>
      </c>
      <c r="G1664" t="s">
        <v>160</v>
      </c>
      <c r="H1664" t="s">
        <v>161</v>
      </c>
      <c r="I1664">
        <v>13</v>
      </c>
      <c r="J1664" s="3">
        <v>3079.7</v>
      </c>
      <c r="K1664" s="3">
        <v>40036.1</v>
      </c>
      <c r="L1664" t="s">
        <v>25</v>
      </c>
      <c r="M1664" s="2">
        <v>45948</v>
      </c>
      <c r="N1664" s="2">
        <v>45945</v>
      </c>
      <c r="O1664" t="s">
        <v>76</v>
      </c>
      <c r="P1664" t="s">
        <v>44</v>
      </c>
      <c r="Q1664" t="s">
        <v>28</v>
      </c>
      <c r="R1664" t="s">
        <v>29</v>
      </c>
      <c r="S1664">
        <v>2025</v>
      </c>
      <c r="T1664" t="s">
        <v>2749</v>
      </c>
      <c r="U1664" t="s">
        <v>2750</v>
      </c>
      <c r="V1664" s="4">
        <v>0</v>
      </c>
      <c r="W1664" s="4">
        <v>1</v>
      </c>
    </row>
    <row r="1665" spans="1:23">
      <c r="A1665" t="s">
        <v>1797</v>
      </c>
      <c r="B1665" s="2">
        <v>45826</v>
      </c>
      <c r="C1665" t="s">
        <v>104</v>
      </c>
      <c r="D1665" t="s">
        <v>105</v>
      </c>
      <c r="E1665" t="s">
        <v>48</v>
      </c>
      <c r="F1665" t="s">
        <v>49</v>
      </c>
      <c r="G1665" t="s">
        <v>68</v>
      </c>
      <c r="H1665" t="s">
        <v>69</v>
      </c>
      <c r="I1665">
        <v>3</v>
      </c>
      <c r="J1665" s="3">
        <v>49604.88</v>
      </c>
      <c r="K1665" s="3">
        <v>148814.64000000001</v>
      </c>
      <c r="L1665" t="s">
        <v>25</v>
      </c>
      <c r="M1665" s="2">
        <v>45832</v>
      </c>
      <c r="N1665" s="2">
        <v>45830</v>
      </c>
      <c r="O1665" t="s">
        <v>60</v>
      </c>
      <c r="P1665" t="s">
        <v>53</v>
      </c>
      <c r="Q1665" t="s">
        <v>28</v>
      </c>
      <c r="R1665" t="s">
        <v>29</v>
      </c>
      <c r="S1665">
        <v>2025</v>
      </c>
      <c r="T1665" t="s">
        <v>2743</v>
      </c>
      <c r="U1665" t="s">
        <v>2756</v>
      </c>
      <c r="V1665" s="4">
        <v>0</v>
      </c>
      <c r="W1665" s="4">
        <v>1</v>
      </c>
    </row>
    <row r="1666" spans="1:23">
      <c r="A1666" t="s">
        <v>1798</v>
      </c>
      <c r="B1666" s="2">
        <v>45770</v>
      </c>
      <c r="C1666" t="s">
        <v>46</v>
      </c>
      <c r="D1666" t="s">
        <v>47</v>
      </c>
      <c r="E1666" t="s">
        <v>73</v>
      </c>
      <c r="F1666" t="s">
        <v>49</v>
      </c>
      <c r="G1666" t="s">
        <v>165</v>
      </c>
      <c r="H1666" t="s">
        <v>166</v>
      </c>
      <c r="I1666">
        <v>2</v>
      </c>
      <c r="J1666" s="3">
        <v>46171.64</v>
      </c>
      <c r="K1666" s="3">
        <v>92343.28</v>
      </c>
      <c r="L1666" t="s">
        <v>25</v>
      </c>
      <c r="M1666" s="2">
        <v>45782</v>
      </c>
      <c r="N1666" s="2">
        <v>45782</v>
      </c>
      <c r="O1666" t="s">
        <v>26</v>
      </c>
      <c r="P1666" t="s">
        <v>77</v>
      </c>
      <c r="Q1666" t="s">
        <v>28</v>
      </c>
      <c r="R1666" t="s">
        <v>29</v>
      </c>
      <c r="S1666">
        <v>2025</v>
      </c>
      <c r="T1666" t="s">
        <v>2741</v>
      </c>
      <c r="U1666" t="s">
        <v>2742</v>
      </c>
      <c r="V1666" s="4">
        <v>0</v>
      </c>
      <c r="W1666" s="4">
        <v>1</v>
      </c>
    </row>
    <row r="1667" spans="1:23">
      <c r="A1667" t="s">
        <v>1799</v>
      </c>
      <c r="B1667" s="2">
        <v>45994</v>
      </c>
      <c r="C1667" t="s">
        <v>142</v>
      </c>
      <c r="D1667" t="s">
        <v>143</v>
      </c>
      <c r="E1667" t="s">
        <v>39</v>
      </c>
      <c r="F1667" t="s">
        <v>22</v>
      </c>
      <c r="G1667" t="s">
        <v>160</v>
      </c>
      <c r="H1667" t="s">
        <v>161</v>
      </c>
      <c r="I1667">
        <v>13</v>
      </c>
      <c r="J1667" s="3">
        <v>3123.2</v>
      </c>
      <c r="K1667" s="3">
        <v>40601.599999999999</v>
      </c>
      <c r="L1667" t="s">
        <v>34</v>
      </c>
      <c r="M1667" s="2">
        <v>46008</v>
      </c>
      <c r="N1667" s="2">
        <v>46016</v>
      </c>
      <c r="O1667" t="s">
        <v>26</v>
      </c>
      <c r="P1667" t="s">
        <v>44</v>
      </c>
      <c r="Q1667" t="s">
        <v>28</v>
      </c>
      <c r="R1667" t="s">
        <v>129</v>
      </c>
      <c r="S1667">
        <v>2025</v>
      </c>
      <c r="T1667" t="s">
        <v>2745</v>
      </c>
      <c r="U1667" t="s">
        <v>2746</v>
      </c>
      <c r="V1667" s="4">
        <v>8</v>
      </c>
      <c r="W1667" s="4">
        <v>0</v>
      </c>
    </row>
    <row r="1668" spans="1:23">
      <c r="A1668" t="s">
        <v>1800</v>
      </c>
      <c r="B1668" s="2">
        <v>45741</v>
      </c>
      <c r="C1668" t="s">
        <v>134</v>
      </c>
      <c r="D1668" t="s">
        <v>135</v>
      </c>
      <c r="E1668" t="s">
        <v>39</v>
      </c>
      <c r="F1668" t="s">
        <v>40</v>
      </c>
      <c r="G1668" t="s">
        <v>149</v>
      </c>
      <c r="H1668" t="s">
        <v>150</v>
      </c>
      <c r="I1668">
        <v>58</v>
      </c>
      <c r="J1668" s="3">
        <v>1376.9</v>
      </c>
      <c r="K1668" s="3">
        <v>79860.2</v>
      </c>
      <c r="L1668" t="s">
        <v>52</v>
      </c>
      <c r="M1668" s="2">
        <v>45753</v>
      </c>
      <c r="N1668" s="2">
        <v>45752</v>
      </c>
      <c r="O1668" t="s">
        <v>76</v>
      </c>
      <c r="P1668" t="s">
        <v>64</v>
      </c>
      <c r="Q1668" t="s">
        <v>28</v>
      </c>
      <c r="R1668" t="s">
        <v>29</v>
      </c>
      <c r="S1668">
        <v>2025</v>
      </c>
      <c r="T1668" t="s">
        <v>2747</v>
      </c>
      <c r="U1668" t="s">
        <v>2748</v>
      </c>
      <c r="V1668" s="4">
        <v>0</v>
      </c>
      <c r="W1668" s="4">
        <v>1</v>
      </c>
    </row>
    <row r="1669" spans="1:23">
      <c r="A1669" t="s">
        <v>1801</v>
      </c>
      <c r="B1669" s="2">
        <v>45946</v>
      </c>
      <c r="C1669" t="s">
        <v>142</v>
      </c>
      <c r="D1669" t="s">
        <v>143</v>
      </c>
      <c r="E1669" t="s">
        <v>31</v>
      </c>
      <c r="F1669" t="s">
        <v>22</v>
      </c>
      <c r="G1669" t="s">
        <v>160</v>
      </c>
      <c r="H1669" t="s">
        <v>161</v>
      </c>
      <c r="I1669">
        <v>2</v>
      </c>
      <c r="J1669" s="3">
        <v>3041.6</v>
      </c>
      <c r="K1669" s="3">
        <v>6083.2</v>
      </c>
      <c r="L1669" t="s">
        <v>25</v>
      </c>
      <c r="M1669" s="2">
        <v>45964</v>
      </c>
      <c r="N1669" s="2">
        <v>45963</v>
      </c>
      <c r="O1669" t="s">
        <v>76</v>
      </c>
      <c r="P1669" t="s">
        <v>94</v>
      </c>
      <c r="Q1669" t="s">
        <v>28</v>
      </c>
      <c r="R1669" t="s">
        <v>29</v>
      </c>
      <c r="S1669">
        <v>2025</v>
      </c>
      <c r="T1669" t="s">
        <v>2749</v>
      </c>
      <c r="U1669" t="s">
        <v>2750</v>
      </c>
      <c r="V1669" s="4">
        <v>0</v>
      </c>
      <c r="W1669" s="4">
        <v>1</v>
      </c>
    </row>
    <row r="1670" spans="1:23">
      <c r="A1670" t="s">
        <v>1802</v>
      </c>
      <c r="B1670" s="2">
        <v>45764</v>
      </c>
      <c r="C1670" t="s">
        <v>66</v>
      </c>
      <c r="D1670" t="s">
        <v>67</v>
      </c>
      <c r="E1670" t="s">
        <v>112</v>
      </c>
      <c r="F1670" t="s">
        <v>49</v>
      </c>
      <c r="G1670" t="s">
        <v>113</v>
      </c>
      <c r="H1670" t="s">
        <v>114</v>
      </c>
      <c r="I1670">
        <v>1</v>
      </c>
      <c r="J1670" s="3">
        <v>35543.379999999997</v>
      </c>
      <c r="K1670" s="3">
        <v>35543.379999999997</v>
      </c>
      <c r="L1670" t="s">
        <v>52</v>
      </c>
      <c r="M1670" s="2">
        <v>45779</v>
      </c>
      <c r="N1670" s="2">
        <v>45778</v>
      </c>
      <c r="O1670" t="s">
        <v>43</v>
      </c>
      <c r="P1670" t="s">
        <v>115</v>
      </c>
      <c r="Q1670" t="s">
        <v>28</v>
      </c>
      <c r="R1670" t="s">
        <v>29</v>
      </c>
      <c r="S1670">
        <v>2025</v>
      </c>
      <c r="T1670" t="s">
        <v>2741</v>
      </c>
      <c r="U1670" t="s">
        <v>2742</v>
      </c>
      <c r="V1670" s="4">
        <v>0</v>
      </c>
      <c r="W1670" s="4">
        <v>1</v>
      </c>
    </row>
    <row r="1671" spans="1:23">
      <c r="A1671" t="s">
        <v>1803</v>
      </c>
      <c r="B1671" s="2">
        <v>46200</v>
      </c>
      <c r="C1671" t="s">
        <v>134</v>
      </c>
      <c r="D1671" t="s">
        <v>135</v>
      </c>
      <c r="E1671" t="s">
        <v>112</v>
      </c>
      <c r="F1671" t="s">
        <v>40</v>
      </c>
      <c r="G1671" t="s">
        <v>41</v>
      </c>
      <c r="H1671" t="s">
        <v>42</v>
      </c>
      <c r="I1671">
        <v>1</v>
      </c>
      <c r="J1671" s="3">
        <v>5448.53</v>
      </c>
      <c r="K1671" s="3">
        <v>5448.53</v>
      </c>
      <c r="L1671" t="s">
        <v>25</v>
      </c>
      <c r="M1671" s="2">
        <v>46216</v>
      </c>
      <c r="N1671" s="2"/>
      <c r="O1671" t="s">
        <v>26</v>
      </c>
      <c r="P1671" t="s">
        <v>115</v>
      </c>
      <c r="Q1671" t="s">
        <v>167</v>
      </c>
      <c r="R1671" t="s">
        <v>167</v>
      </c>
      <c r="S1671">
        <v>2026</v>
      </c>
      <c r="T1671" t="s">
        <v>2743</v>
      </c>
      <c r="U1671" t="s">
        <v>2744</v>
      </c>
      <c r="V1671" s="4"/>
      <c r="W1671" s="4"/>
    </row>
    <row r="1672" spans="1:23">
      <c r="A1672" t="s">
        <v>1804</v>
      </c>
      <c r="B1672" s="2">
        <v>45995</v>
      </c>
      <c r="C1672" t="s">
        <v>142</v>
      </c>
      <c r="D1672" t="s">
        <v>143</v>
      </c>
      <c r="E1672" t="s">
        <v>21</v>
      </c>
      <c r="F1672" t="s">
        <v>22</v>
      </c>
      <c r="G1672" t="s">
        <v>23</v>
      </c>
      <c r="H1672" t="s">
        <v>24</v>
      </c>
      <c r="I1672">
        <v>32</v>
      </c>
      <c r="J1672" s="3">
        <v>239.55</v>
      </c>
      <c r="K1672" s="3">
        <v>7665.6</v>
      </c>
      <c r="L1672" t="s">
        <v>25</v>
      </c>
      <c r="M1672" s="2">
        <v>46000</v>
      </c>
      <c r="N1672" s="2">
        <v>46000</v>
      </c>
      <c r="O1672" t="s">
        <v>43</v>
      </c>
      <c r="P1672" t="s">
        <v>27</v>
      </c>
      <c r="Q1672" t="s">
        <v>28</v>
      </c>
      <c r="R1672" t="s">
        <v>29</v>
      </c>
      <c r="S1672">
        <v>2025</v>
      </c>
      <c r="T1672" t="s">
        <v>2745</v>
      </c>
      <c r="U1672" t="s">
        <v>2746</v>
      </c>
      <c r="V1672" s="4">
        <v>0</v>
      </c>
      <c r="W1672" s="4">
        <v>1</v>
      </c>
    </row>
    <row r="1673" spans="1:23">
      <c r="A1673" t="s">
        <v>1805</v>
      </c>
      <c r="B1673" s="2">
        <v>46049</v>
      </c>
      <c r="C1673" t="s">
        <v>66</v>
      </c>
      <c r="D1673" t="s">
        <v>67</v>
      </c>
      <c r="E1673" t="s">
        <v>21</v>
      </c>
      <c r="F1673" t="s">
        <v>49</v>
      </c>
      <c r="G1673" t="s">
        <v>113</v>
      </c>
      <c r="H1673" t="s">
        <v>114</v>
      </c>
      <c r="I1673">
        <v>2</v>
      </c>
      <c r="J1673" s="3">
        <v>38317.379999999997</v>
      </c>
      <c r="K1673" s="3">
        <v>76634.759999999995</v>
      </c>
      <c r="L1673" t="s">
        <v>34</v>
      </c>
      <c r="M1673" s="2">
        <v>46055</v>
      </c>
      <c r="N1673" s="2">
        <v>46054</v>
      </c>
      <c r="O1673" t="s">
        <v>43</v>
      </c>
      <c r="P1673" t="s">
        <v>27</v>
      </c>
      <c r="Q1673" t="s">
        <v>28</v>
      </c>
      <c r="R1673" t="s">
        <v>29</v>
      </c>
      <c r="S1673">
        <v>2026</v>
      </c>
      <c r="T1673" t="s">
        <v>2757</v>
      </c>
      <c r="U1673" t="s">
        <v>2758</v>
      </c>
      <c r="V1673" s="4">
        <v>0</v>
      </c>
      <c r="W1673" s="4">
        <v>1</v>
      </c>
    </row>
    <row r="1674" spans="1:23">
      <c r="A1674" t="s">
        <v>1806</v>
      </c>
      <c r="B1674" s="2">
        <v>45662</v>
      </c>
      <c r="C1674" t="s">
        <v>104</v>
      </c>
      <c r="D1674" t="s">
        <v>105</v>
      </c>
      <c r="E1674" t="s">
        <v>112</v>
      </c>
      <c r="F1674" t="s">
        <v>49</v>
      </c>
      <c r="G1674" t="s">
        <v>113</v>
      </c>
      <c r="H1674" t="s">
        <v>114</v>
      </c>
      <c r="I1674">
        <v>3</v>
      </c>
      <c r="J1674" s="3">
        <v>36887.769999999997</v>
      </c>
      <c r="K1674" s="3">
        <v>110663.31</v>
      </c>
      <c r="L1674" t="s">
        <v>25</v>
      </c>
      <c r="M1674" s="2">
        <v>45674</v>
      </c>
      <c r="N1674" s="2">
        <v>45672</v>
      </c>
      <c r="O1674" t="s">
        <v>60</v>
      </c>
      <c r="P1674" t="s">
        <v>115</v>
      </c>
      <c r="Q1674" t="s">
        <v>28</v>
      </c>
      <c r="R1674" t="s">
        <v>29</v>
      </c>
      <c r="S1674">
        <v>2025</v>
      </c>
      <c r="T1674" t="s">
        <v>2757</v>
      </c>
      <c r="U1674" t="s">
        <v>2768</v>
      </c>
      <c r="V1674" s="4">
        <v>0</v>
      </c>
      <c r="W1674" s="4">
        <v>1</v>
      </c>
    </row>
    <row r="1675" spans="1:23">
      <c r="A1675" t="s">
        <v>1807</v>
      </c>
      <c r="B1675" s="2">
        <v>46035</v>
      </c>
      <c r="C1675" t="s">
        <v>46</v>
      </c>
      <c r="D1675" t="s">
        <v>47</v>
      </c>
      <c r="E1675" t="s">
        <v>21</v>
      </c>
      <c r="F1675" t="s">
        <v>49</v>
      </c>
      <c r="G1675" t="s">
        <v>50</v>
      </c>
      <c r="H1675" t="s">
        <v>51</v>
      </c>
      <c r="I1675">
        <v>1</v>
      </c>
      <c r="J1675" s="3">
        <v>54100.05</v>
      </c>
      <c r="K1675" s="3">
        <v>54100.05</v>
      </c>
      <c r="L1675" t="s">
        <v>25</v>
      </c>
      <c r="M1675" s="2">
        <v>46040</v>
      </c>
      <c r="N1675" s="2">
        <v>46037</v>
      </c>
      <c r="O1675" t="s">
        <v>43</v>
      </c>
      <c r="P1675" t="s">
        <v>27</v>
      </c>
      <c r="Q1675" t="s">
        <v>28</v>
      </c>
      <c r="R1675" t="s">
        <v>29</v>
      </c>
      <c r="S1675">
        <v>2026</v>
      </c>
      <c r="T1675" t="s">
        <v>2757</v>
      </c>
      <c r="U1675" t="s">
        <v>2758</v>
      </c>
      <c r="V1675" s="4">
        <v>0</v>
      </c>
      <c r="W1675" s="4">
        <v>1</v>
      </c>
    </row>
    <row r="1676" spans="1:23">
      <c r="A1676" t="s">
        <v>1808</v>
      </c>
      <c r="B1676" s="2">
        <v>45951</v>
      </c>
      <c r="C1676" t="s">
        <v>89</v>
      </c>
      <c r="D1676" t="s">
        <v>90</v>
      </c>
      <c r="E1676" t="s">
        <v>31</v>
      </c>
      <c r="F1676" t="s">
        <v>91</v>
      </c>
      <c r="G1676" t="s">
        <v>109</v>
      </c>
      <c r="H1676" t="s">
        <v>110</v>
      </c>
      <c r="I1676">
        <v>1</v>
      </c>
      <c r="J1676" s="3">
        <v>12053.87</v>
      </c>
      <c r="K1676" s="3">
        <v>12053.87</v>
      </c>
      <c r="L1676" t="s">
        <v>25</v>
      </c>
      <c r="M1676" s="2">
        <v>45957</v>
      </c>
      <c r="N1676" s="2">
        <v>45956</v>
      </c>
      <c r="O1676" t="s">
        <v>60</v>
      </c>
      <c r="P1676" t="s">
        <v>35</v>
      </c>
      <c r="Q1676" t="s">
        <v>28</v>
      </c>
      <c r="R1676" t="s">
        <v>29</v>
      </c>
      <c r="S1676">
        <v>2025</v>
      </c>
      <c r="T1676" t="s">
        <v>2749</v>
      </c>
      <c r="U1676" t="s">
        <v>2750</v>
      </c>
      <c r="V1676" s="4">
        <v>0</v>
      </c>
      <c r="W1676" s="4">
        <v>1</v>
      </c>
    </row>
    <row r="1677" spans="1:23">
      <c r="A1677" t="s">
        <v>1809</v>
      </c>
      <c r="B1677" s="2">
        <v>45847</v>
      </c>
      <c r="C1677" t="s">
        <v>104</v>
      </c>
      <c r="D1677" t="s">
        <v>105</v>
      </c>
      <c r="E1677" t="s">
        <v>73</v>
      </c>
      <c r="F1677" t="s">
        <v>49</v>
      </c>
      <c r="G1677" t="s">
        <v>165</v>
      </c>
      <c r="H1677" t="s">
        <v>166</v>
      </c>
      <c r="I1677">
        <v>1</v>
      </c>
      <c r="J1677" s="3">
        <v>47243.28</v>
      </c>
      <c r="K1677" s="3">
        <v>47243.28</v>
      </c>
      <c r="L1677" t="s">
        <v>52</v>
      </c>
      <c r="M1677" s="2">
        <v>45864</v>
      </c>
      <c r="N1677" s="2">
        <v>45862</v>
      </c>
      <c r="O1677" t="s">
        <v>43</v>
      </c>
      <c r="P1677" t="s">
        <v>77</v>
      </c>
      <c r="Q1677" t="s">
        <v>28</v>
      </c>
      <c r="R1677" t="s">
        <v>29</v>
      </c>
      <c r="S1677">
        <v>2025</v>
      </c>
      <c r="T1677" t="s">
        <v>2759</v>
      </c>
      <c r="U1677" t="s">
        <v>2760</v>
      </c>
      <c r="V1677" s="4">
        <v>0</v>
      </c>
      <c r="W1677" s="4">
        <v>1</v>
      </c>
    </row>
    <row r="1678" spans="1:23">
      <c r="A1678" t="s">
        <v>1810</v>
      </c>
      <c r="B1678" s="2">
        <v>46030</v>
      </c>
      <c r="C1678" t="s">
        <v>71</v>
      </c>
      <c r="D1678" t="s">
        <v>72</v>
      </c>
      <c r="E1678" t="s">
        <v>48</v>
      </c>
      <c r="F1678" t="s">
        <v>57</v>
      </c>
      <c r="G1678" t="s">
        <v>120</v>
      </c>
      <c r="H1678" t="s">
        <v>121</v>
      </c>
      <c r="I1678">
        <v>5</v>
      </c>
      <c r="J1678" s="3">
        <v>20656.25</v>
      </c>
      <c r="K1678" s="3">
        <v>103281.25</v>
      </c>
      <c r="L1678" t="s">
        <v>25</v>
      </c>
      <c r="M1678" s="2">
        <v>46043</v>
      </c>
      <c r="N1678" s="2">
        <v>46041</v>
      </c>
      <c r="O1678" t="s">
        <v>76</v>
      </c>
      <c r="P1678" t="s">
        <v>53</v>
      </c>
      <c r="Q1678" t="s">
        <v>28</v>
      </c>
      <c r="R1678" t="s">
        <v>29</v>
      </c>
      <c r="S1678">
        <v>2026</v>
      </c>
      <c r="T1678" t="s">
        <v>2757</v>
      </c>
      <c r="U1678" t="s">
        <v>2758</v>
      </c>
      <c r="V1678" s="4">
        <v>0</v>
      </c>
      <c r="W1678" s="4">
        <v>1</v>
      </c>
    </row>
    <row r="1679" spans="1:23">
      <c r="A1679" t="s">
        <v>1811</v>
      </c>
      <c r="B1679" s="2">
        <v>45717</v>
      </c>
      <c r="C1679" t="s">
        <v>80</v>
      </c>
      <c r="D1679" t="s">
        <v>81</v>
      </c>
      <c r="E1679" t="s">
        <v>39</v>
      </c>
      <c r="F1679" t="s">
        <v>82</v>
      </c>
      <c r="G1679" t="s">
        <v>197</v>
      </c>
      <c r="H1679" t="s">
        <v>198</v>
      </c>
      <c r="I1679">
        <v>27</v>
      </c>
      <c r="J1679" s="3">
        <v>1992.89</v>
      </c>
      <c r="K1679" s="3">
        <v>53808.03</v>
      </c>
      <c r="L1679" t="s">
        <v>25</v>
      </c>
      <c r="M1679" s="2">
        <v>45732</v>
      </c>
      <c r="N1679" s="2">
        <v>45731</v>
      </c>
      <c r="O1679" t="s">
        <v>76</v>
      </c>
      <c r="P1679" t="s">
        <v>64</v>
      </c>
      <c r="Q1679" t="s">
        <v>28</v>
      </c>
      <c r="R1679" t="s">
        <v>29</v>
      </c>
      <c r="S1679">
        <v>2025</v>
      </c>
      <c r="T1679" t="s">
        <v>2747</v>
      </c>
      <c r="U1679" t="s">
        <v>2748</v>
      </c>
      <c r="V1679" s="4">
        <v>0</v>
      </c>
      <c r="W1679" s="4">
        <v>1</v>
      </c>
    </row>
    <row r="1680" spans="1:23">
      <c r="A1680" t="s">
        <v>1812</v>
      </c>
      <c r="B1680" s="2">
        <v>45846</v>
      </c>
      <c r="C1680" t="s">
        <v>104</v>
      </c>
      <c r="D1680" t="s">
        <v>105</v>
      </c>
      <c r="E1680" t="s">
        <v>48</v>
      </c>
      <c r="F1680" t="s">
        <v>49</v>
      </c>
      <c r="G1680" t="s">
        <v>50</v>
      </c>
      <c r="H1680" t="s">
        <v>51</v>
      </c>
      <c r="I1680">
        <v>1</v>
      </c>
      <c r="J1680" s="3">
        <v>50543.7</v>
      </c>
      <c r="K1680" s="3">
        <v>50543.7</v>
      </c>
      <c r="L1680" t="s">
        <v>25</v>
      </c>
      <c r="M1680" s="2">
        <v>45857</v>
      </c>
      <c r="N1680" s="2">
        <v>45855</v>
      </c>
      <c r="O1680" t="s">
        <v>43</v>
      </c>
      <c r="P1680" t="s">
        <v>53</v>
      </c>
      <c r="Q1680" t="s">
        <v>28</v>
      </c>
      <c r="R1680" t="s">
        <v>29</v>
      </c>
      <c r="S1680">
        <v>2025</v>
      </c>
      <c r="T1680" t="s">
        <v>2759</v>
      </c>
      <c r="U1680" t="s">
        <v>2760</v>
      </c>
      <c r="V1680" s="4">
        <v>0</v>
      </c>
      <c r="W1680" s="4">
        <v>1</v>
      </c>
    </row>
    <row r="1681" spans="1:23">
      <c r="A1681" t="s">
        <v>1813</v>
      </c>
      <c r="B1681" s="2">
        <v>45742</v>
      </c>
      <c r="C1681" t="s">
        <v>147</v>
      </c>
      <c r="D1681" t="s">
        <v>148</v>
      </c>
      <c r="E1681" t="s">
        <v>112</v>
      </c>
      <c r="F1681" t="s">
        <v>40</v>
      </c>
      <c r="G1681" t="s">
        <v>41</v>
      </c>
      <c r="H1681" t="s">
        <v>42</v>
      </c>
      <c r="I1681">
        <v>14</v>
      </c>
      <c r="J1681" s="3">
        <v>4979.0200000000004</v>
      </c>
      <c r="K1681" s="3">
        <v>69706.28</v>
      </c>
      <c r="L1681" t="s">
        <v>52</v>
      </c>
      <c r="M1681" s="2">
        <v>45753</v>
      </c>
      <c r="N1681" s="2">
        <v>45750</v>
      </c>
      <c r="O1681" t="s">
        <v>76</v>
      </c>
      <c r="P1681" t="s">
        <v>115</v>
      </c>
      <c r="Q1681" t="s">
        <v>28</v>
      </c>
      <c r="R1681" t="s">
        <v>29</v>
      </c>
      <c r="S1681">
        <v>2025</v>
      </c>
      <c r="T1681" t="s">
        <v>2747</v>
      </c>
      <c r="U1681" t="s">
        <v>2748</v>
      </c>
      <c r="V1681" s="4">
        <v>0</v>
      </c>
      <c r="W1681" s="4">
        <v>1</v>
      </c>
    </row>
    <row r="1682" spans="1:23">
      <c r="A1682" t="s">
        <v>1814</v>
      </c>
      <c r="B1682" s="2">
        <v>46182</v>
      </c>
      <c r="C1682" t="s">
        <v>131</v>
      </c>
      <c r="D1682" t="s">
        <v>132</v>
      </c>
      <c r="E1682" t="s">
        <v>48</v>
      </c>
      <c r="F1682" t="s">
        <v>57</v>
      </c>
      <c r="G1682" t="s">
        <v>101</v>
      </c>
      <c r="H1682" t="s">
        <v>102</v>
      </c>
      <c r="I1682">
        <v>31</v>
      </c>
      <c r="J1682" s="3">
        <v>1978.03</v>
      </c>
      <c r="K1682" s="3">
        <v>61318.93</v>
      </c>
      <c r="L1682" t="s">
        <v>34</v>
      </c>
      <c r="M1682" s="2">
        <v>46193</v>
      </c>
      <c r="N1682" s="2">
        <v>46193</v>
      </c>
      <c r="O1682" t="s">
        <v>43</v>
      </c>
      <c r="P1682" t="s">
        <v>53</v>
      </c>
      <c r="Q1682" t="s">
        <v>28</v>
      </c>
      <c r="R1682" t="s">
        <v>29</v>
      </c>
      <c r="S1682">
        <v>2026</v>
      </c>
      <c r="T1682" t="s">
        <v>2743</v>
      </c>
      <c r="U1682" t="s">
        <v>2744</v>
      </c>
      <c r="V1682" s="4">
        <v>0</v>
      </c>
      <c r="W1682" s="4">
        <v>1</v>
      </c>
    </row>
    <row r="1683" spans="1:23">
      <c r="A1683" t="s">
        <v>1815</v>
      </c>
      <c r="B1683" s="2">
        <v>45796</v>
      </c>
      <c r="C1683" t="s">
        <v>37</v>
      </c>
      <c r="D1683" t="s">
        <v>38</v>
      </c>
      <c r="E1683" t="s">
        <v>39</v>
      </c>
      <c r="F1683" t="s">
        <v>40</v>
      </c>
      <c r="G1683" t="s">
        <v>149</v>
      </c>
      <c r="H1683" t="s">
        <v>150</v>
      </c>
      <c r="I1683">
        <v>12</v>
      </c>
      <c r="J1683" s="3">
        <v>1480.34</v>
      </c>
      <c r="K1683" s="3">
        <v>17764.080000000002</v>
      </c>
      <c r="L1683" t="s">
        <v>25</v>
      </c>
      <c r="M1683" s="2">
        <v>45806</v>
      </c>
      <c r="N1683" s="2">
        <v>45805</v>
      </c>
      <c r="O1683" t="s">
        <v>26</v>
      </c>
      <c r="P1683" t="s">
        <v>64</v>
      </c>
      <c r="Q1683" t="s">
        <v>28</v>
      </c>
      <c r="R1683" t="s">
        <v>29</v>
      </c>
      <c r="S1683">
        <v>2025</v>
      </c>
      <c r="T1683" t="s">
        <v>2766</v>
      </c>
      <c r="U1683" t="s">
        <v>2767</v>
      </c>
      <c r="V1683" s="4">
        <v>0</v>
      </c>
      <c r="W1683" s="4">
        <v>1</v>
      </c>
    </row>
    <row r="1684" spans="1:23">
      <c r="A1684" t="s">
        <v>1816</v>
      </c>
      <c r="B1684" s="2">
        <v>45843</v>
      </c>
      <c r="C1684" t="s">
        <v>142</v>
      </c>
      <c r="D1684" t="s">
        <v>143</v>
      </c>
      <c r="E1684" t="s">
        <v>39</v>
      </c>
      <c r="F1684" t="s">
        <v>22</v>
      </c>
      <c r="G1684" t="s">
        <v>32</v>
      </c>
      <c r="H1684" t="s">
        <v>33</v>
      </c>
      <c r="I1684">
        <v>3</v>
      </c>
      <c r="J1684" s="3">
        <v>7717.37</v>
      </c>
      <c r="K1684" s="3">
        <v>23152.11</v>
      </c>
      <c r="L1684" t="s">
        <v>25</v>
      </c>
      <c r="M1684" s="2">
        <v>45856</v>
      </c>
      <c r="N1684" s="2">
        <v>45854</v>
      </c>
      <c r="O1684" t="s">
        <v>76</v>
      </c>
      <c r="P1684" t="s">
        <v>64</v>
      </c>
      <c r="Q1684" t="s">
        <v>28</v>
      </c>
      <c r="R1684" t="s">
        <v>29</v>
      </c>
      <c r="S1684">
        <v>2025</v>
      </c>
      <c r="T1684" t="s">
        <v>2759</v>
      </c>
      <c r="U1684" t="s">
        <v>2760</v>
      </c>
      <c r="V1684" s="4">
        <v>0</v>
      </c>
      <c r="W1684" s="4">
        <v>1</v>
      </c>
    </row>
    <row r="1685" spans="1:23">
      <c r="A1685" t="s">
        <v>1817</v>
      </c>
      <c r="B1685" s="2">
        <v>45932</v>
      </c>
      <c r="C1685" t="s">
        <v>131</v>
      </c>
      <c r="D1685" t="s">
        <v>132</v>
      </c>
      <c r="E1685" t="s">
        <v>48</v>
      </c>
      <c r="F1685" t="s">
        <v>57</v>
      </c>
      <c r="G1685" t="s">
        <v>58</v>
      </c>
      <c r="H1685" t="s">
        <v>59</v>
      </c>
      <c r="I1685">
        <v>2</v>
      </c>
      <c r="J1685" s="3">
        <v>57829.79</v>
      </c>
      <c r="K1685" s="3">
        <v>115659.58</v>
      </c>
      <c r="L1685" t="s">
        <v>34</v>
      </c>
      <c r="M1685" s="2">
        <v>45940</v>
      </c>
      <c r="N1685" s="2">
        <v>45940</v>
      </c>
      <c r="O1685" t="s">
        <v>76</v>
      </c>
      <c r="P1685" t="s">
        <v>53</v>
      </c>
      <c r="Q1685" t="s">
        <v>28</v>
      </c>
      <c r="R1685" t="s">
        <v>29</v>
      </c>
      <c r="S1685">
        <v>2025</v>
      </c>
      <c r="T1685" t="s">
        <v>2749</v>
      </c>
      <c r="U1685" t="s">
        <v>2750</v>
      </c>
      <c r="V1685" s="4">
        <v>0</v>
      </c>
      <c r="W1685" s="4">
        <v>1</v>
      </c>
    </row>
    <row r="1686" spans="1:23">
      <c r="A1686" t="s">
        <v>1818</v>
      </c>
      <c r="B1686" s="2">
        <v>46201</v>
      </c>
      <c r="C1686" t="s">
        <v>142</v>
      </c>
      <c r="D1686" t="s">
        <v>143</v>
      </c>
      <c r="E1686" t="s">
        <v>112</v>
      </c>
      <c r="F1686" t="s">
        <v>22</v>
      </c>
      <c r="G1686" t="s">
        <v>160</v>
      </c>
      <c r="H1686" t="s">
        <v>161</v>
      </c>
      <c r="I1686">
        <v>15</v>
      </c>
      <c r="J1686" s="3">
        <v>3397.63</v>
      </c>
      <c r="K1686" s="3">
        <v>50964.45</v>
      </c>
      <c r="L1686" t="s">
        <v>25</v>
      </c>
      <c r="M1686" s="2">
        <v>46216</v>
      </c>
      <c r="N1686" s="2">
        <v>46213</v>
      </c>
      <c r="O1686" t="s">
        <v>60</v>
      </c>
      <c r="P1686" t="s">
        <v>115</v>
      </c>
      <c r="Q1686" t="s">
        <v>28</v>
      </c>
      <c r="R1686" t="s">
        <v>29</v>
      </c>
      <c r="S1686">
        <v>2026</v>
      </c>
      <c r="T1686" t="s">
        <v>2743</v>
      </c>
      <c r="U1686" t="s">
        <v>2744</v>
      </c>
      <c r="V1686" s="4">
        <v>0</v>
      </c>
      <c r="W1686" s="4">
        <v>1</v>
      </c>
    </row>
    <row r="1687" spans="1:23">
      <c r="A1687" t="s">
        <v>1819</v>
      </c>
      <c r="B1687" s="2">
        <v>45687</v>
      </c>
      <c r="C1687" t="s">
        <v>107</v>
      </c>
      <c r="D1687" t="s">
        <v>108</v>
      </c>
      <c r="E1687" t="s">
        <v>31</v>
      </c>
      <c r="F1687" t="s">
        <v>91</v>
      </c>
      <c r="G1687" t="s">
        <v>92</v>
      </c>
      <c r="H1687" t="s">
        <v>93</v>
      </c>
      <c r="I1687">
        <v>1</v>
      </c>
      <c r="J1687" s="3">
        <v>44777.47</v>
      </c>
      <c r="K1687" s="3">
        <v>44777.47</v>
      </c>
      <c r="L1687" t="s">
        <v>25</v>
      </c>
      <c r="M1687" s="2">
        <v>45705</v>
      </c>
      <c r="N1687" s="2">
        <v>45703</v>
      </c>
      <c r="O1687" t="s">
        <v>43</v>
      </c>
      <c r="P1687" t="s">
        <v>35</v>
      </c>
      <c r="Q1687" t="s">
        <v>28</v>
      </c>
      <c r="R1687" t="s">
        <v>29</v>
      </c>
      <c r="S1687">
        <v>2025</v>
      </c>
      <c r="T1687" t="s">
        <v>2757</v>
      </c>
      <c r="U1687" t="s">
        <v>2768</v>
      </c>
      <c r="V1687" s="4">
        <v>0</v>
      </c>
      <c r="W1687" s="4">
        <v>1</v>
      </c>
    </row>
    <row r="1688" spans="1:23">
      <c r="A1688" t="s">
        <v>1820</v>
      </c>
      <c r="B1688" s="2">
        <v>45926</v>
      </c>
      <c r="C1688" t="s">
        <v>71</v>
      </c>
      <c r="D1688" t="s">
        <v>72</v>
      </c>
      <c r="E1688" t="s">
        <v>31</v>
      </c>
      <c r="F1688" t="s">
        <v>57</v>
      </c>
      <c r="G1688" t="s">
        <v>58</v>
      </c>
      <c r="H1688" t="s">
        <v>59</v>
      </c>
      <c r="I1688">
        <v>1</v>
      </c>
      <c r="J1688" s="3">
        <v>54118.31</v>
      </c>
      <c r="K1688" s="3">
        <v>54118.31</v>
      </c>
      <c r="L1688" t="s">
        <v>34</v>
      </c>
      <c r="M1688" s="2">
        <v>45933</v>
      </c>
      <c r="N1688" s="2">
        <v>45943</v>
      </c>
      <c r="O1688" t="s">
        <v>26</v>
      </c>
      <c r="P1688" t="s">
        <v>94</v>
      </c>
      <c r="Q1688" t="s">
        <v>28</v>
      </c>
      <c r="R1688" t="s">
        <v>129</v>
      </c>
      <c r="S1688">
        <v>2025</v>
      </c>
      <c r="T1688" t="s">
        <v>2753</v>
      </c>
      <c r="U1688" t="s">
        <v>2754</v>
      </c>
      <c r="V1688" s="4">
        <v>10</v>
      </c>
      <c r="W1688" s="4">
        <v>0</v>
      </c>
    </row>
    <row r="1689" spans="1:23">
      <c r="A1689" t="s">
        <v>1821</v>
      </c>
      <c r="B1689" s="2">
        <v>46052</v>
      </c>
      <c r="C1689" t="s">
        <v>71</v>
      </c>
      <c r="D1689" t="s">
        <v>72</v>
      </c>
      <c r="E1689" t="s">
        <v>21</v>
      </c>
      <c r="F1689" t="s">
        <v>57</v>
      </c>
      <c r="G1689" t="s">
        <v>120</v>
      </c>
      <c r="H1689" t="s">
        <v>121</v>
      </c>
      <c r="I1689">
        <v>4</v>
      </c>
      <c r="J1689" s="3">
        <v>19701.95</v>
      </c>
      <c r="K1689" s="3">
        <v>78807.8</v>
      </c>
      <c r="L1689" t="s">
        <v>34</v>
      </c>
      <c r="M1689" s="2">
        <v>46064</v>
      </c>
      <c r="N1689" s="2">
        <v>46064</v>
      </c>
      <c r="O1689" t="s">
        <v>43</v>
      </c>
      <c r="P1689" t="s">
        <v>27</v>
      </c>
      <c r="Q1689" t="s">
        <v>28</v>
      </c>
      <c r="R1689" t="s">
        <v>29</v>
      </c>
      <c r="S1689">
        <v>2026</v>
      </c>
      <c r="T1689" t="s">
        <v>2757</v>
      </c>
      <c r="U1689" t="s">
        <v>2758</v>
      </c>
      <c r="V1689" s="4">
        <v>0</v>
      </c>
      <c r="W1689" s="4">
        <v>1</v>
      </c>
    </row>
    <row r="1690" spans="1:23">
      <c r="A1690" t="s">
        <v>1822</v>
      </c>
      <c r="B1690" s="2">
        <v>46113</v>
      </c>
      <c r="C1690" t="s">
        <v>142</v>
      </c>
      <c r="D1690" t="s">
        <v>143</v>
      </c>
      <c r="E1690" t="s">
        <v>112</v>
      </c>
      <c r="F1690" t="s">
        <v>22</v>
      </c>
      <c r="G1690" t="s">
        <v>32</v>
      </c>
      <c r="H1690" t="s">
        <v>33</v>
      </c>
      <c r="I1690">
        <v>6</v>
      </c>
      <c r="J1690" s="3">
        <v>8365.68</v>
      </c>
      <c r="K1690" s="3">
        <v>50194.080000000002</v>
      </c>
      <c r="L1690" t="s">
        <v>52</v>
      </c>
      <c r="M1690" s="2">
        <v>46131</v>
      </c>
      <c r="N1690" s="2">
        <v>46129</v>
      </c>
      <c r="O1690" t="s">
        <v>60</v>
      </c>
      <c r="P1690" t="s">
        <v>115</v>
      </c>
      <c r="Q1690" t="s">
        <v>28</v>
      </c>
      <c r="R1690" t="s">
        <v>29</v>
      </c>
      <c r="S1690">
        <v>2026</v>
      </c>
      <c r="T1690" t="s">
        <v>2741</v>
      </c>
      <c r="U1690" t="s">
        <v>2770</v>
      </c>
      <c r="V1690" s="4">
        <v>0</v>
      </c>
      <c r="W1690" s="4">
        <v>1</v>
      </c>
    </row>
    <row r="1691" spans="1:23">
      <c r="A1691" t="s">
        <v>1823</v>
      </c>
      <c r="B1691" s="2">
        <v>45971</v>
      </c>
      <c r="C1691" t="s">
        <v>134</v>
      </c>
      <c r="D1691" t="s">
        <v>135</v>
      </c>
      <c r="E1691" t="s">
        <v>39</v>
      </c>
      <c r="F1691" t="s">
        <v>40</v>
      </c>
      <c r="G1691" t="s">
        <v>149</v>
      </c>
      <c r="H1691" t="s">
        <v>150</v>
      </c>
      <c r="I1691">
        <v>58</v>
      </c>
      <c r="J1691" s="3">
        <v>1385.49</v>
      </c>
      <c r="K1691" s="3">
        <v>80358.42</v>
      </c>
      <c r="L1691" t="s">
        <v>34</v>
      </c>
      <c r="M1691" s="2">
        <v>45982</v>
      </c>
      <c r="N1691" s="2">
        <v>45979</v>
      </c>
      <c r="O1691" t="s">
        <v>43</v>
      </c>
      <c r="P1691" t="s">
        <v>44</v>
      </c>
      <c r="Q1691" t="s">
        <v>28</v>
      </c>
      <c r="R1691" t="s">
        <v>29</v>
      </c>
      <c r="S1691">
        <v>2025</v>
      </c>
      <c r="T1691" t="s">
        <v>2763</v>
      </c>
      <c r="U1691" t="s">
        <v>2764</v>
      </c>
      <c r="V1691" s="4">
        <v>0</v>
      </c>
      <c r="W1691" s="4">
        <v>1</v>
      </c>
    </row>
    <row r="1692" spans="1:23">
      <c r="A1692" t="s">
        <v>1824</v>
      </c>
      <c r="B1692" s="2">
        <v>46190</v>
      </c>
      <c r="C1692" t="s">
        <v>89</v>
      </c>
      <c r="D1692" t="s">
        <v>90</v>
      </c>
      <c r="E1692" t="s">
        <v>31</v>
      </c>
      <c r="F1692" t="s">
        <v>91</v>
      </c>
      <c r="G1692" t="s">
        <v>109</v>
      </c>
      <c r="H1692" t="s">
        <v>110</v>
      </c>
      <c r="I1692">
        <v>1</v>
      </c>
      <c r="J1692" s="3">
        <v>12054.53</v>
      </c>
      <c r="K1692" s="3">
        <v>12054.53</v>
      </c>
      <c r="L1692" t="s">
        <v>25</v>
      </c>
      <c r="M1692" s="2">
        <v>46201</v>
      </c>
      <c r="N1692" s="2">
        <v>46200</v>
      </c>
      <c r="O1692" t="s">
        <v>60</v>
      </c>
      <c r="P1692" t="s">
        <v>94</v>
      </c>
      <c r="Q1692" t="s">
        <v>28</v>
      </c>
      <c r="R1692" t="s">
        <v>29</v>
      </c>
      <c r="S1692">
        <v>2026</v>
      </c>
      <c r="T1692" t="s">
        <v>2743</v>
      </c>
      <c r="U1692" t="s">
        <v>2744</v>
      </c>
      <c r="V1692" s="4">
        <v>0</v>
      </c>
      <c r="W1692" s="4">
        <v>1</v>
      </c>
    </row>
    <row r="1693" spans="1:23">
      <c r="A1693" t="s">
        <v>1825</v>
      </c>
      <c r="B1693" s="2">
        <v>45742</v>
      </c>
      <c r="C1693" t="s">
        <v>147</v>
      </c>
      <c r="D1693" t="s">
        <v>148</v>
      </c>
      <c r="E1693" t="s">
        <v>39</v>
      </c>
      <c r="F1693" t="s">
        <v>40</v>
      </c>
      <c r="G1693" t="s">
        <v>41</v>
      </c>
      <c r="H1693" t="s">
        <v>42</v>
      </c>
      <c r="I1693">
        <v>9</v>
      </c>
      <c r="J1693" s="3">
        <v>5171.78</v>
      </c>
      <c r="K1693" s="3">
        <v>46546.02</v>
      </c>
      <c r="L1693" t="s">
        <v>25</v>
      </c>
      <c r="M1693" s="2">
        <v>45748</v>
      </c>
      <c r="N1693" s="2">
        <v>45748</v>
      </c>
      <c r="O1693" t="s">
        <v>26</v>
      </c>
      <c r="P1693" t="s">
        <v>64</v>
      </c>
      <c r="Q1693" t="s">
        <v>28</v>
      </c>
      <c r="R1693" t="s">
        <v>29</v>
      </c>
      <c r="S1693">
        <v>2025</v>
      </c>
      <c r="T1693" t="s">
        <v>2747</v>
      </c>
      <c r="U1693" t="s">
        <v>2748</v>
      </c>
      <c r="V1693" s="4">
        <v>0</v>
      </c>
      <c r="W1693" s="4">
        <v>1</v>
      </c>
    </row>
    <row r="1694" spans="1:23">
      <c r="A1694" t="s">
        <v>1826</v>
      </c>
      <c r="B1694" s="2">
        <v>46182</v>
      </c>
      <c r="C1694" t="s">
        <v>71</v>
      </c>
      <c r="D1694" t="s">
        <v>72</v>
      </c>
      <c r="E1694" t="s">
        <v>31</v>
      </c>
      <c r="F1694" t="s">
        <v>57</v>
      </c>
      <c r="G1694" t="s">
        <v>127</v>
      </c>
      <c r="H1694" t="s">
        <v>128</v>
      </c>
      <c r="I1694">
        <v>7</v>
      </c>
      <c r="J1694" s="3">
        <v>15557.27</v>
      </c>
      <c r="K1694" s="3">
        <v>108900.89</v>
      </c>
      <c r="L1694" t="s">
        <v>34</v>
      </c>
      <c r="M1694" s="2">
        <v>46191</v>
      </c>
      <c r="N1694" s="2">
        <v>46188</v>
      </c>
      <c r="O1694" t="s">
        <v>60</v>
      </c>
      <c r="P1694" t="s">
        <v>94</v>
      </c>
      <c r="Q1694" t="s">
        <v>28</v>
      </c>
      <c r="R1694" t="s">
        <v>29</v>
      </c>
      <c r="S1694">
        <v>2026</v>
      </c>
      <c r="T1694" t="s">
        <v>2743</v>
      </c>
      <c r="U1694" t="s">
        <v>2744</v>
      </c>
      <c r="V1694" s="4">
        <v>0</v>
      </c>
      <c r="W1694" s="4">
        <v>1</v>
      </c>
    </row>
    <row r="1695" spans="1:23">
      <c r="A1695" t="s">
        <v>1827</v>
      </c>
      <c r="B1695" s="2">
        <v>45988</v>
      </c>
      <c r="C1695" t="s">
        <v>104</v>
      </c>
      <c r="D1695" t="s">
        <v>105</v>
      </c>
      <c r="E1695" t="s">
        <v>48</v>
      </c>
      <c r="F1695" t="s">
        <v>49</v>
      </c>
      <c r="G1695" t="s">
        <v>50</v>
      </c>
      <c r="H1695" t="s">
        <v>51</v>
      </c>
      <c r="I1695">
        <v>1</v>
      </c>
      <c r="J1695" s="3">
        <v>50579.12</v>
      </c>
      <c r="K1695" s="3">
        <v>50579.12</v>
      </c>
      <c r="L1695" t="s">
        <v>34</v>
      </c>
      <c r="M1695" s="2">
        <v>45995</v>
      </c>
      <c r="N1695" s="2">
        <v>45995</v>
      </c>
      <c r="O1695" t="s">
        <v>76</v>
      </c>
      <c r="P1695" t="s">
        <v>53</v>
      </c>
      <c r="Q1695" t="s">
        <v>28</v>
      </c>
      <c r="R1695" t="s">
        <v>29</v>
      </c>
      <c r="S1695">
        <v>2025</v>
      </c>
      <c r="T1695" t="s">
        <v>2763</v>
      </c>
      <c r="U1695" t="s">
        <v>2764</v>
      </c>
      <c r="V1695" s="4">
        <v>0</v>
      </c>
      <c r="W1695" s="4">
        <v>1</v>
      </c>
    </row>
    <row r="1696" spans="1:23">
      <c r="A1696" t="s">
        <v>1828</v>
      </c>
      <c r="B1696" s="2">
        <v>45973</v>
      </c>
      <c r="C1696" t="s">
        <v>19</v>
      </c>
      <c r="D1696" t="s">
        <v>20</v>
      </c>
      <c r="E1696" t="s">
        <v>21</v>
      </c>
      <c r="F1696" t="s">
        <v>22</v>
      </c>
      <c r="G1696" t="s">
        <v>160</v>
      </c>
      <c r="H1696" t="s">
        <v>161</v>
      </c>
      <c r="I1696">
        <v>6</v>
      </c>
      <c r="J1696" s="3">
        <v>2898.7</v>
      </c>
      <c r="K1696" s="3">
        <v>17392.2</v>
      </c>
      <c r="L1696" t="s">
        <v>25</v>
      </c>
      <c r="M1696" s="2">
        <v>45983</v>
      </c>
      <c r="N1696" s="2">
        <v>45983</v>
      </c>
      <c r="O1696" t="s">
        <v>60</v>
      </c>
      <c r="P1696" t="s">
        <v>27</v>
      </c>
      <c r="Q1696" t="s">
        <v>28</v>
      </c>
      <c r="R1696" t="s">
        <v>29</v>
      </c>
      <c r="S1696">
        <v>2025</v>
      </c>
      <c r="T1696" t="s">
        <v>2763</v>
      </c>
      <c r="U1696" t="s">
        <v>2764</v>
      </c>
      <c r="V1696" s="4">
        <v>0</v>
      </c>
      <c r="W1696" s="4">
        <v>1</v>
      </c>
    </row>
    <row r="1697" spans="1:23">
      <c r="A1697" t="s">
        <v>1829</v>
      </c>
      <c r="B1697" s="2">
        <v>45673</v>
      </c>
      <c r="C1697" t="s">
        <v>37</v>
      </c>
      <c r="D1697" t="s">
        <v>38</v>
      </c>
      <c r="E1697" t="s">
        <v>39</v>
      </c>
      <c r="F1697" t="s">
        <v>40</v>
      </c>
      <c r="G1697" t="s">
        <v>41</v>
      </c>
      <c r="H1697" t="s">
        <v>42</v>
      </c>
      <c r="I1697">
        <v>4</v>
      </c>
      <c r="J1697" s="3">
        <v>5943.6</v>
      </c>
      <c r="K1697" s="3">
        <v>23774.400000000001</v>
      </c>
      <c r="L1697" t="s">
        <v>34</v>
      </c>
      <c r="M1697" s="2">
        <v>45688</v>
      </c>
      <c r="N1697" s="2">
        <v>45686</v>
      </c>
      <c r="O1697" t="s">
        <v>76</v>
      </c>
      <c r="P1697" t="s">
        <v>44</v>
      </c>
      <c r="Q1697" t="s">
        <v>28</v>
      </c>
      <c r="R1697" t="s">
        <v>29</v>
      </c>
      <c r="S1697">
        <v>2025</v>
      </c>
      <c r="T1697" t="s">
        <v>2757</v>
      </c>
      <c r="U1697" t="s">
        <v>2768</v>
      </c>
      <c r="V1697" s="4">
        <v>0</v>
      </c>
      <c r="W1697" s="4">
        <v>1</v>
      </c>
    </row>
    <row r="1698" spans="1:23">
      <c r="A1698" t="s">
        <v>1830</v>
      </c>
      <c r="B1698" s="2">
        <v>45742</v>
      </c>
      <c r="C1698" t="s">
        <v>89</v>
      </c>
      <c r="D1698" t="s">
        <v>90</v>
      </c>
      <c r="E1698" t="s">
        <v>31</v>
      </c>
      <c r="F1698" t="s">
        <v>91</v>
      </c>
      <c r="G1698" t="s">
        <v>109</v>
      </c>
      <c r="H1698" t="s">
        <v>110</v>
      </c>
      <c r="I1698">
        <v>1</v>
      </c>
      <c r="J1698" s="3">
        <v>12314.48</v>
      </c>
      <c r="K1698" s="3">
        <v>12314.48</v>
      </c>
      <c r="L1698" t="s">
        <v>52</v>
      </c>
      <c r="M1698" s="2">
        <v>45756</v>
      </c>
      <c r="N1698" s="2">
        <v>45755</v>
      </c>
      <c r="O1698" t="s">
        <v>43</v>
      </c>
      <c r="P1698" t="s">
        <v>35</v>
      </c>
      <c r="Q1698" t="s">
        <v>28</v>
      </c>
      <c r="R1698" t="s">
        <v>29</v>
      </c>
      <c r="S1698">
        <v>2025</v>
      </c>
      <c r="T1698" t="s">
        <v>2747</v>
      </c>
      <c r="U1698" t="s">
        <v>2748</v>
      </c>
      <c r="V1698" s="4">
        <v>0</v>
      </c>
      <c r="W1698" s="4">
        <v>1</v>
      </c>
    </row>
    <row r="1699" spans="1:23">
      <c r="A1699" t="s">
        <v>1831</v>
      </c>
      <c r="B1699" s="2">
        <v>45819</v>
      </c>
      <c r="C1699" t="s">
        <v>142</v>
      </c>
      <c r="D1699" t="s">
        <v>143</v>
      </c>
      <c r="E1699" t="s">
        <v>21</v>
      </c>
      <c r="F1699" t="s">
        <v>22</v>
      </c>
      <c r="G1699" t="s">
        <v>32</v>
      </c>
      <c r="H1699" t="s">
        <v>33</v>
      </c>
      <c r="I1699">
        <v>5</v>
      </c>
      <c r="J1699" s="3">
        <v>7579.98</v>
      </c>
      <c r="K1699" s="3">
        <v>37899.9</v>
      </c>
      <c r="L1699" t="s">
        <v>52</v>
      </c>
      <c r="M1699" s="2">
        <v>45825</v>
      </c>
      <c r="N1699" s="2">
        <v>45824</v>
      </c>
      <c r="O1699" t="s">
        <v>76</v>
      </c>
      <c r="P1699" t="s">
        <v>27</v>
      </c>
      <c r="Q1699" t="s">
        <v>28</v>
      </c>
      <c r="R1699" t="s">
        <v>29</v>
      </c>
      <c r="S1699">
        <v>2025</v>
      </c>
      <c r="T1699" t="s">
        <v>2743</v>
      </c>
      <c r="U1699" t="s">
        <v>2756</v>
      </c>
      <c r="V1699" s="4">
        <v>0</v>
      </c>
      <c r="W1699" s="4">
        <v>1</v>
      </c>
    </row>
    <row r="1700" spans="1:23">
      <c r="A1700" t="s">
        <v>1832</v>
      </c>
      <c r="B1700" s="2">
        <v>46049</v>
      </c>
      <c r="C1700" t="s">
        <v>89</v>
      </c>
      <c r="D1700" t="s">
        <v>90</v>
      </c>
      <c r="E1700" t="s">
        <v>31</v>
      </c>
      <c r="F1700" t="s">
        <v>91</v>
      </c>
      <c r="G1700" t="s">
        <v>109</v>
      </c>
      <c r="H1700" t="s">
        <v>110</v>
      </c>
      <c r="I1700">
        <v>1</v>
      </c>
      <c r="J1700" s="3">
        <v>12141.98</v>
      </c>
      <c r="K1700" s="3">
        <v>12141.98</v>
      </c>
      <c r="L1700" t="s">
        <v>25</v>
      </c>
      <c r="M1700" s="2">
        <v>46066</v>
      </c>
      <c r="N1700" s="2">
        <v>46071</v>
      </c>
      <c r="O1700" t="s">
        <v>26</v>
      </c>
      <c r="P1700" t="s">
        <v>94</v>
      </c>
      <c r="Q1700" t="s">
        <v>28</v>
      </c>
      <c r="R1700" t="s">
        <v>129</v>
      </c>
      <c r="S1700">
        <v>2026</v>
      </c>
      <c r="T1700" t="s">
        <v>2757</v>
      </c>
      <c r="U1700" t="s">
        <v>2758</v>
      </c>
      <c r="V1700" s="4">
        <v>5</v>
      </c>
      <c r="W1700" s="4">
        <v>0</v>
      </c>
    </row>
    <row r="1701" spans="1:23">
      <c r="A1701" t="s">
        <v>1833</v>
      </c>
      <c r="B1701" s="2">
        <v>46170</v>
      </c>
      <c r="C1701" t="s">
        <v>117</v>
      </c>
      <c r="D1701" t="s">
        <v>118</v>
      </c>
      <c r="E1701" t="s">
        <v>31</v>
      </c>
      <c r="F1701" t="s">
        <v>57</v>
      </c>
      <c r="G1701" t="s">
        <v>101</v>
      </c>
      <c r="H1701" t="s">
        <v>102</v>
      </c>
      <c r="I1701">
        <v>11</v>
      </c>
      <c r="J1701" s="3">
        <v>1747.84</v>
      </c>
      <c r="K1701" s="3">
        <v>19226.240000000002</v>
      </c>
      <c r="L1701" t="s">
        <v>34</v>
      </c>
      <c r="M1701" s="2">
        <v>46185</v>
      </c>
      <c r="N1701" s="2">
        <v>46185</v>
      </c>
      <c r="O1701" t="s">
        <v>26</v>
      </c>
      <c r="P1701" t="s">
        <v>94</v>
      </c>
      <c r="Q1701" t="s">
        <v>28</v>
      </c>
      <c r="R1701" t="s">
        <v>29</v>
      </c>
      <c r="S1701">
        <v>2026</v>
      </c>
      <c r="T1701" t="s">
        <v>2766</v>
      </c>
      <c r="U1701" t="s">
        <v>2769</v>
      </c>
      <c r="V1701" s="4">
        <v>0</v>
      </c>
      <c r="W1701" s="4">
        <v>1</v>
      </c>
    </row>
    <row r="1702" spans="1:23">
      <c r="A1702" t="s">
        <v>1834</v>
      </c>
      <c r="B1702" s="2">
        <v>46040</v>
      </c>
      <c r="C1702" t="s">
        <v>71</v>
      </c>
      <c r="D1702" t="s">
        <v>72</v>
      </c>
      <c r="E1702" t="s">
        <v>31</v>
      </c>
      <c r="F1702" t="s">
        <v>57</v>
      </c>
      <c r="G1702" t="s">
        <v>101</v>
      </c>
      <c r="H1702" t="s">
        <v>102</v>
      </c>
      <c r="I1702">
        <v>46</v>
      </c>
      <c r="J1702" s="3">
        <v>1616.47</v>
      </c>
      <c r="K1702" s="3">
        <v>74357.62</v>
      </c>
      <c r="L1702" t="s">
        <v>34</v>
      </c>
      <c r="M1702" s="2">
        <v>46045</v>
      </c>
      <c r="N1702" s="2">
        <v>46056</v>
      </c>
      <c r="O1702" t="s">
        <v>60</v>
      </c>
      <c r="P1702" t="s">
        <v>94</v>
      </c>
      <c r="Q1702" t="s">
        <v>28</v>
      </c>
      <c r="R1702" t="s">
        <v>129</v>
      </c>
      <c r="S1702">
        <v>2026</v>
      </c>
      <c r="T1702" t="s">
        <v>2757</v>
      </c>
      <c r="U1702" t="s">
        <v>2758</v>
      </c>
      <c r="V1702" s="4">
        <v>11</v>
      </c>
      <c r="W1702" s="4">
        <v>0</v>
      </c>
    </row>
    <row r="1703" spans="1:23">
      <c r="A1703" t="s">
        <v>1835</v>
      </c>
      <c r="B1703" s="2">
        <v>46043</v>
      </c>
      <c r="C1703" t="s">
        <v>46</v>
      </c>
      <c r="D1703" t="s">
        <v>47</v>
      </c>
      <c r="E1703" t="s">
        <v>48</v>
      </c>
      <c r="F1703" t="s">
        <v>49</v>
      </c>
      <c r="G1703" t="s">
        <v>165</v>
      </c>
      <c r="H1703" t="s">
        <v>166</v>
      </c>
      <c r="I1703">
        <v>1</v>
      </c>
      <c r="J1703" s="3">
        <v>46066.71</v>
      </c>
      <c r="K1703" s="3">
        <v>46066.71</v>
      </c>
      <c r="L1703" t="s">
        <v>25</v>
      </c>
      <c r="M1703" s="2">
        <v>46053</v>
      </c>
      <c r="N1703" s="2">
        <v>46051</v>
      </c>
      <c r="O1703" t="s">
        <v>60</v>
      </c>
      <c r="P1703" t="s">
        <v>53</v>
      </c>
      <c r="Q1703" t="s">
        <v>28</v>
      </c>
      <c r="R1703" t="s">
        <v>29</v>
      </c>
      <c r="S1703">
        <v>2026</v>
      </c>
      <c r="T1703" t="s">
        <v>2757</v>
      </c>
      <c r="U1703" t="s">
        <v>2758</v>
      </c>
      <c r="V1703" s="4">
        <v>0</v>
      </c>
      <c r="W1703" s="4">
        <v>1</v>
      </c>
    </row>
    <row r="1704" spans="1:23">
      <c r="A1704" t="s">
        <v>1836</v>
      </c>
      <c r="B1704" s="2">
        <v>45890</v>
      </c>
      <c r="C1704" t="s">
        <v>104</v>
      </c>
      <c r="D1704" t="s">
        <v>105</v>
      </c>
      <c r="E1704" t="s">
        <v>48</v>
      </c>
      <c r="F1704" t="s">
        <v>49</v>
      </c>
      <c r="G1704" t="s">
        <v>50</v>
      </c>
      <c r="H1704" t="s">
        <v>51</v>
      </c>
      <c r="I1704">
        <v>2</v>
      </c>
      <c r="J1704" s="3">
        <v>51016.68</v>
      </c>
      <c r="K1704" s="3">
        <v>102033.36</v>
      </c>
      <c r="L1704" t="s">
        <v>52</v>
      </c>
      <c r="M1704" s="2">
        <v>45905</v>
      </c>
      <c r="N1704" s="2">
        <v>45902</v>
      </c>
      <c r="O1704" t="s">
        <v>43</v>
      </c>
      <c r="P1704" t="s">
        <v>53</v>
      </c>
      <c r="Q1704" t="s">
        <v>28</v>
      </c>
      <c r="R1704" t="s">
        <v>29</v>
      </c>
      <c r="S1704">
        <v>2025</v>
      </c>
      <c r="T1704" t="s">
        <v>2761</v>
      </c>
      <c r="U1704" t="s">
        <v>2762</v>
      </c>
      <c r="V1704" s="4">
        <v>0</v>
      </c>
      <c r="W1704" s="4">
        <v>1</v>
      </c>
    </row>
    <row r="1705" spans="1:23">
      <c r="A1705" t="s">
        <v>1837</v>
      </c>
      <c r="B1705" s="2">
        <v>45997</v>
      </c>
      <c r="C1705" t="s">
        <v>104</v>
      </c>
      <c r="D1705" t="s">
        <v>105</v>
      </c>
      <c r="E1705" t="s">
        <v>73</v>
      </c>
      <c r="F1705" t="s">
        <v>49</v>
      </c>
      <c r="G1705" t="s">
        <v>50</v>
      </c>
      <c r="H1705" t="s">
        <v>51</v>
      </c>
      <c r="I1705">
        <v>1</v>
      </c>
      <c r="J1705" s="3">
        <v>53581.5</v>
      </c>
      <c r="K1705" s="3">
        <v>53581.5</v>
      </c>
      <c r="L1705" t="s">
        <v>25</v>
      </c>
      <c r="M1705" s="2">
        <v>46011</v>
      </c>
      <c r="N1705" s="2">
        <v>46009</v>
      </c>
      <c r="O1705" t="s">
        <v>43</v>
      </c>
      <c r="P1705" t="s">
        <v>77</v>
      </c>
      <c r="Q1705" t="s">
        <v>28</v>
      </c>
      <c r="R1705" t="s">
        <v>29</v>
      </c>
      <c r="S1705">
        <v>2025</v>
      </c>
      <c r="T1705" t="s">
        <v>2745</v>
      </c>
      <c r="U1705" t="s">
        <v>2746</v>
      </c>
      <c r="V1705" s="4">
        <v>0</v>
      </c>
      <c r="W1705" s="4">
        <v>1</v>
      </c>
    </row>
    <row r="1706" spans="1:23">
      <c r="A1706" t="s">
        <v>1838</v>
      </c>
      <c r="B1706" s="2">
        <v>46096</v>
      </c>
      <c r="C1706" t="s">
        <v>71</v>
      </c>
      <c r="D1706" t="s">
        <v>72</v>
      </c>
      <c r="E1706" t="s">
        <v>21</v>
      </c>
      <c r="F1706" t="s">
        <v>57</v>
      </c>
      <c r="G1706" t="s">
        <v>74</v>
      </c>
      <c r="H1706" t="s">
        <v>75</v>
      </c>
      <c r="I1706">
        <v>2</v>
      </c>
      <c r="J1706" s="3">
        <v>8328.77</v>
      </c>
      <c r="K1706" s="3">
        <v>16657.54</v>
      </c>
      <c r="L1706" t="s">
        <v>25</v>
      </c>
      <c r="M1706" s="2">
        <v>46103</v>
      </c>
      <c r="N1706" s="2">
        <v>46114</v>
      </c>
      <c r="O1706" t="s">
        <v>43</v>
      </c>
      <c r="P1706" t="s">
        <v>27</v>
      </c>
      <c r="Q1706" t="s">
        <v>28</v>
      </c>
      <c r="R1706" t="s">
        <v>129</v>
      </c>
      <c r="S1706">
        <v>2026</v>
      </c>
      <c r="T1706" t="s">
        <v>2747</v>
      </c>
      <c r="U1706" t="s">
        <v>2755</v>
      </c>
      <c r="V1706" s="4">
        <v>11</v>
      </c>
      <c r="W1706" s="4">
        <v>0</v>
      </c>
    </row>
    <row r="1707" spans="1:23">
      <c r="A1707" t="s">
        <v>1839</v>
      </c>
      <c r="B1707" s="2">
        <v>46146</v>
      </c>
      <c r="C1707" t="s">
        <v>19</v>
      </c>
      <c r="D1707" t="s">
        <v>20</v>
      </c>
      <c r="E1707" t="s">
        <v>73</v>
      </c>
      <c r="F1707" t="s">
        <v>22</v>
      </c>
      <c r="G1707" t="s">
        <v>32</v>
      </c>
      <c r="H1707" t="s">
        <v>33</v>
      </c>
      <c r="I1707">
        <v>4</v>
      </c>
      <c r="J1707" s="3">
        <v>7065.61</v>
      </c>
      <c r="K1707" s="3">
        <v>28262.44</v>
      </c>
      <c r="L1707" t="s">
        <v>25</v>
      </c>
      <c r="M1707" s="2">
        <v>46152</v>
      </c>
      <c r="N1707" s="2">
        <v>46149</v>
      </c>
      <c r="O1707" t="s">
        <v>60</v>
      </c>
      <c r="P1707" t="s">
        <v>77</v>
      </c>
      <c r="Q1707" t="s">
        <v>28</v>
      </c>
      <c r="R1707" t="s">
        <v>29</v>
      </c>
      <c r="S1707">
        <v>2026</v>
      </c>
      <c r="T1707" t="s">
        <v>2766</v>
      </c>
      <c r="U1707" t="s">
        <v>2769</v>
      </c>
      <c r="V1707" s="4">
        <v>0</v>
      </c>
      <c r="W1707" s="4">
        <v>1</v>
      </c>
    </row>
    <row r="1708" spans="1:23">
      <c r="A1708" t="s">
        <v>1840</v>
      </c>
      <c r="B1708" s="2">
        <v>46053</v>
      </c>
      <c r="C1708" t="s">
        <v>55</v>
      </c>
      <c r="D1708" t="s">
        <v>56</v>
      </c>
      <c r="E1708" t="s">
        <v>31</v>
      </c>
      <c r="F1708" t="s">
        <v>57</v>
      </c>
      <c r="G1708" t="s">
        <v>86</v>
      </c>
      <c r="H1708" t="s">
        <v>87</v>
      </c>
      <c r="I1708">
        <v>4</v>
      </c>
      <c r="J1708" s="3">
        <v>11759.65</v>
      </c>
      <c r="K1708" s="3">
        <v>47038.6</v>
      </c>
      <c r="L1708" t="s">
        <v>34</v>
      </c>
      <c r="M1708" s="2">
        <v>46068</v>
      </c>
      <c r="N1708" s="2">
        <v>46066</v>
      </c>
      <c r="O1708" t="s">
        <v>43</v>
      </c>
      <c r="P1708" t="s">
        <v>94</v>
      </c>
      <c r="Q1708" t="s">
        <v>28</v>
      </c>
      <c r="R1708" t="s">
        <v>29</v>
      </c>
      <c r="S1708">
        <v>2026</v>
      </c>
      <c r="T1708" t="s">
        <v>2757</v>
      </c>
      <c r="U1708" t="s">
        <v>2758</v>
      </c>
      <c r="V1708" s="4">
        <v>0</v>
      </c>
      <c r="W1708" s="4">
        <v>1</v>
      </c>
    </row>
    <row r="1709" spans="1:23">
      <c r="A1709" t="s">
        <v>1841</v>
      </c>
      <c r="B1709" s="2">
        <v>46182</v>
      </c>
      <c r="C1709" t="s">
        <v>37</v>
      </c>
      <c r="D1709" t="s">
        <v>38</v>
      </c>
      <c r="E1709" t="s">
        <v>39</v>
      </c>
      <c r="F1709" t="s">
        <v>40</v>
      </c>
      <c r="G1709" t="s">
        <v>41</v>
      </c>
      <c r="H1709" t="s">
        <v>42</v>
      </c>
      <c r="I1709">
        <v>10</v>
      </c>
      <c r="J1709" s="3">
        <v>5986.71</v>
      </c>
      <c r="K1709" s="3">
        <v>59867.1</v>
      </c>
      <c r="L1709" t="s">
        <v>25</v>
      </c>
      <c r="M1709" s="2">
        <v>46191</v>
      </c>
      <c r="N1709" s="2">
        <v>46191</v>
      </c>
      <c r="O1709" t="s">
        <v>26</v>
      </c>
      <c r="P1709" t="s">
        <v>44</v>
      </c>
      <c r="Q1709" t="s">
        <v>28</v>
      </c>
      <c r="R1709" t="s">
        <v>29</v>
      </c>
      <c r="S1709">
        <v>2026</v>
      </c>
      <c r="T1709" t="s">
        <v>2743</v>
      </c>
      <c r="U1709" t="s">
        <v>2744</v>
      </c>
      <c r="V1709" s="4">
        <v>0</v>
      </c>
      <c r="W1709" s="4">
        <v>1</v>
      </c>
    </row>
    <row r="1710" spans="1:23">
      <c r="A1710" t="s">
        <v>1842</v>
      </c>
      <c r="B1710" s="2">
        <v>45909</v>
      </c>
      <c r="C1710" t="s">
        <v>37</v>
      </c>
      <c r="D1710" t="s">
        <v>38</v>
      </c>
      <c r="E1710" t="s">
        <v>31</v>
      </c>
      <c r="F1710" t="s">
        <v>22</v>
      </c>
      <c r="G1710" t="s">
        <v>23</v>
      </c>
      <c r="H1710" t="s">
        <v>24</v>
      </c>
      <c r="I1710">
        <v>9</v>
      </c>
      <c r="J1710" s="3">
        <v>268.25</v>
      </c>
      <c r="K1710" s="3">
        <v>2414.25</v>
      </c>
      <c r="L1710" t="s">
        <v>25</v>
      </c>
      <c r="M1710" s="2">
        <v>45917</v>
      </c>
      <c r="N1710" s="2">
        <v>45914</v>
      </c>
      <c r="O1710" t="s">
        <v>60</v>
      </c>
      <c r="P1710" t="s">
        <v>35</v>
      </c>
      <c r="Q1710" t="s">
        <v>28</v>
      </c>
      <c r="R1710" t="s">
        <v>29</v>
      </c>
      <c r="S1710">
        <v>2025</v>
      </c>
      <c r="T1710" t="s">
        <v>2753</v>
      </c>
      <c r="U1710" t="s">
        <v>2754</v>
      </c>
      <c r="V1710" s="4">
        <v>0</v>
      </c>
      <c r="W1710" s="4">
        <v>1</v>
      </c>
    </row>
    <row r="1711" spans="1:23">
      <c r="A1711" t="s">
        <v>1843</v>
      </c>
      <c r="B1711" s="2">
        <v>45871</v>
      </c>
      <c r="C1711" t="s">
        <v>142</v>
      </c>
      <c r="D1711" t="s">
        <v>143</v>
      </c>
      <c r="E1711" t="s">
        <v>31</v>
      </c>
      <c r="F1711" t="s">
        <v>22</v>
      </c>
      <c r="G1711" t="s">
        <v>32</v>
      </c>
      <c r="H1711" t="s">
        <v>33</v>
      </c>
      <c r="I1711">
        <v>9</v>
      </c>
      <c r="J1711" s="3">
        <v>7832.6</v>
      </c>
      <c r="K1711" s="3">
        <v>70493.399999999994</v>
      </c>
      <c r="L1711" t="s">
        <v>25</v>
      </c>
      <c r="M1711" s="2">
        <v>45879</v>
      </c>
      <c r="N1711" s="2">
        <v>45876</v>
      </c>
      <c r="O1711" t="s">
        <v>43</v>
      </c>
      <c r="P1711" t="s">
        <v>35</v>
      </c>
      <c r="Q1711" t="s">
        <v>28</v>
      </c>
      <c r="R1711" t="s">
        <v>29</v>
      </c>
      <c r="S1711">
        <v>2025</v>
      </c>
      <c r="T1711" t="s">
        <v>2761</v>
      </c>
      <c r="U1711" t="s">
        <v>2762</v>
      </c>
      <c r="V1711" s="4">
        <v>0</v>
      </c>
      <c r="W1711" s="4">
        <v>1</v>
      </c>
    </row>
    <row r="1712" spans="1:23">
      <c r="A1712" t="s">
        <v>1844</v>
      </c>
      <c r="B1712" s="2">
        <v>45800</v>
      </c>
      <c r="C1712" t="s">
        <v>147</v>
      </c>
      <c r="D1712" t="s">
        <v>148</v>
      </c>
      <c r="E1712" t="s">
        <v>39</v>
      </c>
      <c r="F1712" t="s">
        <v>40</v>
      </c>
      <c r="G1712" t="s">
        <v>41</v>
      </c>
      <c r="H1712" t="s">
        <v>42</v>
      </c>
      <c r="I1712">
        <v>3</v>
      </c>
      <c r="J1712" s="3">
        <v>5351.67</v>
      </c>
      <c r="K1712" s="3">
        <v>16055.01</v>
      </c>
      <c r="L1712" t="s">
        <v>25</v>
      </c>
      <c r="M1712" s="2">
        <v>45816</v>
      </c>
      <c r="N1712" s="2">
        <v>45814</v>
      </c>
      <c r="O1712" t="s">
        <v>60</v>
      </c>
      <c r="P1712" t="s">
        <v>64</v>
      </c>
      <c r="Q1712" t="s">
        <v>28</v>
      </c>
      <c r="R1712" t="s">
        <v>29</v>
      </c>
      <c r="S1712">
        <v>2025</v>
      </c>
      <c r="T1712" t="s">
        <v>2766</v>
      </c>
      <c r="U1712" t="s">
        <v>2767</v>
      </c>
      <c r="V1712" s="4">
        <v>0</v>
      </c>
      <c r="W1712" s="4">
        <v>1</v>
      </c>
    </row>
    <row r="1713" spans="1:23">
      <c r="A1713" t="s">
        <v>1845</v>
      </c>
      <c r="B1713" s="2">
        <v>46035</v>
      </c>
      <c r="C1713" t="s">
        <v>142</v>
      </c>
      <c r="D1713" t="s">
        <v>143</v>
      </c>
      <c r="E1713" t="s">
        <v>39</v>
      </c>
      <c r="F1713" t="s">
        <v>22</v>
      </c>
      <c r="G1713" t="s">
        <v>160</v>
      </c>
      <c r="H1713" t="s">
        <v>161</v>
      </c>
      <c r="I1713">
        <v>13</v>
      </c>
      <c r="J1713" s="3">
        <v>3121.93</v>
      </c>
      <c r="K1713" s="3">
        <v>40585.089999999997</v>
      </c>
      <c r="L1713" t="s">
        <v>34</v>
      </c>
      <c r="M1713" s="2">
        <v>46043</v>
      </c>
      <c r="N1713" s="2">
        <v>46041</v>
      </c>
      <c r="O1713" t="s">
        <v>76</v>
      </c>
      <c r="P1713" t="s">
        <v>44</v>
      </c>
      <c r="Q1713" t="s">
        <v>28</v>
      </c>
      <c r="R1713" t="s">
        <v>29</v>
      </c>
      <c r="S1713">
        <v>2026</v>
      </c>
      <c r="T1713" t="s">
        <v>2757</v>
      </c>
      <c r="U1713" t="s">
        <v>2758</v>
      </c>
      <c r="V1713" s="4">
        <v>0</v>
      </c>
      <c r="W1713" s="4">
        <v>1</v>
      </c>
    </row>
    <row r="1714" spans="1:23">
      <c r="A1714" t="s">
        <v>1846</v>
      </c>
      <c r="B1714" s="2">
        <v>45924</v>
      </c>
      <c r="C1714" t="s">
        <v>142</v>
      </c>
      <c r="D1714" t="s">
        <v>143</v>
      </c>
      <c r="E1714" t="s">
        <v>31</v>
      </c>
      <c r="F1714" t="s">
        <v>22</v>
      </c>
      <c r="G1714" t="s">
        <v>160</v>
      </c>
      <c r="H1714" t="s">
        <v>161</v>
      </c>
      <c r="I1714">
        <v>13</v>
      </c>
      <c r="J1714" s="3">
        <v>3103.01</v>
      </c>
      <c r="K1714" s="3">
        <v>40339.129999999997</v>
      </c>
      <c r="L1714" t="s">
        <v>34</v>
      </c>
      <c r="M1714" s="2">
        <v>45938</v>
      </c>
      <c r="N1714" s="2">
        <v>45936</v>
      </c>
      <c r="O1714" t="s">
        <v>43</v>
      </c>
      <c r="P1714" t="s">
        <v>35</v>
      </c>
      <c r="Q1714" t="s">
        <v>28</v>
      </c>
      <c r="R1714" t="s">
        <v>29</v>
      </c>
      <c r="S1714">
        <v>2025</v>
      </c>
      <c r="T1714" t="s">
        <v>2753</v>
      </c>
      <c r="U1714" t="s">
        <v>2754</v>
      </c>
      <c r="V1714" s="4">
        <v>0</v>
      </c>
      <c r="W1714" s="4">
        <v>1</v>
      </c>
    </row>
    <row r="1715" spans="1:23">
      <c r="A1715" t="s">
        <v>1847</v>
      </c>
      <c r="B1715" s="2">
        <v>46074</v>
      </c>
      <c r="C1715" t="s">
        <v>66</v>
      </c>
      <c r="D1715" t="s">
        <v>67</v>
      </c>
      <c r="E1715" t="s">
        <v>21</v>
      </c>
      <c r="F1715" t="s">
        <v>49</v>
      </c>
      <c r="G1715" t="s">
        <v>50</v>
      </c>
      <c r="H1715" t="s">
        <v>51</v>
      </c>
      <c r="I1715">
        <v>2</v>
      </c>
      <c r="J1715" s="3">
        <v>50323.61</v>
      </c>
      <c r="K1715" s="3">
        <v>100647.22</v>
      </c>
      <c r="L1715" t="s">
        <v>25</v>
      </c>
      <c r="M1715" s="2">
        <v>46087</v>
      </c>
      <c r="N1715" s="2">
        <v>46087</v>
      </c>
      <c r="O1715" t="s">
        <v>43</v>
      </c>
      <c r="P1715" t="s">
        <v>27</v>
      </c>
      <c r="Q1715" t="s">
        <v>28</v>
      </c>
      <c r="R1715" t="s">
        <v>29</v>
      </c>
      <c r="S1715">
        <v>2026</v>
      </c>
      <c r="T1715" t="s">
        <v>2751</v>
      </c>
      <c r="U1715" t="s">
        <v>2765</v>
      </c>
      <c r="V1715" s="4">
        <v>0</v>
      </c>
      <c r="W1715" s="4">
        <v>1</v>
      </c>
    </row>
    <row r="1716" spans="1:23">
      <c r="A1716" t="s">
        <v>1848</v>
      </c>
      <c r="B1716" s="2">
        <v>46085</v>
      </c>
      <c r="C1716" t="s">
        <v>142</v>
      </c>
      <c r="D1716" t="s">
        <v>143</v>
      </c>
      <c r="E1716" t="s">
        <v>39</v>
      </c>
      <c r="F1716" t="s">
        <v>22</v>
      </c>
      <c r="G1716" t="s">
        <v>32</v>
      </c>
      <c r="H1716" t="s">
        <v>33</v>
      </c>
      <c r="I1716">
        <v>8</v>
      </c>
      <c r="J1716" s="3">
        <v>7503.29</v>
      </c>
      <c r="K1716" s="3">
        <v>60026.32</v>
      </c>
      <c r="L1716" t="s">
        <v>34</v>
      </c>
      <c r="M1716" s="2">
        <v>46099</v>
      </c>
      <c r="N1716" s="2">
        <v>46097</v>
      </c>
      <c r="O1716" t="s">
        <v>76</v>
      </c>
      <c r="P1716" t="s">
        <v>64</v>
      </c>
      <c r="Q1716" t="s">
        <v>28</v>
      </c>
      <c r="R1716" t="s">
        <v>29</v>
      </c>
      <c r="S1716">
        <v>2026</v>
      </c>
      <c r="T1716" t="s">
        <v>2747</v>
      </c>
      <c r="U1716" t="s">
        <v>2755</v>
      </c>
      <c r="V1716" s="4">
        <v>0</v>
      </c>
      <c r="W1716" s="4">
        <v>1</v>
      </c>
    </row>
    <row r="1717" spans="1:23">
      <c r="A1717" t="s">
        <v>1849</v>
      </c>
      <c r="B1717" s="2">
        <v>45732</v>
      </c>
      <c r="C1717" t="s">
        <v>147</v>
      </c>
      <c r="D1717" t="s">
        <v>148</v>
      </c>
      <c r="E1717" t="s">
        <v>39</v>
      </c>
      <c r="F1717" t="s">
        <v>40</v>
      </c>
      <c r="G1717" t="s">
        <v>136</v>
      </c>
      <c r="H1717" t="s">
        <v>137</v>
      </c>
      <c r="I1717">
        <v>55</v>
      </c>
      <c r="J1717" s="3">
        <v>1547.16</v>
      </c>
      <c r="K1717" s="3">
        <v>85093.8</v>
      </c>
      <c r="L1717" t="s">
        <v>25</v>
      </c>
      <c r="M1717" s="2">
        <v>45740</v>
      </c>
      <c r="N1717" s="2">
        <v>45737</v>
      </c>
      <c r="O1717" t="s">
        <v>43</v>
      </c>
      <c r="P1717" t="s">
        <v>44</v>
      </c>
      <c r="Q1717" t="s">
        <v>28</v>
      </c>
      <c r="R1717" t="s">
        <v>29</v>
      </c>
      <c r="S1717">
        <v>2025</v>
      </c>
      <c r="T1717" t="s">
        <v>2747</v>
      </c>
      <c r="U1717" t="s">
        <v>2748</v>
      </c>
      <c r="V1717" s="4">
        <v>0</v>
      </c>
      <c r="W1717" s="4">
        <v>1</v>
      </c>
    </row>
    <row r="1718" spans="1:23">
      <c r="A1718" t="s">
        <v>1850</v>
      </c>
      <c r="B1718" s="2">
        <v>45798</v>
      </c>
      <c r="C1718" t="s">
        <v>134</v>
      </c>
      <c r="D1718" t="s">
        <v>135</v>
      </c>
      <c r="E1718" t="s">
        <v>112</v>
      </c>
      <c r="F1718" t="s">
        <v>40</v>
      </c>
      <c r="G1718" t="s">
        <v>41</v>
      </c>
      <c r="H1718" t="s">
        <v>42</v>
      </c>
      <c r="I1718">
        <v>11</v>
      </c>
      <c r="J1718" s="3">
        <v>5282.96</v>
      </c>
      <c r="K1718" s="3">
        <v>58112.56</v>
      </c>
      <c r="L1718" t="s">
        <v>25</v>
      </c>
      <c r="M1718" s="2">
        <v>45812</v>
      </c>
      <c r="N1718" s="2">
        <v>45812</v>
      </c>
      <c r="O1718" t="s">
        <v>26</v>
      </c>
      <c r="P1718" t="s">
        <v>115</v>
      </c>
      <c r="Q1718" t="s">
        <v>28</v>
      </c>
      <c r="R1718" t="s">
        <v>29</v>
      </c>
      <c r="S1718">
        <v>2025</v>
      </c>
      <c r="T1718" t="s">
        <v>2766</v>
      </c>
      <c r="U1718" t="s">
        <v>2767</v>
      </c>
      <c r="V1718" s="4">
        <v>0</v>
      </c>
      <c r="W1718" s="4">
        <v>1</v>
      </c>
    </row>
    <row r="1719" spans="1:23">
      <c r="A1719" t="s">
        <v>1851</v>
      </c>
      <c r="B1719" s="2">
        <v>45855</v>
      </c>
      <c r="C1719" t="s">
        <v>117</v>
      </c>
      <c r="D1719" t="s">
        <v>118</v>
      </c>
      <c r="E1719" t="s">
        <v>48</v>
      </c>
      <c r="F1719" t="s">
        <v>57</v>
      </c>
      <c r="G1719" t="s">
        <v>120</v>
      </c>
      <c r="H1719" t="s">
        <v>121</v>
      </c>
      <c r="I1719">
        <v>5</v>
      </c>
      <c r="J1719" s="3">
        <v>22293.98</v>
      </c>
      <c r="K1719" s="3">
        <v>111469.9</v>
      </c>
      <c r="L1719" t="s">
        <v>25</v>
      </c>
      <c r="M1719" s="2">
        <v>45865</v>
      </c>
      <c r="N1719" s="2">
        <v>45873</v>
      </c>
      <c r="O1719" t="s">
        <v>60</v>
      </c>
      <c r="P1719" t="s">
        <v>53</v>
      </c>
      <c r="Q1719" t="s">
        <v>28</v>
      </c>
      <c r="R1719" t="s">
        <v>129</v>
      </c>
      <c r="S1719">
        <v>2025</v>
      </c>
      <c r="T1719" t="s">
        <v>2759</v>
      </c>
      <c r="U1719" t="s">
        <v>2760</v>
      </c>
      <c r="V1719" s="4">
        <v>8</v>
      </c>
      <c r="W1719" s="4">
        <v>0</v>
      </c>
    </row>
    <row r="1720" spans="1:23">
      <c r="A1720" t="s">
        <v>1852</v>
      </c>
      <c r="B1720" s="2">
        <v>46062</v>
      </c>
      <c r="C1720" t="s">
        <v>37</v>
      </c>
      <c r="D1720" t="s">
        <v>38</v>
      </c>
      <c r="E1720" t="s">
        <v>31</v>
      </c>
      <c r="F1720" t="s">
        <v>22</v>
      </c>
      <c r="G1720" t="s">
        <v>23</v>
      </c>
      <c r="H1720" t="s">
        <v>24</v>
      </c>
      <c r="I1720">
        <v>56</v>
      </c>
      <c r="J1720" s="3">
        <v>270.16000000000003</v>
      </c>
      <c r="K1720" s="3">
        <v>15128.96</v>
      </c>
      <c r="L1720" t="s">
        <v>25</v>
      </c>
      <c r="M1720" s="2">
        <v>46075</v>
      </c>
      <c r="N1720" s="2">
        <v>46075</v>
      </c>
      <c r="O1720" t="s">
        <v>26</v>
      </c>
      <c r="P1720" t="s">
        <v>94</v>
      </c>
      <c r="Q1720" t="s">
        <v>28</v>
      </c>
      <c r="R1720" t="s">
        <v>29</v>
      </c>
      <c r="S1720">
        <v>2026</v>
      </c>
      <c r="T1720" t="s">
        <v>2751</v>
      </c>
      <c r="U1720" t="s">
        <v>2765</v>
      </c>
      <c r="V1720" s="4">
        <v>0</v>
      </c>
      <c r="W1720" s="4">
        <v>1</v>
      </c>
    </row>
    <row r="1721" spans="1:23">
      <c r="A1721" t="s">
        <v>1853</v>
      </c>
      <c r="B1721" s="2">
        <v>46188</v>
      </c>
      <c r="C1721" t="s">
        <v>37</v>
      </c>
      <c r="D1721" t="s">
        <v>38</v>
      </c>
      <c r="E1721" t="s">
        <v>112</v>
      </c>
      <c r="F1721" t="s">
        <v>22</v>
      </c>
      <c r="G1721" t="s">
        <v>160</v>
      </c>
      <c r="H1721" t="s">
        <v>161</v>
      </c>
      <c r="I1721">
        <v>14</v>
      </c>
      <c r="J1721" s="3">
        <v>3678.45</v>
      </c>
      <c r="K1721" s="3">
        <v>51498.3</v>
      </c>
      <c r="L1721" t="s">
        <v>25</v>
      </c>
      <c r="M1721" s="2">
        <v>46201</v>
      </c>
      <c r="N1721" s="2">
        <v>46200</v>
      </c>
      <c r="O1721" t="s">
        <v>60</v>
      </c>
      <c r="P1721" t="s">
        <v>115</v>
      </c>
      <c r="Q1721" t="s">
        <v>28</v>
      </c>
      <c r="R1721" t="s">
        <v>29</v>
      </c>
      <c r="S1721">
        <v>2026</v>
      </c>
      <c r="T1721" t="s">
        <v>2743</v>
      </c>
      <c r="U1721" t="s">
        <v>2744</v>
      </c>
      <c r="V1721" s="4">
        <v>0</v>
      </c>
      <c r="W1721" s="4">
        <v>1</v>
      </c>
    </row>
    <row r="1722" spans="1:23">
      <c r="A1722" t="s">
        <v>1854</v>
      </c>
      <c r="B1722" s="2">
        <v>46179</v>
      </c>
      <c r="C1722" t="s">
        <v>104</v>
      </c>
      <c r="D1722" t="s">
        <v>105</v>
      </c>
      <c r="E1722" t="s">
        <v>112</v>
      </c>
      <c r="F1722" t="s">
        <v>49</v>
      </c>
      <c r="G1722" t="s">
        <v>68</v>
      </c>
      <c r="H1722" t="s">
        <v>69</v>
      </c>
      <c r="I1722">
        <v>1</v>
      </c>
      <c r="J1722" s="3">
        <v>49277.09</v>
      </c>
      <c r="K1722" s="3">
        <v>49277.09</v>
      </c>
      <c r="L1722" t="s">
        <v>52</v>
      </c>
      <c r="M1722" s="2">
        <v>46195</v>
      </c>
      <c r="N1722" s="2">
        <v>46195</v>
      </c>
      <c r="O1722" t="s">
        <v>76</v>
      </c>
      <c r="P1722" t="s">
        <v>115</v>
      </c>
      <c r="Q1722" t="s">
        <v>28</v>
      </c>
      <c r="R1722" t="s">
        <v>29</v>
      </c>
      <c r="S1722">
        <v>2026</v>
      </c>
      <c r="T1722" t="s">
        <v>2743</v>
      </c>
      <c r="U1722" t="s">
        <v>2744</v>
      </c>
      <c r="V1722" s="4">
        <v>0</v>
      </c>
      <c r="W1722" s="4">
        <v>1</v>
      </c>
    </row>
    <row r="1723" spans="1:23">
      <c r="A1723" t="s">
        <v>1855</v>
      </c>
      <c r="B1723" s="2">
        <v>45794</v>
      </c>
      <c r="C1723" t="s">
        <v>134</v>
      </c>
      <c r="D1723" t="s">
        <v>135</v>
      </c>
      <c r="E1723" t="s">
        <v>112</v>
      </c>
      <c r="F1723" t="s">
        <v>40</v>
      </c>
      <c r="G1723" t="s">
        <v>136</v>
      </c>
      <c r="H1723" t="s">
        <v>137</v>
      </c>
      <c r="I1723">
        <v>12</v>
      </c>
      <c r="J1723" s="3">
        <v>1707.84</v>
      </c>
      <c r="K1723" s="3">
        <v>20494.080000000002</v>
      </c>
      <c r="L1723" t="s">
        <v>34</v>
      </c>
      <c r="M1723" s="2">
        <v>45812</v>
      </c>
      <c r="N1723" s="2">
        <v>45810</v>
      </c>
      <c r="O1723" t="s">
        <v>43</v>
      </c>
      <c r="P1723" t="s">
        <v>115</v>
      </c>
      <c r="Q1723" t="s">
        <v>28</v>
      </c>
      <c r="R1723" t="s">
        <v>29</v>
      </c>
      <c r="S1723">
        <v>2025</v>
      </c>
      <c r="T1723" t="s">
        <v>2766</v>
      </c>
      <c r="U1723" t="s">
        <v>2767</v>
      </c>
      <c r="V1723" s="4">
        <v>0</v>
      </c>
      <c r="W1723" s="4">
        <v>1</v>
      </c>
    </row>
    <row r="1724" spans="1:23">
      <c r="A1724" t="s">
        <v>1856</v>
      </c>
      <c r="B1724" s="2">
        <v>46041</v>
      </c>
      <c r="C1724" t="s">
        <v>117</v>
      </c>
      <c r="D1724" t="s">
        <v>118</v>
      </c>
      <c r="E1724" t="s">
        <v>48</v>
      </c>
      <c r="F1724" t="s">
        <v>57</v>
      </c>
      <c r="G1724" t="s">
        <v>101</v>
      </c>
      <c r="H1724" t="s">
        <v>102</v>
      </c>
      <c r="I1724">
        <v>30</v>
      </c>
      <c r="J1724" s="3">
        <v>1794.62</v>
      </c>
      <c r="K1724" s="3">
        <v>53838.6</v>
      </c>
      <c r="L1724" t="s">
        <v>25</v>
      </c>
      <c r="M1724" s="2">
        <v>46047</v>
      </c>
      <c r="N1724" s="2">
        <v>46047</v>
      </c>
      <c r="O1724" t="s">
        <v>43</v>
      </c>
      <c r="P1724" t="s">
        <v>53</v>
      </c>
      <c r="Q1724" t="s">
        <v>28</v>
      </c>
      <c r="R1724" t="s">
        <v>29</v>
      </c>
      <c r="S1724">
        <v>2026</v>
      </c>
      <c r="T1724" t="s">
        <v>2757</v>
      </c>
      <c r="U1724" t="s">
        <v>2758</v>
      </c>
      <c r="V1724" s="4">
        <v>0</v>
      </c>
      <c r="W1724" s="4">
        <v>1</v>
      </c>
    </row>
    <row r="1725" spans="1:23">
      <c r="A1725" t="s">
        <v>1857</v>
      </c>
      <c r="B1725" s="2">
        <v>45694</v>
      </c>
      <c r="C1725" t="s">
        <v>89</v>
      </c>
      <c r="D1725" t="s">
        <v>90</v>
      </c>
      <c r="E1725" t="s">
        <v>31</v>
      </c>
      <c r="F1725" t="s">
        <v>91</v>
      </c>
      <c r="G1725" t="s">
        <v>109</v>
      </c>
      <c r="H1725" t="s">
        <v>110</v>
      </c>
      <c r="I1725">
        <v>1</v>
      </c>
      <c r="J1725" s="3">
        <v>12272.24</v>
      </c>
      <c r="K1725" s="3">
        <v>12272.24</v>
      </c>
      <c r="L1725" t="s">
        <v>25</v>
      </c>
      <c r="M1725" s="2">
        <v>45705</v>
      </c>
      <c r="N1725" s="2">
        <v>45703</v>
      </c>
      <c r="O1725" t="s">
        <v>26</v>
      </c>
      <c r="P1725" t="s">
        <v>35</v>
      </c>
      <c r="Q1725" t="s">
        <v>28</v>
      </c>
      <c r="R1725" t="s">
        <v>29</v>
      </c>
      <c r="S1725">
        <v>2025</v>
      </c>
      <c r="T1725" t="s">
        <v>2751</v>
      </c>
      <c r="U1725" t="s">
        <v>2752</v>
      </c>
      <c r="V1725" s="4">
        <v>0</v>
      </c>
      <c r="W1725" s="4">
        <v>1</v>
      </c>
    </row>
    <row r="1726" spans="1:23">
      <c r="A1726" t="s">
        <v>1858</v>
      </c>
      <c r="B1726" s="2">
        <v>45853</v>
      </c>
      <c r="C1726" t="s">
        <v>104</v>
      </c>
      <c r="D1726" t="s">
        <v>105</v>
      </c>
      <c r="E1726" t="s">
        <v>48</v>
      </c>
      <c r="F1726" t="s">
        <v>49</v>
      </c>
      <c r="G1726" t="s">
        <v>50</v>
      </c>
      <c r="H1726" t="s">
        <v>51</v>
      </c>
      <c r="I1726">
        <v>1</v>
      </c>
      <c r="J1726" s="3">
        <v>52063.82</v>
      </c>
      <c r="K1726" s="3">
        <v>52063.82</v>
      </c>
      <c r="L1726" t="s">
        <v>34</v>
      </c>
      <c r="M1726" s="2">
        <v>45866</v>
      </c>
      <c r="N1726" s="2">
        <v>45868</v>
      </c>
      <c r="O1726" t="s">
        <v>43</v>
      </c>
      <c r="P1726" t="s">
        <v>53</v>
      </c>
      <c r="Q1726" t="s">
        <v>28</v>
      </c>
      <c r="R1726" t="s">
        <v>129</v>
      </c>
      <c r="S1726">
        <v>2025</v>
      </c>
      <c r="T1726" t="s">
        <v>2759</v>
      </c>
      <c r="U1726" t="s">
        <v>2760</v>
      </c>
      <c r="V1726" s="4">
        <v>2</v>
      </c>
      <c r="W1726" s="4">
        <v>0</v>
      </c>
    </row>
    <row r="1727" spans="1:23">
      <c r="A1727" t="s">
        <v>1859</v>
      </c>
      <c r="B1727" s="2">
        <v>46070</v>
      </c>
      <c r="C1727" t="s">
        <v>104</v>
      </c>
      <c r="D1727" t="s">
        <v>105</v>
      </c>
      <c r="E1727" t="s">
        <v>21</v>
      </c>
      <c r="F1727" t="s">
        <v>49</v>
      </c>
      <c r="G1727" t="s">
        <v>68</v>
      </c>
      <c r="H1727" t="s">
        <v>69</v>
      </c>
      <c r="I1727">
        <v>2</v>
      </c>
      <c r="J1727" s="3">
        <v>49712.23</v>
      </c>
      <c r="K1727" s="3">
        <v>99424.46</v>
      </c>
      <c r="L1727" t="s">
        <v>52</v>
      </c>
      <c r="M1727" s="2">
        <v>46083</v>
      </c>
      <c r="N1727" s="2">
        <v>46083</v>
      </c>
      <c r="O1727" t="s">
        <v>43</v>
      </c>
      <c r="P1727" t="s">
        <v>27</v>
      </c>
      <c r="Q1727" t="s">
        <v>28</v>
      </c>
      <c r="R1727" t="s">
        <v>29</v>
      </c>
      <c r="S1727">
        <v>2026</v>
      </c>
      <c r="T1727" t="s">
        <v>2751</v>
      </c>
      <c r="U1727" t="s">
        <v>2765</v>
      </c>
      <c r="V1727" s="4">
        <v>0</v>
      </c>
      <c r="W1727" s="4">
        <v>1</v>
      </c>
    </row>
    <row r="1728" spans="1:23">
      <c r="A1728" t="s">
        <v>1860</v>
      </c>
      <c r="B1728" s="2">
        <v>45763</v>
      </c>
      <c r="C1728" t="s">
        <v>19</v>
      </c>
      <c r="D1728" t="s">
        <v>20</v>
      </c>
      <c r="E1728" t="s">
        <v>31</v>
      </c>
      <c r="F1728" t="s">
        <v>22</v>
      </c>
      <c r="G1728" t="s">
        <v>32</v>
      </c>
      <c r="H1728" t="s">
        <v>33</v>
      </c>
      <c r="I1728">
        <v>12</v>
      </c>
      <c r="J1728" s="3">
        <v>7097.16</v>
      </c>
      <c r="K1728" s="3">
        <v>85165.92</v>
      </c>
      <c r="L1728" t="s">
        <v>25</v>
      </c>
      <c r="M1728" s="2">
        <v>45769</v>
      </c>
      <c r="N1728" s="2">
        <v>45769</v>
      </c>
      <c r="O1728" t="s">
        <v>60</v>
      </c>
      <c r="P1728" t="s">
        <v>35</v>
      </c>
      <c r="Q1728" t="s">
        <v>28</v>
      </c>
      <c r="R1728" t="s">
        <v>29</v>
      </c>
      <c r="S1728">
        <v>2025</v>
      </c>
      <c r="T1728" t="s">
        <v>2741</v>
      </c>
      <c r="U1728" t="s">
        <v>2742</v>
      </c>
      <c r="V1728" s="4">
        <v>0</v>
      </c>
      <c r="W1728" s="4">
        <v>1</v>
      </c>
    </row>
    <row r="1729" spans="1:23">
      <c r="A1729" t="s">
        <v>1861</v>
      </c>
      <c r="B1729" s="2">
        <v>45773</v>
      </c>
      <c r="C1729" t="s">
        <v>55</v>
      </c>
      <c r="D1729" t="s">
        <v>56</v>
      </c>
      <c r="E1729" t="s">
        <v>31</v>
      </c>
      <c r="F1729" t="s">
        <v>57</v>
      </c>
      <c r="G1729" t="s">
        <v>74</v>
      </c>
      <c r="H1729" t="s">
        <v>75</v>
      </c>
      <c r="I1729">
        <v>9</v>
      </c>
      <c r="J1729" s="3">
        <v>9864.08</v>
      </c>
      <c r="K1729" s="3">
        <v>88776.72</v>
      </c>
      <c r="L1729" t="s">
        <v>25</v>
      </c>
      <c r="M1729" s="2">
        <v>45781</v>
      </c>
      <c r="N1729" s="2">
        <v>45780</v>
      </c>
      <c r="O1729" t="s">
        <v>60</v>
      </c>
      <c r="P1729" t="s">
        <v>94</v>
      </c>
      <c r="Q1729" t="s">
        <v>28</v>
      </c>
      <c r="R1729" t="s">
        <v>29</v>
      </c>
      <c r="S1729">
        <v>2025</v>
      </c>
      <c r="T1729" t="s">
        <v>2741</v>
      </c>
      <c r="U1729" t="s">
        <v>2742</v>
      </c>
      <c r="V1729" s="4">
        <v>0</v>
      </c>
      <c r="W1729" s="4">
        <v>1</v>
      </c>
    </row>
    <row r="1730" spans="1:23">
      <c r="A1730" t="s">
        <v>1862</v>
      </c>
      <c r="B1730" s="2">
        <v>45870</v>
      </c>
      <c r="C1730" t="s">
        <v>117</v>
      </c>
      <c r="D1730" t="s">
        <v>118</v>
      </c>
      <c r="E1730" t="s">
        <v>21</v>
      </c>
      <c r="F1730" t="s">
        <v>57</v>
      </c>
      <c r="G1730" t="s">
        <v>127</v>
      </c>
      <c r="H1730" t="s">
        <v>128</v>
      </c>
      <c r="I1730">
        <v>6</v>
      </c>
      <c r="J1730" s="3">
        <v>16320.76</v>
      </c>
      <c r="K1730" s="3">
        <v>97924.56</v>
      </c>
      <c r="L1730" t="s">
        <v>25</v>
      </c>
      <c r="M1730" s="2">
        <v>45882</v>
      </c>
      <c r="N1730" s="2">
        <v>45880</v>
      </c>
      <c r="O1730" t="s">
        <v>26</v>
      </c>
      <c r="P1730" t="s">
        <v>27</v>
      </c>
      <c r="Q1730" t="s">
        <v>28</v>
      </c>
      <c r="R1730" t="s">
        <v>29</v>
      </c>
      <c r="S1730">
        <v>2025</v>
      </c>
      <c r="T1730" t="s">
        <v>2761</v>
      </c>
      <c r="U1730" t="s">
        <v>2762</v>
      </c>
      <c r="V1730" s="4">
        <v>0</v>
      </c>
      <c r="W1730" s="4">
        <v>1</v>
      </c>
    </row>
    <row r="1731" spans="1:23">
      <c r="A1731" t="s">
        <v>1863</v>
      </c>
      <c r="B1731" s="2">
        <v>46179</v>
      </c>
      <c r="C1731" t="s">
        <v>37</v>
      </c>
      <c r="D1731" t="s">
        <v>38</v>
      </c>
      <c r="E1731" t="s">
        <v>39</v>
      </c>
      <c r="F1731" t="s">
        <v>40</v>
      </c>
      <c r="G1731" t="s">
        <v>149</v>
      </c>
      <c r="H1731" t="s">
        <v>150</v>
      </c>
      <c r="I1731">
        <v>49</v>
      </c>
      <c r="J1731" s="3">
        <v>1504.43</v>
      </c>
      <c r="K1731" s="3">
        <v>73717.070000000007</v>
      </c>
      <c r="L1731" t="s">
        <v>25</v>
      </c>
      <c r="M1731" s="2">
        <v>46191</v>
      </c>
      <c r="N1731" s="2">
        <v>46191</v>
      </c>
      <c r="O1731" t="s">
        <v>76</v>
      </c>
      <c r="P1731" t="s">
        <v>44</v>
      </c>
      <c r="Q1731" t="s">
        <v>28</v>
      </c>
      <c r="R1731" t="s">
        <v>29</v>
      </c>
      <c r="S1731">
        <v>2026</v>
      </c>
      <c r="T1731" t="s">
        <v>2743</v>
      </c>
      <c r="U1731" t="s">
        <v>2744</v>
      </c>
      <c r="V1731" s="4">
        <v>0</v>
      </c>
      <c r="W1731" s="4">
        <v>1</v>
      </c>
    </row>
    <row r="1732" spans="1:23">
      <c r="A1732" t="s">
        <v>1864</v>
      </c>
      <c r="B1732" s="2">
        <v>46093</v>
      </c>
      <c r="C1732" t="s">
        <v>107</v>
      </c>
      <c r="D1732" t="s">
        <v>108</v>
      </c>
      <c r="E1732" t="s">
        <v>31</v>
      </c>
      <c r="F1732" t="s">
        <v>91</v>
      </c>
      <c r="G1732" t="s">
        <v>92</v>
      </c>
      <c r="H1732" t="s">
        <v>93</v>
      </c>
      <c r="I1732">
        <v>1</v>
      </c>
      <c r="J1732" s="3">
        <v>47580.14</v>
      </c>
      <c r="K1732" s="3">
        <v>47580.14</v>
      </c>
      <c r="L1732" t="s">
        <v>25</v>
      </c>
      <c r="M1732" s="2">
        <v>46100</v>
      </c>
      <c r="N1732" s="2">
        <v>46098</v>
      </c>
      <c r="O1732" t="s">
        <v>60</v>
      </c>
      <c r="P1732" t="s">
        <v>94</v>
      </c>
      <c r="Q1732" t="s">
        <v>28</v>
      </c>
      <c r="R1732" t="s">
        <v>29</v>
      </c>
      <c r="S1732">
        <v>2026</v>
      </c>
      <c r="T1732" t="s">
        <v>2747</v>
      </c>
      <c r="U1732" t="s">
        <v>2755</v>
      </c>
      <c r="V1732" s="4">
        <v>0</v>
      </c>
      <c r="W1732" s="4">
        <v>1</v>
      </c>
    </row>
    <row r="1733" spans="1:23">
      <c r="A1733" t="s">
        <v>1865</v>
      </c>
      <c r="B1733" s="2">
        <v>46098</v>
      </c>
      <c r="C1733" t="s">
        <v>55</v>
      </c>
      <c r="D1733" t="s">
        <v>56</v>
      </c>
      <c r="E1733" t="s">
        <v>48</v>
      </c>
      <c r="F1733" t="s">
        <v>57</v>
      </c>
      <c r="G1733" t="s">
        <v>58</v>
      </c>
      <c r="H1733" t="s">
        <v>59</v>
      </c>
      <c r="I1733">
        <v>1</v>
      </c>
      <c r="J1733" s="3">
        <v>64280.43</v>
      </c>
      <c r="K1733" s="3">
        <v>64280.43</v>
      </c>
      <c r="L1733" t="s">
        <v>52</v>
      </c>
      <c r="M1733" s="2">
        <v>46105</v>
      </c>
      <c r="N1733" s="2">
        <v>46103</v>
      </c>
      <c r="O1733" t="s">
        <v>60</v>
      </c>
      <c r="P1733" t="s">
        <v>53</v>
      </c>
      <c r="Q1733" t="s">
        <v>28</v>
      </c>
      <c r="R1733" t="s">
        <v>29</v>
      </c>
      <c r="S1733">
        <v>2026</v>
      </c>
      <c r="T1733" t="s">
        <v>2747</v>
      </c>
      <c r="U1733" t="s">
        <v>2755</v>
      </c>
      <c r="V1733" s="4">
        <v>0</v>
      </c>
      <c r="W1733" s="4">
        <v>1</v>
      </c>
    </row>
    <row r="1734" spans="1:23">
      <c r="A1734" t="s">
        <v>1866</v>
      </c>
      <c r="B1734" s="2">
        <v>45902</v>
      </c>
      <c r="C1734" t="s">
        <v>107</v>
      </c>
      <c r="D1734" t="s">
        <v>108</v>
      </c>
      <c r="E1734" t="s">
        <v>31</v>
      </c>
      <c r="F1734" t="s">
        <v>91</v>
      </c>
      <c r="G1734" t="s">
        <v>92</v>
      </c>
      <c r="H1734" t="s">
        <v>93</v>
      </c>
      <c r="I1734">
        <v>2</v>
      </c>
      <c r="J1734" s="3">
        <v>46698.37</v>
      </c>
      <c r="K1734" s="3">
        <v>93396.74</v>
      </c>
      <c r="L1734" t="s">
        <v>34</v>
      </c>
      <c r="M1734" s="2">
        <v>45909</v>
      </c>
      <c r="N1734" s="2">
        <v>45909</v>
      </c>
      <c r="O1734" t="s">
        <v>26</v>
      </c>
      <c r="P1734" t="s">
        <v>94</v>
      </c>
      <c r="Q1734" t="s">
        <v>28</v>
      </c>
      <c r="R1734" t="s">
        <v>29</v>
      </c>
      <c r="S1734">
        <v>2025</v>
      </c>
      <c r="T1734" t="s">
        <v>2753</v>
      </c>
      <c r="U1734" t="s">
        <v>2754</v>
      </c>
      <c r="V1734" s="4">
        <v>0</v>
      </c>
      <c r="W1734" s="4">
        <v>1</v>
      </c>
    </row>
    <row r="1735" spans="1:23">
      <c r="A1735" t="s">
        <v>1867</v>
      </c>
      <c r="B1735" s="2">
        <v>46138</v>
      </c>
      <c r="C1735" t="s">
        <v>131</v>
      </c>
      <c r="D1735" t="s">
        <v>132</v>
      </c>
      <c r="E1735" t="s">
        <v>48</v>
      </c>
      <c r="F1735" t="s">
        <v>57</v>
      </c>
      <c r="G1735" t="s">
        <v>101</v>
      </c>
      <c r="H1735" t="s">
        <v>102</v>
      </c>
      <c r="I1735">
        <v>13</v>
      </c>
      <c r="J1735" s="3">
        <v>1896.65</v>
      </c>
      <c r="K1735" s="3">
        <v>24656.45</v>
      </c>
      <c r="L1735" t="s">
        <v>34</v>
      </c>
      <c r="M1735" s="2">
        <v>46148</v>
      </c>
      <c r="N1735" s="2">
        <v>46145</v>
      </c>
      <c r="O1735" t="s">
        <v>60</v>
      </c>
      <c r="P1735" t="s">
        <v>53</v>
      </c>
      <c r="Q1735" t="s">
        <v>28</v>
      </c>
      <c r="R1735" t="s">
        <v>29</v>
      </c>
      <c r="S1735">
        <v>2026</v>
      </c>
      <c r="T1735" t="s">
        <v>2741</v>
      </c>
      <c r="U1735" t="s">
        <v>2770</v>
      </c>
      <c r="V1735" s="4">
        <v>0</v>
      </c>
      <c r="W1735" s="4">
        <v>1</v>
      </c>
    </row>
    <row r="1736" spans="1:23">
      <c r="A1736" t="s">
        <v>1868</v>
      </c>
      <c r="B1736" s="2">
        <v>45720</v>
      </c>
      <c r="C1736" t="s">
        <v>142</v>
      </c>
      <c r="D1736" t="s">
        <v>143</v>
      </c>
      <c r="E1736" t="s">
        <v>112</v>
      </c>
      <c r="F1736" t="s">
        <v>22</v>
      </c>
      <c r="G1736" t="s">
        <v>23</v>
      </c>
      <c r="H1736" t="s">
        <v>24</v>
      </c>
      <c r="I1736">
        <v>59</v>
      </c>
      <c r="J1736" s="3">
        <v>252.62</v>
      </c>
      <c r="K1736" s="3">
        <v>14904.58</v>
      </c>
      <c r="L1736" t="s">
        <v>34</v>
      </c>
      <c r="M1736" s="2">
        <v>45729</v>
      </c>
      <c r="N1736" s="2">
        <v>45727</v>
      </c>
      <c r="O1736" t="s">
        <v>60</v>
      </c>
      <c r="P1736" t="s">
        <v>115</v>
      </c>
      <c r="Q1736" t="s">
        <v>28</v>
      </c>
      <c r="R1736" t="s">
        <v>29</v>
      </c>
      <c r="S1736">
        <v>2025</v>
      </c>
      <c r="T1736" t="s">
        <v>2747</v>
      </c>
      <c r="U1736" t="s">
        <v>2748</v>
      </c>
      <c r="V1736" s="4">
        <v>0</v>
      </c>
      <c r="W1736" s="4">
        <v>1</v>
      </c>
    </row>
    <row r="1737" spans="1:23">
      <c r="A1737" t="s">
        <v>1869</v>
      </c>
      <c r="B1737" s="2">
        <v>45711</v>
      </c>
      <c r="C1737" t="s">
        <v>104</v>
      </c>
      <c r="D1737" t="s">
        <v>105</v>
      </c>
      <c r="E1737" t="s">
        <v>48</v>
      </c>
      <c r="F1737" t="s">
        <v>49</v>
      </c>
      <c r="G1737" t="s">
        <v>68</v>
      </c>
      <c r="H1737" t="s">
        <v>69</v>
      </c>
      <c r="I1737">
        <v>2</v>
      </c>
      <c r="J1737" s="3">
        <v>48754.27</v>
      </c>
      <c r="K1737" s="3">
        <v>97508.54</v>
      </c>
      <c r="L1737" t="s">
        <v>25</v>
      </c>
      <c r="M1737" s="2">
        <v>45717</v>
      </c>
      <c r="N1737" s="2">
        <v>45714</v>
      </c>
      <c r="O1737" t="s">
        <v>76</v>
      </c>
      <c r="P1737" t="s">
        <v>53</v>
      </c>
      <c r="Q1737" t="s">
        <v>28</v>
      </c>
      <c r="R1737" t="s">
        <v>29</v>
      </c>
      <c r="S1737">
        <v>2025</v>
      </c>
      <c r="T1737" t="s">
        <v>2751</v>
      </c>
      <c r="U1737" t="s">
        <v>2752</v>
      </c>
      <c r="V1737" s="4">
        <v>0</v>
      </c>
      <c r="W1737" s="4">
        <v>1</v>
      </c>
    </row>
    <row r="1738" spans="1:23">
      <c r="A1738" t="s">
        <v>1870</v>
      </c>
      <c r="B1738" s="2">
        <v>46074</v>
      </c>
      <c r="C1738" t="s">
        <v>142</v>
      </c>
      <c r="D1738" t="s">
        <v>143</v>
      </c>
      <c r="E1738" t="s">
        <v>31</v>
      </c>
      <c r="F1738" t="s">
        <v>22</v>
      </c>
      <c r="G1738" t="s">
        <v>32</v>
      </c>
      <c r="H1738" t="s">
        <v>33</v>
      </c>
      <c r="I1738">
        <v>4</v>
      </c>
      <c r="J1738" s="3">
        <v>8088</v>
      </c>
      <c r="K1738" s="3">
        <v>32352</v>
      </c>
      <c r="L1738" t="s">
        <v>25</v>
      </c>
      <c r="M1738" s="2">
        <v>46083</v>
      </c>
      <c r="N1738" s="2">
        <v>46083</v>
      </c>
      <c r="O1738" t="s">
        <v>76</v>
      </c>
      <c r="P1738" t="s">
        <v>94</v>
      </c>
      <c r="Q1738" t="s">
        <v>28</v>
      </c>
      <c r="R1738" t="s">
        <v>29</v>
      </c>
      <c r="S1738">
        <v>2026</v>
      </c>
      <c r="T1738" t="s">
        <v>2751</v>
      </c>
      <c r="U1738" t="s">
        <v>2765</v>
      </c>
      <c r="V1738" s="4">
        <v>0</v>
      </c>
      <c r="W1738" s="4">
        <v>1</v>
      </c>
    </row>
    <row r="1739" spans="1:23">
      <c r="A1739" t="s">
        <v>1871</v>
      </c>
      <c r="B1739" s="2">
        <v>46031</v>
      </c>
      <c r="C1739" t="s">
        <v>142</v>
      </c>
      <c r="D1739" t="s">
        <v>143</v>
      </c>
      <c r="E1739" t="s">
        <v>73</v>
      </c>
      <c r="F1739" t="s">
        <v>22</v>
      </c>
      <c r="G1739" t="s">
        <v>32</v>
      </c>
      <c r="H1739" t="s">
        <v>33</v>
      </c>
      <c r="I1739">
        <v>10</v>
      </c>
      <c r="J1739" s="3">
        <v>8076.13</v>
      </c>
      <c r="K1739" s="3">
        <v>80761.3</v>
      </c>
      <c r="L1739" t="s">
        <v>52</v>
      </c>
      <c r="M1739" s="2">
        <v>46037</v>
      </c>
      <c r="N1739" s="2">
        <v>46036</v>
      </c>
      <c r="O1739" t="s">
        <v>43</v>
      </c>
      <c r="P1739" t="s">
        <v>77</v>
      </c>
      <c r="Q1739" t="s">
        <v>28</v>
      </c>
      <c r="R1739" t="s">
        <v>29</v>
      </c>
      <c r="S1739">
        <v>2026</v>
      </c>
      <c r="T1739" t="s">
        <v>2757</v>
      </c>
      <c r="U1739" t="s">
        <v>2758</v>
      </c>
      <c r="V1739" s="4">
        <v>0</v>
      </c>
      <c r="W1739" s="4">
        <v>1</v>
      </c>
    </row>
    <row r="1740" spans="1:23">
      <c r="A1740" t="s">
        <v>1872</v>
      </c>
      <c r="B1740" s="2">
        <v>45679</v>
      </c>
      <c r="C1740" t="s">
        <v>71</v>
      </c>
      <c r="D1740" t="s">
        <v>72</v>
      </c>
      <c r="E1740" t="s">
        <v>21</v>
      </c>
      <c r="F1740" t="s">
        <v>57</v>
      </c>
      <c r="G1740" t="s">
        <v>86</v>
      </c>
      <c r="H1740" t="s">
        <v>87</v>
      </c>
      <c r="I1740">
        <v>6</v>
      </c>
      <c r="J1740" s="3">
        <v>10483.530000000001</v>
      </c>
      <c r="K1740" s="3">
        <v>62901.18</v>
      </c>
      <c r="L1740" t="s">
        <v>25</v>
      </c>
      <c r="M1740" s="2">
        <v>45691</v>
      </c>
      <c r="N1740" s="2">
        <v>45691</v>
      </c>
      <c r="O1740" t="s">
        <v>76</v>
      </c>
      <c r="P1740" t="s">
        <v>27</v>
      </c>
      <c r="Q1740" t="s">
        <v>28</v>
      </c>
      <c r="R1740" t="s">
        <v>29</v>
      </c>
      <c r="S1740">
        <v>2025</v>
      </c>
      <c r="T1740" t="s">
        <v>2757</v>
      </c>
      <c r="U1740" t="s">
        <v>2768</v>
      </c>
      <c r="V1740" s="4">
        <v>0</v>
      </c>
      <c r="W1740" s="4">
        <v>1</v>
      </c>
    </row>
    <row r="1741" spans="1:23">
      <c r="A1741" t="s">
        <v>1873</v>
      </c>
      <c r="B1741" s="2">
        <v>45756</v>
      </c>
      <c r="C1741" t="s">
        <v>142</v>
      </c>
      <c r="D1741" t="s">
        <v>143</v>
      </c>
      <c r="E1741" t="s">
        <v>73</v>
      </c>
      <c r="F1741" t="s">
        <v>22</v>
      </c>
      <c r="G1741" t="s">
        <v>160</v>
      </c>
      <c r="H1741" t="s">
        <v>161</v>
      </c>
      <c r="I1741">
        <v>3</v>
      </c>
      <c r="J1741" s="3">
        <v>3166.86</v>
      </c>
      <c r="K1741" s="3">
        <v>9500.58</v>
      </c>
      <c r="L1741" t="s">
        <v>34</v>
      </c>
      <c r="M1741" s="2">
        <v>45767</v>
      </c>
      <c r="N1741" s="2">
        <v>45766</v>
      </c>
      <c r="O1741" t="s">
        <v>60</v>
      </c>
      <c r="P1741" t="s">
        <v>77</v>
      </c>
      <c r="Q1741" t="s">
        <v>28</v>
      </c>
      <c r="R1741" t="s">
        <v>29</v>
      </c>
      <c r="S1741">
        <v>2025</v>
      </c>
      <c r="T1741" t="s">
        <v>2741</v>
      </c>
      <c r="U1741" t="s">
        <v>2742</v>
      </c>
      <c r="V1741" s="4">
        <v>0</v>
      </c>
      <c r="W1741" s="4">
        <v>1</v>
      </c>
    </row>
    <row r="1742" spans="1:23">
      <c r="A1742" t="s">
        <v>1874</v>
      </c>
      <c r="B1742" s="2">
        <v>45866</v>
      </c>
      <c r="C1742" t="s">
        <v>117</v>
      </c>
      <c r="D1742" t="s">
        <v>118</v>
      </c>
      <c r="E1742" t="s">
        <v>21</v>
      </c>
      <c r="F1742" t="s">
        <v>57</v>
      </c>
      <c r="G1742" t="s">
        <v>120</v>
      </c>
      <c r="H1742" t="s">
        <v>121</v>
      </c>
      <c r="I1742">
        <v>2</v>
      </c>
      <c r="J1742" s="3">
        <v>22144.37</v>
      </c>
      <c r="K1742" s="3">
        <v>44288.74</v>
      </c>
      <c r="L1742" t="s">
        <v>34</v>
      </c>
      <c r="M1742" s="2">
        <v>45880</v>
      </c>
      <c r="N1742" s="2">
        <v>45878</v>
      </c>
      <c r="O1742" t="s">
        <v>60</v>
      </c>
      <c r="P1742" t="s">
        <v>27</v>
      </c>
      <c r="Q1742" t="s">
        <v>28</v>
      </c>
      <c r="R1742" t="s">
        <v>29</v>
      </c>
      <c r="S1742">
        <v>2025</v>
      </c>
      <c r="T1742" t="s">
        <v>2759</v>
      </c>
      <c r="U1742" t="s">
        <v>2760</v>
      </c>
      <c r="V1742" s="4">
        <v>0</v>
      </c>
      <c r="W1742" s="4">
        <v>1</v>
      </c>
    </row>
    <row r="1743" spans="1:23">
      <c r="A1743" t="s">
        <v>1875</v>
      </c>
      <c r="B1743" s="2">
        <v>45916</v>
      </c>
      <c r="C1743" t="s">
        <v>66</v>
      </c>
      <c r="D1743" t="s">
        <v>67</v>
      </c>
      <c r="E1743" t="s">
        <v>112</v>
      </c>
      <c r="F1743" t="s">
        <v>49</v>
      </c>
      <c r="G1743" t="s">
        <v>68</v>
      </c>
      <c r="H1743" t="s">
        <v>69</v>
      </c>
      <c r="I1743">
        <v>1</v>
      </c>
      <c r="J1743" s="3">
        <v>46320.7</v>
      </c>
      <c r="K1743" s="3">
        <v>46320.7</v>
      </c>
      <c r="L1743" t="s">
        <v>25</v>
      </c>
      <c r="M1743" s="2">
        <v>45931</v>
      </c>
      <c r="N1743" s="2">
        <v>45930</v>
      </c>
      <c r="O1743" t="s">
        <v>26</v>
      </c>
      <c r="P1743" t="s">
        <v>115</v>
      </c>
      <c r="Q1743" t="s">
        <v>28</v>
      </c>
      <c r="R1743" t="s">
        <v>29</v>
      </c>
      <c r="S1743">
        <v>2025</v>
      </c>
      <c r="T1743" t="s">
        <v>2753</v>
      </c>
      <c r="U1743" t="s">
        <v>2754</v>
      </c>
      <c r="V1743" s="4">
        <v>0</v>
      </c>
      <c r="W1743" s="4">
        <v>1</v>
      </c>
    </row>
    <row r="1744" spans="1:23">
      <c r="A1744" t="s">
        <v>1876</v>
      </c>
      <c r="B1744" s="2">
        <v>46075</v>
      </c>
      <c r="C1744" t="s">
        <v>96</v>
      </c>
      <c r="D1744" t="s">
        <v>97</v>
      </c>
      <c r="E1744" t="s">
        <v>39</v>
      </c>
      <c r="F1744" t="s">
        <v>82</v>
      </c>
      <c r="G1744" t="s">
        <v>83</v>
      </c>
      <c r="H1744" t="s">
        <v>84</v>
      </c>
      <c r="I1744">
        <v>21</v>
      </c>
      <c r="J1744" s="3">
        <v>733.37</v>
      </c>
      <c r="K1744" s="3">
        <v>15400.77</v>
      </c>
      <c r="L1744" t="s">
        <v>52</v>
      </c>
      <c r="M1744" s="2">
        <v>46093</v>
      </c>
      <c r="N1744" s="2">
        <v>46092</v>
      </c>
      <c r="O1744" t="s">
        <v>60</v>
      </c>
      <c r="P1744" t="s">
        <v>64</v>
      </c>
      <c r="Q1744" t="s">
        <v>28</v>
      </c>
      <c r="R1744" t="s">
        <v>29</v>
      </c>
      <c r="S1744">
        <v>2026</v>
      </c>
      <c r="T1744" t="s">
        <v>2751</v>
      </c>
      <c r="U1744" t="s">
        <v>2765</v>
      </c>
      <c r="V1744" s="4">
        <v>0</v>
      </c>
      <c r="W1744" s="4">
        <v>1</v>
      </c>
    </row>
    <row r="1745" spans="1:23">
      <c r="A1745" t="s">
        <v>1877</v>
      </c>
      <c r="B1745" s="2">
        <v>45955</v>
      </c>
      <c r="C1745" t="s">
        <v>71</v>
      </c>
      <c r="D1745" t="s">
        <v>72</v>
      </c>
      <c r="E1745" t="s">
        <v>48</v>
      </c>
      <c r="F1745" t="s">
        <v>57</v>
      </c>
      <c r="G1745" t="s">
        <v>101</v>
      </c>
      <c r="H1745" t="s">
        <v>102</v>
      </c>
      <c r="I1745">
        <v>10</v>
      </c>
      <c r="J1745" s="3">
        <v>1716.78</v>
      </c>
      <c r="K1745" s="3">
        <v>17167.8</v>
      </c>
      <c r="L1745" t="s">
        <v>34</v>
      </c>
      <c r="M1745" s="2">
        <v>45964</v>
      </c>
      <c r="N1745" s="2">
        <v>45961</v>
      </c>
      <c r="O1745" t="s">
        <v>76</v>
      </c>
      <c r="P1745" t="s">
        <v>53</v>
      </c>
      <c r="Q1745" t="s">
        <v>28</v>
      </c>
      <c r="R1745" t="s">
        <v>29</v>
      </c>
      <c r="S1745">
        <v>2025</v>
      </c>
      <c r="T1745" t="s">
        <v>2749</v>
      </c>
      <c r="U1745" t="s">
        <v>2750</v>
      </c>
      <c r="V1745" s="4">
        <v>0</v>
      </c>
      <c r="W1745" s="4">
        <v>1</v>
      </c>
    </row>
    <row r="1746" spans="1:23">
      <c r="A1746" t="s">
        <v>1878</v>
      </c>
      <c r="B1746" s="2">
        <v>45682</v>
      </c>
      <c r="C1746" t="s">
        <v>19</v>
      </c>
      <c r="D1746" t="s">
        <v>20</v>
      </c>
      <c r="E1746" t="s">
        <v>21</v>
      </c>
      <c r="F1746" t="s">
        <v>22</v>
      </c>
      <c r="G1746" t="s">
        <v>23</v>
      </c>
      <c r="H1746" t="s">
        <v>24</v>
      </c>
      <c r="I1746">
        <v>46</v>
      </c>
      <c r="J1746" s="3">
        <v>221.08</v>
      </c>
      <c r="K1746" s="3">
        <v>10169.68</v>
      </c>
      <c r="L1746" t="s">
        <v>52</v>
      </c>
      <c r="M1746" s="2">
        <v>45690</v>
      </c>
      <c r="N1746" s="2">
        <v>45689</v>
      </c>
      <c r="O1746" t="s">
        <v>76</v>
      </c>
      <c r="P1746" t="s">
        <v>27</v>
      </c>
      <c r="Q1746" t="s">
        <v>28</v>
      </c>
      <c r="R1746" t="s">
        <v>29</v>
      </c>
      <c r="S1746">
        <v>2025</v>
      </c>
      <c r="T1746" t="s">
        <v>2757</v>
      </c>
      <c r="U1746" t="s">
        <v>2768</v>
      </c>
      <c r="V1746" s="4">
        <v>0</v>
      </c>
      <c r="W1746" s="4">
        <v>1</v>
      </c>
    </row>
    <row r="1747" spans="1:23">
      <c r="A1747" t="s">
        <v>1879</v>
      </c>
      <c r="B1747" s="2">
        <v>45880</v>
      </c>
      <c r="C1747" t="s">
        <v>117</v>
      </c>
      <c r="D1747" t="s">
        <v>118</v>
      </c>
      <c r="E1747" t="s">
        <v>48</v>
      </c>
      <c r="F1747" t="s">
        <v>57</v>
      </c>
      <c r="G1747" t="s">
        <v>101</v>
      </c>
      <c r="H1747" t="s">
        <v>102</v>
      </c>
      <c r="I1747">
        <v>51</v>
      </c>
      <c r="J1747" s="3">
        <v>1749.98</v>
      </c>
      <c r="K1747" s="3">
        <v>89248.98</v>
      </c>
      <c r="L1747" t="s">
        <v>25</v>
      </c>
      <c r="M1747" s="2">
        <v>45885</v>
      </c>
      <c r="N1747" s="2">
        <v>45884</v>
      </c>
      <c r="O1747" t="s">
        <v>60</v>
      </c>
      <c r="P1747" t="s">
        <v>53</v>
      </c>
      <c r="Q1747" t="s">
        <v>28</v>
      </c>
      <c r="R1747" t="s">
        <v>29</v>
      </c>
      <c r="S1747">
        <v>2025</v>
      </c>
      <c r="T1747" t="s">
        <v>2761</v>
      </c>
      <c r="U1747" t="s">
        <v>2762</v>
      </c>
      <c r="V1747" s="4">
        <v>0</v>
      </c>
      <c r="W1747" s="4">
        <v>1</v>
      </c>
    </row>
    <row r="1748" spans="1:23">
      <c r="A1748" t="s">
        <v>1880</v>
      </c>
      <c r="B1748" s="2">
        <v>45835</v>
      </c>
      <c r="C1748" t="s">
        <v>19</v>
      </c>
      <c r="D1748" t="s">
        <v>20</v>
      </c>
      <c r="E1748" t="s">
        <v>112</v>
      </c>
      <c r="F1748" t="s">
        <v>22</v>
      </c>
      <c r="G1748" t="s">
        <v>160</v>
      </c>
      <c r="H1748" t="s">
        <v>161</v>
      </c>
      <c r="I1748">
        <v>6</v>
      </c>
      <c r="J1748" s="3">
        <v>3058.94</v>
      </c>
      <c r="K1748" s="3">
        <v>18353.64</v>
      </c>
      <c r="L1748" t="s">
        <v>34</v>
      </c>
      <c r="M1748" s="2">
        <v>45848</v>
      </c>
      <c r="N1748" s="2">
        <v>45847</v>
      </c>
      <c r="O1748" t="s">
        <v>43</v>
      </c>
      <c r="P1748" t="s">
        <v>115</v>
      </c>
      <c r="Q1748" t="s">
        <v>28</v>
      </c>
      <c r="R1748" t="s">
        <v>29</v>
      </c>
      <c r="S1748">
        <v>2025</v>
      </c>
      <c r="T1748" t="s">
        <v>2743</v>
      </c>
      <c r="U1748" t="s">
        <v>2756</v>
      </c>
      <c r="V1748" s="4">
        <v>0</v>
      </c>
      <c r="W1748" s="4">
        <v>1</v>
      </c>
    </row>
    <row r="1749" spans="1:23">
      <c r="A1749" t="s">
        <v>1881</v>
      </c>
      <c r="B1749" s="2">
        <v>45883</v>
      </c>
      <c r="C1749" t="s">
        <v>19</v>
      </c>
      <c r="D1749" t="s">
        <v>20</v>
      </c>
      <c r="E1749" t="s">
        <v>73</v>
      </c>
      <c r="F1749" t="s">
        <v>22</v>
      </c>
      <c r="G1749" t="s">
        <v>23</v>
      </c>
      <c r="H1749" t="s">
        <v>24</v>
      </c>
      <c r="I1749">
        <v>39</v>
      </c>
      <c r="J1749" s="3">
        <v>226.81</v>
      </c>
      <c r="K1749" s="3">
        <v>8845.59</v>
      </c>
      <c r="L1749" t="s">
        <v>34</v>
      </c>
      <c r="M1749" s="2">
        <v>45898</v>
      </c>
      <c r="N1749" s="2">
        <v>45912</v>
      </c>
      <c r="O1749" t="s">
        <v>26</v>
      </c>
      <c r="P1749" t="s">
        <v>77</v>
      </c>
      <c r="Q1749" t="s">
        <v>28</v>
      </c>
      <c r="R1749" t="s">
        <v>129</v>
      </c>
      <c r="S1749">
        <v>2025</v>
      </c>
      <c r="T1749" t="s">
        <v>2761</v>
      </c>
      <c r="U1749" t="s">
        <v>2762</v>
      </c>
      <c r="V1749" s="4">
        <v>14</v>
      </c>
      <c r="W1749" s="4">
        <v>0</v>
      </c>
    </row>
    <row r="1750" spans="1:23">
      <c r="A1750" t="s">
        <v>1882</v>
      </c>
      <c r="B1750" s="2">
        <v>46097</v>
      </c>
      <c r="C1750" t="s">
        <v>71</v>
      </c>
      <c r="D1750" t="s">
        <v>72</v>
      </c>
      <c r="E1750" t="s">
        <v>21</v>
      </c>
      <c r="F1750" t="s">
        <v>57</v>
      </c>
      <c r="G1750" t="s">
        <v>58</v>
      </c>
      <c r="H1750" t="s">
        <v>59</v>
      </c>
      <c r="I1750">
        <v>5</v>
      </c>
      <c r="J1750" s="3">
        <v>55389.51</v>
      </c>
      <c r="K1750" s="3">
        <v>276947.55</v>
      </c>
      <c r="L1750" t="s">
        <v>52</v>
      </c>
      <c r="M1750" s="2">
        <v>46114</v>
      </c>
      <c r="N1750" s="2">
        <v>46114</v>
      </c>
      <c r="O1750" t="s">
        <v>26</v>
      </c>
      <c r="P1750" t="s">
        <v>27</v>
      </c>
      <c r="Q1750" t="s">
        <v>28</v>
      </c>
      <c r="R1750" t="s">
        <v>29</v>
      </c>
      <c r="S1750">
        <v>2026</v>
      </c>
      <c r="T1750" t="s">
        <v>2747</v>
      </c>
      <c r="U1750" t="s">
        <v>2755</v>
      </c>
      <c r="V1750" s="4">
        <v>0</v>
      </c>
      <c r="W1750" s="4">
        <v>1</v>
      </c>
    </row>
    <row r="1751" spans="1:23">
      <c r="A1751" t="s">
        <v>1883</v>
      </c>
      <c r="B1751" s="2">
        <v>45748</v>
      </c>
      <c r="C1751" t="s">
        <v>71</v>
      </c>
      <c r="D1751" t="s">
        <v>72</v>
      </c>
      <c r="E1751" t="s">
        <v>21</v>
      </c>
      <c r="F1751" t="s">
        <v>57</v>
      </c>
      <c r="G1751" t="s">
        <v>86</v>
      </c>
      <c r="H1751" t="s">
        <v>87</v>
      </c>
      <c r="I1751">
        <v>1</v>
      </c>
      <c r="J1751" s="3">
        <v>10464.65</v>
      </c>
      <c r="K1751" s="3">
        <v>10464.65</v>
      </c>
      <c r="L1751" t="s">
        <v>52</v>
      </c>
      <c r="M1751" s="2">
        <v>45766</v>
      </c>
      <c r="N1751" s="2">
        <v>45763</v>
      </c>
      <c r="O1751" t="s">
        <v>60</v>
      </c>
      <c r="P1751" t="s">
        <v>27</v>
      </c>
      <c r="Q1751" t="s">
        <v>28</v>
      </c>
      <c r="R1751" t="s">
        <v>29</v>
      </c>
      <c r="S1751">
        <v>2025</v>
      </c>
      <c r="T1751" t="s">
        <v>2741</v>
      </c>
      <c r="U1751" t="s">
        <v>2742</v>
      </c>
      <c r="V1751" s="4">
        <v>0</v>
      </c>
      <c r="W1751" s="4">
        <v>1</v>
      </c>
    </row>
    <row r="1752" spans="1:23">
      <c r="A1752" t="s">
        <v>1884</v>
      </c>
      <c r="B1752" s="2">
        <v>45800</v>
      </c>
      <c r="C1752" t="s">
        <v>89</v>
      </c>
      <c r="D1752" t="s">
        <v>90</v>
      </c>
      <c r="E1752" t="s">
        <v>31</v>
      </c>
      <c r="F1752" t="s">
        <v>91</v>
      </c>
      <c r="G1752" t="s">
        <v>109</v>
      </c>
      <c r="H1752" t="s">
        <v>110</v>
      </c>
      <c r="I1752">
        <v>1</v>
      </c>
      <c r="J1752" s="3">
        <v>12474.96</v>
      </c>
      <c r="K1752" s="3">
        <v>12474.96</v>
      </c>
      <c r="L1752" t="s">
        <v>34</v>
      </c>
      <c r="M1752" s="2">
        <v>45812</v>
      </c>
      <c r="N1752" s="2">
        <v>45810</v>
      </c>
      <c r="O1752" t="s">
        <v>43</v>
      </c>
      <c r="P1752" t="s">
        <v>35</v>
      </c>
      <c r="Q1752" t="s">
        <v>28</v>
      </c>
      <c r="R1752" t="s">
        <v>29</v>
      </c>
      <c r="S1752">
        <v>2025</v>
      </c>
      <c r="T1752" t="s">
        <v>2766</v>
      </c>
      <c r="U1752" t="s">
        <v>2767</v>
      </c>
      <c r="V1752" s="4">
        <v>0</v>
      </c>
      <c r="W1752" s="4">
        <v>1</v>
      </c>
    </row>
    <row r="1753" spans="1:23">
      <c r="A1753" t="s">
        <v>1885</v>
      </c>
      <c r="B1753" s="2">
        <v>46155</v>
      </c>
      <c r="C1753" t="s">
        <v>71</v>
      </c>
      <c r="D1753" t="s">
        <v>72</v>
      </c>
      <c r="E1753" t="s">
        <v>48</v>
      </c>
      <c r="F1753" t="s">
        <v>57</v>
      </c>
      <c r="G1753" t="s">
        <v>127</v>
      </c>
      <c r="H1753" t="s">
        <v>128</v>
      </c>
      <c r="I1753">
        <v>3</v>
      </c>
      <c r="J1753" s="3">
        <v>15224.27</v>
      </c>
      <c r="K1753" s="3">
        <v>45672.81</v>
      </c>
      <c r="L1753" t="s">
        <v>25</v>
      </c>
      <c r="M1753" s="2">
        <v>46170</v>
      </c>
      <c r="N1753" s="2">
        <v>46169</v>
      </c>
      <c r="O1753" t="s">
        <v>26</v>
      </c>
      <c r="P1753" t="s">
        <v>53</v>
      </c>
      <c r="Q1753" t="s">
        <v>28</v>
      </c>
      <c r="R1753" t="s">
        <v>29</v>
      </c>
      <c r="S1753">
        <v>2026</v>
      </c>
      <c r="T1753" t="s">
        <v>2766</v>
      </c>
      <c r="U1753" t="s">
        <v>2769</v>
      </c>
      <c r="V1753" s="4">
        <v>0</v>
      </c>
      <c r="W1753" s="4">
        <v>1</v>
      </c>
    </row>
    <row r="1754" spans="1:23">
      <c r="A1754" t="s">
        <v>1886</v>
      </c>
      <c r="B1754" s="2">
        <v>46024</v>
      </c>
      <c r="C1754" t="s">
        <v>104</v>
      </c>
      <c r="D1754" t="s">
        <v>105</v>
      </c>
      <c r="E1754" t="s">
        <v>48</v>
      </c>
      <c r="F1754" t="s">
        <v>49</v>
      </c>
      <c r="G1754" t="s">
        <v>50</v>
      </c>
      <c r="H1754" t="s">
        <v>51</v>
      </c>
      <c r="I1754">
        <v>3</v>
      </c>
      <c r="J1754" s="3">
        <v>51799.1</v>
      </c>
      <c r="K1754" s="3">
        <v>155397.29999999999</v>
      </c>
      <c r="L1754" t="s">
        <v>25</v>
      </c>
      <c r="M1754" s="2">
        <v>46031</v>
      </c>
      <c r="N1754" s="2">
        <v>46028</v>
      </c>
      <c r="O1754" t="s">
        <v>43</v>
      </c>
      <c r="P1754" t="s">
        <v>53</v>
      </c>
      <c r="Q1754" t="s">
        <v>28</v>
      </c>
      <c r="R1754" t="s">
        <v>29</v>
      </c>
      <c r="S1754">
        <v>2026</v>
      </c>
      <c r="T1754" t="s">
        <v>2757</v>
      </c>
      <c r="U1754" t="s">
        <v>2758</v>
      </c>
      <c r="V1754" s="4">
        <v>0</v>
      </c>
      <c r="W1754" s="4">
        <v>1</v>
      </c>
    </row>
    <row r="1755" spans="1:23">
      <c r="A1755" t="s">
        <v>1887</v>
      </c>
      <c r="B1755" s="2">
        <v>45990</v>
      </c>
      <c r="C1755" t="s">
        <v>19</v>
      </c>
      <c r="D1755" t="s">
        <v>20</v>
      </c>
      <c r="E1755" t="s">
        <v>31</v>
      </c>
      <c r="F1755" t="s">
        <v>22</v>
      </c>
      <c r="G1755" t="s">
        <v>32</v>
      </c>
      <c r="H1755" t="s">
        <v>33</v>
      </c>
      <c r="I1755">
        <v>10</v>
      </c>
      <c r="J1755" s="3">
        <v>7430.06</v>
      </c>
      <c r="K1755" s="3">
        <v>74300.600000000006</v>
      </c>
      <c r="L1755" t="s">
        <v>34</v>
      </c>
      <c r="M1755" s="2">
        <v>45995</v>
      </c>
      <c r="N1755" s="2">
        <v>45994</v>
      </c>
      <c r="O1755" t="s">
        <v>43</v>
      </c>
      <c r="P1755" t="s">
        <v>94</v>
      </c>
      <c r="Q1755" t="s">
        <v>28</v>
      </c>
      <c r="R1755" t="s">
        <v>29</v>
      </c>
      <c r="S1755">
        <v>2025</v>
      </c>
      <c r="T1755" t="s">
        <v>2763</v>
      </c>
      <c r="U1755" t="s">
        <v>2764</v>
      </c>
      <c r="V1755" s="4">
        <v>0</v>
      </c>
      <c r="W1755" s="4">
        <v>1</v>
      </c>
    </row>
    <row r="1756" spans="1:23">
      <c r="A1756" t="s">
        <v>1888</v>
      </c>
      <c r="B1756" s="2">
        <v>45989</v>
      </c>
      <c r="C1756" t="s">
        <v>71</v>
      </c>
      <c r="D1756" t="s">
        <v>72</v>
      </c>
      <c r="E1756" t="s">
        <v>31</v>
      </c>
      <c r="F1756" t="s">
        <v>57</v>
      </c>
      <c r="G1756" t="s">
        <v>86</v>
      </c>
      <c r="H1756" t="s">
        <v>87</v>
      </c>
      <c r="I1756">
        <v>8</v>
      </c>
      <c r="J1756" s="3">
        <v>10678.24</v>
      </c>
      <c r="K1756" s="3">
        <v>85425.919999999998</v>
      </c>
      <c r="L1756" t="s">
        <v>52</v>
      </c>
      <c r="M1756" s="2">
        <v>46000</v>
      </c>
      <c r="N1756" s="2">
        <v>45999</v>
      </c>
      <c r="O1756" t="s">
        <v>76</v>
      </c>
      <c r="P1756" t="s">
        <v>94</v>
      </c>
      <c r="Q1756" t="s">
        <v>28</v>
      </c>
      <c r="R1756" t="s">
        <v>29</v>
      </c>
      <c r="S1756">
        <v>2025</v>
      </c>
      <c r="T1756" t="s">
        <v>2763</v>
      </c>
      <c r="U1756" t="s">
        <v>2764</v>
      </c>
      <c r="V1756" s="4">
        <v>0</v>
      </c>
      <c r="W1756" s="4">
        <v>1</v>
      </c>
    </row>
    <row r="1757" spans="1:23">
      <c r="A1757" t="s">
        <v>1889</v>
      </c>
      <c r="B1757" s="2">
        <v>45982</v>
      </c>
      <c r="C1757" t="s">
        <v>96</v>
      </c>
      <c r="D1757" t="s">
        <v>97</v>
      </c>
      <c r="E1757" t="s">
        <v>39</v>
      </c>
      <c r="F1757" t="s">
        <v>82</v>
      </c>
      <c r="G1757" t="s">
        <v>98</v>
      </c>
      <c r="H1757" t="s">
        <v>99</v>
      </c>
      <c r="I1757">
        <v>54</v>
      </c>
      <c r="J1757" s="3">
        <v>1161.1199999999999</v>
      </c>
      <c r="K1757" s="3">
        <v>62700.480000000003</v>
      </c>
      <c r="L1757" t="s">
        <v>34</v>
      </c>
      <c r="M1757" s="2">
        <v>45993</v>
      </c>
      <c r="N1757" s="2">
        <v>45992</v>
      </c>
      <c r="O1757" t="s">
        <v>26</v>
      </c>
      <c r="P1757" t="s">
        <v>44</v>
      </c>
      <c r="Q1757" t="s">
        <v>28</v>
      </c>
      <c r="R1757" t="s">
        <v>29</v>
      </c>
      <c r="S1757">
        <v>2025</v>
      </c>
      <c r="T1757" t="s">
        <v>2763</v>
      </c>
      <c r="U1757" t="s">
        <v>2764</v>
      </c>
      <c r="V1757" s="4">
        <v>0</v>
      </c>
      <c r="W1757" s="4">
        <v>1</v>
      </c>
    </row>
    <row r="1758" spans="1:23">
      <c r="A1758" t="s">
        <v>1890</v>
      </c>
      <c r="B1758" s="2">
        <v>46063</v>
      </c>
      <c r="C1758" t="s">
        <v>96</v>
      </c>
      <c r="D1758" t="s">
        <v>97</v>
      </c>
      <c r="E1758" t="s">
        <v>39</v>
      </c>
      <c r="F1758" t="s">
        <v>82</v>
      </c>
      <c r="G1758" t="s">
        <v>98</v>
      </c>
      <c r="H1758" t="s">
        <v>99</v>
      </c>
      <c r="I1758">
        <v>24</v>
      </c>
      <c r="J1758" s="3">
        <v>1126.97</v>
      </c>
      <c r="K1758" s="3">
        <v>27047.279999999999</v>
      </c>
      <c r="L1758" t="s">
        <v>52</v>
      </c>
      <c r="M1758" s="2">
        <v>46076</v>
      </c>
      <c r="N1758" s="2">
        <v>46076</v>
      </c>
      <c r="O1758" t="s">
        <v>76</v>
      </c>
      <c r="P1758" t="s">
        <v>64</v>
      </c>
      <c r="Q1758" t="s">
        <v>28</v>
      </c>
      <c r="R1758" t="s">
        <v>29</v>
      </c>
      <c r="S1758">
        <v>2026</v>
      </c>
      <c r="T1758" t="s">
        <v>2751</v>
      </c>
      <c r="U1758" t="s">
        <v>2765</v>
      </c>
      <c r="V1758" s="4">
        <v>0</v>
      </c>
      <c r="W1758" s="4">
        <v>1</v>
      </c>
    </row>
    <row r="1759" spans="1:23">
      <c r="A1759" t="s">
        <v>1891</v>
      </c>
      <c r="B1759" s="2">
        <v>45846</v>
      </c>
      <c r="C1759" t="s">
        <v>19</v>
      </c>
      <c r="D1759" t="s">
        <v>20</v>
      </c>
      <c r="E1759" t="s">
        <v>31</v>
      </c>
      <c r="F1759" t="s">
        <v>22</v>
      </c>
      <c r="G1759" t="s">
        <v>23</v>
      </c>
      <c r="H1759" t="s">
        <v>24</v>
      </c>
      <c r="I1759">
        <v>58</v>
      </c>
      <c r="J1759" s="3">
        <v>227.91</v>
      </c>
      <c r="K1759" s="3">
        <v>13218.78</v>
      </c>
      <c r="L1759" t="s">
        <v>52</v>
      </c>
      <c r="M1759" s="2">
        <v>45858</v>
      </c>
      <c r="N1759" s="2">
        <v>45855</v>
      </c>
      <c r="O1759" t="s">
        <v>26</v>
      </c>
      <c r="P1759" t="s">
        <v>94</v>
      </c>
      <c r="Q1759" t="s">
        <v>28</v>
      </c>
      <c r="R1759" t="s">
        <v>29</v>
      </c>
      <c r="S1759">
        <v>2025</v>
      </c>
      <c r="T1759" t="s">
        <v>2759</v>
      </c>
      <c r="U1759" t="s">
        <v>2760</v>
      </c>
      <c r="V1759" s="4">
        <v>0</v>
      </c>
      <c r="W1759" s="4">
        <v>1</v>
      </c>
    </row>
    <row r="1760" spans="1:23">
      <c r="A1760" t="s">
        <v>1892</v>
      </c>
      <c r="B1760" s="2">
        <v>45802</v>
      </c>
      <c r="C1760" t="s">
        <v>37</v>
      </c>
      <c r="D1760" t="s">
        <v>38</v>
      </c>
      <c r="E1760" t="s">
        <v>39</v>
      </c>
      <c r="F1760" t="s">
        <v>22</v>
      </c>
      <c r="G1760" t="s">
        <v>32</v>
      </c>
      <c r="H1760" t="s">
        <v>33</v>
      </c>
      <c r="I1760">
        <v>1</v>
      </c>
      <c r="J1760" s="3">
        <v>8267.4699999999993</v>
      </c>
      <c r="K1760" s="3">
        <v>8267.4699999999993</v>
      </c>
      <c r="L1760" t="s">
        <v>34</v>
      </c>
      <c r="M1760" s="2">
        <v>45808</v>
      </c>
      <c r="N1760" s="2">
        <v>45805</v>
      </c>
      <c r="O1760" t="s">
        <v>43</v>
      </c>
      <c r="P1760" t="s">
        <v>44</v>
      </c>
      <c r="Q1760" t="s">
        <v>28</v>
      </c>
      <c r="R1760" t="s">
        <v>29</v>
      </c>
      <c r="S1760">
        <v>2025</v>
      </c>
      <c r="T1760" t="s">
        <v>2766</v>
      </c>
      <c r="U1760" t="s">
        <v>2767</v>
      </c>
      <c r="V1760" s="4">
        <v>0</v>
      </c>
      <c r="W1760" s="4">
        <v>1</v>
      </c>
    </row>
    <row r="1761" spans="1:23">
      <c r="A1761" t="s">
        <v>1893</v>
      </c>
      <c r="B1761" s="2">
        <v>45939</v>
      </c>
      <c r="C1761" t="s">
        <v>71</v>
      </c>
      <c r="D1761" t="s">
        <v>72</v>
      </c>
      <c r="E1761" t="s">
        <v>48</v>
      </c>
      <c r="F1761" t="s">
        <v>57</v>
      </c>
      <c r="G1761" t="s">
        <v>74</v>
      </c>
      <c r="H1761" t="s">
        <v>75</v>
      </c>
      <c r="I1761">
        <v>3</v>
      </c>
      <c r="J1761" s="3">
        <v>8212.92</v>
      </c>
      <c r="K1761" s="3">
        <v>24638.76</v>
      </c>
      <c r="L1761" t="s">
        <v>25</v>
      </c>
      <c r="M1761" s="2">
        <v>45946</v>
      </c>
      <c r="N1761" s="2">
        <v>45961</v>
      </c>
      <c r="O1761" t="s">
        <v>26</v>
      </c>
      <c r="P1761" t="s">
        <v>53</v>
      </c>
      <c r="Q1761" t="s">
        <v>28</v>
      </c>
      <c r="R1761" t="s">
        <v>129</v>
      </c>
      <c r="S1761">
        <v>2025</v>
      </c>
      <c r="T1761" t="s">
        <v>2749</v>
      </c>
      <c r="U1761" t="s">
        <v>2750</v>
      </c>
      <c r="V1761" s="4">
        <v>15</v>
      </c>
      <c r="W1761" s="4">
        <v>0</v>
      </c>
    </row>
    <row r="1762" spans="1:23">
      <c r="A1762" t="s">
        <v>1894</v>
      </c>
      <c r="B1762" s="2">
        <v>45674</v>
      </c>
      <c r="C1762" t="s">
        <v>19</v>
      </c>
      <c r="D1762" t="s">
        <v>20</v>
      </c>
      <c r="E1762" t="s">
        <v>112</v>
      </c>
      <c r="F1762" t="s">
        <v>22</v>
      </c>
      <c r="G1762" t="s">
        <v>160</v>
      </c>
      <c r="H1762" t="s">
        <v>161</v>
      </c>
      <c r="I1762">
        <v>3</v>
      </c>
      <c r="J1762" s="3">
        <v>2986.6</v>
      </c>
      <c r="K1762" s="3">
        <v>8959.7999999999993</v>
      </c>
      <c r="L1762" t="s">
        <v>52</v>
      </c>
      <c r="M1762" s="2">
        <v>45691</v>
      </c>
      <c r="N1762" s="2">
        <v>45690</v>
      </c>
      <c r="O1762" t="s">
        <v>60</v>
      </c>
      <c r="P1762" t="s">
        <v>115</v>
      </c>
      <c r="Q1762" t="s">
        <v>28</v>
      </c>
      <c r="R1762" t="s">
        <v>29</v>
      </c>
      <c r="S1762">
        <v>2025</v>
      </c>
      <c r="T1762" t="s">
        <v>2757</v>
      </c>
      <c r="U1762" t="s">
        <v>2768</v>
      </c>
      <c r="V1762" s="4">
        <v>0</v>
      </c>
      <c r="W1762" s="4">
        <v>1</v>
      </c>
    </row>
    <row r="1763" spans="1:23">
      <c r="A1763" t="s">
        <v>1895</v>
      </c>
      <c r="B1763" s="2">
        <v>46120</v>
      </c>
      <c r="C1763" t="s">
        <v>55</v>
      </c>
      <c r="D1763" t="s">
        <v>56</v>
      </c>
      <c r="E1763" t="s">
        <v>73</v>
      </c>
      <c r="F1763" t="s">
        <v>57</v>
      </c>
      <c r="G1763" t="s">
        <v>120</v>
      </c>
      <c r="H1763" t="s">
        <v>121</v>
      </c>
      <c r="I1763">
        <v>6</v>
      </c>
      <c r="J1763" s="3">
        <v>23382.42</v>
      </c>
      <c r="K1763" s="3">
        <v>140294.51999999999</v>
      </c>
      <c r="L1763" t="s">
        <v>34</v>
      </c>
      <c r="M1763" s="2">
        <v>46132</v>
      </c>
      <c r="N1763" s="2">
        <v>46132</v>
      </c>
      <c r="O1763" t="s">
        <v>76</v>
      </c>
      <c r="P1763" t="s">
        <v>77</v>
      </c>
      <c r="Q1763" t="s">
        <v>28</v>
      </c>
      <c r="R1763" t="s">
        <v>29</v>
      </c>
      <c r="S1763">
        <v>2026</v>
      </c>
      <c r="T1763" t="s">
        <v>2741</v>
      </c>
      <c r="U1763" t="s">
        <v>2770</v>
      </c>
      <c r="V1763" s="4">
        <v>0</v>
      </c>
      <c r="W1763" s="4">
        <v>1</v>
      </c>
    </row>
    <row r="1764" spans="1:23">
      <c r="A1764" t="s">
        <v>1896</v>
      </c>
      <c r="B1764" s="2">
        <v>46165</v>
      </c>
      <c r="C1764" t="s">
        <v>104</v>
      </c>
      <c r="D1764" t="s">
        <v>105</v>
      </c>
      <c r="E1764" t="s">
        <v>48</v>
      </c>
      <c r="F1764" t="s">
        <v>49</v>
      </c>
      <c r="G1764" t="s">
        <v>50</v>
      </c>
      <c r="H1764" t="s">
        <v>51</v>
      </c>
      <c r="I1764">
        <v>1</v>
      </c>
      <c r="J1764" s="3">
        <v>51342.39</v>
      </c>
      <c r="K1764" s="3">
        <v>51342.39</v>
      </c>
      <c r="L1764" t="s">
        <v>25</v>
      </c>
      <c r="M1764" s="2">
        <v>46173</v>
      </c>
      <c r="N1764" s="2">
        <v>46173</v>
      </c>
      <c r="O1764" t="s">
        <v>60</v>
      </c>
      <c r="P1764" t="s">
        <v>53</v>
      </c>
      <c r="Q1764" t="s">
        <v>28</v>
      </c>
      <c r="R1764" t="s">
        <v>29</v>
      </c>
      <c r="S1764">
        <v>2026</v>
      </c>
      <c r="T1764" t="s">
        <v>2766</v>
      </c>
      <c r="U1764" t="s">
        <v>2769</v>
      </c>
      <c r="V1764" s="4">
        <v>0</v>
      </c>
      <c r="W1764" s="4">
        <v>1</v>
      </c>
    </row>
    <row r="1765" spans="1:23">
      <c r="A1765" t="s">
        <v>1897</v>
      </c>
      <c r="B1765" s="2">
        <v>46184</v>
      </c>
      <c r="C1765" t="s">
        <v>66</v>
      </c>
      <c r="D1765" t="s">
        <v>67</v>
      </c>
      <c r="E1765" t="s">
        <v>48</v>
      </c>
      <c r="F1765" t="s">
        <v>49</v>
      </c>
      <c r="G1765" t="s">
        <v>50</v>
      </c>
      <c r="H1765" t="s">
        <v>51</v>
      </c>
      <c r="I1765">
        <v>1</v>
      </c>
      <c r="J1765" s="3">
        <v>50971.68</v>
      </c>
      <c r="K1765" s="3">
        <v>50971.68</v>
      </c>
      <c r="L1765" t="s">
        <v>34</v>
      </c>
      <c r="M1765" s="2">
        <v>46199</v>
      </c>
      <c r="N1765" s="2">
        <v>46197</v>
      </c>
      <c r="O1765" t="s">
        <v>60</v>
      </c>
      <c r="P1765" t="s">
        <v>53</v>
      </c>
      <c r="Q1765" t="s">
        <v>28</v>
      </c>
      <c r="R1765" t="s">
        <v>29</v>
      </c>
      <c r="S1765">
        <v>2026</v>
      </c>
      <c r="T1765" t="s">
        <v>2743</v>
      </c>
      <c r="U1765" t="s">
        <v>2744</v>
      </c>
      <c r="V1765" s="4">
        <v>0</v>
      </c>
      <c r="W1765" s="4">
        <v>1</v>
      </c>
    </row>
    <row r="1766" spans="1:23">
      <c r="A1766" t="s">
        <v>1898</v>
      </c>
      <c r="B1766" s="2">
        <v>45879</v>
      </c>
      <c r="C1766" t="s">
        <v>104</v>
      </c>
      <c r="D1766" t="s">
        <v>105</v>
      </c>
      <c r="E1766" t="s">
        <v>73</v>
      </c>
      <c r="F1766" t="s">
        <v>49</v>
      </c>
      <c r="G1766" t="s">
        <v>165</v>
      </c>
      <c r="H1766" t="s">
        <v>166</v>
      </c>
      <c r="I1766">
        <v>2</v>
      </c>
      <c r="J1766" s="3">
        <v>43318.66</v>
      </c>
      <c r="K1766" s="3">
        <v>86637.32</v>
      </c>
      <c r="L1766" t="s">
        <v>25</v>
      </c>
      <c r="M1766" s="2">
        <v>45891</v>
      </c>
      <c r="N1766" s="2">
        <v>45888</v>
      </c>
      <c r="O1766" t="s">
        <v>76</v>
      </c>
      <c r="P1766" t="s">
        <v>77</v>
      </c>
      <c r="Q1766" t="s">
        <v>28</v>
      </c>
      <c r="R1766" t="s">
        <v>29</v>
      </c>
      <c r="S1766">
        <v>2025</v>
      </c>
      <c r="T1766" t="s">
        <v>2761</v>
      </c>
      <c r="U1766" t="s">
        <v>2762</v>
      </c>
      <c r="V1766" s="4">
        <v>0</v>
      </c>
      <c r="W1766" s="4">
        <v>1</v>
      </c>
    </row>
    <row r="1767" spans="1:23">
      <c r="A1767" t="s">
        <v>1899</v>
      </c>
      <c r="B1767" s="2">
        <v>45915</v>
      </c>
      <c r="C1767" t="s">
        <v>66</v>
      </c>
      <c r="D1767" t="s">
        <v>67</v>
      </c>
      <c r="E1767" t="s">
        <v>112</v>
      </c>
      <c r="F1767" t="s">
        <v>49</v>
      </c>
      <c r="G1767" t="s">
        <v>68</v>
      </c>
      <c r="H1767" t="s">
        <v>69</v>
      </c>
      <c r="I1767">
        <v>3</v>
      </c>
      <c r="J1767" s="3">
        <v>47591.11</v>
      </c>
      <c r="K1767" s="3">
        <v>142773.32999999999</v>
      </c>
      <c r="L1767" t="s">
        <v>25</v>
      </c>
      <c r="M1767" s="2">
        <v>45920</v>
      </c>
      <c r="N1767" s="2">
        <v>45918</v>
      </c>
      <c r="O1767" t="s">
        <v>43</v>
      </c>
      <c r="P1767" t="s">
        <v>115</v>
      </c>
      <c r="Q1767" t="s">
        <v>28</v>
      </c>
      <c r="R1767" t="s">
        <v>29</v>
      </c>
      <c r="S1767">
        <v>2025</v>
      </c>
      <c r="T1767" t="s">
        <v>2753</v>
      </c>
      <c r="U1767" t="s">
        <v>2754</v>
      </c>
      <c r="V1767" s="4">
        <v>0</v>
      </c>
      <c r="W1767" s="4">
        <v>1</v>
      </c>
    </row>
    <row r="1768" spans="1:23">
      <c r="A1768" t="s">
        <v>1900</v>
      </c>
      <c r="B1768" s="2">
        <v>45690</v>
      </c>
      <c r="C1768" t="s">
        <v>117</v>
      </c>
      <c r="D1768" t="s">
        <v>118</v>
      </c>
      <c r="E1768" t="s">
        <v>31</v>
      </c>
      <c r="F1768" t="s">
        <v>57</v>
      </c>
      <c r="G1768" t="s">
        <v>74</v>
      </c>
      <c r="H1768" t="s">
        <v>75</v>
      </c>
      <c r="I1768">
        <v>1</v>
      </c>
      <c r="J1768" s="3">
        <v>9018.9500000000007</v>
      </c>
      <c r="K1768" s="3">
        <v>9018.9500000000007</v>
      </c>
      <c r="L1768" t="s">
        <v>52</v>
      </c>
      <c r="M1768" s="2">
        <v>45702</v>
      </c>
      <c r="N1768" s="2">
        <v>45701</v>
      </c>
      <c r="O1768" t="s">
        <v>26</v>
      </c>
      <c r="P1768" t="s">
        <v>94</v>
      </c>
      <c r="Q1768" t="s">
        <v>28</v>
      </c>
      <c r="R1768" t="s">
        <v>29</v>
      </c>
      <c r="S1768">
        <v>2025</v>
      </c>
      <c r="T1768" t="s">
        <v>2751</v>
      </c>
      <c r="U1768" t="s">
        <v>2752</v>
      </c>
      <c r="V1768" s="4">
        <v>0</v>
      </c>
      <c r="W1768" s="4">
        <v>1</v>
      </c>
    </row>
    <row r="1769" spans="1:23">
      <c r="A1769" t="s">
        <v>1901</v>
      </c>
      <c r="B1769" s="2">
        <v>46136</v>
      </c>
      <c r="C1769" t="s">
        <v>147</v>
      </c>
      <c r="D1769" t="s">
        <v>148</v>
      </c>
      <c r="E1769" t="s">
        <v>112</v>
      </c>
      <c r="F1769" t="s">
        <v>40</v>
      </c>
      <c r="G1769" t="s">
        <v>149</v>
      </c>
      <c r="H1769" t="s">
        <v>150</v>
      </c>
      <c r="I1769">
        <v>22</v>
      </c>
      <c r="J1769" s="3">
        <v>1313.01</v>
      </c>
      <c r="K1769" s="3">
        <v>28886.22</v>
      </c>
      <c r="L1769" t="s">
        <v>34</v>
      </c>
      <c r="M1769" s="2">
        <v>46151</v>
      </c>
      <c r="N1769" s="2">
        <v>46149</v>
      </c>
      <c r="O1769" t="s">
        <v>43</v>
      </c>
      <c r="P1769" t="s">
        <v>115</v>
      </c>
      <c r="Q1769" t="s">
        <v>28</v>
      </c>
      <c r="R1769" t="s">
        <v>29</v>
      </c>
      <c r="S1769">
        <v>2026</v>
      </c>
      <c r="T1769" t="s">
        <v>2741</v>
      </c>
      <c r="U1769" t="s">
        <v>2770</v>
      </c>
      <c r="V1769" s="4">
        <v>0</v>
      </c>
      <c r="W1769" s="4">
        <v>1</v>
      </c>
    </row>
    <row r="1770" spans="1:23">
      <c r="A1770" t="s">
        <v>1902</v>
      </c>
      <c r="B1770" s="2">
        <v>45687</v>
      </c>
      <c r="C1770" t="s">
        <v>96</v>
      </c>
      <c r="D1770" t="s">
        <v>97</v>
      </c>
      <c r="E1770" t="s">
        <v>39</v>
      </c>
      <c r="F1770" t="s">
        <v>82</v>
      </c>
      <c r="G1770" t="s">
        <v>98</v>
      </c>
      <c r="H1770" t="s">
        <v>99</v>
      </c>
      <c r="I1770">
        <v>13</v>
      </c>
      <c r="J1770" s="3">
        <v>1119.06</v>
      </c>
      <c r="K1770" s="3">
        <v>14547.78</v>
      </c>
      <c r="L1770" t="s">
        <v>25</v>
      </c>
      <c r="M1770" s="2">
        <v>45703</v>
      </c>
      <c r="N1770" s="2">
        <v>45703</v>
      </c>
      <c r="O1770" t="s">
        <v>76</v>
      </c>
      <c r="P1770" t="s">
        <v>64</v>
      </c>
      <c r="Q1770" t="s">
        <v>28</v>
      </c>
      <c r="R1770" t="s">
        <v>29</v>
      </c>
      <c r="S1770">
        <v>2025</v>
      </c>
      <c r="T1770" t="s">
        <v>2757</v>
      </c>
      <c r="U1770" t="s">
        <v>2768</v>
      </c>
      <c r="V1770" s="4">
        <v>0</v>
      </c>
      <c r="W1770" s="4">
        <v>1</v>
      </c>
    </row>
    <row r="1771" spans="1:23">
      <c r="A1771" t="s">
        <v>1903</v>
      </c>
      <c r="B1771" s="2">
        <v>45754</v>
      </c>
      <c r="C1771" t="s">
        <v>37</v>
      </c>
      <c r="D1771" t="s">
        <v>38</v>
      </c>
      <c r="E1771" t="s">
        <v>21</v>
      </c>
      <c r="F1771" t="s">
        <v>22</v>
      </c>
      <c r="G1771" t="s">
        <v>23</v>
      </c>
      <c r="H1771" t="s">
        <v>24</v>
      </c>
      <c r="I1771">
        <v>54</v>
      </c>
      <c r="J1771" s="3">
        <v>265.74</v>
      </c>
      <c r="K1771" s="3">
        <v>14349.96</v>
      </c>
      <c r="L1771" t="s">
        <v>34</v>
      </c>
      <c r="M1771" s="2">
        <v>45769</v>
      </c>
      <c r="N1771" s="2">
        <v>45768</v>
      </c>
      <c r="O1771" t="s">
        <v>60</v>
      </c>
      <c r="P1771" t="s">
        <v>27</v>
      </c>
      <c r="Q1771" t="s">
        <v>28</v>
      </c>
      <c r="R1771" t="s">
        <v>29</v>
      </c>
      <c r="S1771">
        <v>2025</v>
      </c>
      <c r="T1771" t="s">
        <v>2741</v>
      </c>
      <c r="U1771" t="s">
        <v>2742</v>
      </c>
      <c r="V1771" s="4">
        <v>0</v>
      </c>
      <c r="W1771" s="4">
        <v>1</v>
      </c>
    </row>
    <row r="1772" spans="1:23">
      <c r="A1772" t="s">
        <v>1904</v>
      </c>
      <c r="B1772" s="2">
        <v>45850</v>
      </c>
      <c r="C1772" t="s">
        <v>117</v>
      </c>
      <c r="D1772" t="s">
        <v>118</v>
      </c>
      <c r="E1772" t="s">
        <v>48</v>
      </c>
      <c r="F1772" t="s">
        <v>57</v>
      </c>
      <c r="G1772" t="s">
        <v>101</v>
      </c>
      <c r="H1772" t="s">
        <v>102</v>
      </c>
      <c r="I1772">
        <v>41</v>
      </c>
      <c r="J1772" s="3">
        <v>1847.65</v>
      </c>
      <c r="K1772" s="3">
        <v>75753.649999999994</v>
      </c>
      <c r="L1772" t="s">
        <v>25</v>
      </c>
      <c r="M1772" s="2">
        <v>45855</v>
      </c>
      <c r="N1772" s="2">
        <v>45854</v>
      </c>
      <c r="O1772" t="s">
        <v>26</v>
      </c>
      <c r="P1772" t="s">
        <v>53</v>
      </c>
      <c r="Q1772" t="s">
        <v>28</v>
      </c>
      <c r="R1772" t="s">
        <v>29</v>
      </c>
      <c r="S1772">
        <v>2025</v>
      </c>
      <c r="T1772" t="s">
        <v>2759</v>
      </c>
      <c r="U1772" t="s">
        <v>2760</v>
      </c>
      <c r="V1772" s="4">
        <v>0</v>
      </c>
      <c r="W1772" s="4">
        <v>1</v>
      </c>
    </row>
    <row r="1773" spans="1:23">
      <c r="A1773" t="s">
        <v>1905</v>
      </c>
      <c r="B1773" s="2">
        <v>45928</v>
      </c>
      <c r="C1773" t="s">
        <v>131</v>
      </c>
      <c r="D1773" t="s">
        <v>132</v>
      </c>
      <c r="E1773" t="s">
        <v>73</v>
      </c>
      <c r="F1773" t="s">
        <v>57</v>
      </c>
      <c r="G1773" t="s">
        <v>74</v>
      </c>
      <c r="H1773" t="s">
        <v>75</v>
      </c>
      <c r="I1773">
        <v>6</v>
      </c>
      <c r="J1773" s="3">
        <v>9373.5</v>
      </c>
      <c r="K1773" s="3">
        <v>56241</v>
      </c>
      <c r="L1773" t="s">
        <v>25</v>
      </c>
      <c r="M1773" s="2">
        <v>45934</v>
      </c>
      <c r="N1773" s="2">
        <v>45932</v>
      </c>
      <c r="O1773" t="s">
        <v>26</v>
      </c>
      <c r="P1773" t="s">
        <v>77</v>
      </c>
      <c r="Q1773" t="s">
        <v>28</v>
      </c>
      <c r="R1773" t="s">
        <v>29</v>
      </c>
      <c r="S1773">
        <v>2025</v>
      </c>
      <c r="T1773" t="s">
        <v>2753</v>
      </c>
      <c r="U1773" t="s">
        <v>2754</v>
      </c>
      <c r="V1773" s="4">
        <v>0</v>
      </c>
      <c r="W1773" s="4">
        <v>1</v>
      </c>
    </row>
    <row r="1774" spans="1:23">
      <c r="A1774" t="s">
        <v>1906</v>
      </c>
      <c r="B1774" s="2">
        <v>46014</v>
      </c>
      <c r="C1774" t="s">
        <v>147</v>
      </c>
      <c r="D1774" t="s">
        <v>148</v>
      </c>
      <c r="E1774" t="s">
        <v>112</v>
      </c>
      <c r="F1774" t="s">
        <v>40</v>
      </c>
      <c r="G1774" t="s">
        <v>62</v>
      </c>
      <c r="H1774" t="s">
        <v>63</v>
      </c>
      <c r="I1774">
        <v>2</v>
      </c>
      <c r="J1774" s="3">
        <v>18325.419999999998</v>
      </c>
      <c r="K1774" s="3">
        <v>36650.839999999997</v>
      </c>
      <c r="L1774" t="s">
        <v>25</v>
      </c>
      <c r="M1774" s="2">
        <v>46028</v>
      </c>
      <c r="N1774" s="2">
        <v>46028</v>
      </c>
      <c r="O1774" t="s">
        <v>76</v>
      </c>
      <c r="P1774" t="s">
        <v>115</v>
      </c>
      <c r="Q1774" t="s">
        <v>28</v>
      </c>
      <c r="R1774" t="s">
        <v>29</v>
      </c>
      <c r="S1774">
        <v>2025</v>
      </c>
      <c r="T1774" t="s">
        <v>2745</v>
      </c>
      <c r="U1774" t="s">
        <v>2746</v>
      </c>
      <c r="V1774" s="4">
        <v>0</v>
      </c>
      <c r="W1774" s="4">
        <v>1</v>
      </c>
    </row>
    <row r="1775" spans="1:23">
      <c r="A1775" t="s">
        <v>1907</v>
      </c>
      <c r="B1775" s="2">
        <v>46024</v>
      </c>
      <c r="C1775" t="s">
        <v>66</v>
      </c>
      <c r="D1775" t="s">
        <v>67</v>
      </c>
      <c r="E1775" t="s">
        <v>48</v>
      </c>
      <c r="F1775" t="s">
        <v>49</v>
      </c>
      <c r="G1775" t="s">
        <v>113</v>
      </c>
      <c r="H1775" t="s">
        <v>114</v>
      </c>
      <c r="I1775">
        <v>2</v>
      </c>
      <c r="J1775" s="3">
        <v>36771.870000000003</v>
      </c>
      <c r="K1775" s="3">
        <v>73543.740000000005</v>
      </c>
      <c r="L1775" t="s">
        <v>25</v>
      </c>
      <c r="M1775" s="2">
        <v>46031</v>
      </c>
      <c r="N1775" s="2">
        <v>46031</v>
      </c>
      <c r="O1775" t="s">
        <v>26</v>
      </c>
      <c r="P1775" t="s">
        <v>53</v>
      </c>
      <c r="Q1775" t="s">
        <v>28</v>
      </c>
      <c r="R1775" t="s">
        <v>29</v>
      </c>
      <c r="S1775">
        <v>2026</v>
      </c>
      <c r="T1775" t="s">
        <v>2757</v>
      </c>
      <c r="U1775" t="s">
        <v>2758</v>
      </c>
      <c r="V1775" s="4">
        <v>0</v>
      </c>
      <c r="W1775" s="4">
        <v>1</v>
      </c>
    </row>
    <row r="1776" spans="1:23">
      <c r="A1776" t="s">
        <v>1908</v>
      </c>
      <c r="B1776" s="2">
        <v>46110</v>
      </c>
      <c r="C1776" t="s">
        <v>19</v>
      </c>
      <c r="D1776" t="s">
        <v>20</v>
      </c>
      <c r="E1776" t="s">
        <v>39</v>
      </c>
      <c r="F1776" t="s">
        <v>22</v>
      </c>
      <c r="G1776" t="s">
        <v>23</v>
      </c>
      <c r="H1776" t="s">
        <v>24</v>
      </c>
      <c r="I1776">
        <v>28</v>
      </c>
      <c r="J1776" s="3">
        <v>235.77</v>
      </c>
      <c r="K1776" s="3">
        <v>6601.56</v>
      </c>
      <c r="L1776" t="s">
        <v>34</v>
      </c>
      <c r="M1776" s="2">
        <v>46121</v>
      </c>
      <c r="N1776" s="2">
        <v>46120</v>
      </c>
      <c r="O1776" t="s">
        <v>76</v>
      </c>
      <c r="P1776" t="s">
        <v>64</v>
      </c>
      <c r="Q1776" t="s">
        <v>28</v>
      </c>
      <c r="R1776" t="s">
        <v>29</v>
      </c>
      <c r="S1776">
        <v>2026</v>
      </c>
      <c r="T1776" t="s">
        <v>2747</v>
      </c>
      <c r="U1776" t="s">
        <v>2755</v>
      </c>
      <c r="V1776" s="4">
        <v>0</v>
      </c>
      <c r="W1776" s="4">
        <v>1</v>
      </c>
    </row>
    <row r="1777" spans="1:23">
      <c r="A1777" t="s">
        <v>1909</v>
      </c>
      <c r="B1777" s="2">
        <v>45687</v>
      </c>
      <c r="C1777" t="s">
        <v>142</v>
      </c>
      <c r="D1777" t="s">
        <v>143</v>
      </c>
      <c r="E1777" t="s">
        <v>31</v>
      </c>
      <c r="F1777" t="s">
        <v>22</v>
      </c>
      <c r="G1777" t="s">
        <v>32</v>
      </c>
      <c r="H1777" t="s">
        <v>33</v>
      </c>
      <c r="I1777">
        <v>10</v>
      </c>
      <c r="J1777" s="3">
        <v>7600.17</v>
      </c>
      <c r="K1777" s="3">
        <v>76001.7</v>
      </c>
      <c r="L1777" t="s">
        <v>34</v>
      </c>
      <c r="M1777" s="2">
        <v>45701</v>
      </c>
      <c r="N1777" s="2">
        <v>45698</v>
      </c>
      <c r="O1777" t="s">
        <v>43</v>
      </c>
      <c r="P1777" t="s">
        <v>35</v>
      </c>
      <c r="Q1777" t="s">
        <v>28</v>
      </c>
      <c r="R1777" t="s">
        <v>29</v>
      </c>
      <c r="S1777">
        <v>2025</v>
      </c>
      <c r="T1777" t="s">
        <v>2757</v>
      </c>
      <c r="U1777" t="s">
        <v>2768</v>
      </c>
      <c r="V1777" s="4">
        <v>0</v>
      </c>
      <c r="W1777" s="4">
        <v>1</v>
      </c>
    </row>
    <row r="1778" spans="1:23">
      <c r="A1778" t="s">
        <v>1910</v>
      </c>
      <c r="B1778" s="2">
        <v>45904</v>
      </c>
      <c r="C1778" t="s">
        <v>104</v>
      </c>
      <c r="D1778" t="s">
        <v>105</v>
      </c>
      <c r="E1778" t="s">
        <v>48</v>
      </c>
      <c r="F1778" t="s">
        <v>49</v>
      </c>
      <c r="G1778" t="s">
        <v>113</v>
      </c>
      <c r="H1778" t="s">
        <v>114</v>
      </c>
      <c r="I1778">
        <v>1</v>
      </c>
      <c r="J1778" s="3">
        <v>38169.730000000003</v>
      </c>
      <c r="K1778" s="3">
        <v>38169.730000000003</v>
      </c>
      <c r="L1778" t="s">
        <v>34</v>
      </c>
      <c r="M1778" s="2">
        <v>45913</v>
      </c>
      <c r="N1778" s="2">
        <v>45911</v>
      </c>
      <c r="O1778" t="s">
        <v>26</v>
      </c>
      <c r="P1778" t="s">
        <v>53</v>
      </c>
      <c r="Q1778" t="s">
        <v>28</v>
      </c>
      <c r="R1778" t="s">
        <v>29</v>
      </c>
      <c r="S1778">
        <v>2025</v>
      </c>
      <c r="T1778" t="s">
        <v>2753</v>
      </c>
      <c r="U1778" t="s">
        <v>2754</v>
      </c>
      <c r="V1778" s="4">
        <v>0</v>
      </c>
      <c r="W1778" s="4">
        <v>1</v>
      </c>
    </row>
    <row r="1779" spans="1:23">
      <c r="A1779" t="s">
        <v>1911</v>
      </c>
      <c r="B1779" s="2">
        <v>46086</v>
      </c>
      <c r="C1779" t="s">
        <v>131</v>
      </c>
      <c r="D1779" t="s">
        <v>132</v>
      </c>
      <c r="E1779" t="s">
        <v>48</v>
      </c>
      <c r="F1779" t="s">
        <v>57</v>
      </c>
      <c r="G1779" t="s">
        <v>86</v>
      </c>
      <c r="H1779" t="s">
        <v>87</v>
      </c>
      <c r="I1779">
        <v>4</v>
      </c>
      <c r="J1779" s="3">
        <v>11188.42</v>
      </c>
      <c r="K1779" s="3">
        <v>44753.68</v>
      </c>
      <c r="L1779" t="s">
        <v>25</v>
      </c>
      <c r="M1779" s="2">
        <v>46104</v>
      </c>
      <c r="N1779" s="2">
        <v>46104</v>
      </c>
      <c r="O1779" t="s">
        <v>76</v>
      </c>
      <c r="P1779" t="s">
        <v>53</v>
      </c>
      <c r="Q1779" t="s">
        <v>28</v>
      </c>
      <c r="R1779" t="s">
        <v>29</v>
      </c>
      <c r="S1779">
        <v>2026</v>
      </c>
      <c r="T1779" t="s">
        <v>2747</v>
      </c>
      <c r="U1779" t="s">
        <v>2755</v>
      </c>
      <c r="V1779" s="4">
        <v>0</v>
      </c>
      <c r="W1779" s="4">
        <v>1</v>
      </c>
    </row>
    <row r="1780" spans="1:23">
      <c r="A1780" t="s">
        <v>1912</v>
      </c>
      <c r="B1780" s="2">
        <v>45956</v>
      </c>
      <c r="C1780" t="s">
        <v>134</v>
      </c>
      <c r="D1780" t="s">
        <v>135</v>
      </c>
      <c r="E1780" t="s">
        <v>39</v>
      </c>
      <c r="F1780" t="s">
        <v>40</v>
      </c>
      <c r="G1780" t="s">
        <v>149</v>
      </c>
      <c r="H1780" t="s">
        <v>150</v>
      </c>
      <c r="I1780">
        <v>59</v>
      </c>
      <c r="J1780" s="3">
        <v>1340.5</v>
      </c>
      <c r="K1780" s="3">
        <v>79089.5</v>
      </c>
      <c r="L1780" t="s">
        <v>34</v>
      </c>
      <c r="M1780" s="2">
        <v>45971</v>
      </c>
      <c r="N1780" s="2">
        <v>45970</v>
      </c>
      <c r="O1780" t="s">
        <v>26</v>
      </c>
      <c r="P1780" t="s">
        <v>64</v>
      </c>
      <c r="Q1780" t="s">
        <v>28</v>
      </c>
      <c r="R1780" t="s">
        <v>29</v>
      </c>
      <c r="S1780">
        <v>2025</v>
      </c>
      <c r="T1780" t="s">
        <v>2749</v>
      </c>
      <c r="U1780" t="s">
        <v>2750</v>
      </c>
      <c r="V1780" s="4">
        <v>0</v>
      </c>
      <c r="W1780" s="4">
        <v>1</v>
      </c>
    </row>
    <row r="1781" spans="1:23">
      <c r="A1781" t="s">
        <v>1913</v>
      </c>
      <c r="B1781" s="2">
        <v>45910</v>
      </c>
      <c r="C1781" t="s">
        <v>71</v>
      </c>
      <c r="D1781" t="s">
        <v>72</v>
      </c>
      <c r="E1781" t="s">
        <v>31</v>
      </c>
      <c r="F1781" t="s">
        <v>57</v>
      </c>
      <c r="G1781" t="s">
        <v>74</v>
      </c>
      <c r="H1781" t="s">
        <v>75</v>
      </c>
      <c r="I1781">
        <v>10</v>
      </c>
      <c r="J1781" s="3">
        <v>7909.75</v>
      </c>
      <c r="K1781" s="3">
        <v>79097.5</v>
      </c>
      <c r="L1781" t="s">
        <v>25</v>
      </c>
      <c r="M1781" s="2">
        <v>45916</v>
      </c>
      <c r="N1781" s="2">
        <v>45923</v>
      </c>
      <c r="O1781" t="s">
        <v>43</v>
      </c>
      <c r="P1781" t="s">
        <v>35</v>
      </c>
      <c r="Q1781" t="s">
        <v>28</v>
      </c>
      <c r="R1781" t="s">
        <v>129</v>
      </c>
      <c r="S1781">
        <v>2025</v>
      </c>
      <c r="T1781" t="s">
        <v>2753</v>
      </c>
      <c r="U1781" t="s">
        <v>2754</v>
      </c>
      <c r="V1781" s="4">
        <v>7</v>
      </c>
      <c r="W1781" s="4">
        <v>0</v>
      </c>
    </row>
    <row r="1782" spans="1:23">
      <c r="A1782" t="s">
        <v>1914</v>
      </c>
      <c r="B1782" s="2">
        <v>45922</v>
      </c>
      <c r="C1782" t="s">
        <v>80</v>
      </c>
      <c r="D1782" t="s">
        <v>81</v>
      </c>
      <c r="E1782" t="s">
        <v>39</v>
      </c>
      <c r="F1782" t="s">
        <v>82</v>
      </c>
      <c r="G1782" t="s">
        <v>83</v>
      </c>
      <c r="H1782" t="s">
        <v>84</v>
      </c>
      <c r="I1782">
        <v>44</v>
      </c>
      <c r="J1782" s="3">
        <v>671.95</v>
      </c>
      <c r="K1782" s="3">
        <v>29565.8</v>
      </c>
      <c r="L1782" t="s">
        <v>52</v>
      </c>
      <c r="M1782" s="2">
        <v>45932</v>
      </c>
      <c r="N1782" s="2">
        <v>45932</v>
      </c>
      <c r="O1782" t="s">
        <v>26</v>
      </c>
      <c r="P1782" t="s">
        <v>44</v>
      </c>
      <c r="Q1782" t="s">
        <v>28</v>
      </c>
      <c r="R1782" t="s">
        <v>29</v>
      </c>
      <c r="S1782">
        <v>2025</v>
      </c>
      <c r="T1782" t="s">
        <v>2753</v>
      </c>
      <c r="U1782" t="s">
        <v>2754</v>
      </c>
      <c r="V1782" s="4">
        <v>0</v>
      </c>
      <c r="W1782" s="4">
        <v>1</v>
      </c>
    </row>
    <row r="1783" spans="1:23">
      <c r="A1783" t="s">
        <v>1915</v>
      </c>
      <c r="B1783" s="2">
        <v>46153</v>
      </c>
      <c r="C1783" t="s">
        <v>71</v>
      </c>
      <c r="D1783" t="s">
        <v>72</v>
      </c>
      <c r="E1783" t="s">
        <v>31</v>
      </c>
      <c r="F1783" t="s">
        <v>57</v>
      </c>
      <c r="G1783" t="s">
        <v>101</v>
      </c>
      <c r="H1783" t="s">
        <v>102</v>
      </c>
      <c r="I1783">
        <v>12</v>
      </c>
      <c r="J1783" s="3">
        <v>1719.69</v>
      </c>
      <c r="K1783" s="3">
        <v>20636.28</v>
      </c>
      <c r="L1783" t="s">
        <v>25</v>
      </c>
      <c r="M1783" s="2">
        <v>46168</v>
      </c>
      <c r="N1783" s="2">
        <v>46167</v>
      </c>
      <c r="O1783" t="s">
        <v>76</v>
      </c>
      <c r="P1783" t="s">
        <v>94</v>
      </c>
      <c r="Q1783" t="s">
        <v>28</v>
      </c>
      <c r="R1783" t="s">
        <v>29</v>
      </c>
      <c r="S1783">
        <v>2026</v>
      </c>
      <c r="T1783" t="s">
        <v>2766</v>
      </c>
      <c r="U1783" t="s">
        <v>2769</v>
      </c>
      <c r="V1783" s="4">
        <v>0</v>
      </c>
      <c r="W1783" s="4">
        <v>1</v>
      </c>
    </row>
    <row r="1784" spans="1:23">
      <c r="A1784" t="s">
        <v>1916</v>
      </c>
      <c r="B1784" s="2">
        <v>46120</v>
      </c>
      <c r="C1784" t="s">
        <v>142</v>
      </c>
      <c r="D1784" t="s">
        <v>143</v>
      </c>
      <c r="E1784" t="s">
        <v>39</v>
      </c>
      <c r="F1784" t="s">
        <v>22</v>
      </c>
      <c r="G1784" t="s">
        <v>160</v>
      </c>
      <c r="H1784" t="s">
        <v>161</v>
      </c>
      <c r="I1784">
        <v>12</v>
      </c>
      <c r="J1784" s="3">
        <v>3198.18</v>
      </c>
      <c r="K1784" s="3">
        <v>38378.160000000003</v>
      </c>
      <c r="L1784" t="s">
        <v>25</v>
      </c>
      <c r="M1784" s="2">
        <v>46125</v>
      </c>
      <c r="N1784" s="2">
        <v>46122</v>
      </c>
      <c r="O1784" t="s">
        <v>26</v>
      </c>
      <c r="P1784" t="s">
        <v>64</v>
      </c>
      <c r="Q1784" t="s">
        <v>28</v>
      </c>
      <c r="R1784" t="s">
        <v>29</v>
      </c>
      <c r="S1784">
        <v>2026</v>
      </c>
      <c r="T1784" t="s">
        <v>2741</v>
      </c>
      <c r="U1784" t="s">
        <v>2770</v>
      </c>
      <c r="V1784" s="4">
        <v>0</v>
      </c>
      <c r="W1784" s="4">
        <v>1</v>
      </c>
    </row>
    <row r="1785" spans="1:23">
      <c r="A1785" t="s">
        <v>1917</v>
      </c>
      <c r="B1785" s="2">
        <v>45758</v>
      </c>
      <c r="C1785" t="s">
        <v>71</v>
      </c>
      <c r="D1785" t="s">
        <v>72</v>
      </c>
      <c r="E1785" t="s">
        <v>21</v>
      </c>
      <c r="F1785" t="s">
        <v>57</v>
      </c>
      <c r="G1785" t="s">
        <v>101</v>
      </c>
      <c r="H1785" t="s">
        <v>102</v>
      </c>
      <c r="I1785">
        <v>48</v>
      </c>
      <c r="J1785" s="3">
        <v>1683.23</v>
      </c>
      <c r="K1785" s="3">
        <v>80795.039999999994</v>
      </c>
      <c r="L1785" t="s">
        <v>25</v>
      </c>
      <c r="M1785" s="2">
        <v>45770</v>
      </c>
      <c r="N1785" s="2">
        <v>45767</v>
      </c>
      <c r="O1785" t="s">
        <v>43</v>
      </c>
      <c r="P1785" t="s">
        <v>27</v>
      </c>
      <c r="Q1785" t="s">
        <v>28</v>
      </c>
      <c r="R1785" t="s">
        <v>29</v>
      </c>
      <c r="S1785">
        <v>2025</v>
      </c>
      <c r="T1785" t="s">
        <v>2741</v>
      </c>
      <c r="U1785" t="s">
        <v>2742</v>
      </c>
      <c r="V1785" s="4">
        <v>0</v>
      </c>
      <c r="W1785" s="4">
        <v>1</v>
      </c>
    </row>
    <row r="1786" spans="1:23">
      <c r="A1786" t="s">
        <v>1918</v>
      </c>
      <c r="B1786" s="2">
        <v>45798</v>
      </c>
      <c r="C1786" t="s">
        <v>104</v>
      </c>
      <c r="D1786" t="s">
        <v>105</v>
      </c>
      <c r="E1786" t="s">
        <v>48</v>
      </c>
      <c r="F1786" t="s">
        <v>49</v>
      </c>
      <c r="G1786" t="s">
        <v>113</v>
      </c>
      <c r="H1786" t="s">
        <v>114</v>
      </c>
      <c r="I1786">
        <v>3</v>
      </c>
      <c r="J1786" s="3">
        <v>37478.699999999997</v>
      </c>
      <c r="K1786" s="3">
        <v>112436.1</v>
      </c>
      <c r="L1786" t="s">
        <v>25</v>
      </c>
      <c r="M1786" s="2">
        <v>45814</v>
      </c>
      <c r="N1786" s="2">
        <v>45814</v>
      </c>
      <c r="O1786" t="s">
        <v>26</v>
      </c>
      <c r="P1786" t="s">
        <v>53</v>
      </c>
      <c r="Q1786" t="s">
        <v>28</v>
      </c>
      <c r="R1786" t="s">
        <v>29</v>
      </c>
      <c r="S1786">
        <v>2025</v>
      </c>
      <c r="T1786" t="s">
        <v>2766</v>
      </c>
      <c r="U1786" t="s">
        <v>2767</v>
      </c>
      <c r="V1786" s="4">
        <v>0</v>
      </c>
      <c r="W1786" s="4">
        <v>1</v>
      </c>
    </row>
    <row r="1787" spans="1:23">
      <c r="A1787" t="s">
        <v>1919</v>
      </c>
      <c r="B1787" s="2">
        <v>45918</v>
      </c>
      <c r="C1787" t="s">
        <v>142</v>
      </c>
      <c r="D1787" t="s">
        <v>143</v>
      </c>
      <c r="E1787" t="s">
        <v>39</v>
      </c>
      <c r="F1787" t="s">
        <v>22</v>
      </c>
      <c r="G1787" t="s">
        <v>23</v>
      </c>
      <c r="H1787" t="s">
        <v>24</v>
      </c>
      <c r="I1787">
        <v>52</v>
      </c>
      <c r="J1787" s="3">
        <v>249.45</v>
      </c>
      <c r="K1787" s="3">
        <v>12971.4</v>
      </c>
      <c r="L1787" t="s">
        <v>34</v>
      </c>
      <c r="M1787" s="2">
        <v>45935</v>
      </c>
      <c r="N1787" s="2">
        <v>45932</v>
      </c>
      <c r="O1787" t="s">
        <v>43</v>
      </c>
      <c r="P1787" t="s">
        <v>64</v>
      </c>
      <c r="Q1787" t="s">
        <v>28</v>
      </c>
      <c r="R1787" t="s">
        <v>29</v>
      </c>
      <c r="S1787">
        <v>2025</v>
      </c>
      <c r="T1787" t="s">
        <v>2753</v>
      </c>
      <c r="U1787" t="s">
        <v>2754</v>
      </c>
      <c r="V1787" s="4">
        <v>0</v>
      </c>
      <c r="W1787" s="4">
        <v>1</v>
      </c>
    </row>
    <row r="1788" spans="1:23">
      <c r="A1788" t="s">
        <v>1920</v>
      </c>
      <c r="B1788" s="2">
        <v>45975</v>
      </c>
      <c r="C1788" t="s">
        <v>142</v>
      </c>
      <c r="D1788" t="s">
        <v>143</v>
      </c>
      <c r="E1788" t="s">
        <v>112</v>
      </c>
      <c r="F1788" t="s">
        <v>22</v>
      </c>
      <c r="G1788" t="s">
        <v>32</v>
      </c>
      <c r="H1788" t="s">
        <v>33</v>
      </c>
      <c r="I1788">
        <v>13</v>
      </c>
      <c r="J1788" s="3">
        <v>8234.75</v>
      </c>
      <c r="K1788" s="3">
        <v>107051.75</v>
      </c>
      <c r="L1788" t="s">
        <v>34</v>
      </c>
      <c r="M1788" s="2">
        <v>45986</v>
      </c>
      <c r="N1788" s="2">
        <v>45998</v>
      </c>
      <c r="O1788" t="s">
        <v>76</v>
      </c>
      <c r="P1788" t="s">
        <v>115</v>
      </c>
      <c r="Q1788" t="s">
        <v>28</v>
      </c>
      <c r="R1788" t="s">
        <v>129</v>
      </c>
      <c r="S1788">
        <v>2025</v>
      </c>
      <c r="T1788" t="s">
        <v>2763</v>
      </c>
      <c r="U1788" t="s">
        <v>2764</v>
      </c>
      <c r="V1788" s="4">
        <v>12</v>
      </c>
      <c r="W1788" s="4">
        <v>0</v>
      </c>
    </row>
    <row r="1789" spans="1:23">
      <c r="A1789" t="s">
        <v>1921</v>
      </c>
      <c r="B1789" s="2">
        <v>45868</v>
      </c>
      <c r="C1789" t="s">
        <v>104</v>
      </c>
      <c r="D1789" t="s">
        <v>105</v>
      </c>
      <c r="E1789" t="s">
        <v>48</v>
      </c>
      <c r="F1789" t="s">
        <v>49</v>
      </c>
      <c r="G1789" t="s">
        <v>165</v>
      </c>
      <c r="H1789" t="s">
        <v>166</v>
      </c>
      <c r="I1789">
        <v>1</v>
      </c>
      <c r="J1789" s="3">
        <v>43478.67</v>
      </c>
      <c r="K1789" s="3">
        <v>43478.67</v>
      </c>
      <c r="L1789" t="s">
        <v>25</v>
      </c>
      <c r="M1789" s="2">
        <v>45876</v>
      </c>
      <c r="N1789" s="2">
        <v>45876</v>
      </c>
      <c r="O1789" t="s">
        <v>26</v>
      </c>
      <c r="P1789" t="s">
        <v>53</v>
      </c>
      <c r="Q1789" t="s">
        <v>28</v>
      </c>
      <c r="R1789" t="s">
        <v>29</v>
      </c>
      <c r="S1789">
        <v>2025</v>
      </c>
      <c r="T1789" t="s">
        <v>2759</v>
      </c>
      <c r="U1789" t="s">
        <v>2760</v>
      </c>
      <c r="V1789" s="4">
        <v>0</v>
      </c>
      <c r="W1789" s="4">
        <v>1</v>
      </c>
    </row>
    <row r="1790" spans="1:23">
      <c r="A1790" t="s">
        <v>1922</v>
      </c>
      <c r="B1790" s="2">
        <v>46115</v>
      </c>
      <c r="C1790" t="s">
        <v>37</v>
      </c>
      <c r="D1790" t="s">
        <v>38</v>
      </c>
      <c r="E1790" t="s">
        <v>39</v>
      </c>
      <c r="F1790" t="s">
        <v>40</v>
      </c>
      <c r="G1790" t="s">
        <v>41</v>
      </c>
      <c r="H1790" t="s">
        <v>42</v>
      </c>
      <c r="I1790">
        <v>1</v>
      </c>
      <c r="J1790" s="3">
        <v>5692.91</v>
      </c>
      <c r="K1790" s="3">
        <v>5692.91</v>
      </c>
      <c r="L1790" t="s">
        <v>25</v>
      </c>
      <c r="M1790" s="2">
        <v>46121</v>
      </c>
      <c r="N1790" s="2">
        <v>46120</v>
      </c>
      <c r="O1790" t="s">
        <v>43</v>
      </c>
      <c r="P1790" t="s">
        <v>64</v>
      </c>
      <c r="Q1790" t="s">
        <v>28</v>
      </c>
      <c r="R1790" t="s">
        <v>29</v>
      </c>
      <c r="S1790">
        <v>2026</v>
      </c>
      <c r="T1790" t="s">
        <v>2741</v>
      </c>
      <c r="U1790" t="s">
        <v>2770</v>
      </c>
      <c r="V1790" s="4">
        <v>0</v>
      </c>
      <c r="W1790" s="4">
        <v>1</v>
      </c>
    </row>
    <row r="1791" spans="1:23">
      <c r="A1791" t="s">
        <v>1923</v>
      </c>
      <c r="B1791" s="2">
        <v>45831</v>
      </c>
      <c r="C1791" t="s">
        <v>19</v>
      </c>
      <c r="D1791" t="s">
        <v>20</v>
      </c>
      <c r="E1791" t="s">
        <v>39</v>
      </c>
      <c r="F1791" t="s">
        <v>22</v>
      </c>
      <c r="G1791" t="s">
        <v>32</v>
      </c>
      <c r="H1791" t="s">
        <v>33</v>
      </c>
      <c r="I1791">
        <v>2</v>
      </c>
      <c r="J1791" s="3">
        <v>7411.14</v>
      </c>
      <c r="K1791" s="3">
        <v>14822.28</v>
      </c>
      <c r="L1791" t="s">
        <v>34</v>
      </c>
      <c r="M1791" s="2">
        <v>45848</v>
      </c>
      <c r="N1791" s="2">
        <v>45848</v>
      </c>
      <c r="O1791" t="s">
        <v>60</v>
      </c>
      <c r="P1791" t="s">
        <v>64</v>
      </c>
      <c r="Q1791" t="s">
        <v>28</v>
      </c>
      <c r="R1791" t="s">
        <v>29</v>
      </c>
      <c r="S1791">
        <v>2025</v>
      </c>
      <c r="T1791" t="s">
        <v>2743</v>
      </c>
      <c r="U1791" t="s">
        <v>2756</v>
      </c>
      <c r="V1791" s="4">
        <v>0</v>
      </c>
      <c r="W1791" s="4">
        <v>1</v>
      </c>
    </row>
    <row r="1792" spans="1:23">
      <c r="A1792" t="s">
        <v>1924</v>
      </c>
      <c r="B1792" s="2">
        <v>45901</v>
      </c>
      <c r="C1792" t="s">
        <v>131</v>
      </c>
      <c r="D1792" t="s">
        <v>132</v>
      </c>
      <c r="E1792" t="s">
        <v>48</v>
      </c>
      <c r="F1792" t="s">
        <v>57</v>
      </c>
      <c r="G1792" t="s">
        <v>120</v>
      </c>
      <c r="H1792" t="s">
        <v>121</v>
      </c>
      <c r="I1792">
        <v>4</v>
      </c>
      <c r="J1792" s="3">
        <v>23021.14</v>
      </c>
      <c r="K1792" s="3">
        <v>92084.56</v>
      </c>
      <c r="L1792" t="s">
        <v>25</v>
      </c>
      <c r="M1792" s="2">
        <v>45917</v>
      </c>
      <c r="N1792" s="2">
        <v>45917</v>
      </c>
      <c r="O1792" t="s">
        <v>76</v>
      </c>
      <c r="P1792" t="s">
        <v>53</v>
      </c>
      <c r="Q1792" t="s">
        <v>28</v>
      </c>
      <c r="R1792" t="s">
        <v>29</v>
      </c>
      <c r="S1792">
        <v>2025</v>
      </c>
      <c r="T1792" t="s">
        <v>2753</v>
      </c>
      <c r="U1792" t="s">
        <v>2754</v>
      </c>
      <c r="V1792" s="4">
        <v>0</v>
      </c>
      <c r="W1792" s="4">
        <v>1</v>
      </c>
    </row>
    <row r="1793" spans="1:23">
      <c r="A1793" t="s">
        <v>1925</v>
      </c>
      <c r="B1793" s="2">
        <v>46096</v>
      </c>
      <c r="C1793" t="s">
        <v>142</v>
      </c>
      <c r="D1793" t="s">
        <v>143</v>
      </c>
      <c r="E1793" t="s">
        <v>39</v>
      </c>
      <c r="F1793" t="s">
        <v>22</v>
      </c>
      <c r="G1793" t="s">
        <v>160</v>
      </c>
      <c r="H1793" t="s">
        <v>161</v>
      </c>
      <c r="I1793">
        <v>12</v>
      </c>
      <c r="J1793" s="3">
        <v>3096.85</v>
      </c>
      <c r="K1793" s="3">
        <v>37162.199999999997</v>
      </c>
      <c r="L1793" t="s">
        <v>52</v>
      </c>
      <c r="M1793" s="2">
        <v>46102</v>
      </c>
      <c r="N1793" s="2">
        <v>46099</v>
      </c>
      <c r="O1793" t="s">
        <v>60</v>
      </c>
      <c r="P1793" t="s">
        <v>64</v>
      </c>
      <c r="Q1793" t="s">
        <v>28</v>
      </c>
      <c r="R1793" t="s">
        <v>29</v>
      </c>
      <c r="S1793">
        <v>2026</v>
      </c>
      <c r="T1793" t="s">
        <v>2747</v>
      </c>
      <c r="U1793" t="s">
        <v>2755</v>
      </c>
      <c r="V1793" s="4">
        <v>0</v>
      </c>
      <c r="W1793" s="4">
        <v>1</v>
      </c>
    </row>
    <row r="1794" spans="1:23">
      <c r="A1794" t="s">
        <v>1926</v>
      </c>
      <c r="B1794" s="2">
        <v>46102</v>
      </c>
      <c r="C1794" t="s">
        <v>89</v>
      </c>
      <c r="D1794" t="s">
        <v>90</v>
      </c>
      <c r="E1794" t="s">
        <v>31</v>
      </c>
      <c r="F1794" t="s">
        <v>91</v>
      </c>
      <c r="G1794" t="s">
        <v>109</v>
      </c>
      <c r="H1794" t="s">
        <v>110</v>
      </c>
      <c r="I1794">
        <v>1</v>
      </c>
      <c r="J1794" s="3">
        <v>12243.78</v>
      </c>
      <c r="K1794" s="3">
        <v>12243.78</v>
      </c>
      <c r="L1794" t="s">
        <v>52</v>
      </c>
      <c r="M1794" s="2">
        <v>46115</v>
      </c>
      <c r="N1794" s="2">
        <v>46115</v>
      </c>
      <c r="O1794" t="s">
        <v>43</v>
      </c>
      <c r="P1794" t="s">
        <v>35</v>
      </c>
      <c r="Q1794" t="s">
        <v>28</v>
      </c>
      <c r="R1794" t="s">
        <v>29</v>
      </c>
      <c r="S1794">
        <v>2026</v>
      </c>
      <c r="T1794" t="s">
        <v>2747</v>
      </c>
      <c r="U1794" t="s">
        <v>2755</v>
      </c>
      <c r="V1794" s="4">
        <v>0</v>
      </c>
      <c r="W1794" s="4">
        <v>1</v>
      </c>
    </row>
    <row r="1795" spans="1:23">
      <c r="A1795" t="s">
        <v>1927</v>
      </c>
      <c r="B1795" s="2">
        <v>45969</v>
      </c>
      <c r="C1795" t="s">
        <v>37</v>
      </c>
      <c r="D1795" t="s">
        <v>38</v>
      </c>
      <c r="E1795" t="s">
        <v>112</v>
      </c>
      <c r="F1795" t="s">
        <v>40</v>
      </c>
      <c r="G1795" t="s">
        <v>62</v>
      </c>
      <c r="H1795" t="s">
        <v>63</v>
      </c>
      <c r="I1795">
        <v>6</v>
      </c>
      <c r="J1795" s="3">
        <v>19707.669999999998</v>
      </c>
      <c r="K1795" s="3">
        <v>118246.02</v>
      </c>
      <c r="L1795" t="s">
        <v>25</v>
      </c>
      <c r="M1795" s="2">
        <v>45980</v>
      </c>
      <c r="N1795" s="2">
        <v>45979</v>
      </c>
      <c r="O1795" t="s">
        <v>60</v>
      </c>
      <c r="P1795" t="s">
        <v>115</v>
      </c>
      <c r="Q1795" t="s">
        <v>28</v>
      </c>
      <c r="R1795" t="s">
        <v>29</v>
      </c>
      <c r="S1795">
        <v>2025</v>
      </c>
      <c r="T1795" t="s">
        <v>2763</v>
      </c>
      <c r="U1795" t="s">
        <v>2764</v>
      </c>
      <c r="V1795" s="4">
        <v>0</v>
      </c>
      <c r="W1795" s="4">
        <v>1</v>
      </c>
    </row>
    <row r="1796" spans="1:23">
      <c r="A1796" t="s">
        <v>1928</v>
      </c>
      <c r="B1796" s="2">
        <v>45899</v>
      </c>
      <c r="C1796" t="s">
        <v>71</v>
      </c>
      <c r="D1796" t="s">
        <v>72</v>
      </c>
      <c r="E1796" t="s">
        <v>48</v>
      </c>
      <c r="F1796" t="s">
        <v>57</v>
      </c>
      <c r="G1796" t="s">
        <v>120</v>
      </c>
      <c r="H1796" t="s">
        <v>121</v>
      </c>
      <c r="I1796">
        <v>7</v>
      </c>
      <c r="J1796" s="3">
        <v>20579.27</v>
      </c>
      <c r="K1796" s="3">
        <v>144054.89000000001</v>
      </c>
      <c r="L1796" t="s">
        <v>25</v>
      </c>
      <c r="M1796" s="2">
        <v>45916</v>
      </c>
      <c r="N1796" s="2">
        <v>45924</v>
      </c>
      <c r="O1796" t="s">
        <v>76</v>
      </c>
      <c r="P1796" t="s">
        <v>53</v>
      </c>
      <c r="Q1796" t="s">
        <v>28</v>
      </c>
      <c r="R1796" t="s">
        <v>129</v>
      </c>
      <c r="S1796">
        <v>2025</v>
      </c>
      <c r="T1796" t="s">
        <v>2761</v>
      </c>
      <c r="U1796" t="s">
        <v>2762</v>
      </c>
      <c r="V1796" s="4">
        <v>8</v>
      </c>
      <c r="W1796" s="4">
        <v>0</v>
      </c>
    </row>
    <row r="1797" spans="1:23">
      <c r="A1797" t="s">
        <v>1929</v>
      </c>
      <c r="B1797" s="2">
        <v>45767</v>
      </c>
      <c r="C1797" t="s">
        <v>46</v>
      </c>
      <c r="D1797" t="s">
        <v>47</v>
      </c>
      <c r="E1797" t="s">
        <v>73</v>
      </c>
      <c r="F1797" t="s">
        <v>49</v>
      </c>
      <c r="G1797" t="s">
        <v>68</v>
      </c>
      <c r="H1797" t="s">
        <v>69</v>
      </c>
      <c r="I1797">
        <v>1</v>
      </c>
      <c r="J1797" s="3">
        <v>53149.04</v>
      </c>
      <c r="K1797" s="3">
        <v>53149.04</v>
      </c>
      <c r="L1797" t="s">
        <v>25</v>
      </c>
      <c r="M1797" s="2">
        <v>45777</v>
      </c>
      <c r="N1797" s="2">
        <v>45774</v>
      </c>
      <c r="O1797" t="s">
        <v>60</v>
      </c>
      <c r="P1797" t="s">
        <v>77</v>
      </c>
      <c r="Q1797" t="s">
        <v>28</v>
      </c>
      <c r="R1797" t="s">
        <v>29</v>
      </c>
      <c r="S1797">
        <v>2025</v>
      </c>
      <c r="T1797" t="s">
        <v>2741</v>
      </c>
      <c r="U1797" t="s">
        <v>2742</v>
      </c>
      <c r="V1797" s="4">
        <v>0</v>
      </c>
      <c r="W1797" s="4">
        <v>1</v>
      </c>
    </row>
    <row r="1798" spans="1:23">
      <c r="A1798" t="s">
        <v>1930</v>
      </c>
      <c r="B1798" s="2">
        <v>45705</v>
      </c>
      <c r="C1798" t="s">
        <v>80</v>
      </c>
      <c r="D1798" t="s">
        <v>81</v>
      </c>
      <c r="E1798" t="s">
        <v>39</v>
      </c>
      <c r="F1798" t="s">
        <v>82</v>
      </c>
      <c r="G1798" t="s">
        <v>197</v>
      </c>
      <c r="H1798" t="s">
        <v>198</v>
      </c>
      <c r="I1798">
        <v>23</v>
      </c>
      <c r="J1798" s="3">
        <v>2051.91</v>
      </c>
      <c r="K1798" s="3">
        <v>47193.93</v>
      </c>
      <c r="L1798" t="s">
        <v>25</v>
      </c>
      <c r="M1798" s="2">
        <v>45720</v>
      </c>
      <c r="N1798" s="2">
        <v>45720</v>
      </c>
      <c r="O1798" t="s">
        <v>60</v>
      </c>
      <c r="P1798" t="s">
        <v>44</v>
      </c>
      <c r="Q1798" t="s">
        <v>28</v>
      </c>
      <c r="R1798" t="s">
        <v>29</v>
      </c>
      <c r="S1798">
        <v>2025</v>
      </c>
      <c r="T1798" t="s">
        <v>2751</v>
      </c>
      <c r="U1798" t="s">
        <v>2752</v>
      </c>
      <c r="V1798" s="4">
        <v>0</v>
      </c>
      <c r="W1798" s="4">
        <v>1</v>
      </c>
    </row>
    <row r="1799" spans="1:23">
      <c r="A1799" t="s">
        <v>1931</v>
      </c>
      <c r="B1799" s="2">
        <v>45838</v>
      </c>
      <c r="C1799" t="s">
        <v>142</v>
      </c>
      <c r="D1799" t="s">
        <v>143</v>
      </c>
      <c r="E1799" t="s">
        <v>39</v>
      </c>
      <c r="F1799" t="s">
        <v>22</v>
      </c>
      <c r="G1799" t="s">
        <v>23</v>
      </c>
      <c r="H1799" t="s">
        <v>24</v>
      </c>
      <c r="I1799">
        <v>9</v>
      </c>
      <c r="J1799" s="3">
        <v>250.19</v>
      </c>
      <c r="K1799" s="3">
        <v>2251.71</v>
      </c>
      <c r="L1799" t="s">
        <v>34</v>
      </c>
      <c r="M1799" s="2">
        <v>45855</v>
      </c>
      <c r="N1799" s="2">
        <v>45855</v>
      </c>
      <c r="O1799" t="s">
        <v>26</v>
      </c>
      <c r="P1799" t="s">
        <v>64</v>
      </c>
      <c r="Q1799" t="s">
        <v>28</v>
      </c>
      <c r="R1799" t="s">
        <v>29</v>
      </c>
      <c r="S1799">
        <v>2025</v>
      </c>
      <c r="T1799" t="s">
        <v>2743</v>
      </c>
      <c r="U1799" t="s">
        <v>2756</v>
      </c>
      <c r="V1799" s="4">
        <v>0</v>
      </c>
      <c r="W1799" s="4">
        <v>1</v>
      </c>
    </row>
    <row r="1800" spans="1:23">
      <c r="A1800" t="s">
        <v>1932</v>
      </c>
      <c r="B1800" s="2">
        <v>46041</v>
      </c>
      <c r="C1800" t="s">
        <v>107</v>
      </c>
      <c r="D1800" t="s">
        <v>108</v>
      </c>
      <c r="E1800" t="s">
        <v>31</v>
      </c>
      <c r="F1800" t="s">
        <v>91</v>
      </c>
      <c r="G1800" t="s">
        <v>109</v>
      </c>
      <c r="H1800" t="s">
        <v>110</v>
      </c>
      <c r="I1800">
        <v>1</v>
      </c>
      <c r="J1800" s="3">
        <v>14112.19</v>
      </c>
      <c r="K1800" s="3">
        <v>14112.19</v>
      </c>
      <c r="L1800" t="s">
        <v>34</v>
      </c>
      <c r="M1800" s="2">
        <v>46052</v>
      </c>
      <c r="N1800" s="2">
        <v>46052</v>
      </c>
      <c r="O1800" t="s">
        <v>60</v>
      </c>
      <c r="P1800" t="s">
        <v>35</v>
      </c>
      <c r="Q1800" t="s">
        <v>28</v>
      </c>
      <c r="R1800" t="s">
        <v>29</v>
      </c>
      <c r="S1800">
        <v>2026</v>
      </c>
      <c r="T1800" t="s">
        <v>2757</v>
      </c>
      <c r="U1800" t="s">
        <v>2758</v>
      </c>
      <c r="V1800" s="4">
        <v>0</v>
      </c>
      <c r="W1800" s="4">
        <v>1</v>
      </c>
    </row>
    <row r="1801" spans="1:23">
      <c r="A1801" t="s">
        <v>1933</v>
      </c>
      <c r="B1801" s="2">
        <v>46044</v>
      </c>
      <c r="C1801" t="s">
        <v>37</v>
      </c>
      <c r="D1801" t="s">
        <v>38</v>
      </c>
      <c r="E1801" t="s">
        <v>31</v>
      </c>
      <c r="F1801" t="s">
        <v>22</v>
      </c>
      <c r="G1801" t="s">
        <v>32</v>
      </c>
      <c r="H1801" t="s">
        <v>33</v>
      </c>
      <c r="I1801">
        <v>4</v>
      </c>
      <c r="J1801" s="3">
        <v>8708.4500000000007</v>
      </c>
      <c r="K1801" s="3">
        <v>34833.800000000003</v>
      </c>
      <c r="L1801" t="s">
        <v>25</v>
      </c>
      <c r="M1801" s="2">
        <v>46055</v>
      </c>
      <c r="N1801" s="2">
        <v>46054</v>
      </c>
      <c r="O1801" t="s">
        <v>76</v>
      </c>
      <c r="P1801" t="s">
        <v>94</v>
      </c>
      <c r="Q1801" t="s">
        <v>28</v>
      </c>
      <c r="R1801" t="s">
        <v>29</v>
      </c>
      <c r="S1801">
        <v>2026</v>
      </c>
      <c r="T1801" t="s">
        <v>2757</v>
      </c>
      <c r="U1801" t="s">
        <v>2758</v>
      </c>
      <c r="V1801" s="4">
        <v>0</v>
      </c>
      <c r="W1801" s="4">
        <v>1</v>
      </c>
    </row>
    <row r="1802" spans="1:23">
      <c r="A1802" t="s">
        <v>1934</v>
      </c>
      <c r="B1802" s="2">
        <v>45891</v>
      </c>
      <c r="C1802" t="s">
        <v>19</v>
      </c>
      <c r="D1802" t="s">
        <v>20</v>
      </c>
      <c r="E1802" t="s">
        <v>39</v>
      </c>
      <c r="F1802" t="s">
        <v>22</v>
      </c>
      <c r="G1802" t="s">
        <v>160</v>
      </c>
      <c r="H1802" t="s">
        <v>161</v>
      </c>
      <c r="I1802">
        <v>3</v>
      </c>
      <c r="J1802" s="3">
        <v>2860.07</v>
      </c>
      <c r="K1802" s="3">
        <v>8580.2099999999991</v>
      </c>
      <c r="L1802" t="s">
        <v>34</v>
      </c>
      <c r="M1802" s="2">
        <v>45908</v>
      </c>
      <c r="N1802" s="2">
        <v>45908</v>
      </c>
      <c r="O1802" t="s">
        <v>26</v>
      </c>
      <c r="P1802" t="s">
        <v>44</v>
      </c>
      <c r="Q1802" t="s">
        <v>28</v>
      </c>
      <c r="R1802" t="s">
        <v>29</v>
      </c>
      <c r="S1802">
        <v>2025</v>
      </c>
      <c r="T1802" t="s">
        <v>2761</v>
      </c>
      <c r="U1802" t="s">
        <v>2762</v>
      </c>
      <c r="V1802" s="4">
        <v>0</v>
      </c>
      <c r="W1802" s="4">
        <v>1</v>
      </c>
    </row>
    <row r="1803" spans="1:23">
      <c r="A1803" t="s">
        <v>1935</v>
      </c>
      <c r="B1803" s="2">
        <v>45717</v>
      </c>
      <c r="C1803" t="s">
        <v>117</v>
      </c>
      <c r="D1803" t="s">
        <v>118</v>
      </c>
      <c r="E1803" t="s">
        <v>31</v>
      </c>
      <c r="F1803" t="s">
        <v>57</v>
      </c>
      <c r="G1803" t="s">
        <v>101</v>
      </c>
      <c r="H1803" t="s">
        <v>102</v>
      </c>
      <c r="I1803">
        <v>29</v>
      </c>
      <c r="J1803" s="3">
        <v>1783.59</v>
      </c>
      <c r="K1803" s="3">
        <v>51724.11</v>
      </c>
      <c r="L1803" t="s">
        <v>34</v>
      </c>
      <c r="M1803" s="2">
        <v>45733</v>
      </c>
      <c r="N1803" s="2">
        <v>45732</v>
      </c>
      <c r="O1803" t="s">
        <v>43</v>
      </c>
      <c r="P1803" t="s">
        <v>35</v>
      </c>
      <c r="Q1803" t="s">
        <v>28</v>
      </c>
      <c r="R1803" t="s">
        <v>29</v>
      </c>
      <c r="S1803">
        <v>2025</v>
      </c>
      <c r="T1803" t="s">
        <v>2747</v>
      </c>
      <c r="U1803" t="s">
        <v>2748</v>
      </c>
      <c r="V1803" s="4">
        <v>0</v>
      </c>
      <c r="W1803" s="4">
        <v>1</v>
      </c>
    </row>
    <row r="1804" spans="1:23">
      <c r="A1804" t="s">
        <v>1936</v>
      </c>
      <c r="B1804" s="2">
        <v>45832</v>
      </c>
      <c r="C1804" t="s">
        <v>134</v>
      </c>
      <c r="D1804" t="s">
        <v>135</v>
      </c>
      <c r="E1804" t="s">
        <v>39</v>
      </c>
      <c r="F1804" t="s">
        <v>40</v>
      </c>
      <c r="G1804" t="s">
        <v>41</v>
      </c>
      <c r="H1804" t="s">
        <v>42</v>
      </c>
      <c r="I1804">
        <v>9</v>
      </c>
      <c r="J1804" s="3">
        <v>5193.93</v>
      </c>
      <c r="K1804" s="3">
        <v>46745.37</v>
      </c>
      <c r="L1804" t="s">
        <v>34</v>
      </c>
      <c r="M1804" s="2">
        <v>45838</v>
      </c>
      <c r="N1804" s="2">
        <v>45835</v>
      </c>
      <c r="O1804" t="s">
        <v>60</v>
      </c>
      <c r="P1804" t="s">
        <v>44</v>
      </c>
      <c r="Q1804" t="s">
        <v>28</v>
      </c>
      <c r="R1804" t="s">
        <v>29</v>
      </c>
      <c r="S1804">
        <v>2025</v>
      </c>
      <c r="T1804" t="s">
        <v>2743</v>
      </c>
      <c r="U1804" t="s">
        <v>2756</v>
      </c>
      <c r="V1804" s="4">
        <v>0</v>
      </c>
      <c r="W1804" s="4">
        <v>1</v>
      </c>
    </row>
    <row r="1805" spans="1:23">
      <c r="A1805" t="s">
        <v>1937</v>
      </c>
      <c r="B1805" s="2">
        <v>46116</v>
      </c>
      <c r="C1805" t="s">
        <v>66</v>
      </c>
      <c r="D1805" t="s">
        <v>67</v>
      </c>
      <c r="E1805" t="s">
        <v>48</v>
      </c>
      <c r="F1805" t="s">
        <v>49</v>
      </c>
      <c r="G1805" t="s">
        <v>68</v>
      </c>
      <c r="H1805" t="s">
        <v>69</v>
      </c>
      <c r="I1805">
        <v>2</v>
      </c>
      <c r="J1805" s="3">
        <v>47134.879999999997</v>
      </c>
      <c r="K1805" s="3">
        <v>94269.759999999995</v>
      </c>
      <c r="L1805" t="s">
        <v>25</v>
      </c>
      <c r="M1805" s="2">
        <v>46130</v>
      </c>
      <c r="N1805" s="2">
        <v>46128</v>
      </c>
      <c r="O1805" t="s">
        <v>26</v>
      </c>
      <c r="P1805" t="s">
        <v>53</v>
      </c>
      <c r="Q1805" t="s">
        <v>28</v>
      </c>
      <c r="R1805" t="s">
        <v>29</v>
      </c>
      <c r="S1805">
        <v>2026</v>
      </c>
      <c r="T1805" t="s">
        <v>2741</v>
      </c>
      <c r="U1805" t="s">
        <v>2770</v>
      </c>
      <c r="V1805" s="4">
        <v>0</v>
      </c>
      <c r="W1805" s="4">
        <v>1</v>
      </c>
    </row>
    <row r="1806" spans="1:23">
      <c r="A1806" t="s">
        <v>1938</v>
      </c>
      <c r="B1806" s="2">
        <v>46160</v>
      </c>
      <c r="C1806" t="s">
        <v>66</v>
      </c>
      <c r="D1806" t="s">
        <v>67</v>
      </c>
      <c r="E1806" t="s">
        <v>21</v>
      </c>
      <c r="F1806" t="s">
        <v>49</v>
      </c>
      <c r="G1806" t="s">
        <v>165</v>
      </c>
      <c r="H1806" t="s">
        <v>166</v>
      </c>
      <c r="I1806">
        <v>1</v>
      </c>
      <c r="J1806" s="3">
        <v>43302.33</v>
      </c>
      <c r="K1806" s="3">
        <v>43302.33</v>
      </c>
      <c r="L1806" t="s">
        <v>52</v>
      </c>
      <c r="M1806" s="2">
        <v>46173</v>
      </c>
      <c r="N1806" s="2">
        <v>46173</v>
      </c>
      <c r="O1806" t="s">
        <v>43</v>
      </c>
      <c r="P1806" t="s">
        <v>27</v>
      </c>
      <c r="Q1806" t="s">
        <v>28</v>
      </c>
      <c r="R1806" t="s">
        <v>29</v>
      </c>
      <c r="S1806">
        <v>2026</v>
      </c>
      <c r="T1806" t="s">
        <v>2766</v>
      </c>
      <c r="U1806" t="s">
        <v>2769</v>
      </c>
      <c r="V1806" s="4">
        <v>0</v>
      </c>
      <c r="W1806" s="4">
        <v>1</v>
      </c>
    </row>
    <row r="1807" spans="1:23">
      <c r="A1807" t="s">
        <v>1939</v>
      </c>
      <c r="B1807" s="2">
        <v>45736</v>
      </c>
      <c r="C1807" t="s">
        <v>142</v>
      </c>
      <c r="D1807" t="s">
        <v>143</v>
      </c>
      <c r="E1807" t="s">
        <v>31</v>
      </c>
      <c r="F1807" t="s">
        <v>22</v>
      </c>
      <c r="G1807" t="s">
        <v>32</v>
      </c>
      <c r="H1807" t="s">
        <v>33</v>
      </c>
      <c r="I1807">
        <v>2</v>
      </c>
      <c r="J1807" s="3">
        <v>8092.82</v>
      </c>
      <c r="K1807" s="3">
        <v>16185.64</v>
      </c>
      <c r="L1807" t="s">
        <v>25</v>
      </c>
      <c r="M1807" s="2">
        <v>45747</v>
      </c>
      <c r="N1807" s="2">
        <v>45747</v>
      </c>
      <c r="O1807" t="s">
        <v>60</v>
      </c>
      <c r="P1807" t="s">
        <v>35</v>
      </c>
      <c r="Q1807" t="s">
        <v>28</v>
      </c>
      <c r="R1807" t="s">
        <v>29</v>
      </c>
      <c r="S1807">
        <v>2025</v>
      </c>
      <c r="T1807" t="s">
        <v>2747</v>
      </c>
      <c r="U1807" t="s">
        <v>2748</v>
      </c>
      <c r="V1807" s="4">
        <v>0</v>
      </c>
      <c r="W1807" s="4">
        <v>1</v>
      </c>
    </row>
    <row r="1808" spans="1:23">
      <c r="A1808" t="s">
        <v>1940</v>
      </c>
      <c r="B1808" s="2">
        <v>46018</v>
      </c>
      <c r="C1808" t="s">
        <v>134</v>
      </c>
      <c r="D1808" t="s">
        <v>135</v>
      </c>
      <c r="E1808" t="s">
        <v>39</v>
      </c>
      <c r="F1808" t="s">
        <v>40</v>
      </c>
      <c r="G1808" t="s">
        <v>41</v>
      </c>
      <c r="H1808" t="s">
        <v>42</v>
      </c>
      <c r="I1808">
        <v>7</v>
      </c>
      <c r="J1808" s="3">
        <v>5332.27</v>
      </c>
      <c r="K1808" s="3">
        <v>37325.89</v>
      </c>
      <c r="L1808" t="s">
        <v>25</v>
      </c>
      <c r="M1808" s="2">
        <v>46026</v>
      </c>
      <c r="N1808" s="2">
        <v>46026</v>
      </c>
      <c r="O1808" t="s">
        <v>26</v>
      </c>
      <c r="P1808" t="s">
        <v>64</v>
      </c>
      <c r="Q1808" t="s">
        <v>28</v>
      </c>
      <c r="R1808" t="s">
        <v>29</v>
      </c>
      <c r="S1808">
        <v>2025</v>
      </c>
      <c r="T1808" t="s">
        <v>2745</v>
      </c>
      <c r="U1808" t="s">
        <v>2746</v>
      </c>
      <c r="V1808" s="4">
        <v>0</v>
      </c>
      <c r="W1808" s="4">
        <v>1</v>
      </c>
    </row>
    <row r="1809" spans="1:23">
      <c r="A1809" t="s">
        <v>1941</v>
      </c>
      <c r="B1809" s="2">
        <v>46059</v>
      </c>
      <c r="C1809" t="s">
        <v>104</v>
      </c>
      <c r="D1809" t="s">
        <v>105</v>
      </c>
      <c r="E1809" t="s">
        <v>112</v>
      </c>
      <c r="F1809" t="s">
        <v>49</v>
      </c>
      <c r="G1809" t="s">
        <v>113</v>
      </c>
      <c r="H1809" t="s">
        <v>114</v>
      </c>
      <c r="I1809">
        <v>1</v>
      </c>
      <c r="J1809" s="3">
        <v>37188.559999999998</v>
      </c>
      <c r="K1809" s="3">
        <v>37188.559999999998</v>
      </c>
      <c r="L1809" t="s">
        <v>25</v>
      </c>
      <c r="M1809" s="2">
        <v>46071</v>
      </c>
      <c r="N1809" s="2">
        <v>46068</v>
      </c>
      <c r="O1809" t="s">
        <v>26</v>
      </c>
      <c r="P1809" t="s">
        <v>115</v>
      </c>
      <c r="Q1809" t="s">
        <v>28</v>
      </c>
      <c r="R1809" t="s">
        <v>29</v>
      </c>
      <c r="S1809">
        <v>2026</v>
      </c>
      <c r="T1809" t="s">
        <v>2751</v>
      </c>
      <c r="U1809" t="s">
        <v>2765</v>
      </c>
      <c r="V1809" s="4">
        <v>0</v>
      </c>
      <c r="W1809" s="4">
        <v>1</v>
      </c>
    </row>
    <row r="1810" spans="1:23">
      <c r="A1810" t="s">
        <v>1942</v>
      </c>
      <c r="B1810" s="2">
        <v>46056</v>
      </c>
      <c r="C1810" t="s">
        <v>37</v>
      </c>
      <c r="D1810" t="s">
        <v>38</v>
      </c>
      <c r="E1810" t="s">
        <v>112</v>
      </c>
      <c r="F1810" t="s">
        <v>22</v>
      </c>
      <c r="G1810" t="s">
        <v>160</v>
      </c>
      <c r="H1810" t="s">
        <v>161</v>
      </c>
      <c r="I1810">
        <v>4</v>
      </c>
      <c r="J1810" s="3">
        <v>3687.81</v>
      </c>
      <c r="K1810" s="3">
        <v>14751.24</v>
      </c>
      <c r="L1810" t="s">
        <v>25</v>
      </c>
      <c r="M1810" s="2">
        <v>46062</v>
      </c>
      <c r="N1810" s="2">
        <v>46060</v>
      </c>
      <c r="O1810" t="s">
        <v>43</v>
      </c>
      <c r="P1810" t="s">
        <v>115</v>
      </c>
      <c r="Q1810" t="s">
        <v>28</v>
      </c>
      <c r="R1810" t="s">
        <v>29</v>
      </c>
      <c r="S1810">
        <v>2026</v>
      </c>
      <c r="T1810" t="s">
        <v>2751</v>
      </c>
      <c r="U1810" t="s">
        <v>2765</v>
      </c>
      <c r="V1810" s="4">
        <v>0</v>
      </c>
      <c r="W1810" s="4">
        <v>1</v>
      </c>
    </row>
    <row r="1811" spans="1:23">
      <c r="A1811" t="s">
        <v>1943</v>
      </c>
      <c r="B1811" s="2">
        <v>45975</v>
      </c>
      <c r="C1811" t="s">
        <v>71</v>
      </c>
      <c r="D1811" t="s">
        <v>72</v>
      </c>
      <c r="E1811" t="s">
        <v>48</v>
      </c>
      <c r="F1811" t="s">
        <v>57</v>
      </c>
      <c r="G1811" t="s">
        <v>74</v>
      </c>
      <c r="H1811" t="s">
        <v>75</v>
      </c>
      <c r="I1811">
        <v>12</v>
      </c>
      <c r="J1811" s="3">
        <v>8213.39</v>
      </c>
      <c r="K1811" s="3">
        <v>98560.68</v>
      </c>
      <c r="L1811" t="s">
        <v>25</v>
      </c>
      <c r="M1811" s="2">
        <v>45984</v>
      </c>
      <c r="N1811" s="2">
        <v>45982</v>
      </c>
      <c r="O1811" t="s">
        <v>76</v>
      </c>
      <c r="P1811" t="s">
        <v>53</v>
      </c>
      <c r="Q1811" t="s">
        <v>28</v>
      </c>
      <c r="R1811" t="s">
        <v>29</v>
      </c>
      <c r="S1811">
        <v>2025</v>
      </c>
      <c r="T1811" t="s">
        <v>2763</v>
      </c>
      <c r="U1811" t="s">
        <v>2764</v>
      </c>
      <c r="V1811" s="4">
        <v>0</v>
      </c>
      <c r="W1811" s="4">
        <v>1</v>
      </c>
    </row>
    <row r="1812" spans="1:23">
      <c r="A1812" t="s">
        <v>1944</v>
      </c>
      <c r="B1812" s="2">
        <v>45784</v>
      </c>
      <c r="C1812" t="s">
        <v>46</v>
      </c>
      <c r="D1812" t="s">
        <v>47</v>
      </c>
      <c r="E1812" t="s">
        <v>112</v>
      </c>
      <c r="F1812" t="s">
        <v>49</v>
      </c>
      <c r="G1812" t="s">
        <v>50</v>
      </c>
      <c r="H1812" t="s">
        <v>51</v>
      </c>
      <c r="I1812">
        <v>1</v>
      </c>
      <c r="J1812" s="3">
        <v>53679.79</v>
      </c>
      <c r="K1812" s="3">
        <v>53679.79</v>
      </c>
      <c r="L1812" t="s">
        <v>25</v>
      </c>
      <c r="M1812" s="2">
        <v>45801</v>
      </c>
      <c r="N1812" s="2">
        <v>45799</v>
      </c>
      <c r="O1812" t="s">
        <v>76</v>
      </c>
      <c r="P1812" t="s">
        <v>115</v>
      </c>
      <c r="Q1812" t="s">
        <v>28</v>
      </c>
      <c r="R1812" t="s">
        <v>29</v>
      </c>
      <c r="S1812">
        <v>2025</v>
      </c>
      <c r="T1812" t="s">
        <v>2766</v>
      </c>
      <c r="U1812" t="s">
        <v>2767</v>
      </c>
      <c r="V1812" s="4">
        <v>0</v>
      </c>
      <c r="W1812" s="4">
        <v>1</v>
      </c>
    </row>
    <row r="1813" spans="1:23">
      <c r="A1813" t="s">
        <v>1945</v>
      </c>
      <c r="B1813" s="2">
        <v>45846</v>
      </c>
      <c r="C1813" t="s">
        <v>19</v>
      </c>
      <c r="D1813" t="s">
        <v>20</v>
      </c>
      <c r="E1813" t="s">
        <v>112</v>
      </c>
      <c r="F1813" t="s">
        <v>22</v>
      </c>
      <c r="G1813" t="s">
        <v>32</v>
      </c>
      <c r="H1813" t="s">
        <v>33</v>
      </c>
      <c r="I1813">
        <v>14</v>
      </c>
      <c r="J1813" s="3">
        <v>8060.87</v>
      </c>
      <c r="K1813" s="3">
        <v>112852.18</v>
      </c>
      <c r="L1813" t="s">
        <v>52</v>
      </c>
      <c r="M1813" s="2">
        <v>45855</v>
      </c>
      <c r="N1813" s="2">
        <v>45852</v>
      </c>
      <c r="O1813" t="s">
        <v>43</v>
      </c>
      <c r="P1813" t="s">
        <v>115</v>
      </c>
      <c r="Q1813" t="s">
        <v>28</v>
      </c>
      <c r="R1813" t="s">
        <v>29</v>
      </c>
      <c r="S1813">
        <v>2025</v>
      </c>
      <c r="T1813" t="s">
        <v>2759</v>
      </c>
      <c r="U1813" t="s">
        <v>2760</v>
      </c>
      <c r="V1813" s="4">
        <v>0</v>
      </c>
      <c r="W1813" s="4">
        <v>1</v>
      </c>
    </row>
    <row r="1814" spans="1:23">
      <c r="A1814" t="s">
        <v>1946</v>
      </c>
      <c r="B1814" s="2">
        <v>45850</v>
      </c>
      <c r="C1814" t="s">
        <v>96</v>
      </c>
      <c r="D1814" t="s">
        <v>97</v>
      </c>
      <c r="E1814" t="s">
        <v>39</v>
      </c>
      <c r="F1814" t="s">
        <v>82</v>
      </c>
      <c r="G1814" t="s">
        <v>197</v>
      </c>
      <c r="H1814" t="s">
        <v>198</v>
      </c>
      <c r="I1814">
        <v>21</v>
      </c>
      <c r="J1814" s="3">
        <v>2145.2399999999998</v>
      </c>
      <c r="K1814" s="3">
        <v>45050.04</v>
      </c>
      <c r="L1814" t="s">
        <v>34</v>
      </c>
      <c r="M1814" s="2">
        <v>45860</v>
      </c>
      <c r="N1814" s="2">
        <v>45859</v>
      </c>
      <c r="O1814" t="s">
        <v>76</v>
      </c>
      <c r="P1814" t="s">
        <v>44</v>
      </c>
      <c r="Q1814" t="s">
        <v>28</v>
      </c>
      <c r="R1814" t="s">
        <v>29</v>
      </c>
      <c r="S1814">
        <v>2025</v>
      </c>
      <c r="T1814" t="s">
        <v>2759</v>
      </c>
      <c r="U1814" t="s">
        <v>2760</v>
      </c>
      <c r="V1814" s="4">
        <v>0</v>
      </c>
      <c r="W1814" s="4">
        <v>1</v>
      </c>
    </row>
    <row r="1815" spans="1:23">
      <c r="A1815" t="s">
        <v>1947</v>
      </c>
      <c r="B1815" s="2">
        <v>45897</v>
      </c>
      <c r="C1815" t="s">
        <v>142</v>
      </c>
      <c r="D1815" t="s">
        <v>143</v>
      </c>
      <c r="E1815" t="s">
        <v>73</v>
      </c>
      <c r="F1815" t="s">
        <v>22</v>
      </c>
      <c r="G1815" t="s">
        <v>32</v>
      </c>
      <c r="H1815" t="s">
        <v>33</v>
      </c>
      <c r="I1815">
        <v>13</v>
      </c>
      <c r="J1815" s="3">
        <v>8116.12</v>
      </c>
      <c r="K1815" s="3">
        <v>105509.56</v>
      </c>
      <c r="L1815" t="s">
        <v>34</v>
      </c>
      <c r="M1815" s="2">
        <v>45909</v>
      </c>
      <c r="N1815" s="2">
        <v>45907</v>
      </c>
      <c r="O1815" t="s">
        <v>43</v>
      </c>
      <c r="P1815" t="s">
        <v>77</v>
      </c>
      <c r="Q1815" t="s">
        <v>28</v>
      </c>
      <c r="R1815" t="s">
        <v>29</v>
      </c>
      <c r="S1815">
        <v>2025</v>
      </c>
      <c r="T1815" t="s">
        <v>2761</v>
      </c>
      <c r="U1815" t="s">
        <v>2762</v>
      </c>
      <c r="V1815" s="4">
        <v>0</v>
      </c>
      <c r="W1815" s="4">
        <v>1</v>
      </c>
    </row>
    <row r="1816" spans="1:23">
      <c r="A1816" t="s">
        <v>1948</v>
      </c>
      <c r="B1816" s="2">
        <v>45971</v>
      </c>
      <c r="C1816" t="s">
        <v>46</v>
      </c>
      <c r="D1816" t="s">
        <v>47</v>
      </c>
      <c r="E1816" t="s">
        <v>48</v>
      </c>
      <c r="F1816" t="s">
        <v>49</v>
      </c>
      <c r="G1816" t="s">
        <v>50</v>
      </c>
      <c r="H1816" t="s">
        <v>51</v>
      </c>
      <c r="I1816">
        <v>1</v>
      </c>
      <c r="J1816" s="3">
        <v>57452.68</v>
      </c>
      <c r="K1816" s="3">
        <v>57452.68</v>
      </c>
      <c r="L1816" t="s">
        <v>34</v>
      </c>
      <c r="M1816" s="2">
        <v>45984</v>
      </c>
      <c r="N1816" s="2">
        <v>45983</v>
      </c>
      <c r="O1816" t="s">
        <v>60</v>
      </c>
      <c r="P1816" t="s">
        <v>53</v>
      </c>
      <c r="Q1816" t="s">
        <v>28</v>
      </c>
      <c r="R1816" t="s">
        <v>29</v>
      </c>
      <c r="S1816">
        <v>2025</v>
      </c>
      <c r="T1816" t="s">
        <v>2763</v>
      </c>
      <c r="U1816" t="s">
        <v>2764</v>
      </c>
      <c r="V1816" s="4">
        <v>0</v>
      </c>
      <c r="W1816" s="4">
        <v>1</v>
      </c>
    </row>
    <row r="1817" spans="1:23">
      <c r="A1817" t="s">
        <v>1949</v>
      </c>
      <c r="B1817" s="2">
        <v>45850</v>
      </c>
      <c r="C1817" t="s">
        <v>142</v>
      </c>
      <c r="D1817" t="s">
        <v>143</v>
      </c>
      <c r="E1817" t="s">
        <v>112</v>
      </c>
      <c r="F1817" t="s">
        <v>22</v>
      </c>
      <c r="G1817" t="s">
        <v>160</v>
      </c>
      <c r="H1817" t="s">
        <v>161</v>
      </c>
      <c r="I1817">
        <v>15</v>
      </c>
      <c r="J1817" s="3">
        <v>3224.78</v>
      </c>
      <c r="K1817" s="3">
        <v>48371.7</v>
      </c>
      <c r="L1817" t="s">
        <v>25</v>
      </c>
      <c r="M1817" s="2">
        <v>45858</v>
      </c>
      <c r="N1817" s="2">
        <v>45855</v>
      </c>
      <c r="O1817" t="s">
        <v>60</v>
      </c>
      <c r="P1817" t="s">
        <v>115</v>
      </c>
      <c r="Q1817" t="s">
        <v>28</v>
      </c>
      <c r="R1817" t="s">
        <v>29</v>
      </c>
      <c r="S1817">
        <v>2025</v>
      </c>
      <c r="T1817" t="s">
        <v>2759</v>
      </c>
      <c r="U1817" t="s">
        <v>2760</v>
      </c>
      <c r="V1817" s="4">
        <v>0</v>
      </c>
      <c r="W1817" s="4">
        <v>1</v>
      </c>
    </row>
    <row r="1818" spans="1:23">
      <c r="A1818" t="s">
        <v>1950</v>
      </c>
      <c r="B1818" s="2">
        <v>45687</v>
      </c>
      <c r="C1818" t="s">
        <v>147</v>
      </c>
      <c r="D1818" t="s">
        <v>148</v>
      </c>
      <c r="E1818" t="s">
        <v>39</v>
      </c>
      <c r="F1818" t="s">
        <v>40</v>
      </c>
      <c r="G1818" t="s">
        <v>149</v>
      </c>
      <c r="H1818" t="s">
        <v>150</v>
      </c>
      <c r="I1818">
        <v>50</v>
      </c>
      <c r="J1818" s="3">
        <v>1357.84</v>
      </c>
      <c r="K1818" s="3">
        <v>67892</v>
      </c>
      <c r="L1818" t="s">
        <v>34</v>
      </c>
      <c r="M1818" s="2">
        <v>45694</v>
      </c>
      <c r="N1818" s="2">
        <v>45693</v>
      </c>
      <c r="O1818" t="s">
        <v>76</v>
      </c>
      <c r="P1818" t="s">
        <v>64</v>
      </c>
      <c r="Q1818" t="s">
        <v>28</v>
      </c>
      <c r="R1818" t="s">
        <v>29</v>
      </c>
      <c r="S1818">
        <v>2025</v>
      </c>
      <c r="T1818" t="s">
        <v>2757</v>
      </c>
      <c r="U1818" t="s">
        <v>2768</v>
      </c>
      <c r="V1818" s="4">
        <v>0</v>
      </c>
      <c r="W1818" s="4">
        <v>1</v>
      </c>
    </row>
    <row r="1819" spans="1:23">
      <c r="A1819" t="s">
        <v>1951</v>
      </c>
      <c r="B1819" s="2">
        <v>45720</v>
      </c>
      <c r="C1819" t="s">
        <v>142</v>
      </c>
      <c r="D1819" t="s">
        <v>143</v>
      </c>
      <c r="E1819" t="s">
        <v>112</v>
      </c>
      <c r="F1819" t="s">
        <v>22</v>
      </c>
      <c r="G1819" t="s">
        <v>32</v>
      </c>
      <c r="H1819" t="s">
        <v>33</v>
      </c>
      <c r="I1819">
        <v>15</v>
      </c>
      <c r="J1819" s="3">
        <v>8169.94</v>
      </c>
      <c r="K1819" s="3">
        <v>122549.1</v>
      </c>
      <c r="L1819" t="s">
        <v>34</v>
      </c>
      <c r="M1819" s="2">
        <v>45725</v>
      </c>
      <c r="N1819" s="2">
        <v>45725</v>
      </c>
      <c r="O1819" t="s">
        <v>76</v>
      </c>
      <c r="P1819" t="s">
        <v>115</v>
      </c>
      <c r="Q1819" t="s">
        <v>28</v>
      </c>
      <c r="R1819" t="s">
        <v>29</v>
      </c>
      <c r="S1819">
        <v>2025</v>
      </c>
      <c r="T1819" t="s">
        <v>2747</v>
      </c>
      <c r="U1819" t="s">
        <v>2748</v>
      </c>
      <c r="V1819" s="4">
        <v>0</v>
      </c>
      <c r="W1819" s="4">
        <v>1</v>
      </c>
    </row>
    <row r="1820" spans="1:23">
      <c r="A1820" t="s">
        <v>1952</v>
      </c>
      <c r="B1820" s="2">
        <v>45932</v>
      </c>
      <c r="C1820" t="s">
        <v>46</v>
      </c>
      <c r="D1820" t="s">
        <v>47</v>
      </c>
      <c r="E1820" t="s">
        <v>48</v>
      </c>
      <c r="F1820" t="s">
        <v>49</v>
      </c>
      <c r="G1820" t="s">
        <v>50</v>
      </c>
      <c r="H1820" t="s">
        <v>51</v>
      </c>
      <c r="I1820">
        <v>1</v>
      </c>
      <c r="J1820" s="3">
        <v>56229.77</v>
      </c>
      <c r="K1820" s="3">
        <v>56229.77</v>
      </c>
      <c r="L1820" t="s">
        <v>25</v>
      </c>
      <c r="M1820" s="2">
        <v>45948</v>
      </c>
      <c r="N1820" s="2">
        <v>45946</v>
      </c>
      <c r="O1820" t="s">
        <v>76</v>
      </c>
      <c r="P1820" t="s">
        <v>53</v>
      </c>
      <c r="Q1820" t="s">
        <v>28</v>
      </c>
      <c r="R1820" t="s">
        <v>29</v>
      </c>
      <c r="S1820">
        <v>2025</v>
      </c>
      <c r="T1820" t="s">
        <v>2749</v>
      </c>
      <c r="U1820" t="s">
        <v>2750</v>
      </c>
      <c r="V1820" s="4">
        <v>0</v>
      </c>
      <c r="W1820" s="4">
        <v>1</v>
      </c>
    </row>
    <row r="1821" spans="1:23">
      <c r="A1821" t="s">
        <v>1953</v>
      </c>
      <c r="B1821" s="2">
        <v>46079</v>
      </c>
      <c r="C1821" t="s">
        <v>19</v>
      </c>
      <c r="D1821" t="s">
        <v>20</v>
      </c>
      <c r="E1821" t="s">
        <v>112</v>
      </c>
      <c r="F1821" t="s">
        <v>22</v>
      </c>
      <c r="G1821" t="s">
        <v>23</v>
      </c>
      <c r="H1821" t="s">
        <v>24</v>
      </c>
      <c r="I1821">
        <v>47</v>
      </c>
      <c r="J1821" s="3">
        <v>243.05</v>
      </c>
      <c r="K1821" s="3">
        <v>11423.35</v>
      </c>
      <c r="L1821" t="s">
        <v>52</v>
      </c>
      <c r="M1821" s="2">
        <v>46085</v>
      </c>
      <c r="N1821" s="2">
        <v>46082</v>
      </c>
      <c r="O1821" t="s">
        <v>43</v>
      </c>
      <c r="P1821" t="s">
        <v>115</v>
      </c>
      <c r="Q1821" t="s">
        <v>28</v>
      </c>
      <c r="R1821" t="s">
        <v>29</v>
      </c>
      <c r="S1821">
        <v>2026</v>
      </c>
      <c r="T1821" t="s">
        <v>2751</v>
      </c>
      <c r="U1821" t="s">
        <v>2765</v>
      </c>
      <c r="V1821" s="4">
        <v>0</v>
      </c>
      <c r="W1821" s="4">
        <v>1</v>
      </c>
    </row>
    <row r="1822" spans="1:23">
      <c r="A1822" t="s">
        <v>1954</v>
      </c>
      <c r="B1822" s="2">
        <v>45763</v>
      </c>
      <c r="C1822" t="s">
        <v>71</v>
      </c>
      <c r="D1822" t="s">
        <v>72</v>
      </c>
      <c r="E1822" t="s">
        <v>21</v>
      </c>
      <c r="F1822" t="s">
        <v>57</v>
      </c>
      <c r="G1822" t="s">
        <v>127</v>
      </c>
      <c r="H1822" t="s">
        <v>128</v>
      </c>
      <c r="I1822">
        <v>4</v>
      </c>
      <c r="J1822" s="3">
        <v>14765.85</v>
      </c>
      <c r="K1822" s="3">
        <v>59063.4</v>
      </c>
      <c r="L1822" t="s">
        <v>34</v>
      </c>
      <c r="M1822" s="2">
        <v>45775</v>
      </c>
      <c r="N1822" s="2">
        <v>45781</v>
      </c>
      <c r="O1822" t="s">
        <v>26</v>
      </c>
      <c r="P1822" t="s">
        <v>27</v>
      </c>
      <c r="Q1822" t="s">
        <v>28</v>
      </c>
      <c r="R1822" t="s">
        <v>129</v>
      </c>
      <c r="S1822">
        <v>2025</v>
      </c>
      <c r="T1822" t="s">
        <v>2741</v>
      </c>
      <c r="U1822" t="s">
        <v>2742</v>
      </c>
      <c r="V1822" s="4">
        <v>6</v>
      </c>
      <c r="W1822" s="4">
        <v>0</v>
      </c>
    </row>
    <row r="1823" spans="1:23">
      <c r="A1823" t="s">
        <v>1955</v>
      </c>
      <c r="B1823" s="2">
        <v>45715</v>
      </c>
      <c r="C1823" t="s">
        <v>46</v>
      </c>
      <c r="D1823" t="s">
        <v>47</v>
      </c>
      <c r="E1823" t="s">
        <v>48</v>
      </c>
      <c r="F1823" t="s">
        <v>49</v>
      </c>
      <c r="G1823" t="s">
        <v>113</v>
      </c>
      <c r="H1823" t="s">
        <v>114</v>
      </c>
      <c r="I1823">
        <v>1</v>
      </c>
      <c r="J1823" s="3">
        <v>41648.019999999997</v>
      </c>
      <c r="K1823" s="3">
        <v>41648.019999999997</v>
      </c>
      <c r="L1823" t="s">
        <v>25</v>
      </c>
      <c r="M1823" s="2">
        <v>45720</v>
      </c>
      <c r="N1823" s="2">
        <v>45718</v>
      </c>
      <c r="O1823" t="s">
        <v>76</v>
      </c>
      <c r="P1823" t="s">
        <v>53</v>
      </c>
      <c r="Q1823" t="s">
        <v>28</v>
      </c>
      <c r="R1823" t="s">
        <v>29</v>
      </c>
      <c r="S1823">
        <v>2025</v>
      </c>
      <c r="T1823" t="s">
        <v>2751</v>
      </c>
      <c r="U1823" t="s">
        <v>2752</v>
      </c>
      <c r="V1823" s="4">
        <v>0</v>
      </c>
      <c r="W1823" s="4">
        <v>1</v>
      </c>
    </row>
    <row r="1824" spans="1:23">
      <c r="A1824" t="s">
        <v>1956</v>
      </c>
      <c r="B1824" s="2">
        <v>45837</v>
      </c>
      <c r="C1824" t="s">
        <v>142</v>
      </c>
      <c r="D1824" t="s">
        <v>143</v>
      </c>
      <c r="E1824" t="s">
        <v>112</v>
      </c>
      <c r="F1824" t="s">
        <v>22</v>
      </c>
      <c r="G1824" t="s">
        <v>160</v>
      </c>
      <c r="H1824" t="s">
        <v>161</v>
      </c>
      <c r="I1824">
        <v>10</v>
      </c>
      <c r="J1824" s="3">
        <v>3320.12</v>
      </c>
      <c r="K1824" s="3">
        <v>33201.199999999997</v>
      </c>
      <c r="L1824" t="s">
        <v>34</v>
      </c>
      <c r="M1824" s="2">
        <v>45852</v>
      </c>
      <c r="N1824" s="2">
        <v>45849</v>
      </c>
      <c r="O1824" t="s">
        <v>26</v>
      </c>
      <c r="P1824" t="s">
        <v>115</v>
      </c>
      <c r="Q1824" t="s">
        <v>28</v>
      </c>
      <c r="R1824" t="s">
        <v>29</v>
      </c>
      <c r="S1824">
        <v>2025</v>
      </c>
      <c r="T1824" t="s">
        <v>2743</v>
      </c>
      <c r="U1824" t="s">
        <v>2756</v>
      </c>
      <c r="V1824" s="4">
        <v>0</v>
      </c>
      <c r="W1824" s="4">
        <v>1</v>
      </c>
    </row>
    <row r="1825" spans="1:23">
      <c r="A1825" t="s">
        <v>1957</v>
      </c>
      <c r="B1825" s="2">
        <v>45897</v>
      </c>
      <c r="C1825" t="s">
        <v>117</v>
      </c>
      <c r="D1825" t="s">
        <v>118</v>
      </c>
      <c r="E1825" t="s">
        <v>73</v>
      </c>
      <c r="F1825" t="s">
        <v>57</v>
      </c>
      <c r="G1825" t="s">
        <v>58</v>
      </c>
      <c r="H1825" t="s">
        <v>59</v>
      </c>
      <c r="I1825">
        <v>4</v>
      </c>
      <c r="J1825" s="3">
        <v>55374.37</v>
      </c>
      <c r="K1825" s="3">
        <v>221497.48</v>
      </c>
      <c r="L1825" t="s">
        <v>34</v>
      </c>
      <c r="M1825" s="2">
        <v>45911</v>
      </c>
      <c r="N1825" s="2">
        <v>45910</v>
      </c>
      <c r="O1825" t="s">
        <v>76</v>
      </c>
      <c r="P1825" t="s">
        <v>77</v>
      </c>
      <c r="Q1825" t="s">
        <v>28</v>
      </c>
      <c r="R1825" t="s">
        <v>29</v>
      </c>
      <c r="S1825">
        <v>2025</v>
      </c>
      <c r="T1825" t="s">
        <v>2761</v>
      </c>
      <c r="U1825" t="s">
        <v>2762</v>
      </c>
      <c r="V1825" s="4">
        <v>0</v>
      </c>
      <c r="W1825" s="4">
        <v>1</v>
      </c>
    </row>
    <row r="1826" spans="1:23">
      <c r="A1826" t="s">
        <v>1958</v>
      </c>
      <c r="B1826" s="2">
        <v>45945</v>
      </c>
      <c r="C1826" t="s">
        <v>134</v>
      </c>
      <c r="D1826" t="s">
        <v>135</v>
      </c>
      <c r="E1826" t="s">
        <v>112</v>
      </c>
      <c r="F1826" t="s">
        <v>40</v>
      </c>
      <c r="G1826" t="s">
        <v>41</v>
      </c>
      <c r="H1826" t="s">
        <v>42</v>
      </c>
      <c r="I1826">
        <v>9</v>
      </c>
      <c r="J1826" s="3">
        <v>5511.25</v>
      </c>
      <c r="K1826" s="3">
        <v>49601.25</v>
      </c>
      <c r="L1826" t="s">
        <v>25</v>
      </c>
      <c r="M1826" s="2">
        <v>45961</v>
      </c>
      <c r="N1826" s="2">
        <v>45958</v>
      </c>
      <c r="O1826" t="s">
        <v>76</v>
      </c>
      <c r="P1826" t="s">
        <v>115</v>
      </c>
      <c r="Q1826" t="s">
        <v>28</v>
      </c>
      <c r="R1826" t="s">
        <v>29</v>
      </c>
      <c r="S1826">
        <v>2025</v>
      </c>
      <c r="T1826" t="s">
        <v>2749</v>
      </c>
      <c r="U1826" t="s">
        <v>2750</v>
      </c>
      <c r="V1826" s="4">
        <v>0</v>
      </c>
      <c r="W1826" s="4">
        <v>1</v>
      </c>
    </row>
    <row r="1827" spans="1:23">
      <c r="A1827" t="s">
        <v>1959</v>
      </c>
      <c r="B1827" s="2">
        <v>45901</v>
      </c>
      <c r="C1827" t="s">
        <v>89</v>
      </c>
      <c r="D1827" t="s">
        <v>90</v>
      </c>
      <c r="E1827" t="s">
        <v>31</v>
      </c>
      <c r="F1827" t="s">
        <v>91</v>
      </c>
      <c r="G1827" t="s">
        <v>109</v>
      </c>
      <c r="H1827" t="s">
        <v>110</v>
      </c>
      <c r="I1827">
        <v>1</v>
      </c>
      <c r="J1827" s="3">
        <v>12688.83</v>
      </c>
      <c r="K1827" s="3">
        <v>12688.83</v>
      </c>
      <c r="L1827" t="s">
        <v>34</v>
      </c>
      <c r="M1827" s="2">
        <v>45914</v>
      </c>
      <c r="N1827" s="2">
        <v>45912</v>
      </c>
      <c r="O1827" t="s">
        <v>26</v>
      </c>
      <c r="P1827" t="s">
        <v>35</v>
      </c>
      <c r="Q1827" t="s">
        <v>28</v>
      </c>
      <c r="R1827" t="s">
        <v>29</v>
      </c>
      <c r="S1827">
        <v>2025</v>
      </c>
      <c r="T1827" t="s">
        <v>2753</v>
      </c>
      <c r="U1827" t="s">
        <v>2754</v>
      </c>
      <c r="V1827" s="4">
        <v>0</v>
      </c>
      <c r="W1827" s="4">
        <v>1</v>
      </c>
    </row>
    <row r="1828" spans="1:23">
      <c r="A1828" t="s">
        <v>1960</v>
      </c>
      <c r="B1828" s="2">
        <v>45838</v>
      </c>
      <c r="C1828" t="s">
        <v>89</v>
      </c>
      <c r="D1828" t="s">
        <v>90</v>
      </c>
      <c r="E1828" t="s">
        <v>31</v>
      </c>
      <c r="F1828" t="s">
        <v>91</v>
      </c>
      <c r="G1828" t="s">
        <v>109</v>
      </c>
      <c r="H1828" t="s">
        <v>110</v>
      </c>
      <c r="I1828">
        <v>1</v>
      </c>
      <c r="J1828" s="3">
        <v>12505.99</v>
      </c>
      <c r="K1828" s="3">
        <v>12505.99</v>
      </c>
      <c r="L1828" t="s">
        <v>34</v>
      </c>
      <c r="M1828" s="2">
        <v>45848</v>
      </c>
      <c r="N1828" s="2">
        <v>45848</v>
      </c>
      <c r="O1828" t="s">
        <v>76</v>
      </c>
      <c r="P1828" t="s">
        <v>94</v>
      </c>
      <c r="Q1828" t="s">
        <v>28</v>
      </c>
      <c r="R1828" t="s">
        <v>29</v>
      </c>
      <c r="S1828">
        <v>2025</v>
      </c>
      <c r="T1828" t="s">
        <v>2743</v>
      </c>
      <c r="U1828" t="s">
        <v>2756</v>
      </c>
      <c r="V1828" s="4">
        <v>0</v>
      </c>
      <c r="W1828" s="4">
        <v>1</v>
      </c>
    </row>
    <row r="1829" spans="1:23">
      <c r="A1829" t="s">
        <v>1961</v>
      </c>
      <c r="B1829" s="2">
        <v>46040</v>
      </c>
      <c r="C1829" t="s">
        <v>37</v>
      </c>
      <c r="D1829" t="s">
        <v>38</v>
      </c>
      <c r="E1829" t="s">
        <v>112</v>
      </c>
      <c r="F1829" t="s">
        <v>40</v>
      </c>
      <c r="G1829" t="s">
        <v>41</v>
      </c>
      <c r="H1829" t="s">
        <v>42</v>
      </c>
      <c r="I1829">
        <v>15</v>
      </c>
      <c r="J1829" s="3">
        <v>5768.89</v>
      </c>
      <c r="K1829" s="3">
        <v>86533.35</v>
      </c>
      <c r="L1829" t="s">
        <v>25</v>
      </c>
      <c r="M1829" s="2">
        <v>46054</v>
      </c>
      <c r="N1829" s="2">
        <v>46051</v>
      </c>
      <c r="O1829" t="s">
        <v>26</v>
      </c>
      <c r="P1829" t="s">
        <v>115</v>
      </c>
      <c r="Q1829" t="s">
        <v>28</v>
      </c>
      <c r="R1829" t="s">
        <v>29</v>
      </c>
      <c r="S1829">
        <v>2026</v>
      </c>
      <c r="T1829" t="s">
        <v>2757</v>
      </c>
      <c r="U1829" t="s">
        <v>2758</v>
      </c>
      <c r="V1829" s="4">
        <v>0</v>
      </c>
      <c r="W1829" s="4">
        <v>1</v>
      </c>
    </row>
    <row r="1830" spans="1:23">
      <c r="A1830" t="s">
        <v>1962</v>
      </c>
      <c r="B1830" s="2">
        <v>46139</v>
      </c>
      <c r="C1830" t="s">
        <v>147</v>
      </c>
      <c r="D1830" t="s">
        <v>148</v>
      </c>
      <c r="E1830" t="s">
        <v>39</v>
      </c>
      <c r="F1830" t="s">
        <v>40</v>
      </c>
      <c r="G1830" t="s">
        <v>41</v>
      </c>
      <c r="H1830" t="s">
        <v>42</v>
      </c>
      <c r="I1830">
        <v>1</v>
      </c>
      <c r="J1830" s="3">
        <v>5220.67</v>
      </c>
      <c r="K1830" s="3">
        <v>5220.67</v>
      </c>
      <c r="L1830" t="s">
        <v>25</v>
      </c>
      <c r="M1830" s="2">
        <v>46144</v>
      </c>
      <c r="N1830" s="2">
        <v>46142</v>
      </c>
      <c r="O1830" t="s">
        <v>60</v>
      </c>
      <c r="P1830" t="s">
        <v>64</v>
      </c>
      <c r="Q1830" t="s">
        <v>28</v>
      </c>
      <c r="R1830" t="s">
        <v>29</v>
      </c>
      <c r="S1830">
        <v>2026</v>
      </c>
      <c r="T1830" t="s">
        <v>2741</v>
      </c>
      <c r="U1830" t="s">
        <v>2770</v>
      </c>
      <c r="V1830" s="4">
        <v>0</v>
      </c>
      <c r="W1830" s="4">
        <v>1</v>
      </c>
    </row>
    <row r="1831" spans="1:23">
      <c r="A1831" t="s">
        <v>1963</v>
      </c>
      <c r="B1831" s="2">
        <v>46098</v>
      </c>
      <c r="C1831" t="s">
        <v>142</v>
      </c>
      <c r="D1831" t="s">
        <v>143</v>
      </c>
      <c r="E1831" t="s">
        <v>31</v>
      </c>
      <c r="F1831" t="s">
        <v>22</v>
      </c>
      <c r="G1831" t="s">
        <v>160</v>
      </c>
      <c r="H1831" t="s">
        <v>161</v>
      </c>
      <c r="I1831">
        <v>2</v>
      </c>
      <c r="J1831" s="3">
        <v>3139.83</v>
      </c>
      <c r="K1831" s="3">
        <v>6279.66</v>
      </c>
      <c r="L1831" t="s">
        <v>52</v>
      </c>
      <c r="M1831" s="2">
        <v>46110</v>
      </c>
      <c r="N1831" s="2">
        <v>46110</v>
      </c>
      <c r="O1831" t="s">
        <v>60</v>
      </c>
      <c r="P1831" t="s">
        <v>94</v>
      </c>
      <c r="Q1831" t="s">
        <v>28</v>
      </c>
      <c r="R1831" t="s">
        <v>29</v>
      </c>
      <c r="S1831">
        <v>2026</v>
      </c>
      <c r="T1831" t="s">
        <v>2747</v>
      </c>
      <c r="U1831" t="s">
        <v>2755</v>
      </c>
      <c r="V1831" s="4">
        <v>0</v>
      </c>
      <c r="W1831" s="4">
        <v>1</v>
      </c>
    </row>
    <row r="1832" spans="1:23">
      <c r="A1832" t="s">
        <v>1964</v>
      </c>
      <c r="B1832" s="2">
        <v>45740</v>
      </c>
      <c r="C1832" t="s">
        <v>104</v>
      </c>
      <c r="D1832" t="s">
        <v>105</v>
      </c>
      <c r="E1832" t="s">
        <v>48</v>
      </c>
      <c r="F1832" t="s">
        <v>49</v>
      </c>
      <c r="G1832" t="s">
        <v>68</v>
      </c>
      <c r="H1832" t="s">
        <v>69</v>
      </c>
      <c r="I1832">
        <v>1</v>
      </c>
      <c r="J1832" s="3">
        <v>47774.26</v>
      </c>
      <c r="K1832" s="3">
        <v>47774.26</v>
      </c>
      <c r="L1832" t="s">
        <v>25</v>
      </c>
      <c r="M1832" s="2">
        <v>45751</v>
      </c>
      <c r="N1832" s="2">
        <v>45749</v>
      </c>
      <c r="O1832" t="s">
        <v>76</v>
      </c>
      <c r="P1832" t="s">
        <v>53</v>
      </c>
      <c r="Q1832" t="s">
        <v>28</v>
      </c>
      <c r="R1832" t="s">
        <v>29</v>
      </c>
      <c r="S1832">
        <v>2025</v>
      </c>
      <c r="T1832" t="s">
        <v>2747</v>
      </c>
      <c r="U1832" t="s">
        <v>2748</v>
      </c>
      <c r="V1832" s="4">
        <v>0</v>
      </c>
      <c r="W1832" s="4">
        <v>1</v>
      </c>
    </row>
    <row r="1833" spans="1:23">
      <c r="A1833" t="s">
        <v>1965</v>
      </c>
      <c r="B1833" s="2">
        <v>46175</v>
      </c>
      <c r="C1833" t="s">
        <v>19</v>
      </c>
      <c r="D1833" t="s">
        <v>20</v>
      </c>
      <c r="E1833" t="s">
        <v>39</v>
      </c>
      <c r="F1833" t="s">
        <v>22</v>
      </c>
      <c r="G1833" t="s">
        <v>160</v>
      </c>
      <c r="H1833" t="s">
        <v>161</v>
      </c>
      <c r="I1833">
        <v>10</v>
      </c>
      <c r="J1833" s="3">
        <v>2889.45</v>
      </c>
      <c r="K1833" s="3">
        <v>28894.5</v>
      </c>
      <c r="L1833" t="s">
        <v>25</v>
      </c>
      <c r="M1833" s="2">
        <v>46191</v>
      </c>
      <c r="N1833" s="2">
        <v>46190</v>
      </c>
      <c r="O1833" t="s">
        <v>26</v>
      </c>
      <c r="P1833" t="s">
        <v>44</v>
      </c>
      <c r="Q1833" t="s">
        <v>28</v>
      </c>
      <c r="R1833" t="s">
        <v>29</v>
      </c>
      <c r="S1833">
        <v>2026</v>
      </c>
      <c r="T1833" t="s">
        <v>2743</v>
      </c>
      <c r="U1833" t="s">
        <v>2744</v>
      </c>
      <c r="V1833" s="4">
        <v>0</v>
      </c>
      <c r="W1833" s="4">
        <v>1</v>
      </c>
    </row>
    <row r="1834" spans="1:23">
      <c r="A1834" t="s">
        <v>1966</v>
      </c>
      <c r="B1834" s="2">
        <v>46103</v>
      </c>
      <c r="C1834" t="s">
        <v>66</v>
      </c>
      <c r="D1834" t="s">
        <v>67</v>
      </c>
      <c r="E1834" t="s">
        <v>21</v>
      </c>
      <c r="F1834" t="s">
        <v>49</v>
      </c>
      <c r="G1834" t="s">
        <v>165</v>
      </c>
      <c r="H1834" t="s">
        <v>166</v>
      </c>
      <c r="I1834">
        <v>1</v>
      </c>
      <c r="J1834" s="3">
        <v>41969.37</v>
      </c>
      <c r="K1834" s="3">
        <v>41969.37</v>
      </c>
      <c r="L1834" t="s">
        <v>25</v>
      </c>
      <c r="M1834" s="2">
        <v>46120</v>
      </c>
      <c r="N1834" s="2">
        <v>46119</v>
      </c>
      <c r="O1834" t="s">
        <v>76</v>
      </c>
      <c r="P1834" t="s">
        <v>27</v>
      </c>
      <c r="Q1834" t="s">
        <v>28</v>
      </c>
      <c r="R1834" t="s">
        <v>29</v>
      </c>
      <c r="S1834">
        <v>2026</v>
      </c>
      <c r="T1834" t="s">
        <v>2747</v>
      </c>
      <c r="U1834" t="s">
        <v>2755</v>
      </c>
      <c r="V1834" s="4">
        <v>0</v>
      </c>
      <c r="W1834" s="4">
        <v>1</v>
      </c>
    </row>
    <row r="1835" spans="1:23">
      <c r="A1835" t="s">
        <v>1967</v>
      </c>
      <c r="B1835" s="2">
        <v>46103</v>
      </c>
      <c r="C1835" t="s">
        <v>71</v>
      </c>
      <c r="D1835" t="s">
        <v>72</v>
      </c>
      <c r="E1835" t="s">
        <v>48</v>
      </c>
      <c r="F1835" t="s">
        <v>57</v>
      </c>
      <c r="G1835" t="s">
        <v>58</v>
      </c>
      <c r="H1835" t="s">
        <v>59</v>
      </c>
      <c r="I1835">
        <v>1</v>
      </c>
      <c r="J1835" s="3">
        <v>51701.48</v>
      </c>
      <c r="K1835" s="3">
        <v>51701.48</v>
      </c>
      <c r="L1835" t="s">
        <v>52</v>
      </c>
      <c r="M1835" s="2">
        <v>46121</v>
      </c>
      <c r="N1835" s="2">
        <v>46123</v>
      </c>
      <c r="O1835" t="s">
        <v>26</v>
      </c>
      <c r="P1835" t="s">
        <v>53</v>
      </c>
      <c r="Q1835" t="s">
        <v>28</v>
      </c>
      <c r="R1835" t="s">
        <v>129</v>
      </c>
      <c r="S1835">
        <v>2026</v>
      </c>
      <c r="T1835" t="s">
        <v>2747</v>
      </c>
      <c r="U1835" t="s">
        <v>2755</v>
      </c>
      <c r="V1835" s="4">
        <v>2</v>
      </c>
      <c r="W1835" s="4">
        <v>0</v>
      </c>
    </row>
    <row r="1836" spans="1:23">
      <c r="A1836" t="s">
        <v>1968</v>
      </c>
      <c r="B1836" s="2">
        <v>46160</v>
      </c>
      <c r="C1836" t="s">
        <v>134</v>
      </c>
      <c r="D1836" t="s">
        <v>135</v>
      </c>
      <c r="E1836" t="s">
        <v>39</v>
      </c>
      <c r="F1836" t="s">
        <v>40</v>
      </c>
      <c r="G1836" t="s">
        <v>136</v>
      </c>
      <c r="H1836" t="s">
        <v>137</v>
      </c>
      <c r="I1836">
        <v>45</v>
      </c>
      <c r="J1836" s="3">
        <v>1701.25</v>
      </c>
      <c r="K1836" s="3">
        <v>76556.25</v>
      </c>
      <c r="L1836" t="s">
        <v>25</v>
      </c>
      <c r="M1836" s="2">
        <v>46171</v>
      </c>
      <c r="N1836" s="2">
        <v>46170</v>
      </c>
      <c r="O1836" t="s">
        <v>76</v>
      </c>
      <c r="P1836" t="s">
        <v>64</v>
      </c>
      <c r="Q1836" t="s">
        <v>28</v>
      </c>
      <c r="R1836" t="s">
        <v>29</v>
      </c>
      <c r="S1836">
        <v>2026</v>
      </c>
      <c r="T1836" t="s">
        <v>2766</v>
      </c>
      <c r="U1836" t="s">
        <v>2769</v>
      </c>
      <c r="V1836" s="4">
        <v>0</v>
      </c>
      <c r="W1836" s="4">
        <v>1</v>
      </c>
    </row>
    <row r="1837" spans="1:23">
      <c r="A1837" t="s">
        <v>1969</v>
      </c>
      <c r="B1837" s="2">
        <v>45858</v>
      </c>
      <c r="C1837" t="s">
        <v>37</v>
      </c>
      <c r="D1837" t="s">
        <v>38</v>
      </c>
      <c r="E1837" t="s">
        <v>21</v>
      </c>
      <c r="F1837" t="s">
        <v>22</v>
      </c>
      <c r="G1837" t="s">
        <v>32</v>
      </c>
      <c r="H1837" t="s">
        <v>33</v>
      </c>
      <c r="I1837">
        <v>2</v>
      </c>
      <c r="J1837" s="3">
        <v>8028.49</v>
      </c>
      <c r="K1837" s="3">
        <v>16056.98</v>
      </c>
      <c r="L1837" t="s">
        <v>25</v>
      </c>
      <c r="M1837" s="2">
        <v>45876</v>
      </c>
      <c r="N1837" s="2">
        <v>45873</v>
      </c>
      <c r="O1837" t="s">
        <v>60</v>
      </c>
      <c r="P1837" t="s">
        <v>27</v>
      </c>
      <c r="Q1837" t="s">
        <v>28</v>
      </c>
      <c r="R1837" t="s">
        <v>29</v>
      </c>
      <c r="S1837">
        <v>2025</v>
      </c>
      <c r="T1837" t="s">
        <v>2759</v>
      </c>
      <c r="U1837" t="s">
        <v>2760</v>
      </c>
      <c r="V1837" s="4">
        <v>0</v>
      </c>
      <c r="W1837" s="4">
        <v>1</v>
      </c>
    </row>
    <row r="1838" spans="1:23">
      <c r="A1838" t="s">
        <v>1970</v>
      </c>
      <c r="B1838" s="2">
        <v>45871</v>
      </c>
      <c r="C1838" t="s">
        <v>117</v>
      </c>
      <c r="D1838" t="s">
        <v>118</v>
      </c>
      <c r="E1838" t="s">
        <v>21</v>
      </c>
      <c r="F1838" t="s">
        <v>57</v>
      </c>
      <c r="G1838" t="s">
        <v>58</v>
      </c>
      <c r="H1838" t="s">
        <v>59</v>
      </c>
      <c r="I1838">
        <v>8</v>
      </c>
      <c r="J1838" s="3">
        <v>59516.59</v>
      </c>
      <c r="K1838" s="3">
        <v>476132.72</v>
      </c>
      <c r="L1838" t="s">
        <v>34</v>
      </c>
      <c r="M1838" s="2">
        <v>45883</v>
      </c>
      <c r="N1838" s="2">
        <v>45880</v>
      </c>
      <c r="O1838" t="s">
        <v>43</v>
      </c>
      <c r="P1838" t="s">
        <v>27</v>
      </c>
      <c r="Q1838" t="s">
        <v>28</v>
      </c>
      <c r="R1838" t="s">
        <v>29</v>
      </c>
      <c r="S1838">
        <v>2025</v>
      </c>
      <c r="T1838" t="s">
        <v>2761</v>
      </c>
      <c r="U1838" t="s">
        <v>2762</v>
      </c>
      <c r="V1838" s="4">
        <v>0</v>
      </c>
      <c r="W1838" s="4">
        <v>1</v>
      </c>
    </row>
    <row r="1839" spans="1:23">
      <c r="A1839" t="s">
        <v>1971</v>
      </c>
      <c r="B1839" s="2">
        <v>46054</v>
      </c>
      <c r="C1839" t="s">
        <v>142</v>
      </c>
      <c r="D1839" t="s">
        <v>143</v>
      </c>
      <c r="E1839" t="s">
        <v>39</v>
      </c>
      <c r="F1839" t="s">
        <v>22</v>
      </c>
      <c r="G1839" t="s">
        <v>32</v>
      </c>
      <c r="H1839" t="s">
        <v>33</v>
      </c>
      <c r="I1839">
        <v>11</v>
      </c>
      <c r="J1839" s="3">
        <v>7666.12</v>
      </c>
      <c r="K1839" s="3">
        <v>84327.32</v>
      </c>
      <c r="L1839" t="s">
        <v>25</v>
      </c>
      <c r="M1839" s="2">
        <v>46063</v>
      </c>
      <c r="N1839" s="2">
        <v>46061</v>
      </c>
      <c r="O1839" t="s">
        <v>60</v>
      </c>
      <c r="P1839" t="s">
        <v>64</v>
      </c>
      <c r="Q1839" t="s">
        <v>28</v>
      </c>
      <c r="R1839" t="s">
        <v>29</v>
      </c>
      <c r="S1839">
        <v>2026</v>
      </c>
      <c r="T1839" t="s">
        <v>2751</v>
      </c>
      <c r="U1839" t="s">
        <v>2765</v>
      </c>
      <c r="V1839" s="4">
        <v>0</v>
      </c>
      <c r="W1839" s="4">
        <v>1</v>
      </c>
    </row>
    <row r="1840" spans="1:23">
      <c r="A1840" t="s">
        <v>1972</v>
      </c>
      <c r="B1840" s="2">
        <v>45896</v>
      </c>
      <c r="C1840" t="s">
        <v>142</v>
      </c>
      <c r="D1840" t="s">
        <v>143</v>
      </c>
      <c r="E1840" t="s">
        <v>39</v>
      </c>
      <c r="F1840" t="s">
        <v>22</v>
      </c>
      <c r="G1840" t="s">
        <v>23</v>
      </c>
      <c r="H1840" t="s">
        <v>24</v>
      </c>
      <c r="I1840">
        <v>31</v>
      </c>
      <c r="J1840" s="3">
        <v>244.9</v>
      </c>
      <c r="K1840" s="3">
        <v>7591.9</v>
      </c>
      <c r="L1840" t="s">
        <v>25</v>
      </c>
      <c r="M1840" s="2">
        <v>45902</v>
      </c>
      <c r="N1840" s="2">
        <v>45902</v>
      </c>
      <c r="O1840" t="s">
        <v>26</v>
      </c>
      <c r="P1840" t="s">
        <v>64</v>
      </c>
      <c r="Q1840" t="s">
        <v>28</v>
      </c>
      <c r="R1840" t="s">
        <v>29</v>
      </c>
      <c r="S1840">
        <v>2025</v>
      </c>
      <c r="T1840" t="s">
        <v>2761</v>
      </c>
      <c r="U1840" t="s">
        <v>2762</v>
      </c>
      <c r="V1840" s="4">
        <v>0</v>
      </c>
      <c r="W1840" s="4">
        <v>1</v>
      </c>
    </row>
    <row r="1841" spans="1:23">
      <c r="A1841" t="s">
        <v>1973</v>
      </c>
      <c r="B1841" s="2">
        <v>46115</v>
      </c>
      <c r="C1841" t="s">
        <v>147</v>
      </c>
      <c r="D1841" t="s">
        <v>148</v>
      </c>
      <c r="E1841" t="s">
        <v>112</v>
      </c>
      <c r="F1841" t="s">
        <v>40</v>
      </c>
      <c r="G1841" t="s">
        <v>62</v>
      </c>
      <c r="H1841" t="s">
        <v>63</v>
      </c>
      <c r="I1841">
        <v>7</v>
      </c>
      <c r="J1841" s="3">
        <v>17326.22</v>
      </c>
      <c r="K1841" s="3">
        <v>121283.54</v>
      </c>
      <c r="L1841" t="s">
        <v>25</v>
      </c>
      <c r="M1841" s="2">
        <v>46122</v>
      </c>
      <c r="N1841" s="2">
        <v>46119</v>
      </c>
      <c r="O1841" t="s">
        <v>76</v>
      </c>
      <c r="P1841" t="s">
        <v>115</v>
      </c>
      <c r="Q1841" t="s">
        <v>28</v>
      </c>
      <c r="R1841" t="s">
        <v>29</v>
      </c>
      <c r="S1841">
        <v>2026</v>
      </c>
      <c r="T1841" t="s">
        <v>2741</v>
      </c>
      <c r="U1841" t="s">
        <v>2770</v>
      </c>
      <c r="V1841" s="4">
        <v>0</v>
      </c>
      <c r="W1841" s="4">
        <v>1</v>
      </c>
    </row>
    <row r="1842" spans="1:23">
      <c r="A1842" t="s">
        <v>1974</v>
      </c>
      <c r="B1842" s="2">
        <v>46179</v>
      </c>
      <c r="C1842" t="s">
        <v>66</v>
      </c>
      <c r="D1842" t="s">
        <v>67</v>
      </c>
      <c r="E1842" t="s">
        <v>112</v>
      </c>
      <c r="F1842" t="s">
        <v>49</v>
      </c>
      <c r="G1842" t="s">
        <v>68</v>
      </c>
      <c r="H1842" t="s">
        <v>69</v>
      </c>
      <c r="I1842">
        <v>2</v>
      </c>
      <c r="J1842" s="3">
        <v>45807.91</v>
      </c>
      <c r="K1842" s="3">
        <v>91615.82</v>
      </c>
      <c r="L1842" t="s">
        <v>34</v>
      </c>
      <c r="M1842" s="2">
        <v>46196</v>
      </c>
      <c r="N1842" s="2">
        <v>46194</v>
      </c>
      <c r="O1842" t="s">
        <v>26</v>
      </c>
      <c r="P1842" t="s">
        <v>115</v>
      </c>
      <c r="Q1842" t="s">
        <v>28</v>
      </c>
      <c r="R1842" t="s">
        <v>29</v>
      </c>
      <c r="S1842">
        <v>2026</v>
      </c>
      <c r="T1842" t="s">
        <v>2743</v>
      </c>
      <c r="U1842" t="s">
        <v>2744</v>
      </c>
      <c r="V1842" s="4">
        <v>0</v>
      </c>
      <c r="W1842" s="4">
        <v>1</v>
      </c>
    </row>
    <row r="1843" spans="1:23">
      <c r="A1843" t="s">
        <v>1975</v>
      </c>
      <c r="B1843" s="2">
        <v>45799</v>
      </c>
      <c r="C1843" t="s">
        <v>66</v>
      </c>
      <c r="D1843" t="s">
        <v>67</v>
      </c>
      <c r="E1843" t="s">
        <v>48</v>
      </c>
      <c r="F1843" t="s">
        <v>49</v>
      </c>
      <c r="G1843" t="s">
        <v>68</v>
      </c>
      <c r="H1843" t="s">
        <v>69</v>
      </c>
      <c r="I1843">
        <v>1</v>
      </c>
      <c r="J1843" s="3">
        <v>48377.52</v>
      </c>
      <c r="K1843" s="3">
        <v>48377.52</v>
      </c>
      <c r="L1843" t="s">
        <v>25</v>
      </c>
      <c r="M1843" s="2">
        <v>45816</v>
      </c>
      <c r="N1843" s="2">
        <v>45813</v>
      </c>
      <c r="O1843" t="s">
        <v>60</v>
      </c>
      <c r="P1843" t="s">
        <v>53</v>
      </c>
      <c r="Q1843" t="s">
        <v>28</v>
      </c>
      <c r="R1843" t="s">
        <v>29</v>
      </c>
      <c r="S1843">
        <v>2025</v>
      </c>
      <c r="T1843" t="s">
        <v>2766</v>
      </c>
      <c r="U1843" t="s">
        <v>2767</v>
      </c>
      <c r="V1843" s="4">
        <v>0</v>
      </c>
      <c r="W1843" s="4">
        <v>1</v>
      </c>
    </row>
    <row r="1844" spans="1:23">
      <c r="A1844" t="s">
        <v>1976</v>
      </c>
      <c r="B1844" s="2">
        <v>45946</v>
      </c>
      <c r="C1844" t="s">
        <v>142</v>
      </c>
      <c r="D1844" t="s">
        <v>143</v>
      </c>
      <c r="E1844" t="s">
        <v>112</v>
      </c>
      <c r="F1844" t="s">
        <v>22</v>
      </c>
      <c r="G1844" t="s">
        <v>160</v>
      </c>
      <c r="H1844" t="s">
        <v>161</v>
      </c>
      <c r="I1844">
        <v>5</v>
      </c>
      <c r="J1844" s="3">
        <v>3312.03</v>
      </c>
      <c r="K1844" s="3">
        <v>16560.150000000001</v>
      </c>
      <c r="L1844" t="s">
        <v>25</v>
      </c>
      <c r="M1844" s="2">
        <v>45960</v>
      </c>
      <c r="N1844" s="2">
        <v>45959</v>
      </c>
      <c r="O1844" t="s">
        <v>43</v>
      </c>
      <c r="P1844" t="s">
        <v>115</v>
      </c>
      <c r="Q1844" t="s">
        <v>28</v>
      </c>
      <c r="R1844" t="s">
        <v>29</v>
      </c>
      <c r="S1844">
        <v>2025</v>
      </c>
      <c r="T1844" t="s">
        <v>2749</v>
      </c>
      <c r="U1844" t="s">
        <v>2750</v>
      </c>
      <c r="V1844" s="4">
        <v>0</v>
      </c>
      <c r="W1844" s="4">
        <v>1</v>
      </c>
    </row>
    <row r="1845" spans="1:23">
      <c r="A1845" t="s">
        <v>1977</v>
      </c>
      <c r="B1845" s="2">
        <v>45870</v>
      </c>
      <c r="C1845" t="s">
        <v>107</v>
      </c>
      <c r="D1845" t="s">
        <v>108</v>
      </c>
      <c r="E1845" t="s">
        <v>31</v>
      </c>
      <c r="F1845" t="s">
        <v>91</v>
      </c>
      <c r="G1845" t="s">
        <v>92</v>
      </c>
      <c r="H1845" t="s">
        <v>93</v>
      </c>
      <c r="I1845">
        <v>1</v>
      </c>
      <c r="J1845" s="3">
        <v>45506.94</v>
      </c>
      <c r="K1845" s="3">
        <v>45506.94</v>
      </c>
      <c r="L1845" t="s">
        <v>25</v>
      </c>
      <c r="M1845" s="2">
        <v>45887</v>
      </c>
      <c r="N1845" s="2">
        <v>45884</v>
      </c>
      <c r="O1845" t="s">
        <v>26</v>
      </c>
      <c r="P1845" t="s">
        <v>94</v>
      </c>
      <c r="Q1845" t="s">
        <v>28</v>
      </c>
      <c r="R1845" t="s">
        <v>29</v>
      </c>
      <c r="S1845">
        <v>2025</v>
      </c>
      <c r="T1845" t="s">
        <v>2761</v>
      </c>
      <c r="U1845" t="s">
        <v>2762</v>
      </c>
      <c r="V1845" s="4">
        <v>0</v>
      </c>
      <c r="W1845" s="4">
        <v>1</v>
      </c>
    </row>
    <row r="1846" spans="1:23">
      <c r="A1846" t="s">
        <v>1978</v>
      </c>
      <c r="B1846" s="2">
        <v>45955</v>
      </c>
      <c r="C1846" t="s">
        <v>71</v>
      </c>
      <c r="D1846" t="s">
        <v>72</v>
      </c>
      <c r="E1846" t="s">
        <v>21</v>
      </c>
      <c r="F1846" t="s">
        <v>57</v>
      </c>
      <c r="G1846" t="s">
        <v>58</v>
      </c>
      <c r="H1846" t="s">
        <v>59</v>
      </c>
      <c r="I1846">
        <v>4</v>
      </c>
      <c r="J1846" s="3">
        <v>53130.66</v>
      </c>
      <c r="K1846" s="3">
        <v>212522.64</v>
      </c>
      <c r="L1846" t="s">
        <v>52</v>
      </c>
      <c r="M1846" s="2">
        <v>45965</v>
      </c>
      <c r="N1846" s="2">
        <v>45964</v>
      </c>
      <c r="O1846" t="s">
        <v>26</v>
      </c>
      <c r="P1846" t="s">
        <v>27</v>
      </c>
      <c r="Q1846" t="s">
        <v>28</v>
      </c>
      <c r="R1846" t="s">
        <v>29</v>
      </c>
      <c r="S1846">
        <v>2025</v>
      </c>
      <c r="T1846" t="s">
        <v>2749</v>
      </c>
      <c r="U1846" t="s">
        <v>2750</v>
      </c>
      <c r="V1846" s="4">
        <v>0</v>
      </c>
      <c r="W1846" s="4">
        <v>1</v>
      </c>
    </row>
    <row r="1847" spans="1:23">
      <c r="A1847" t="s">
        <v>1979</v>
      </c>
      <c r="B1847" s="2">
        <v>45695</v>
      </c>
      <c r="C1847" t="s">
        <v>96</v>
      </c>
      <c r="D1847" t="s">
        <v>97</v>
      </c>
      <c r="E1847" t="s">
        <v>39</v>
      </c>
      <c r="F1847" t="s">
        <v>82</v>
      </c>
      <c r="G1847" t="s">
        <v>197</v>
      </c>
      <c r="H1847" t="s">
        <v>198</v>
      </c>
      <c r="I1847">
        <v>20</v>
      </c>
      <c r="J1847" s="3">
        <v>2047.6</v>
      </c>
      <c r="K1847" s="3">
        <v>40952</v>
      </c>
      <c r="L1847" t="s">
        <v>34</v>
      </c>
      <c r="M1847" s="2">
        <v>45713</v>
      </c>
      <c r="N1847" s="2">
        <v>45711</v>
      </c>
      <c r="O1847" t="s">
        <v>43</v>
      </c>
      <c r="P1847" t="s">
        <v>64</v>
      </c>
      <c r="Q1847" t="s">
        <v>28</v>
      </c>
      <c r="R1847" t="s">
        <v>29</v>
      </c>
      <c r="S1847">
        <v>2025</v>
      </c>
      <c r="T1847" t="s">
        <v>2751</v>
      </c>
      <c r="U1847" t="s">
        <v>2752</v>
      </c>
      <c r="V1847" s="4">
        <v>0</v>
      </c>
      <c r="W1847" s="4">
        <v>1</v>
      </c>
    </row>
    <row r="1848" spans="1:23">
      <c r="A1848" t="s">
        <v>1980</v>
      </c>
      <c r="B1848" s="2">
        <v>46171</v>
      </c>
      <c r="C1848" t="s">
        <v>104</v>
      </c>
      <c r="D1848" t="s">
        <v>105</v>
      </c>
      <c r="E1848" t="s">
        <v>48</v>
      </c>
      <c r="F1848" t="s">
        <v>49</v>
      </c>
      <c r="G1848" t="s">
        <v>113</v>
      </c>
      <c r="H1848" t="s">
        <v>114</v>
      </c>
      <c r="I1848">
        <v>1</v>
      </c>
      <c r="J1848" s="3">
        <v>36828.160000000003</v>
      </c>
      <c r="K1848" s="3">
        <v>36828.160000000003</v>
      </c>
      <c r="L1848" t="s">
        <v>34</v>
      </c>
      <c r="M1848" s="2">
        <v>46184</v>
      </c>
      <c r="N1848" s="2">
        <v>46181</v>
      </c>
      <c r="O1848" t="s">
        <v>76</v>
      </c>
      <c r="P1848" t="s">
        <v>53</v>
      </c>
      <c r="Q1848" t="s">
        <v>28</v>
      </c>
      <c r="R1848" t="s">
        <v>29</v>
      </c>
      <c r="S1848">
        <v>2026</v>
      </c>
      <c r="T1848" t="s">
        <v>2766</v>
      </c>
      <c r="U1848" t="s">
        <v>2769</v>
      </c>
      <c r="V1848" s="4">
        <v>0</v>
      </c>
      <c r="W1848" s="4">
        <v>1</v>
      </c>
    </row>
    <row r="1849" spans="1:23">
      <c r="A1849" t="s">
        <v>1981</v>
      </c>
      <c r="B1849" s="2">
        <v>46094</v>
      </c>
      <c r="C1849" t="s">
        <v>104</v>
      </c>
      <c r="D1849" t="s">
        <v>105</v>
      </c>
      <c r="E1849" t="s">
        <v>48</v>
      </c>
      <c r="F1849" t="s">
        <v>49</v>
      </c>
      <c r="G1849" t="s">
        <v>68</v>
      </c>
      <c r="H1849" t="s">
        <v>69</v>
      </c>
      <c r="I1849">
        <v>2</v>
      </c>
      <c r="J1849" s="3">
        <v>46481.8</v>
      </c>
      <c r="K1849" s="3">
        <v>92963.6</v>
      </c>
      <c r="L1849" t="s">
        <v>25</v>
      </c>
      <c r="M1849" s="2">
        <v>46107</v>
      </c>
      <c r="N1849" s="2">
        <v>46107</v>
      </c>
      <c r="O1849" t="s">
        <v>60</v>
      </c>
      <c r="P1849" t="s">
        <v>53</v>
      </c>
      <c r="Q1849" t="s">
        <v>28</v>
      </c>
      <c r="R1849" t="s">
        <v>29</v>
      </c>
      <c r="S1849">
        <v>2026</v>
      </c>
      <c r="T1849" t="s">
        <v>2747</v>
      </c>
      <c r="U1849" t="s">
        <v>2755</v>
      </c>
      <c r="V1849" s="4">
        <v>0</v>
      </c>
      <c r="W1849" s="4">
        <v>1</v>
      </c>
    </row>
    <row r="1850" spans="1:23">
      <c r="A1850" t="s">
        <v>1982</v>
      </c>
      <c r="B1850" s="2">
        <v>46050</v>
      </c>
      <c r="C1850" t="s">
        <v>80</v>
      </c>
      <c r="D1850" t="s">
        <v>81</v>
      </c>
      <c r="E1850" t="s">
        <v>39</v>
      </c>
      <c r="F1850" t="s">
        <v>82</v>
      </c>
      <c r="G1850" t="s">
        <v>83</v>
      </c>
      <c r="H1850" t="s">
        <v>84</v>
      </c>
      <c r="I1850">
        <v>28</v>
      </c>
      <c r="J1850" s="3">
        <v>700.47</v>
      </c>
      <c r="K1850" s="3">
        <v>19613.16</v>
      </c>
      <c r="L1850" t="s">
        <v>25</v>
      </c>
      <c r="M1850" s="2">
        <v>46061</v>
      </c>
      <c r="N1850" s="2">
        <v>46059</v>
      </c>
      <c r="O1850" t="s">
        <v>43</v>
      </c>
      <c r="P1850" t="s">
        <v>44</v>
      </c>
      <c r="Q1850" t="s">
        <v>28</v>
      </c>
      <c r="R1850" t="s">
        <v>29</v>
      </c>
      <c r="S1850">
        <v>2026</v>
      </c>
      <c r="T1850" t="s">
        <v>2757</v>
      </c>
      <c r="U1850" t="s">
        <v>2758</v>
      </c>
      <c r="V1850" s="4">
        <v>0</v>
      </c>
      <c r="W1850" s="4">
        <v>1</v>
      </c>
    </row>
    <row r="1851" spans="1:23">
      <c r="A1851" t="s">
        <v>1983</v>
      </c>
      <c r="B1851" s="2">
        <v>45895</v>
      </c>
      <c r="C1851" t="s">
        <v>96</v>
      </c>
      <c r="D1851" t="s">
        <v>97</v>
      </c>
      <c r="E1851" t="s">
        <v>39</v>
      </c>
      <c r="F1851" t="s">
        <v>82</v>
      </c>
      <c r="G1851" t="s">
        <v>83</v>
      </c>
      <c r="H1851" t="s">
        <v>84</v>
      </c>
      <c r="I1851">
        <v>59</v>
      </c>
      <c r="J1851" s="3">
        <v>757.56</v>
      </c>
      <c r="K1851" s="3">
        <v>44696.04</v>
      </c>
      <c r="L1851" t="s">
        <v>34</v>
      </c>
      <c r="M1851" s="2">
        <v>45900</v>
      </c>
      <c r="N1851" s="2">
        <v>45897</v>
      </c>
      <c r="O1851" t="s">
        <v>60</v>
      </c>
      <c r="P1851" t="s">
        <v>64</v>
      </c>
      <c r="Q1851" t="s">
        <v>28</v>
      </c>
      <c r="R1851" t="s">
        <v>29</v>
      </c>
      <c r="S1851">
        <v>2025</v>
      </c>
      <c r="T1851" t="s">
        <v>2761</v>
      </c>
      <c r="U1851" t="s">
        <v>2762</v>
      </c>
      <c r="V1851" s="4">
        <v>0</v>
      </c>
      <c r="W1851" s="4">
        <v>1</v>
      </c>
    </row>
    <row r="1852" spans="1:23">
      <c r="A1852" t="s">
        <v>1984</v>
      </c>
      <c r="B1852" s="2">
        <v>45817</v>
      </c>
      <c r="C1852" t="s">
        <v>37</v>
      </c>
      <c r="D1852" t="s">
        <v>38</v>
      </c>
      <c r="E1852" t="s">
        <v>39</v>
      </c>
      <c r="F1852" t="s">
        <v>22</v>
      </c>
      <c r="G1852" t="s">
        <v>23</v>
      </c>
      <c r="H1852" t="s">
        <v>24</v>
      </c>
      <c r="I1852">
        <v>29</v>
      </c>
      <c r="J1852" s="3">
        <v>264.20999999999998</v>
      </c>
      <c r="K1852" s="3">
        <v>7662.09</v>
      </c>
      <c r="L1852" t="s">
        <v>25</v>
      </c>
      <c r="M1852" s="2">
        <v>45822</v>
      </c>
      <c r="N1852" s="2">
        <v>45820</v>
      </c>
      <c r="O1852" t="s">
        <v>26</v>
      </c>
      <c r="P1852" t="s">
        <v>64</v>
      </c>
      <c r="Q1852" t="s">
        <v>28</v>
      </c>
      <c r="R1852" t="s">
        <v>29</v>
      </c>
      <c r="S1852">
        <v>2025</v>
      </c>
      <c r="T1852" t="s">
        <v>2743</v>
      </c>
      <c r="U1852" t="s">
        <v>2756</v>
      </c>
      <c r="V1852" s="4">
        <v>0</v>
      </c>
      <c r="W1852" s="4">
        <v>1</v>
      </c>
    </row>
    <row r="1853" spans="1:23">
      <c r="A1853" t="s">
        <v>1985</v>
      </c>
      <c r="B1853" s="2">
        <v>45750</v>
      </c>
      <c r="C1853" t="s">
        <v>104</v>
      </c>
      <c r="D1853" t="s">
        <v>105</v>
      </c>
      <c r="E1853" t="s">
        <v>48</v>
      </c>
      <c r="F1853" t="s">
        <v>49</v>
      </c>
      <c r="G1853" t="s">
        <v>50</v>
      </c>
      <c r="H1853" t="s">
        <v>51</v>
      </c>
      <c r="I1853">
        <v>1</v>
      </c>
      <c r="J1853" s="3">
        <v>51320.41</v>
      </c>
      <c r="K1853" s="3">
        <v>51320.41</v>
      </c>
      <c r="L1853" t="s">
        <v>25</v>
      </c>
      <c r="M1853" s="2">
        <v>45768</v>
      </c>
      <c r="N1853" s="2">
        <v>45767</v>
      </c>
      <c r="O1853" t="s">
        <v>76</v>
      </c>
      <c r="P1853" t="s">
        <v>53</v>
      </c>
      <c r="Q1853" t="s">
        <v>28</v>
      </c>
      <c r="R1853" t="s">
        <v>29</v>
      </c>
      <c r="S1853">
        <v>2025</v>
      </c>
      <c r="T1853" t="s">
        <v>2741</v>
      </c>
      <c r="U1853" t="s">
        <v>2742</v>
      </c>
      <c r="V1853" s="4">
        <v>0</v>
      </c>
      <c r="W1853" s="4">
        <v>1</v>
      </c>
    </row>
    <row r="1854" spans="1:23">
      <c r="A1854" t="s">
        <v>1986</v>
      </c>
      <c r="B1854" s="2">
        <v>45763</v>
      </c>
      <c r="C1854" t="s">
        <v>66</v>
      </c>
      <c r="D1854" t="s">
        <v>67</v>
      </c>
      <c r="E1854" t="s">
        <v>112</v>
      </c>
      <c r="F1854" t="s">
        <v>49</v>
      </c>
      <c r="G1854" t="s">
        <v>50</v>
      </c>
      <c r="H1854" t="s">
        <v>51</v>
      </c>
      <c r="I1854">
        <v>3</v>
      </c>
      <c r="J1854" s="3">
        <v>49448.03</v>
      </c>
      <c r="K1854" s="3">
        <v>148344.09</v>
      </c>
      <c r="L1854" t="s">
        <v>52</v>
      </c>
      <c r="M1854" s="2">
        <v>45775</v>
      </c>
      <c r="N1854" s="2">
        <v>45773</v>
      </c>
      <c r="O1854" t="s">
        <v>60</v>
      </c>
      <c r="P1854" t="s">
        <v>115</v>
      </c>
      <c r="Q1854" t="s">
        <v>28</v>
      </c>
      <c r="R1854" t="s">
        <v>29</v>
      </c>
      <c r="S1854">
        <v>2025</v>
      </c>
      <c r="T1854" t="s">
        <v>2741</v>
      </c>
      <c r="U1854" t="s">
        <v>2742</v>
      </c>
      <c r="V1854" s="4">
        <v>0</v>
      </c>
      <c r="W1854" s="4">
        <v>1</v>
      </c>
    </row>
    <row r="1855" spans="1:23">
      <c r="A1855" t="s">
        <v>1987</v>
      </c>
      <c r="B1855" s="2">
        <v>46166</v>
      </c>
      <c r="C1855" t="s">
        <v>37</v>
      </c>
      <c r="D1855" t="s">
        <v>38</v>
      </c>
      <c r="E1855" t="s">
        <v>39</v>
      </c>
      <c r="F1855" t="s">
        <v>22</v>
      </c>
      <c r="G1855" t="s">
        <v>23</v>
      </c>
      <c r="H1855" t="s">
        <v>24</v>
      </c>
      <c r="I1855">
        <v>48</v>
      </c>
      <c r="J1855" s="3">
        <v>253.47</v>
      </c>
      <c r="K1855" s="3">
        <v>12166.56</v>
      </c>
      <c r="L1855" t="s">
        <v>25</v>
      </c>
      <c r="M1855" s="2">
        <v>46174</v>
      </c>
      <c r="N1855" s="2">
        <v>46181</v>
      </c>
      <c r="O1855" t="s">
        <v>26</v>
      </c>
      <c r="P1855" t="s">
        <v>44</v>
      </c>
      <c r="Q1855" t="s">
        <v>28</v>
      </c>
      <c r="R1855" t="s">
        <v>129</v>
      </c>
      <c r="S1855">
        <v>2026</v>
      </c>
      <c r="T1855" t="s">
        <v>2766</v>
      </c>
      <c r="U1855" t="s">
        <v>2769</v>
      </c>
      <c r="V1855" s="4">
        <v>7</v>
      </c>
      <c r="W1855" s="4">
        <v>0</v>
      </c>
    </row>
    <row r="1856" spans="1:23">
      <c r="A1856" t="s">
        <v>1988</v>
      </c>
      <c r="B1856" s="2">
        <v>46086</v>
      </c>
      <c r="C1856" t="s">
        <v>89</v>
      </c>
      <c r="D1856" t="s">
        <v>90</v>
      </c>
      <c r="E1856" t="s">
        <v>31</v>
      </c>
      <c r="F1856" t="s">
        <v>91</v>
      </c>
      <c r="G1856" t="s">
        <v>109</v>
      </c>
      <c r="H1856" t="s">
        <v>110</v>
      </c>
      <c r="I1856">
        <v>3</v>
      </c>
      <c r="J1856" s="3">
        <v>12699.75</v>
      </c>
      <c r="K1856" s="3">
        <v>38099.25</v>
      </c>
      <c r="L1856" t="s">
        <v>34</v>
      </c>
      <c r="M1856" s="2">
        <v>46103</v>
      </c>
      <c r="N1856" s="2">
        <v>46102</v>
      </c>
      <c r="O1856" t="s">
        <v>60</v>
      </c>
      <c r="P1856" t="s">
        <v>35</v>
      </c>
      <c r="Q1856" t="s">
        <v>28</v>
      </c>
      <c r="R1856" t="s">
        <v>29</v>
      </c>
      <c r="S1856">
        <v>2026</v>
      </c>
      <c r="T1856" t="s">
        <v>2747</v>
      </c>
      <c r="U1856" t="s">
        <v>2755</v>
      </c>
      <c r="V1856" s="4">
        <v>0</v>
      </c>
      <c r="W1856" s="4">
        <v>1</v>
      </c>
    </row>
    <row r="1857" spans="1:23">
      <c r="A1857" t="s">
        <v>1989</v>
      </c>
      <c r="B1857" s="2">
        <v>45717</v>
      </c>
      <c r="C1857" t="s">
        <v>37</v>
      </c>
      <c r="D1857" t="s">
        <v>38</v>
      </c>
      <c r="E1857" t="s">
        <v>31</v>
      </c>
      <c r="F1857" t="s">
        <v>22</v>
      </c>
      <c r="G1857" t="s">
        <v>32</v>
      </c>
      <c r="H1857" t="s">
        <v>33</v>
      </c>
      <c r="I1857">
        <v>3</v>
      </c>
      <c r="J1857" s="3">
        <v>8069.23</v>
      </c>
      <c r="K1857" s="3">
        <v>24207.69</v>
      </c>
      <c r="L1857" t="s">
        <v>25</v>
      </c>
      <c r="M1857" s="2">
        <v>45730</v>
      </c>
      <c r="N1857" s="2">
        <v>45728</v>
      </c>
      <c r="O1857" t="s">
        <v>43</v>
      </c>
      <c r="P1857" t="s">
        <v>35</v>
      </c>
      <c r="Q1857" t="s">
        <v>28</v>
      </c>
      <c r="R1857" t="s">
        <v>29</v>
      </c>
      <c r="S1857">
        <v>2025</v>
      </c>
      <c r="T1857" t="s">
        <v>2747</v>
      </c>
      <c r="U1857" t="s">
        <v>2748</v>
      </c>
      <c r="V1857" s="4">
        <v>0</v>
      </c>
      <c r="W1857" s="4">
        <v>1</v>
      </c>
    </row>
    <row r="1858" spans="1:23">
      <c r="A1858" t="s">
        <v>1990</v>
      </c>
      <c r="B1858" s="2">
        <v>46129</v>
      </c>
      <c r="C1858" t="s">
        <v>107</v>
      </c>
      <c r="D1858" t="s">
        <v>108</v>
      </c>
      <c r="E1858" t="s">
        <v>31</v>
      </c>
      <c r="F1858" t="s">
        <v>91</v>
      </c>
      <c r="G1858" t="s">
        <v>92</v>
      </c>
      <c r="H1858" t="s">
        <v>93</v>
      </c>
      <c r="I1858">
        <v>1</v>
      </c>
      <c r="J1858" s="3">
        <v>44755.75</v>
      </c>
      <c r="K1858" s="3">
        <v>44755.75</v>
      </c>
      <c r="L1858" t="s">
        <v>25</v>
      </c>
      <c r="M1858" s="2">
        <v>46138</v>
      </c>
      <c r="N1858" s="2">
        <v>46138</v>
      </c>
      <c r="O1858" t="s">
        <v>43</v>
      </c>
      <c r="P1858" t="s">
        <v>94</v>
      </c>
      <c r="Q1858" t="s">
        <v>28</v>
      </c>
      <c r="R1858" t="s">
        <v>29</v>
      </c>
      <c r="S1858">
        <v>2026</v>
      </c>
      <c r="T1858" t="s">
        <v>2741</v>
      </c>
      <c r="U1858" t="s">
        <v>2770</v>
      </c>
      <c r="V1858" s="4">
        <v>0</v>
      </c>
      <c r="W1858" s="4">
        <v>1</v>
      </c>
    </row>
    <row r="1859" spans="1:23">
      <c r="A1859" t="s">
        <v>1991</v>
      </c>
      <c r="B1859" s="2">
        <v>45724</v>
      </c>
      <c r="C1859" t="s">
        <v>142</v>
      </c>
      <c r="D1859" t="s">
        <v>143</v>
      </c>
      <c r="E1859" t="s">
        <v>112</v>
      </c>
      <c r="F1859" t="s">
        <v>22</v>
      </c>
      <c r="G1859" t="s">
        <v>160</v>
      </c>
      <c r="H1859" t="s">
        <v>161</v>
      </c>
      <c r="I1859">
        <v>14</v>
      </c>
      <c r="J1859" s="3">
        <v>3387.76</v>
      </c>
      <c r="K1859" s="3">
        <v>47428.639999999999</v>
      </c>
      <c r="L1859" t="s">
        <v>25</v>
      </c>
      <c r="M1859" s="2">
        <v>45731</v>
      </c>
      <c r="N1859" s="2">
        <v>45730</v>
      </c>
      <c r="O1859" t="s">
        <v>76</v>
      </c>
      <c r="P1859" t="s">
        <v>115</v>
      </c>
      <c r="Q1859" t="s">
        <v>28</v>
      </c>
      <c r="R1859" t="s">
        <v>29</v>
      </c>
      <c r="S1859">
        <v>2025</v>
      </c>
      <c r="T1859" t="s">
        <v>2747</v>
      </c>
      <c r="U1859" t="s">
        <v>2748</v>
      </c>
      <c r="V1859" s="4">
        <v>0</v>
      </c>
      <c r="W1859" s="4">
        <v>1</v>
      </c>
    </row>
    <row r="1860" spans="1:23">
      <c r="A1860" t="s">
        <v>1992</v>
      </c>
      <c r="B1860" s="2">
        <v>45762</v>
      </c>
      <c r="C1860" t="s">
        <v>107</v>
      </c>
      <c r="D1860" t="s">
        <v>108</v>
      </c>
      <c r="E1860" t="s">
        <v>31</v>
      </c>
      <c r="F1860" t="s">
        <v>91</v>
      </c>
      <c r="G1860" t="s">
        <v>109</v>
      </c>
      <c r="H1860" t="s">
        <v>110</v>
      </c>
      <c r="I1860">
        <v>1</v>
      </c>
      <c r="J1860" s="3">
        <v>13565.3</v>
      </c>
      <c r="K1860" s="3">
        <v>13565.3</v>
      </c>
      <c r="L1860" t="s">
        <v>25</v>
      </c>
      <c r="M1860" s="2">
        <v>45771</v>
      </c>
      <c r="N1860" s="2">
        <v>45771</v>
      </c>
      <c r="O1860" t="s">
        <v>43</v>
      </c>
      <c r="P1860" t="s">
        <v>35</v>
      </c>
      <c r="Q1860" t="s">
        <v>28</v>
      </c>
      <c r="R1860" t="s">
        <v>29</v>
      </c>
      <c r="S1860">
        <v>2025</v>
      </c>
      <c r="T1860" t="s">
        <v>2741</v>
      </c>
      <c r="U1860" t="s">
        <v>2742</v>
      </c>
      <c r="V1860" s="4">
        <v>0</v>
      </c>
      <c r="W1860" s="4">
        <v>1</v>
      </c>
    </row>
    <row r="1861" spans="1:23">
      <c r="A1861" t="s">
        <v>1993</v>
      </c>
      <c r="B1861" s="2">
        <v>46022</v>
      </c>
      <c r="C1861" t="s">
        <v>55</v>
      </c>
      <c r="D1861" t="s">
        <v>56</v>
      </c>
      <c r="E1861" t="s">
        <v>48</v>
      </c>
      <c r="F1861" t="s">
        <v>57</v>
      </c>
      <c r="G1861" t="s">
        <v>58</v>
      </c>
      <c r="H1861" t="s">
        <v>59</v>
      </c>
      <c r="I1861">
        <v>5</v>
      </c>
      <c r="J1861" s="3">
        <v>61732.09</v>
      </c>
      <c r="K1861" s="3">
        <v>308660.45</v>
      </c>
      <c r="L1861" t="s">
        <v>25</v>
      </c>
      <c r="M1861" s="2">
        <v>46031</v>
      </c>
      <c r="N1861" s="2">
        <v>46040</v>
      </c>
      <c r="O1861" t="s">
        <v>43</v>
      </c>
      <c r="P1861" t="s">
        <v>53</v>
      </c>
      <c r="Q1861" t="s">
        <v>28</v>
      </c>
      <c r="R1861" t="s">
        <v>129</v>
      </c>
      <c r="S1861">
        <v>2025</v>
      </c>
      <c r="T1861" t="s">
        <v>2745</v>
      </c>
      <c r="U1861" t="s">
        <v>2746</v>
      </c>
      <c r="V1861" s="4">
        <v>9</v>
      </c>
      <c r="W1861" s="4">
        <v>0</v>
      </c>
    </row>
    <row r="1862" spans="1:23">
      <c r="A1862" t="s">
        <v>1994</v>
      </c>
      <c r="B1862" s="2">
        <v>46075</v>
      </c>
      <c r="C1862" t="s">
        <v>142</v>
      </c>
      <c r="D1862" t="s">
        <v>143</v>
      </c>
      <c r="E1862" t="s">
        <v>31</v>
      </c>
      <c r="F1862" t="s">
        <v>22</v>
      </c>
      <c r="G1862" t="s">
        <v>160</v>
      </c>
      <c r="H1862" t="s">
        <v>161</v>
      </c>
      <c r="I1862">
        <v>14</v>
      </c>
      <c r="J1862" s="3">
        <v>3139.32</v>
      </c>
      <c r="K1862" s="3">
        <v>43950.48</v>
      </c>
      <c r="L1862" t="s">
        <v>25</v>
      </c>
      <c r="M1862" s="2">
        <v>46091</v>
      </c>
      <c r="N1862" s="2">
        <v>46089</v>
      </c>
      <c r="O1862" t="s">
        <v>76</v>
      </c>
      <c r="P1862" t="s">
        <v>94</v>
      </c>
      <c r="Q1862" t="s">
        <v>28</v>
      </c>
      <c r="R1862" t="s">
        <v>29</v>
      </c>
      <c r="S1862">
        <v>2026</v>
      </c>
      <c r="T1862" t="s">
        <v>2751</v>
      </c>
      <c r="U1862" t="s">
        <v>2765</v>
      </c>
      <c r="V1862" s="4">
        <v>0</v>
      </c>
      <c r="W1862" s="4">
        <v>1</v>
      </c>
    </row>
    <row r="1863" spans="1:23">
      <c r="A1863" t="s">
        <v>1995</v>
      </c>
      <c r="B1863" s="2">
        <v>45846</v>
      </c>
      <c r="C1863" t="s">
        <v>134</v>
      </c>
      <c r="D1863" t="s">
        <v>135</v>
      </c>
      <c r="E1863" t="s">
        <v>39</v>
      </c>
      <c r="F1863" t="s">
        <v>40</v>
      </c>
      <c r="G1863" t="s">
        <v>136</v>
      </c>
      <c r="H1863" t="s">
        <v>137</v>
      </c>
      <c r="I1863">
        <v>24</v>
      </c>
      <c r="J1863" s="3">
        <v>1592.18</v>
      </c>
      <c r="K1863" s="3">
        <v>38212.32</v>
      </c>
      <c r="L1863" t="s">
        <v>25</v>
      </c>
      <c r="M1863" s="2">
        <v>45861</v>
      </c>
      <c r="N1863" s="2">
        <v>45861</v>
      </c>
      <c r="O1863" t="s">
        <v>43</v>
      </c>
      <c r="P1863" t="s">
        <v>44</v>
      </c>
      <c r="Q1863" t="s">
        <v>28</v>
      </c>
      <c r="R1863" t="s">
        <v>29</v>
      </c>
      <c r="S1863">
        <v>2025</v>
      </c>
      <c r="T1863" t="s">
        <v>2759</v>
      </c>
      <c r="U1863" t="s">
        <v>2760</v>
      </c>
      <c r="V1863" s="4">
        <v>0</v>
      </c>
      <c r="W1863" s="4">
        <v>1</v>
      </c>
    </row>
    <row r="1864" spans="1:23">
      <c r="A1864" t="s">
        <v>1996</v>
      </c>
      <c r="B1864" s="2">
        <v>45753</v>
      </c>
      <c r="C1864" t="s">
        <v>104</v>
      </c>
      <c r="D1864" t="s">
        <v>105</v>
      </c>
      <c r="E1864" t="s">
        <v>112</v>
      </c>
      <c r="F1864" t="s">
        <v>49</v>
      </c>
      <c r="G1864" t="s">
        <v>50</v>
      </c>
      <c r="H1864" t="s">
        <v>51</v>
      </c>
      <c r="I1864">
        <v>1</v>
      </c>
      <c r="J1864" s="3">
        <v>51090.27</v>
      </c>
      <c r="K1864" s="3">
        <v>51090.27</v>
      </c>
      <c r="L1864" t="s">
        <v>34</v>
      </c>
      <c r="M1864" s="2">
        <v>45764</v>
      </c>
      <c r="N1864" s="2">
        <v>45761</v>
      </c>
      <c r="O1864" t="s">
        <v>26</v>
      </c>
      <c r="P1864" t="s">
        <v>115</v>
      </c>
      <c r="Q1864" t="s">
        <v>28</v>
      </c>
      <c r="R1864" t="s">
        <v>29</v>
      </c>
      <c r="S1864">
        <v>2025</v>
      </c>
      <c r="T1864" t="s">
        <v>2741</v>
      </c>
      <c r="U1864" t="s">
        <v>2742</v>
      </c>
      <c r="V1864" s="4">
        <v>0</v>
      </c>
      <c r="W1864" s="4">
        <v>1</v>
      </c>
    </row>
    <row r="1865" spans="1:23">
      <c r="A1865" t="s">
        <v>1997</v>
      </c>
      <c r="B1865" s="2">
        <v>45743</v>
      </c>
      <c r="C1865" t="s">
        <v>142</v>
      </c>
      <c r="D1865" t="s">
        <v>143</v>
      </c>
      <c r="E1865" t="s">
        <v>31</v>
      </c>
      <c r="F1865" t="s">
        <v>22</v>
      </c>
      <c r="G1865" t="s">
        <v>160</v>
      </c>
      <c r="H1865" t="s">
        <v>161</v>
      </c>
      <c r="I1865">
        <v>14</v>
      </c>
      <c r="J1865" s="3">
        <v>3245.74</v>
      </c>
      <c r="K1865" s="3">
        <v>45440.36</v>
      </c>
      <c r="L1865" t="s">
        <v>52</v>
      </c>
      <c r="M1865" s="2">
        <v>45757</v>
      </c>
      <c r="N1865" s="2">
        <v>45754</v>
      </c>
      <c r="O1865" t="s">
        <v>43</v>
      </c>
      <c r="P1865" t="s">
        <v>94</v>
      </c>
      <c r="Q1865" t="s">
        <v>28</v>
      </c>
      <c r="R1865" t="s">
        <v>29</v>
      </c>
      <c r="S1865">
        <v>2025</v>
      </c>
      <c r="T1865" t="s">
        <v>2747</v>
      </c>
      <c r="U1865" t="s">
        <v>2748</v>
      </c>
      <c r="V1865" s="4">
        <v>0</v>
      </c>
      <c r="W1865" s="4">
        <v>1</v>
      </c>
    </row>
    <row r="1866" spans="1:23">
      <c r="A1866" t="s">
        <v>1998</v>
      </c>
      <c r="B1866" s="2">
        <v>45935</v>
      </c>
      <c r="C1866" t="s">
        <v>117</v>
      </c>
      <c r="D1866" t="s">
        <v>118</v>
      </c>
      <c r="E1866" t="s">
        <v>48</v>
      </c>
      <c r="F1866" t="s">
        <v>57</v>
      </c>
      <c r="G1866" t="s">
        <v>120</v>
      </c>
      <c r="H1866" t="s">
        <v>121</v>
      </c>
      <c r="I1866">
        <v>4</v>
      </c>
      <c r="J1866" s="3">
        <v>21853.17</v>
      </c>
      <c r="K1866" s="3">
        <v>87412.68</v>
      </c>
      <c r="L1866" t="s">
        <v>25</v>
      </c>
      <c r="M1866" s="2">
        <v>45942</v>
      </c>
      <c r="N1866" s="2">
        <v>45940</v>
      </c>
      <c r="O1866" t="s">
        <v>26</v>
      </c>
      <c r="P1866" t="s">
        <v>53</v>
      </c>
      <c r="Q1866" t="s">
        <v>28</v>
      </c>
      <c r="R1866" t="s">
        <v>29</v>
      </c>
      <c r="S1866">
        <v>2025</v>
      </c>
      <c r="T1866" t="s">
        <v>2749</v>
      </c>
      <c r="U1866" t="s">
        <v>2750</v>
      </c>
      <c r="V1866" s="4">
        <v>0</v>
      </c>
      <c r="W1866" s="4">
        <v>1</v>
      </c>
    </row>
    <row r="1867" spans="1:23">
      <c r="A1867" t="s">
        <v>1999</v>
      </c>
      <c r="B1867" s="2">
        <v>45819</v>
      </c>
      <c r="C1867" t="s">
        <v>96</v>
      </c>
      <c r="D1867" t="s">
        <v>97</v>
      </c>
      <c r="E1867" t="s">
        <v>39</v>
      </c>
      <c r="F1867" t="s">
        <v>82</v>
      </c>
      <c r="G1867" t="s">
        <v>197</v>
      </c>
      <c r="H1867" t="s">
        <v>198</v>
      </c>
      <c r="I1867">
        <v>40</v>
      </c>
      <c r="J1867" s="3">
        <v>2197.52</v>
      </c>
      <c r="K1867" s="3">
        <v>87900.800000000003</v>
      </c>
      <c r="L1867" t="s">
        <v>25</v>
      </c>
      <c r="M1867" s="2">
        <v>45829</v>
      </c>
      <c r="N1867" s="2">
        <v>45828</v>
      </c>
      <c r="O1867" t="s">
        <v>26</v>
      </c>
      <c r="P1867" t="s">
        <v>44</v>
      </c>
      <c r="Q1867" t="s">
        <v>28</v>
      </c>
      <c r="R1867" t="s">
        <v>29</v>
      </c>
      <c r="S1867">
        <v>2025</v>
      </c>
      <c r="T1867" t="s">
        <v>2743</v>
      </c>
      <c r="U1867" t="s">
        <v>2756</v>
      </c>
      <c r="V1867" s="4">
        <v>0</v>
      </c>
      <c r="W1867" s="4">
        <v>1</v>
      </c>
    </row>
    <row r="1868" spans="1:23">
      <c r="A1868" t="s">
        <v>2000</v>
      </c>
      <c r="B1868" s="2">
        <v>45783</v>
      </c>
      <c r="C1868" t="s">
        <v>104</v>
      </c>
      <c r="D1868" t="s">
        <v>105</v>
      </c>
      <c r="E1868" t="s">
        <v>21</v>
      </c>
      <c r="F1868" t="s">
        <v>49</v>
      </c>
      <c r="G1868" t="s">
        <v>165</v>
      </c>
      <c r="H1868" t="s">
        <v>166</v>
      </c>
      <c r="I1868">
        <v>1</v>
      </c>
      <c r="J1868" s="3">
        <v>46104.73</v>
      </c>
      <c r="K1868" s="3">
        <v>46104.73</v>
      </c>
      <c r="L1868" t="s">
        <v>34</v>
      </c>
      <c r="M1868" s="2">
        <v>45793</v>
      </c>
      <c r="N1868" s="2">
        <v>45793</v>
      </c>
      <c r="O1868" t="s">
        <v>26</v>
      </c>
      <c r="P1868" t="s">
        <v>27</v>
      </c>
      <c r="Q1868" t="s">
        <v>28</v>
      </c>
      <c r="R1868" t="s">
        <v>29</v>
      </c>
      <c r="S1868">
        <v>2025</v>
      </c>
      <c r="T1868" t="s">
        <v>2766</v>
      </c>
      <c r="U1868" t="s">
        <v>2767</v>
      </c>
      <c r="V1868" s="4">
        <v>0</v>
      </c>
      <c r="W1868" s="4">
        <v>1</v>
      </c>
    </row>
    <row r="1869" spans="1:23">
      <c r="A1869" t="s">
        <v>2001</v>
      </c>
      <c r="B1869" s="2">
        <v>45702</v>
      </c>
      <c r="C1869" t="s">
        <v>142</v>
      </c>
      <c r="D1869" t="s">
        <v>143</v>
      </c>
      <c r="E1869" t="s">
        <v>39</v>
      </c>
      <c r="F1869" t="s">
        <v>22</v>
      </c>
      <c r="G1869" t="s">
        <v>160</v>
      </c>
      <c r="H1869" t="s">
        <v>161</v>
      </c>
      <c r="I1869">
        <v>14</v>
      </c>
      <c r="J1869" s="3">
        <v>3246.03</v>
      </c>
      <c r="K1869" s="3">
        <v>45444.42</v>
      </c>
      <c r="L1869" t="s">
        <v>25</v>
      </c>
      <c r="M1869" s="2">
        <v>45711</v>
      </c>
      <c r="N1869" s="2">
        <v>45709</v>
      </c>
      <c r="O1869" t="s">
        <v>60</v>
      </c>
      <c r="P1869" t="s">
        <v>44</v>
      </c>
      <c r="Q1869" t="s">
        <v>28</v>
      </c>
      <c r="R1869" t="s">
        <v>29</v>
      </c>
      <c r="S1869">
        <v>2025</v>
      </c>
      <c r="T1869" t="s">
        <v>2751</v>
      </c>
      <c r="U1869" t="s">
        <v>2752</v>
      </c>
      <c r="V1869" s="4">
        <v>0</v>
      </c>
      <c r="W1869" s="4">
        <v>1</v>
      </c>
    </row>
    <row r="1870" spans="1:23">
      <c r="A1870" t="s">
        <v>2002</v>
      </c>
      <c r="B1870" s="2">
        <v>45681</v>
      </c>
      <c r="C1870" t="s">
        <v>80</v>
      </c>
      <c r="D1870" t="s">
        <v>81</v>
      </c>
      <c r="E1870" t="s">
        <v>39</v>
      </c>
      <c r="F1870" t="s">
        <v>82</v>
      </c>
      <c r="G1870" t="s">
        <v>197</v>
      </c>
      <c r="H1870" t="s">
        <v>198</v>
      </c>
      <c r="I1870">
        <v>30</v>
      </c>
      <c r="J1870" s="3">
        <v>1974.54</v>
      </c>
      <c r="K1870" s="3">
        <v>59236.2</v>
      </c>
      <c r="L1870" t="s">
        <v>25</v>
      </c>
      <c r="M1870" s="2">
        <v>45697</v>
      </c>
      <c r="N1870" s="2">
        <v>45697</v>
      </c>
      <c r="O1870" t="s">
        <v>60</v>
      </c>
      <c r="P1870" t="s">
        <v>44</v>
      </c>
      <c r="Q1870" t="s">
        <v>28</v>
      </c>
      <c r="R1870" t="s">
        <v>29</v>
      </c>
      <c r="S1870">
        <v>2025</v>
      </c>
      <c r="T1870" t="s">
        <v>2757</v>
      </c>
      <c r="U1870" t="s">
        <v>2768</v>
      </c>
      <c r="V1870" s="4">
        <v>0</v>
      </c>
      <c r="W1870" s="4">
        <v>1</v>
      </c>
    </row>
    <row r="1871" spans="1:23">
      <c r="A1871" t="s">
        <v>2003</v>
      </c>
      <c r="B1871" s="2">
        <v>46020</v>
      </c>
      <c r="C1871" t="s">
        <v>96</v>
      </c>
      <c r="D1871" t="s">
        <v>97</v>
      </c>
      <c r="E1871" t="s">
        <v>39</v>
      </c>
      <c r="F1871" t="s">
        <v>82</v>
      </c>
      <c r="G1871" t="s">
        <v>197</v>
      </c>
      <c r="H1871" t="s">
        <v>198</v>
      </c>
      <c r="I1871">
        <v>37</v>
      </c>
      <c r="J1871" s="3">
        <v>2133.2600000000002</v>
      </c>
      <c r="K1871" s="3">
        <v>78930.62</v>
      </c>
      <c r="L1871" t="s">
        <v>25</v>
      </c>
      <c r="M1871" s="2">
        <v>46032</v>
      </c>
      <c r="N1871" s="2">
        <v>46029</v>
      </c>
      <c r="O1871" t="s">
        <v>26</v>
      </c>
      <c r="P1871" t="s">
        <v>64</v>
      </c>
      <c r="Q1871" t="s">
        <v>28</v>
      </c>
      <c r="R1871" t="s">
        <v>29</v>
      </c>
      <c r="S1871">
        <v>2025</v>
      </c>
      <c r="T1871" t="s">
        <v>2745</v>
      </c>
      <c r="U1871" t="s">
        <v>2746</v>
      </c>
      <c r="V1871" s="4">
        <v>0</v>
      </c>
      <c r="W1871" s="4">
        <v>1</v>
      </c>
    </row>
    <row r="1872" spans="1:23">
      <c r="A1872" t="s">
        <v>2004</v>
      </c>
      <c r="B1872" s="2">
        <v>45868</v>
      </c>
      <c r="C1872" t="s">
        <v>147</v>
      </c>
      <c r="D1872" t="s">
        <v>148</v>
      </c>
      <c r="E1872" t="s">
        <v>112</v>
      </c>
      <c r="F1872" t="s">
        <v>40</v>
      </c>
      <c r="G1872" t="s">
        <v>149</v>
      </c>
      <c r="H1872" t="s">
        <v>150</v>
      </c>
      <c r="I1872">
        <v>42</v>
      </c>
      <c r="J1872" s="3">
        <v>1260.26</v>
      </c>
      <c r="K1872" s="3">
        <v>52930.92</v>
      </c>
      <c r="L1872" t="s">
        <v>34</v>
      </c>
      <c r="M1872" s="2">
        <v>45873</v>
      </c>
      <c r="N1872" s="2">
        <v>45873</v>
      </c>
      <c r="O1872" t="s">
        <v>26</v>
      </c>
      <c r="P1872" t="s">
        <v>115</v>
      </c>
      <c r="Q1872" t="s">
        <v>28</v>
      </c>
      <c r="R1872" t="s">
        <v>29</v>
      </c>
      <c r="S1872">
        <v>2025</v>
      </c>
      <c r="T1872" t="s">
        <v>2759</v>
      </c>
      <c r="U1872" t="s">
        <v>2760</v>
      </c>
      <c r="V1872" s="4">
        <v>0</v>
      </c>
      <c r="W1872" s="4">
        <v>1</v>
      </c>
    </row>
    <row r="1873" spans="1:23">
      <c r="A1873" t="s">
        <v>2005</v>
      </c>
      <c r="B1873" s="2">
        <v>45941</v>
      </c>
      <c r="C1873" t="s">
        <v>19</v>
      </c>
      <c r="D1873" t="s">
        <v>20</v>
      </c>
      <c r="E1873" t="s">
        <v>73</v>
      </c>
      <c r="F1873" t="s">
        <v>22</v>
      </c>
      <c r="G1873" t="s">
        <v>32</v>
      </c>
      <c r="H1873" t="s">
        <v>33</v>
      </c>
      <c r="I1873">
        <v>1</v>
      </c>
      <c r="J1873" s="3">
        <v>7103.76</v>
      </c>
      <c r="K1873" s="3">
        <v>7103.76</v>
      </c>
      <c r="L1873" t="s">
        <v>52</v>
      </c>
      <c r="M1873" s="2">
        <v>45949</v>
      </c>
      <c r="N1873" s="2">
        <v>45947</v>
      </c>
      <c r="O1873" t="s">
        <v>76</v>
      </c>
      <c r="P1873" t="s">
        <v>77</v>
      </c>
      <c r="Q1873" t="s">
        <v>28</v>
      </c>
      <c r="R1873" t="s">
        <v>29</v>
      </c>
      <c r="S1873">
        <v>2025</v>
      </c>
      <c r="T1873" t="s">
        <v>2749</v>
      </c>
      <c r="U1873" t="s">
        <v>2750</v>
      </c>
      <c r="V1873" s="4">
        <v>0</v>
      </c>
      <c r="W1873" s="4">
        <v>1</v>
      </c>
    </row>
    <row r="1874" spans="1:23">
      <c r="A1874" t="s">
        <v>2006</v>
      </c>
      <c r="B1874" s="2">
        <v>45954</v>
      </c>
      <c r="C1874" t="s">
        <v>89</v>
      </c>
      <c r="D1874" t="s">
        <v>90</v>
      </c>
      <c r="E1874" t="s">
        <v>31</v>
      </c>
      <c r="F1874" t="s">
        <v>91</v>
      </c>
      <c r="G1874" t="s">
        <v>109</v>
      </c>
      <c r="H1874" t="s">
        <v>110</v>
      </c>
      <c r="I1874">
        <v>1</v>
      </c>
      <c r="J1874" s="3">
        <v>12633.78</v>
      </c>
      <c r="K1874" s="3">
        <v>12633.78</v>
      </c>
      <c r="L1874" t="s">
        <v>25</v>
      </c>
      <c r="M1874" s="2">
        <v>45964</v>
      </c>
      <c r="N1874" s="2">
        <v>45961</v>
      </c>
      <c r="O1874" t="s">
        <v>26</v>
      </c>
      <c r="P1874" t="s">
        <v>35</v>
      </c>
      <c r="Q1874" t="s">
        <v>28</v>
      </c>
      <c r="R1874" t="s">
        <v>29</v>
      </c>
      <c r="S1874">
        <v>2025</v>
      </c>
      <c r="T1874" t="s">
        <v>2749</v>
      </c>
      <c r="U1874" t="s">
        <v>2750</v>
      </c>
      <c r="V1874" s="4">
        <v>0</v>
      </c>
      <c r="W1874" s="4">
        <v>1</v>
      </c>
    </row>
    <row r="1875" spans="1:23">
      <c r="A1875" t="s">
        <v>2007</v>
      </c>
      <c r="B1875" s="2">
        <v>46076</v>
      </c>
      <c r="C1875" t="s">
        <v>19</v>
      </c>
      <c r="D1875" t="s">
        <v>20</v>
      </c>
      <c r="E1875" t="s">
        <v>31</v>
      </c>
      <c r="F1875" t="s">
        <v>22</v>
      </c>
      <c r="G1875" t="s">
        <v>160</v>
      </c>
      <c r="H1875" t="s">
        <v>161</v>
      </c>
      <c r="I1875">
        <v>12</v>
      </c>
      <c r="J1875" s="3">
        <v>2845.57</v>
      </c>
      <c r="K1875" s="3">
        <v>34146.839999999997</v>
      </c>
      <c r="L1875" t="s">
        <v>52</v>
      </c>
      <c r="M1875" s="2">
        <v>46087</v>
      </c>
      <c r="N1875" s="2">
        <v>46085</v>
      </c>
      <c r="O1875" t="s">
        <v>60</v>
      </c>
      <c r="P1875" t="s">
        <v>35</v>
      </c>
      <c r="Q1875" t="s">
        <v>28</v>
      </c>
      <c r="R1875" t="s">
        <v>29</v>
      </c>
      <c r="S1875">
        <v>2026</v>
      </c>
      <c r="T1875" t="s">
        <v>2751</v>
      </c>
      <c r="U1875" t="s">
        <v>2765</v>
      </c>
      <c r="V1875" s="4">
        <v>0</v>
      </c>
      <c r="W1875" s="4">
        <v>1</v>
      </c>
    </row>
    <row r="1876" spans="1:23">
      <c r="A1876" t="s">
        <v>2008</v>
      </c>
      <c r="B1876" s="2">
        <v>45997</v>
      </c>
      <c r="C1876" t="s">
        <v>71</v>
      </c>
      <c r="D1876" t="s">
        <v>72</v>
      </c>
      <c r="E1876" t="s">
        <v>48</v>
      </c>
      <c r="F1876" t="s">
        <v>57</v>
      </c>
      <c r="G1876" t="s">
        <v>58</v>
      </c>
      <c r="H1876" t="s">
        <v>59</v>
      </c>
      <c r="I1876">
        <v>3</v>
      </c>
      <c r="J1876" s="3">
        <v>55605.74</v>
      </c>
      <c r="K1876" s="3">
        <v>166817.22</v>
      </c>
      <c r="L1876" t="s">
        <v>34</v>
      </c>
      <c r="M1876" s="2">
        <v>46015</v>
      </c>
      <c r="N1876" s="2">
        <v>46014</v>
      </c>
      <c r="O1876" t="s">
        <v>43</v>
      </c>
      <c r="P1876" t="s">
        <v>53</v>
      </c>
      <c r="Q1876" t="s">
        <v>28</v>
      </c>
      <c r="R1876" t="s">
        <v>29</v>
      </c>
      <c r="S1876">
        <v>2025</v>
      </c>
      <c r="T1876" t="s">
        <v>2745</v>
      </c>
      <c r="U1876" t="s">
        <v>2746</v>
      </c>
      <c r="V1876" s="4">
        <v>0</v>
      </c>
      <c r="W1876" s="4">
        <v>1</v>
      </c>
    </row>
    <row r="1877" spans="1:23">
      <c r="A1877" t="s">
        <v>2009</v>
      </c>
      <c r="B1877" s="2">
        <v>46197</v>
      </c>
      <c r="C1877" t="s">
        <v>142</v>
      </c>
      <c r="D1877" t="s">
        <v>143</v>
      </c>
      <c r="E1877" t="s">
        <v>21</v>
      </c>
      <c r="F1877" t="s">
        <v>22</v>
      </c>
      <c r="G1877" t="s">
        <v>23</v>
      </c>
      <c r="H1877" t="s">
        <v>24</v>
      </c>
      <c r="I1877">
        <v>26</v>
      </c>
      <c r="J1877" s="3">
        <v>246.44</v>
      </c>
      <c r="K1877" s="3">
        <v>6407.44</v>
      </c>
      <c r="L1877" t="s">
        <v>34</v>
      </c>
      <c r="M1877" s="2">
        <v>46208</v>
      </c>
      <c r="N1877" s="2">
        <v>46206</v>
      </c>
      <c r="O1877" t="s">
        <v>60</v>
      </c>
      <c r="P1877" t="s">
        <v>27</v>
      </c>
      <c r="Q1877" t="s">
        <v>28</v>
      </c>
      <c r="R1877" t="s">
        <v>29</v>
      </c>
      <c r="S1877">
        <v>2026</v>
      </c>
      <c r="T1877" t="s">
        <v>2743</v>
      </c>
      <c r="U1877" t="s">
        <v>2744</v>
      </c>
      <c r="V1877" s="4">
        <v>0</v>
      </c>
      <c r="W1877" s="4">
        <v>1</v>
      </c>
    </row>
    <row r="1878" spans="1:23">
      <c r="A1878" t="s">
        <v>2010</v>
      </c>
      <c r="B1878" s="2">
        <v>46165</v>
      </c>
      <c r="C1878" t="s">
        <v>55</v>
      </c>
      <c r="D1878" t="s">
        <v>56</v>
      </c>
      <c r="E1878" t="s">
        <v>31</v>
      </c>
      <c r="F1878" t="s">
        <v>57</v>
      </c>
      <c r="G1878" t="s">
        <v>58</v>
      </c>
      <c r="H1878" t="s">
        <v>59</v>
      </c>
      <c r="I1878">
        <v>8</v>
      </c>
      <c r="J1878" s="3">
        <v>63789.67</v>
      </c>
      <c r="K1878" s="3">
        <v>510317.36</v>
      </c>
      <c r="L1878" t="s">
        <v>34</v>
      </c>
      <c r="M1878" s="2">
        <v>46174</v>
      </c>
      <c r="N1878" s="2">
        <v>46172</v>
      </c>
      <c r="O1878" t="s">
        <v>60</v>
      </c>
      <c r="P1878" t="s">
        <v>35</v>
      </c>
      <c r="Q1878" t="s">
        <v>28</v>
      </c>
      <c r="R1878" t="s">
        <v>29</v>
      </c>
      <c r="S1878">
        <v>2026</v>
      </c>
      <c r="T1878" t="s">
        <v>2766</v>
      </c>
      <c r="U1878" t="s">
        <v>2769</v>
      </c>
      <c r="V1878" s="4">
        <v>0</v>
      </c>
      <c r="W1878" s="4">
        <v>1</v>
      </c>
    </row>
    <row r="1879" spans="1:23">
      <c r="A1879" t="s">
        <v>2011</v>
      </c>
      <c r="B1879" s="2">
        <v>45808</v>
      </c>
      <c r="C1879" t="s">
        <v>37</v>
      </c>
      <c r="D1879" t="s">
        <v>38</v>
      </c>
      <c r="E1879" t="s">
        <v>21</v>
      </c>
      <c r="F1879" t="s">
        <v>22</v>
      </c>
      <c r="G1879" t="s">
        <v>23</v>
      </c>
      <c r="H1879" t="s">
        <v>24</v>
      </c>
      <c r="I1879">
        <v>27</v>
      </c>
      <c r="J1879" s="3">
        <v>259.27</v>
      </c>
      <c r="K1879" s="3">
        <v>7000.29</v>
      </c>
      <c r="L1879" t="s">
        <v>34</v>
      </c>
      <c r="M1879" s="2">
        <v>45823</v>
      </c>
      <c r="N1879" s="2">
        <v>45821</v>
      </c>
      <c r="O1879" t="s">
        <v>26</v>
      </c>
      <c r="P1879" t="s">
        <v>27</v>
      </c>
      <c r="Q1879" t="s">
        <v>28</v>
      </c>
      <c r="R1879" t="s">
        <v>29</v>
      </c>
      <c r="S1879">
        <v>2025</v>
      </c>
      <c r="T1879" t="s">
        <v>2766</v>
      </c>
      <c r="U1879" t="s">
        <v>2767</v>
      </c>
      <c r="V1879" s="4">
        <v>0</v>
      </c>
      <c r="W1879" s="4">
        <v>1</v>
      </c>
    </row>
    <row r="1880" spans="1:23">
      <c r="A1880" t="s">
        <v>2012</v>
      </c>
      <c r="B1880" s="2">
        <v>45939</v>
      </c>
      <c r="C1880" t="s">
        <v>66</v>
      </c>
      <c r="D1880" t="s">
        <v>67</v>
      </c>
      <c r="E1880" t="s">
        <v>73</v>
      </c>
      <c r="F1880" t="s">
        <v>49</v>
      </c>
      <c r="G1880" t="s">
        <v>113</v>
      </c>
      <c r="H1880" t="s">
        <v>114</v>
      </c>
      <c r="I1880">
        <v>1</v>
      </c>
      <c r="J1880" s="3">
        <v>35599.14</v>
      </c>
      <c r="K1880" s="3">
        <v>35599.14</v>
      </c>
      <c r="L1880" t="s">
        <v>25</v>
      </c>
      <c r="M1880" s="2">
        <v>45952</v>
      </c>
      <c r="N1880" s="2">
        <v>45951</v>
      </c>
      <c r="O1880" t="s">
        <v>76</v>
      </c>
      <c r="P1880" t="s">
        <v>77</v>
      </c>
      <c r="Q1880" t="s">
        <v>28</v>
      </c>
      <c r="R1880" t="s">
        <v>29</v>
      </c>
      <c r="S1880">
        <v>2025</v>
      </c>
      <c r="T1880" t="s">
        <v>2749</v>
      </c>
      <c r="U1880" t="s">
        <v>2750</v>
      </c>
      <c r="V1880" s="4">
        <v>0</v>
      </c>
      <c r="W1880" s="4">
        <v>1</v>
      </c>
    </row>
    <row r="1881" spans="1:23">
      <c r="A1881" t="s">
        <v>2013</v>
      </c>
      <c r="B1881" s="2">
        <v>46162</v>
      </c>
      <c r="C1881" t="s">
        <v>104</v>
      </c>
      <c r="D1881" t="s">
        <v>105</v>
      </c>
      <c r="E1881" t="s">
        <v>21</v>
      </c>
      <c r="F1881" t="s">
        <v>49</v>
      </c>
      <c r="G1881" t="s">
        <v>68</v>
      </c>
      <c r="H1881" t="s">
        <v>69</v>
      </c>
      <c r="I1881">
        <v>1</v>
      </c>
      <c r="J1881" s="3">
        <v>47455.03</v>
      </c>
      <c r="K1881" s="3">
        <v>47455.03</v>
      </c>
      <c r="L1881" t="s">
        <v>52</v>
      </c>
      <c r="M1881" s="2">
        <v>46179</v>
      </c>
      <c r="N1881" s="2">
        <v>46177</v>
      </c>
      <c r="O1881" t="s">
        <v>60</v>
      </c>
      <c r="P1881" t="s">
        <v>27</v>
      </c>
      <c r="Q1881" t="s">
        <v>28</v>
      </c>
      <c r="R1881" t="s">
        <v>29</v>
      </c>
      <c r="S1881">
        <v>2026</v>
      </c>
      <c r="T1881" t="s">
        <v>2766</v>
      </c>
      <c r="U1881" t="s">
        <v>2769</v>
      </c>
      <c r="V1881" s="4">
        <v>0</v>
      </c>
      <c r="W1881" s="4">
        <v>1</v>
      </c>
    </row>
    <row r="1882" spans="1:23">
      <c r="A1882" t="s">
        <v>2014</v>
      </c>
      <c r="B1882" s="2">
        <v>46200</v>
      </c>
      <c r="C1882" t="s">
        <v>80</v>
      </c>
      <c r="D1882" t="s">
        <v>81</v>
      </c>
      <c r="E1882" t="s">
        <v>39</v>
      </c>
      <c r="F1882" t="s">
        <v>82</v>
      </c>
      <c r="G1882" t="s">
        <v>83</v>
      </c>
      <c r="H1882" t="s">
        <v>84</v>
      </c>
      <c r="I1882">
        <v>18</v>
      </c>
      <c r="J1882" s="3">
        <v>659.71</v>
      </c>
      <c r="K1882" s="3">
        <v>11874.78</v>
      </c>
      <c r="L1882" t="s">
        <v>25</v>
      </c>
      <c r="M1882" s="2">
        <v>46210</v>
      </c>
      <c r="N1882" s="2"/>
      <c r="O1882" t="s">
        <v>26</v>
      </c>
      <c r="P1882" t="s">
        <v>64</v>
      </c>
      <c r="Q1882" t="s">
        <v>167</v>
      </c>
      <c r="R1882" t="s">
        <v>167</v>
      </c>
      <c r="S1882">
        <v>2026</v>
      </c>
      <c r="T1882" t="s">
        <v>2743</v>
      </c>
      <c r="U1882" t="s">
        <v>2744</v>
      </c>
      <c r="V1882" s="4"/>
      <c r="W1882" s="4"/>
    </row>
    <row r="1883" spans="1:23">
      <c r="A1883" t="s">
        <v>2015</v>
      </c>
      <c r="B1883" s="2">
        <v>45745</v>
      </c>
      <c r="C1883" t="s">
        <v>104</v>
      </c>
      <c r="D1883" t="s">
        <v>105</v>
      </c>
      <c r="E1883" t="s">
        <v>21</v>
      </c>
      <c r="F1883" t="s">
        <v>49</v>
      </c>
      <c r="G1883" t="s">
        <v>50</v>
      </c>
      <c r="H1883" t="s">
        <v>51</v>
      </c>
      <c r="I1883">
        <v>1</v>
      </c>
      <c r="J1883" s="3">
        <v>51234.06</v>
      </c>
      <c r="K1883" s="3">
        <v>51234.06</v>
      </c>
      <c r="L1883" t="s">
        <v>25</v>
      </c>
      <c r="M1883" s="2">
        <v>45758</v>
      </c>
      <c r="N1883" s="2">
        <v>45757</v>
      </c>
      <c r="O1883" t="s">
        <v>26</v>
      </c>
      <c r="P1883" t="s">
        <v>27</v>
      </c>
      <c r="Q1883" t="s">
        <v>28</v>
      </c>
      <c r="R1883" t="s">
        <v>29</v>
      </c>
      <c r="S1883">
        <v>2025</v>
      </c>
      <c r="T1883" t="s">
        <v>2747</v>
      </c>
      <c r="U1883" t="s">
        <v>2748</v>
      </c>
      <c r="V1883" s="4">
        <v>0</v>
      </c>
      <c r="W1883" s="4">
        <v>1</v>
      </c>
    </row>
    <row r="1884" spans="1:23">
      <c r="A1884" t="s">
        <v>2016</v>
      </c>
      <c r="B1884" s="2">
        <v>46048</v>
      </c>
      <c r="C1884" t="s">
        <v>80</v>
      </c>
      <c r="D1884" t="s">
        <v>81</v>
      </c>
      <c r="E1884" t="s">
        <v>39</v>
      </c>
      <c r="F1884" t="s">
        <v>82</v>
      </c>
      <c r="G1884" t="s">
        <v>197</v>
      </c>
      <c r="H1884" t="s">
        <v>198</v>
      </c>
      <c r="I1884">
        <v>49</v>
      </c>
      <c r="J1884" s="3">
        <v>1993.46</v>
      </c>
      <c r="K1884" s="3">
        <v>97679.54</v>
      </c>
      <c r="L1884" t="s">
        <v>25</v>
      </c>
      <c r="M1884" s="2">
        <v>46053</v>
      </c>
      <c r="N1884" s="2">
        <v>46053</v>
      </c>
      <c r="O1884" t="s">
        <v>26</v>
      </c>
      <c r="P1884" t="s">
        <v>64</v>
      </c>
      <c r="Q1884" t="s">
        <v>28</v>
      </c>
      <c r="R1884" t="s">
        <v>29</v>
      </c>
      <c r="S1884">
        <v>2026</v>
      </c>
      <c r="T1884" t="s">
        <v>2757</v>
      </c>
      <c r="U1884" t="s">
        <v>2758</v>
      </c>
      <c r="V1884" s="4">
        <v>0</v>
      </c>
      <c r="W1884" s="4">
        <v>1</v>
      </c>
    </row>
    <row r="1885" spans="1:23">
      <c r="A1885" t="s">
        <v>2017</v>
      </c>
      <c r="B1885" s="2">
        <v>45965</v>
      </c>
      <c r="C1885" t="s">
        <v>134</v>
      </c>
      <c r="D1885" t="s">
        <v>135</v>
      </c>
      <c r="E1885" t="s">
        <v>39</v>
      </c>
      <c r="F1885" t="s">
        <v>40</v>
      </c>
      <c r="G1885" t="s">
        <v>149</v>
      </c>
      <c r="H1885" t="s">
        <v>150</v>
      </c>
      <c r="I1885">
        <v>55</v>
      </c>
      <c r="J1885" s="3">
        <v>1325.4</v>
      </c>
      <c r="K1885" s="3">
        <v>72897</v>
      </c>
      <c r="L1885" t="s">
        <v>25</v>
      </c>
      <c r="M1885" s="2">
        <v>45978</v>
      </c>
      <c r="N1885" s="2">
        <v>45975</v>
      </c>
      <c r="O1885" t="s">
        <v>76</v>
      </c>
      <c r="P1885" t="s">
        <v>44</v>
      </c>
      <c r="Q1885" t="s">
        <v>28</v>
      </c>
      <c r="R1885" t="s">
        <v>29</v>
      </c>
      <c r="S1885">
        <v>2025</v>
      </c>
      <c r="T1885" t="s">
        <v>2763</v>
      </c>
      <c r="U1885" t="s">
        <v>2764</v>
      </c>
      <c r="V1885" s="4">
        <v>0</v>
      </c>
      <c r="W1885" s="4">
        <v>1</v>
      </c>
    </row>
    <row r="1886" spans="1:23">
      <c r="A1886" t="s">
        <v>2018</v>
      </c>
      <c r="B1886" s="2">
        <v>45925</v>
      </c>
      <c r="C1886" t="s">
        <v>134</v>
      </c>
      <c r="D1886" t="s">
        <v>135</v>
      </c>
      <c r="E1886" t="s">
        <v>112</v>
      </c>
      <c r="F1886" t="s">
        <v>40</v>
      </c>
      <c r="G1886" t="s">
        <v>149</v>
      </c>
      <c r="H1886" t="s">
        <v>150</v>
      </c>
      <c r="I1886">
        <v>7</v>
      </c>
      <c r="J1886" s="3">
        <v>1404.44</v>
      </c>
      <c r="K1886" s="3">
        <v>9831.08</v>
      </c>
      <c r="L1886" t="s">
        <v>52</v>
      </c>
      <c r="M1886" s="2">
        <v>45939</v>
      </c>
      <c r="N1886" s="2">
        <v>45936</v>
      </c>
      <c r="O1886" t="s">
        <v>60</v>
      </c>
      <c r="P1886" t="s">
        <v>115</v>
      </c>
      <c r="Q1886" t="s">
        <v>28</v>
      </c>
      <c r="R1886" t="s">
        <v>29</v>
      </c>
      <c r="S1886">
        <v>2025</v>
      </c>
      <c r="T1886" t="s">
        <v>2753</v>
      </c>
      <c r="U1886" t="s">
        <v>2754</v>
      </c>
      <c r="V1886" s="4">
        <v>0</v>
      </c>
      <c r="W1886" s="4">
        <v>1</v>
      </c>
    </row>
    <row r="1887" spans="1:23">
      <c r="A1887" t="s">
        <v>2019</v>
      </c>
      <c r="B1887" s="2">
        <v>46165</v>
      </c>
      <c r="C1887" t="s">
        <v>142</v>
      </c>
      <c r="D1887" t="s">
        <v>143</v>
      </c>
      <c r="E1887" t="s">
        <v>31</v>
      </c>
      <c r="F1887" t="s">
        <v>22</v>
      </c>
      <c r="G1887" t="s">
        <v>23</v>
      </c>
      <c r="H1887" t="s">
        <v>24</v>
      </c>
      <c r="I1887">
        <v>55</v>
      </c>
      <c r="J1887" s="3">
        <v>250.56</v>
      </c>
      <c r="K1887" s="3">
        <v>13780.8</v>
      </c>
      <c r="L1887" t="s">
        <v>25</v>
      </c>
      <c r="M1887" s="2">
        <v>46174</v>
      </c>
      <c r="N1887" s="2">
        <v>46174</v>
      </c>
      <c r="O1887" t="s">
        <v>26</v>
      </c>
      <c r="P1887" t="s">
        <v>35</v>
      </c>
      <c r="Q1887" t="s">
        <v>28</v>
      </c>
      <c r="R1887" t="s">
        <v>29</v>
      </c>
      <c r="S1887">
        <v>2026</v>
      </c>
      <c r="T1887" t="s">
        <v>2766</v>
      </c>
      <c r="U1887" t="s">
        <v>2769</v>
      </c>
      <c r="V1887" s="4">
        <v>0</v>
      </c>
      <c r="W1887" s="4">
        <v>1</v>
      </c>
    </row>
    <row r="1888" spans="1:23">
      <c r="A1888" t="s">
        <v>2020</v>
      </c>
      <c r="B1888" s="2">
        <v>46076</v>
      </c>
      <c r="C1888" t="s">
        <v>37</v>
      </c>
      <c r="D1888" t="s">
        <v>38</v>
      </c>
      <c r="E1888" t="s">
        <v>31</v>
      </c>
      <c r="F1888" t="s">
        <v>22</v>
      </c>
      <c r="G1888" t="s">
        <v>23</v>
      </c>
      <c r="H1888" t="s">
        <v>24</v>
      </c>
      <c r="I1888">
        <v>7</v>
      </c>
      <c r="J1888" s="3">
        <v>260.26</v>
      </c>
      <c r="K1888" s="3">
        <v>1821.82</v>
      </c>
      <c r="L1888" t="s">
        <v>52</v>
      </c>
      <c r="M1888" s="2">
        <v>46083</v>
      </c>
      <c r="N1888" s="2">
        <v>46081</v>
      </c>
      <c r="O1888" t="s">
        <v>26</v>
      </c>
      <c r="P1888" t="s">
        <v>94</v>
      </c>
      <c r="Q1888" t="s">
        <v>28</v>
      </c>
      <c r="R1888" t="s">
        <v>29</v>
      </c>
      <c r="S1888">
        <v>2026</v>
      </c>
      <c r="T1888" t="s">
        <v>2751</v>
      </c>
      <c r="U1888" t="s">
        <v>2765</v>
      </c>
      <c r="V1888" s="4">
        <v>0</v>
      </c>
      <c r="W1888" s="4">
        <v>1</v>
      </c>
    </row>
    <row r="1889" spans="1:23">
      <c r="A1889" t="s">
        <v>2021</v>
      </c>
      <c r="B1889" s="2">
        <v>46122</v>
      </c>
      <c r="C1889" t="s">
        <v>37</v>
      </c>
      <c r="D1889" t="s">
        <v>38</v>
      </c>
      <c r="E1889" t="s">
        <v>21</v>
      </c>
      <c r="F1889" t="s">
        <v>22</v>
      </c>
      <c r="G1889" t="s">
        <v>23</v>
      </c>
      <c r="H1889" t="s">
        <v>24</v>
      </c>
      <c r="I1889">
        <v>31</v>
      </c>
      <c r="J1889" s="3">
        <v>260.77999999999997</v>
      </c>
      <c r="K1889" s="3">
        <v>8084.18</v>
      </c>
      <c r="L1889" t="s">
        <v>25</v>
      </c>
      <c r="M1889" s="2">
        <v>46131</v>
      </c>
      <c r="N1889" s="2">
        <v>46129</v>
      </c>
      <c r="O1889" t="s">
        <v>76</v>
      </c>
      <c r="P1889" t="s">
        <v>27</v>
      </c>
      <c r="Q1889" t="s">
        <v>28</v>
      </c>
      <c r="R1889" t="s">
        <v>29</v>
      </c>
      <c r="S1889">
        <v>2026</v>
      </c>
      <c r="T1889" t="s">
        <v>2741</v>
      </c>
      <c r="U1889" t="s">
        <v>2770</v>
      </c>
      <c r="V1889" s="4">
        <v>0</v>
      </c>
      <c r="W1889" s="4">
        <v>1</v>
      </c>
    </row>
    <row r="1890" spans="1:23">
      <c r="A1890" t="s">
        <v>2022</v>
      </c>
      <c r="B1890" s="2">
        <v>46062</v>
      </c>
      <c r="C1890" t="s">
        <v>107</v>
      </c>
      <c r="D1890" t="s">
        <v>108</v>
      </c>
      <c r="E1890" t="s">
        <v>31</v>
      </c>
      <c r="F1890" t="s">
        <v>91</v>
      </c>
      <c r="G1890" t="s">
        <v>109</v>
      </c>
      <c r="H1890" t="s">
        <v>110</v>
      </c>
      <c r="I1890">
        <v>3</v>
      </c>
      <c r="J1890" s="3">
        <v>13301.71</v>
      </c>
      <c r="K1890" s="3">
        <v>39905.129999999997</v>
      </c>
      <c r="L1890" t="s">
        <v>34</v>
      </c>
      <c r="M1890" s="2">
        <v>46078</v>
      </c>
      <c r="N1890" s="2">
        <v>46078</v>
      </c>
      <c r="O1890" t="s">
        <v>43</v>
      </c>
      <c r="P1890" t="s">
        <v>35</v>
      </c>
      <c r="Q1890" t="s">
        <v>28</v>
      </c>
      <c r="R1890" t="s">
        <v>29</v>
      </c>
      <c r="S1890">
        <v>2026</v>
      </c>
      <c r="T1890" t="s">
        <v>2751</v>
      </c>
      <c r="U1890" t="s">
        <v>2765</v>
      </c>
      <c r="V1890" s="4">
        <v>0</v>
      </c>
      <c r="W1890" s="4">
        <v>1</v>
      </c>
    </row>
    <row r="1891" spans="1:23">
      <c r="A1891" t="s">
        <v>2023</v>
      </c>
      <c r="B1891" s="2">
        <v>46152</v>
      </c>
      <c r="C1891" t="s">
        <v>80</v>
      </c>
      <c r="D1891" t="s">
        <v>81</v>
      </c>
      <c r="E1891" t="s">
        <v>39</v>
      </c>
      <c r="F1891" t="s">
        <v>82</v>
      </c>
      <c r="G1891" t="s">
        <v>197</v>
      </c>
      <c r="H1891" t="s">
        <v>198</v>
      </c>
      <c r="I1891">
        <v>55</v>
      </c>
      <c r="J1891" s="3">
        <v>1968.87</v>
      </c>
      <c r="K1891" s="3">
        <v>108287.85</v>
      </c>
      <c r="L1891" t="s">
        <v>25</v>
      </c>
      <c r="M1891" s="2">
        <v>46161</v>
      </c>
      <c r="N1891" s="2">
        <v>46160</v>
      </c>
      <c r="O1891" t="s">
        <v>43</v>
      </c>
      <c r="P1891" t="s">
        <v>44</v>
      </c>
      <c r="Q1891" t="s">
        <v>28</v>
      </c>
      <c r="R1891" t="s">
        <v>29</v>
      </c>
      <c r="S1891">
        <v>2026</v>
      </c>
      <c r="T1891" t="s">
        <v>2766</v>
      </c>
      <c r="U1891" t="s">
        <v>2769</v>
      </c>
      <c r="V1891" s="4">
        <v>0</v>
      </c>
      <c r="W1891" s="4">
        <v>1</v>
      </c>
    </row>
    <row r="1892" spans="1:23">
      <c r="A1892" t="s">
        <v>2024</v>
      </c>
      <c r="B1892" s="2">
        <v>45940</v>
      </c>
      <c r="C1892" t="s">
        <v>80</v>
      </c>
      <c r="D1892" t="s">
        <v>81</v>
      </c>
      <c r="E1892" t="s">
        <v>39</v>
      </c>
      <c r="F1892" t="s">
        <v>82</v>
      </c>
      <c r="G1892" t="s">
        <v>83</v>
      </c>
      <c r="H1892" t="s">
        <v>84</v>
      </c>
      <c r="I1892">
        <v>47</v>
      </c>
      <c r="J1892" s="3">
        <v>696.29</v>
      </c>
      <c r="K1892" s="3">
        <v>32725.63</v>
      </c>
      <c r="L1892" t="s">
        <v>25</v>
      </c>
      <c r="M1892" s="2">
        <v>45954</v>
      </c>
      <c r="N1892" s="2">
        <v>45951</v>
      </c>
      <c r="O1892" t="s">
        <v>76</v>
      </c>
      <c r="P1892" t="s">
        <v>44</v>
      </c>
      <c r="Q1892" t="s">
        <v>28</v>
      </c>
      <c r="R1892" t="s">
        <v>29</v>
      </c>
      <c r="S1892">
        <v>2025</v>
      </c>
      <c r="T1892" t="s">
        <v>2749</v>
      </c>
      <c r="U1892" t="s">
        <v>2750</v>
      </c>
      <c r="V1892" s="4">
        <v>0</v>
      </c>
      <c r="W1892" s="4">
        <v>1</v>
      </c>
    </row>
    <row r="1893" spans="1:23">
      <c r="A1893" t="s">
        <v>2025</v>
      </c>
      <c r="B1893" s="2">
        <v>45984</v>
      </c>
      <c r="C1893" t="s">
        <v>142</v>
      </c>
      <c r="D1893" t="s">
        <v>143</v>
      </c>
      <c r="E1893" t="s">
        <v>39</v>
      </c>
      <c r="F1893" t="s">
        <v>22</v>
      </c>
      <c r="G1893" t="s">
        <v>160</v>
      </c>
      <c r="H1893" t="s">
        <v>161</v>
      </c>
      <c r="I1893">
        <v>5</v>
      </c>
      <c r="J1893" s="3">
        <v>3229.62</v>
      </c>
      <c r="K1893" s="3">
        <v>16148.1</v>
      </c>
      <c r="L1893" t="s">
        <v>34</v>
      </c>
      <c r="M1893" s="2">
        <v>45999</v>
      </c>
      <c r="N1893" s="2">
        <v>45998</v>
      </c>
      <c r="O1893" t="s">
        <v>76</v>
      </c>
      <c r="P1893" t="s">
        <v>64</v>
      </c>
      <c r="Q1893" t="s">
        <v>28</v>
      </c>
      <c r="R1893" t="s">
        <v>29</v>
      </c>
      <c r="S1893">
        <v>2025</v>
      </c>
      <c r="T1893" t="s">
        <v>2763</v>
      </c>
      <c r="U1893" t="s">
        <v>2764</v>
      </c>
      <c r="V1893" s="4">
        <v>0</v>
      </c>
      <c r="W1893" s="4">
        <v>1</v>
      </c>
    </row>
    <row r="1894" spans="1:23">
      <c r="A1894" t="s">
        <v>2026</v>
      </c>
      <c r="B1894" s="2">
        <v>46100</v>
      </c>
      <c r="C1894" t="s">
        <v>131</v>
      </c>
      <c r="D1894" t="s">
        <v>132</v>
      </c>
      <c r="E1894" t="s">
        <v>48</v>
      </c>
      <c r="F1894" t="s">
        <v>57</v>
      </c>
      <c r="G1894" t="s">
        <v>58</v>
      </c>
      <c r="H1894" t="s">
        <v>59</v>
      </c>
      <c r="I1894">
        <v>3</v>
      </c>
      <c r="J1894" s="3">
        <v>61583.22</v>
      </c>
      <c r="K1894" s="3">
        <v>184749.66</v>
      </c>
      <c r="L1894" t="s">
        <v>34</v>
      </c>
      <c r="M1894" s="2">
        <v>46107</v>
      </c>
      <c r="N1894" s="2">
        <v>46105</v>
      </c>
      <c r="O1894" t="s">
        <v>43</v>
      </c>
      <c r="P1894" t="s">
        <v>53</v>
      </c>
      <c r="Q1894" t="s">
        <v>28</v>
      </c>
      <c r="R1894" t="s">
        <v>29</v>
      </c>
      <c r="S1894">
        <v>2026</v>
      </c>
      <c r="T1894" t="s">
        <v>2747</v>
      </c>
      <c r="U1894" t="s">
        <v>2755</v>
      </c>
      <c r="V1894" s="4">
        <v>0</v>
      </c>
      <c r="W1894" s="4">
        <v>1</v>
      </c>
    </row>
    <row r="1895" spans="1:23">
      <c r="A1895" t="s">
        <v>2027</v>
      </c>
      <c r="B1895" s="2">
        <v>45904</v>
      </c>
      <c r="C1895" t="s">
        <v>19</v>
      </c>
      <c r="D1895" t="s">
        <v>20</v>
      </c>
      <c r="E1895" t="s">
        <v>39</v>
      </c>
      <c r="F1895" t="s">
        <v>22</v>
      </c>
      <c r="G1895" t="s">
        <v>160</v>
      </c>
      <c r="H1895" t="s">
        <v>161</v>
      </c>
      <c r="I1895">
        <v>1</v>
      </c>
      <c r="J1895" s="3">
        <v>2935.35</v>
      </c>
      <c r="K1895" s="3">
        <v>2935.35</v>
      </c>
      <c r="L1895" t="s">
        <v>52</v>
      </c>
      <c r="M1895" s="2">
        <v>45919</v>
      </c>
      <c r="N1895" s="2">
        <v>45922</v>
      </c>
      <c r="O1895" t="s">
        <v>76</v>
      </c>
      <c r="P1895" t="s">
        <v>44</v>
      </c>
      <c r="Q1895" t="s">
        <v>28</v>
      </c>
      <c r="R1895" t="s">
        <v>129</v>
      </c>
      <c r="S1895">
        <v>2025</v>
      </c>
      <c r="T1895" t="s">
        <v>2753</v>
      </c>
      <c r="U1895" t="s">
        <v>2754</v>
      </c>
      <c r="V1895" s="4">
        <v>3</v>
      </c>
      <c r="W1895" s="4">
        <v>0</v>
      </c>
    </row>
    <row r="1896" spans="1:23">
      <c r="A1896" t="s">
        <v>2028</v>
      </c>
      <c r="B1896" s="2">
        <v>45952</v>
      </c>
      <c r="C1896" t="s">
        <v>71</v>
      </c>
      <c r="D1896" t="s">
        <v>72</v>
      </c>
      <c r="E1896" t="s">
        <v>21</v>
      </c>
      <c r="F1896" t="s">
        <v>57</v>
      </c>
      <c r="G1896" t="s">
        <v>101</v>
      </c>
      <c r="H1896" t="s">
        <v>102</v>
      </c>
      <c r="I1896">
        <v>49</v>
      </c>
      <c r="J1896" s="3">
        <v>1716.05</v>
      </c>
      <c r="K1896" s="3">
        <v>84086.45</v>
      </c>
      <c r="L1896" t="s">
        <v>25</v>
      </c>
      <c r="M1896" s="2">
        <v>45965</v>
      </c>
      <c r="N1896" s="2">
        <v>45964</v>
      </c>
      <c r="O1896" t="s">
        <v>76</v>
      </c>
      <c r="P1896" t="s">
        <v>27</v>
      </c>
      <c r="Q1896" t="s">
        <v>28</v>
      </c>
      <c r="R1896" t="s">
        <v>29</v>
      </c>
      <c r="S1896">
        <v>2025</v>
      </c>
      <c r="T1896" t="s">
        <v>2749</v>
      </c>
      <c r="U1896" t="s">
        <v>2750</v>
      </c>
      <c r="V1896" s="4">
        <v>0</v>
      </c>
      <c r="W1896" s="4">
        <v>1</v>
      </c>
    </row>
    <row r="1897" spans="1:23">
      <c r="A1897" t="s">
        <v>2029</v>
      </c>
      <c r="B1897" s="2">
        <v>46170</v>
      </c>
      <c r="C1897" t="s">
        <v>142</v>
      </c>
      <c r="D1897" t="s">
        <v>143</v>
      </c>
      <c r="E1897" t="s">
        <v>21</v>
      </c>
      <c r="F1897" t="s">
        <v>22</v>
      </c>
      <c r="G1897" t="s">
        <v>160</v>
      </c>
      <c r="H1897" t="s">
        <v>161</v>
      </c>
      <c r="I1897">
        <v>11</v>
      </c>
      <c r="J1897" s="3">
        <v>3297.98</v>
      </c>
      <c r="K1897" s="3">
        <v>36277.78</v>
      </c>
      <c r="L1897" t="s">
        <v>25</v>
      </c>
      <c r="M1897" s="2">
        <v>46182</v>
      </c>
      <c r="N1897" s="2">
        <v>46179</v>
      </c>
      <c r="O1897" t="s">
        <v>76</v>
      </c>
      <c r="P1897" t="s">
        <v>27</v>
      </c>
      <c r="Q1897" t="s">
        <v>28</v>
      </c>
      <c r="R1897" t="s">
        <v>29</v>
      </c>
      <c r="S1897">
        <v>2026</v>
      </c>
      <c r="T1897" t="s">
        <v>2766</v>
      </c>
      <c r="U1897" t="s">
        <v>2769</v>
      </c>
      <c r="V1897" s="4">
        <v>0</v>
      </c>
      <c r="W1897" s="4">
        <v>1</v>
      </c>
    </row>
    <row r="1898" spans="1:23">
      <c r="A1898" t="s">
        <v>2030</v>
      </c>
      <c r="B1898" s="2">
        <v>45877</v>
      </c>
      <c r="C1898" t="s">
        <v>19</v>
      </c>
      <c r="D1898" t="s">
        <v>20</v>
      </c>
      <c r="E1898" t="s">
        <v>21</v>
      </c>
      <c r="F1898" t="s">
        <v>22</v>
      </c>
      <c r="G1898" t="s">
        <v>23</v>
      </c>
      <c r="H1898" t="s">
        <v>24</v>
      </c>
      <c r="I1898">
        <v>27</v>
      </c>
      <c r="J1898" s="3">
        <v>238.56</v>
      </c>
      <c r="K1898" s="3">
        <v>6441.12</v>
      </c>
      <c r="L1898" t="s">
        <v>34</v>
      </c>
      <c r="M1898" s="2">
        <v>45890</v>
      </c>
      <c r="N1898" s="2">
        <v>45904</v>
      </c>
      <c r="O1898" t="s">
        <v>76</v>
      </c>
      <c r="P1898" t="s">
        <v>27</v>
      </c>
      <c r="Q1898" t="s">
        <v>28</v>
      </c>
      <c r="R1898" t="s">
        <v>129</v>
      </c>
      <c r="S1898">
        <v>2025</v>
      </c>
      <c r="T1898" t="s">
        <v>2761</v>
      </c>
      <c r="U1898" t="s">
        <v>2762</v>
      </c>
      <c r="V1898" s="4">
        <v>14</v>
      </c>
      <c r="W1898" s="4">
        <v>0</v>
      </c>
    </row>
    <row r="1899" spans="1:23">
      <c r="A1899" t="s">
        <v>2031</v>
      </c>
      <c r="B1899" s="2">
        <v>46070</v>
      </c>
      <c r="C1899" t="s">
        <v>66</v>
      </c>
      <c r="D1899" t="s">
        <v>67</v>
      </c>
      <c r="E1899" t="s">
        <v>48</v>
      </c>
      <c r="F1899" t="s">
        <v>49</v>
      </c>
      <c r="G1899" t="s">
        <v>113</v>
      </c>
      <c r="H1899" t="s">
        <v>114</v>
      </c>
      <c r="I1899">
        <v>1</v>
      </c>
      <c r="J1899" s="3">
        <v>36747.54</v>
      </c>
      <c r="K1899" s="3">
        <v>36747.54</v>
      </c>
      <c r="L1899" t="s">
        <v>25</v>
      </c>
      <c r="M1899" s="2">
        <v>46078</v>
      </c>
      <c r="N1899" s="2">
        <v>46076</v>
      </c>
      <c r="O1899" t="s">
        <v>76</v>
      </c>
      <c r="P1899" t="s">
        <v>53</v>
      </c>
      <c r="Q1899" t="s">
        <v>28</v>
      </c>
      <c r="R1899" t="s">
        <v>29</v>
      </c>
      <c r="S1899">
        <v>2026</v>
      </c>
      <c r="T1899" t="s">
        <v>2751</v>
      </c>
      <c r="U1899" t="s">
        <v>2765</v>
      </c>
      <c r="V1899" s="4">
        <v>0</v>
      </c>
      <c r="W1899" s="4">
        <v>1</v>
      </c>
    </row>
    <row r="1900" spans="1:23">
      <c r="A1900" t="s">
        <v>2032</v>
      </c>
      <c r="B1900" s="2">
        <v>46134</v>
      </c>
      <c r="C1900" t="s">
        <v>71</v>
      </c>
      <c r="D1900" t="s">
        <v>72</v>
      </c>
      <c r="E1900" t="s">
        <v>73</v>
      </c>
      <c r="F1900" t="s">
        <v>57</v>
      </c>
      <c r="G1900" t="s">
        <v>74</v>
      </c>
      <c r="H1900" t="s">
        <v>75</v>
      </c>
      <c r="I1900">
        <v>12</v>
      </c>
      <c r="J1900" s="3">
        <v>7845.03</v>
      </c>
      <c r="K1900" s="3">
        <v>94140.36</v>
      </c>
      <c r="L1900" t="s">
        <v>34</v>
      </c>
      <c r="M1900" s="2">
        <v>46146</v>
      </c>
      <c r="N1900" s="2">
        <v>46143</v>
      </c>
      <c r="O1900" t="s">
        <v>26</v>
      </c>
      <c r="P1900" t="s">
        <v>77</v>
      </c>
      <c r="Q1900" t="s">
        <v>28</v>
      </c>
      <c r="R1900" t="s">
        <v>29</v>
      </c>
      <c r="S1900">
        <v>2026</v>
      </c>
      <c r="T1900" t="s">
        <v>2741</v>
      </c>
      <c r="U1900" t="s">
        <v>2770</v>
      </c>
      <c r="V1900" s="4">
        <v>0</v>
      </c>
      <c r="W1900" s="4">
        <v>1</v>
      </c>
    </row>
    <row r="1901" spans="1:23">
      <c r="A1901" t="s">
        <v>2033</v>
      </c>
      <c r="B1901" s="2">
        <v>45785</v>
      </c>
      <c r="C1901" t="s">
        <v>46</v>
      </c>
      <c r="D1901" t="s">
        <v>47</v>
      </c>
      <c r="E1901" t="s">
        <v>48</v>
      </c>
      <c r="F1901" t="s">
        <v>49</v>
      </c>
      <c r="G1901" t="s">
        <v>113</v>
      </c>
      <c r="H1901" t="s">
        <v>114</v>
      </c>
      <c r="I1901">
        <v>1</v>
      </c>
      <c r="J1901" s="3">
        <v>39454.57</v>
      </c>
      <c r="K1901" s="3">
        <v>39454.57</v>
      </c>
      <c r="L1901" t="s">
        <v>25</v>
      </c>
      <c r="M1901" s="2">
        <v>45795</v>
      </c>
      <c r="N1901" s="2">
        <v>45792</v>
      </c>
      <c r="O1901" t="s">
        <v>60</v>
      </c>
      <c r="P1901" t="s">
        <v>53</v>
      </c>
      <c r="Q1901" t="s">
        <v>28</v>
      </c>
      <c r="R1901" t="s">
        <v>29</v>
      </c>
      <c r="S1901">
        <v>2025</v>
      </c>
      <c r="T1901" t="s">
        <v>2766</v>
      </c>
      <c r="U1901" t="s">
        <v>2767</v>
      </c>
      <c r="V1901" s="4">
        <v>0</v>
      </c>
      <c r="W1901" s="4">
        <v>1</v>
      </c>
    </row>
    <row r="1902" spans="1:23">
      <c r="A1902" t="s">
        <v>2034</v>
      </c>
      <c r="B1902" s="2">
        <v>45853</v>
      </c>
      <c r="C1902" t="s">
        <v>142</v>
      </c>
      <c r="D1902" t="s">
        <v>143</v>
      </c>
      <c r="E1902" t="s">
        <v>73</v>
      </c>
      <c r="F1902" t="s">
        <v>22</v>
      </c>
      <c r="G1902" t="s">
        <v>23</v>
      </c>
      <c r="H1902" t="s">
        <v>24</v>
      </c>
      <c r="I1902">
        <v>6</v>
      </c>
      <c r="J1902" s="3">
        <v>248.78</v>
      </c>
      <c r="K1902" s="3">
        <v>1492.68</v>
      </c>
      <c r="L1902" t="s">
        <v>25</v>
      </c>
      <c r="M1902" s="2">
        <v>45868</v>
      </c>
      <c r="N1902" s="2">
        <v>45868</v>
      </c>
      <c r="O1902" t="s">
        <v>43</v>
      </c>
      <c r="P1902" t="s">
        <v>77</v>
      </c>
      <c r="Q1902" t="s">
        <v>28</v>
      </c>
      <c r="R1902" t="s">
        <v>29</v>
      </c>
      <c r="S1902">
        <v>2025</v>
      </c>
      <c r="T1902" t="s">
        <v>2759</v>
      </c>
      <c r="U1902" t="s">
        <v>2760</v>
      </c>
      <c r="V1902" s="4">
        <v>0</v>
      </c>
      <c r="W1902" s="4">
        <v>1</v>
      </c>
    </row>
    <row r="1903" spans="1:23">
      <c r="A1903" t="s">
        <v>2035</v>
      </c>
      <c r="B1903" s="2">
        <v>46129</v>
      </c>
      <c r="C1903" t="s">
        <v>19</v>
      </c>
      <c r="D1903" t="s">
        <v>20</v>
      </c>
      <c r="E1903" t="s">
        <v>31</v>
      </c>
      <c r="F1903" t="s">
        <v>22</v>
      </c>
      <c r="G1903" t="s">
        <v>23</v>
      </c>
      <c r="H1903" t="s">
        <v>24</v>
      </c>
      <c r="I1903">
        <v>43</v>
      </c>
      <c r="J1903" s="3">
        <v>227.6</v>
      </c>
      <c r="K1903" s="3">
        <v>9786.7999999999993</v>
      </c>
      <c r="L1903" t="s">
        <v>25</v>
      </c>
      <c r="M1903" s="2">
        <v>46136</v>
      </c>
      <c r="N1903" s="2">
        <v>46134</v>
      </c>
      <c r="O1903" t="s">
        <v>43</v>
      </c>
      <c r="P1903" t="s">
        <v>35</v>
      </c>
      <c r="Q1903" t="s">
        <v>28</v>
      </c>
      <c r="R1903" t="s">
        <v>29</v>
      </c>
      <c r="S1903">
        <v>2026</v>
      </c>
      <c r="T1903" t="s">
        <v>2741</v>
      </c>
      <c r="U1903" t="s">
        <v>2770</v>
      </c>
      <c r="V1903" s="4">
        <v>0</v>
      </c>
      <c r="W1903" s="4">
        <v>1</v>
      </c>
    </row>
    <row r="1904" spans="1:23">
      <c r="A1904" t="s">
        <v>2036</v>
      </c>
      <c r="B1904" s="2">
        <v>45817</v>
      </c>
      <c r="C1904" t="s">
        <v>71</v>
      </c>
      <c r="D1904" t="s">
        <v>72</v>
      </c>
      <c r="E1904" t="s">
        <v>48</v>
      </c>
      <c r="F1904" t="s">
        <v>57</v>
      </c>
      <c r="G1904" t="s">
        <v>120</v>
      </c>
      <c r="H1904" t="s">
        <v>121</v>
      </c>
      <c r="I1904">
        <v>7</v>
      </c>
      <c r="J1904" s="3">
        <v>21114.47</v>
      </c>
      <c r="K1904" s="3">
        <v>147801.29</v>
      </c>
      <c r="L1904" t="s">
        <v>25</v>
      </c>
      <c r="M1904" s="2">
        <v>45829</v>
      </c>
      <c r="N1904" s="2">
        <v>45828</v>
      </c>
      <c r="O1904" t="s">
        <v>26</v>
      </c>
      <c r="P1904" t="s">
        <v>53</v>
      </c>
      <c r="Q1904" t="s">
        <v>28</v>
      </c>
      <c r="R1904" t="s">
        <v>29</v>
      </c>
      <c r="S1904">
        <v>2025</v>
      </c>
      <c r="T1904" t="s">
        <v>2743</v>
      </c>
      <c r="U1904" t="s">
        <v>2756</v>
      </c>
      <c r="V1904" s="4">
        <v>0</v>
      </c>
      <c r="W1904" s="4">
        <v>1</v>
      </c>
    </row>
    <row r="1905" spans="1:23">
      <c r="A1905" t="s">
        <v>2037</v>
      </c>
      <c r="B1905" s="2">
        <v>46075</v>
      </c>
      <c r="C1905" t="s">
        <v>19</v>
      </c>
      <c r="D1905" t="s">
        <v>20</v>
      </c>
      <c r="E1905" t="s">
        <v>39</v>
      </c>
      <c r="F1905" t="s">
        <v>22</v>
      </c>
      <c r="G1905" t="s">
        <v>23</v>
      </c>
      <c r="H1905" t="s">
        <v>24</v>
      </c>
      <c r="I1905">
        <v>54</v>
      </c>
      <c r="J1905" s="3">
        <v>223.13</v>
      </c>
      <c r="K1905" s="3">
        <v>12049.02</v>
      </c>
      <c r="L1905" t="s">
        <v>34</v>
      </c>
      <c r="M1905" s="2">
        <v>46081</v>
      </c>
      <c r="N1905" s="2">
        <v>46080</v>
      </c>
      <c r="O1905" t="s">
        <v>43</v>
      </c>
      <c r="P1905" t="s">
        <v>64</v>
      </c>
      <c r="Q1905" t="s">
        <v>28</v>
      </c>
      <c r="R1905" t="s">
        <v>29</v>
      </c>
      <c r="S1905">
        <v>2026</v>
      </c>
      <c r="T1905" t="s">
        <v>2751</v>
      </c>
      <c r="U1905" t="s">
        <v>2765</v>
      </c>
      <c r="V1905" s="4">
        <v>0</v>
      </c>
      <c r="W1905" s="4">
        <v>1</v>
      </c>
    </row>
    <row r="1906" spans="1:23">
      <c r="A1906" t="s">
        <v>2038</v>
      </c>
      <c r="B1906" s="2">
        <v>45665</v>
      </c>
      <c r="C1906" t="s">
        <v>80</v>
      </c>
      <c r="D1906" t="s">
        <v>81</v>
      </c>
      <c r="E1906" t="s">
        <v>39</v>
      </c>
      <c r="F1906" t="s">
        <v>82</v>
      </c>
      <c r="G1906" t="s">
        <v>98</v>
      </c>
      <c r="H1906" t="s">
        <v>99</v>
      </c>
      <c r="I1906">
        <v>36</v>
      </c>
      <c r="J1906" s="3">
        <v>1079.27</v>
      </c>
      <c r="K1906" s="3">
        <v>38853.72</v>
      </c>
      <c r="L1906" t="s">
        <v>25</v>
      </c>
      <c r="M1906" s="2">
        <v>45680</v>
      </c>
      <c r="N1906" s="2">
        <v>45679</v>
      </c>
      <c r="O1906" t="s">
        <v>26</v>
      </c>
      <c r="P1906" t="s">
        <v>44</v>
      </c>
      <c r="Q1906" t="s">
        <v>28</v>
      </c>
      <c r="R1906" t="s">
        <v>29</v>
      </c>
      <c r="S1906">
        <v>2025</v>
      </c>
      <c r="T1906" t="s">
        <v>2757</v>
      </c>
      <c r="U1906" t="s">
        <v>2768</v>
      </c>
      <c r="V1906" s="4">
        <v>0</v>
      </c>
      <c r="W1906" s="4">
        <v>1</v>
      </c>
    </row>
    <row r="1907" spans="1:23">
      <c r="A1907" t="s">
        <v>2039</v>
      </c>
      <c r="B1907" s="2">
        <v>46081</v>
      </c>
      <c r="C1907" t="s">
        <v>55</v>
      </c>
      <c r="D1907" t="s">
        <v>56</v>
      </c>
      <c r="E1907" t="s">
        <v>48</v>
      </c>
      <c r="F1907" t="s">
        <v>57</v>
      </c>
      <c r="G1907" t="s">
        <v>120</v>
      </c>
      <c r="H1907" t="s">
        <v>121</v>
      </c>
      <c r="I1907">
        <v>4</v>
      </c>
      <c r="J1907" s="3">
        <v>25434.66</v>
      </c>
      <c r="K1907" s="3">
        <v>101738.64</v>
      </c>
      <c r="L1907" t="s">
        <v>34</v>
      </c>
      <c r="M1907" s="2">
        <v>46097</v>
      </c>
      <c r="N1907" s="2">
        <v>46097</v>
      </c>
      <c r="O1907" t="s">
        <v>60</v>
      </c>
      <c r="P1907" t="s">
        <v>53</v>
      </c>
      <c r="Q1907" t="s">
        <v>28</v>
      </c>
      <c r="R1907" t="s">
        <v>29</v>
      </c>
      <c r="S1907">
        <v>2026</v>
      </c>
      <c r="T1907" t="s">
        <v>2751</v>
      </c>
      <c r="U1907" t="s">
        <v>2765</v>
      </c>
      <c r="V1907" s="4">
        <v>0</v>
      </c>
      <c r="W1907" s="4">
        <v>1</v>
      </c>
    </row>
    <row r="1908" spans="1:23">
      <c r="A1908" t="s">
        <v>2040</v>
      </c>
      <c r="B1908" s="2">
        <v>45815</v>
      </c>
      <c r="C1908" t="s">
        <v>142</v>
      </c>
      <c r="D1908" t="s">
        <v>143</v>
      </c>
      <c r="E1908" t="s">
        <v>39</v>
      </c>
      <c r="F1908" t="s">
        <v>22</v>
      </c>
      <c r="G1908" t="s">
        <v>160</v>
      </c>
      <c r="H1908" t="s">
        <v>161</v>
      </c>
      <c r="I1908">
        <v>7</v>
      </c>
      <c r="J1908" s="3">
        <v>3305.14</v>
      </c>
      <c r="K1908" s="3">
        <v>23135.98</v>
      </c>
      <c r="L1908" t="s">
        <v>34</v>
      </c>
      <c r="M1908" s="2">
        <v>45823</v>
      </c>
      <c r="N1908" s="2">
        <v>45820</v>
      </c>
      <c r="O1908" t="s">
        <v>76</v>
      </c>
      <c r="P1908" t="s">
        <v>64</v>
      </c>
      <c r="Q1908" t="s">
        <v>28</v>
      </c>
      <c r="R1908" t="s">
        <v>29</v>
      </c>
      <c r="S1908">
        <v>2025</v>
      </c>
      <c r="T1908" t="s">
        <v>2743</v>
      </c>
      <c r="U1908" t="s">
        <v>2756</v>
      </c>
      <c r="V1908" s="4">
        <v>0</v>
      </c>
      <c r="W1908" s="4">
        <v>1</v>
      </c>
    </row>
    <row r="1909" spans="1:23">
      <c r="A1909" t="s">
        <v>2041</v>
      </c>
      <c r="B1909" s="2">
        <v>46193</v>
      </c>
      <c r="C1909" t="s">
        <v>37</v>
      </c>
      <c r="D1909" t="s">
        <v>38</v>
      </c>
      <c r="E1909" t="s">
        <v>112</v>
      </c>
      <c r="F1909" t="s">
        <v>22</v>
      </c>
      <c r="G1909" t="s">
        <v>23</v>
      </c>
      <c r="H1909" t="s">
        <v>24</v>
      </c>
      <c r="I1909">
        <v>17</v>
      </c>
      <c r="J1909" s="3">
        <v>283.58</v>
      </c>
      <c r="K1909" s="3">
        <v>4820.8599999999997</v>
      </c>
      <c r="L1909" t="s">
        <v>34</v>
      </c>
      <c r="M1909" s="2">
        <v>46210</v>
      </c>
      <c r="N1909" s="2"/>
      <c r="O1909" t="s">
        <v>76</v>
      </c>
      <c r="P1909" t="s">
        <v>115</v>
      </c>
      <c r="Q1909" t="s">
        <v>167</v>
      </c>
      <c r="R1909" t="s">
        <v>167</v>
      </c>
      <c r="S1909">
        <v>2026</v>
      </c>
      <c r="T1909" t="s">
        <v>2743</v>
      </c>
      <c r="U1909" t="s">
        <v>2744</v>
      </c>
      <c r="V1909" s="4"/>
      <c r="W1909" s="4"/>
    </row>
    <row r="1910" spans="1:23">
      <c r="A1910" t="s">
        <v>2042</v>
      </c>
      <c r="B1910" s="2">
        <v>46044</v>
      </c>
      <c r="C1910" t="s">
        <v>147</v>
      </c>
      <c r="D1910" t="s">
        <v>148</v>
      </c>
      <c r="E1910" t="s">
        <v>39</v>
      </c>
      <c r="F1910" t="s">
        <v>40</v>
      </c>
      <c r="G1910" t="s">
        <v>149</v>
      </c>
      <c r="H1910" t="s">
        <v>150</v>
      </c>
      <c r="I1910">
        <v>60</v>
      </c>
      <c r="J1910" s="3">
        <v>1338.64</v>
      </c>
      <c r="K1910" s="3">
        <v>80318.399999999994</v>
      </c>
      <c r="L1910" t="s">
        <v>25</v>
      </c>
      <c r="M1910" s="2">
        <v>46053</v>
      </c>
      <c r="N1910" s="2">
        <v>46051</v>
      </c>
      <c r="O1910" t="s">
        <v>76</v>
      </c>
      <c r="P1910" t="s">
        <v>44</v>
      </c>
      <c r="Q1910" t="s">
        <v>28</v>
      </c>
      <c r="R1910" t="s">
        <v>29</v>
      </c>
      <c r="S1910">
        <v>2026</v>
      </c>
      <c r="T1910" t="s">
        <v>2757</v>
      </c>
      <c r="U1910" t="s">
        <v>2758</v>
      </c>
      <c r="V1910" s="4">
        <v>0</v>
      </c>
      <c r="W1910" s="4">
        <v>1</v>
      </c>
    </row>
    <row r="1911" spans="1:23">
      <c r="A1911" t="s">
        <v>2043</v>
      </c>
      <c r="B1911" s="2">
        <v>45877</v>
      </c>
      <c r="C1911" t="s">
        <v>104</v>
      </c>
      <c r="D1911" t="s">
        <v>105</v>
      </c>
      <c r="E1911" t="s">
        <v>48</v>
      </c>
      <c r="F1911" t="s">
        <v>49</v>
      </c>
      <c r="G1911" t="s">
        <v>165</v>
      </c>
      <c r="H1911" t="s">
        <v>166</v>
      </c>
      <c r="I1911">
        <v>3</v>
      </c>
      <c r="J1911" s="3">
        <v>43509.46</v>
      </c>
      <c r="K1911" s="3">
        <v>130528.38</v>
      </c>
      <c r="L1911" t="s">
        <v>25</v>
      </c>
      <c r="M1911" s="2">
        <v>45883</v>
      </c>
      <c r="N1911" s="2">
        <v>45881</v>
      </c>
      <c r="O1911" t="s">
        <v>60</v>
      </c>
      <c r="P1911" t="s">
        <v>53</v>
      </c>
      <c r="Q1911" t="s">
        <v>28</v>
      </c>
      <c r="R1911" t="s">
        <v>29</v>
      </c>
      <c r="S1911">
        <v>2025</v>
      </c>
      <c r="T1911" t="s">
        <v>2761</v>
      </c>
      <c r="U1911" t="s">
        <v>2762</v>
      </c>
      <c r="V1911" s="4">
        <v>0</v>
      </c>
      <c r="W1911" s="4">
        <v>1</v>
      </c>
    </row>
    <row r="1912" spans="1:23">
      <c r="A1912" t="s">
        <v>2044</v>
      </c>
      <c r="B1912" s="2">
        <v>45850</v>
      </c>
      <c r="C1912" t="s">
        <v>37</v>
      </c>
      <c r="D1912" t="s">
        <v>38</v>
      </c>
      <c r="E1912" t="s">
        <v>39</v>
      </c>
      <c r="F1912" t="s">
        <v>40</v>
      </c>
      <c r="G1912" t="s">
        <v>149</v>
      </c>
      <c r="H1912" t="s">
        <v>150</v>
      </c>
      <c r="I1912">
        <v>46</v>
      </c>
      <c r="J1912" s="3">
        <v>1458.56</v>
      </c>
      <c r="K1912" s="3">
        <v>67093.759999999995</v>
      </c>
      <c r="L1912" t="s">
        <v>25</v>
      </c>
      <c r="M1912" s="2">
        <v>45865</v>
      </c>
      <c r="N1912" s="2">
        <v>45864</v>
      </c>
      <c r="O1912" t="s">
        <v>60</v>
      </c>
      <c r="P1912" t="s">
        <v>44</v>
      </c>
      <c r="Q1912" t="s">
        <v>28</v>
      </c>
      <c r="R1912" t="s">
        <v>29</v>
      </c>
      <c r="S1912">
        <v>2025</v>
      </c>
      <c r="T1912" t="s">
        <v>2759</v>
      </c>
      <c r="U1912" t="s">
        <v>2760</v>
      </c>
      <c r="V1912" s="4">
        <v>0</v>
      </c>
      <c r="W1912" s="4">
        <v>1</v>
      </c>
    </row>
    <row r="1913" spans="1:23">
      <c r="A1913" t="s">
        <v>2045</v>
      </c>
      <c r="B1913" s="2">
        <v>45760</v>
      </c>
      <c r="C1913" t="s">
        <v>37</v>
      </c>
      <c r="D1913" t="s">
        <v>38</v>
      </c>
      <c r="E1913" t="s">
        <v>112</v>
      </c>
      <c r="F1913" t="s">
        <v>40</v>
      </c>
      <c r="G1913" t="s">
        <v>41</v>
      </c>
      <c r="H1913" t="s">
        <v>42</v>
      </c>
      <c r="I1913">
        <v>3</v>
      </c>
      <c r="J1913" s="3">
        <v>5895.69</v>
      </c>
      <c r="K1913" s="3">
        <v>17687.07</v>
      </c>
      <c r="L1913" t="s">
        <v>34</v>
      </c>
      <c r="M1913" s="2">
        <v>45765</v>
      </c>
      <c r="N1913" s="2">
        <v>45763</v>
      </c>
      <c r="O1913" t="s">
        <v>26</v>
      </c>
      <c r="P1913" t="s">
        <v>115</v>
      </c>
      <c r="Q1913" t="s">
        <v>28</v>
      </c>
      <c r="R1913" t="s">
        <v>29</v>
      </c>
      <c r="S1913">
        <v>2025</v>
      </c>
      <c r="T1913" t="s">
        <v>2741</v>
      </c>
      <c r="U1913" t="s">
        <v>2742</v>
      </c>
      <c r="V1913" s="4">
        <v>0</v>
      </c>
      <c r="W1913" s="4">
        <v>1</v>
      </c>
    </row>
    <row r="1914" spans="1:23">
      <c r="A1914" t="s">
        <v>2046</v>
      </c>
      <c r="B1914" s="2">
        <v>45906</v>
      </c>
      <c r="C1914" t="s">
        <v>142</v>
      </c>
      <c r="D1914" t="s">
        <v>143</v>
      </c>
      <c r="E1914" t="s">
        <v>112</v>
      </c>
      <c r="F1914" t="s">
        <v>22</v>
      </c>
      <c r="G1914" t="s">
        <v>23</v>
      </c>
      <c r="H1914" t="s">
        <v>24</v>
      </c>
      <c r="I1914">
        <v>18</v>
      </c>
      <c r="J1914" s="3">
        <v>253.26</v>
      </c>
      <c r="K1914" s="3">
        <v>4558.68</v>
      </c>
      <c r="L1914" t="s">
        <v>25</v>
      </c>
      <c r="M1914" s="2">
        <v>45917</v>
      </c>
      <c r="N1914" s="2">
        <v>45919</v>
      </c>
      <c r="O1914" t="s">
        <v>60</v>
      </c>
      <c r="P1914" t="s">
        <v>115</v>
      </c>
      <c r="Q1914" t="s">
        <v>28</v>
      </c>
      <c r="R1914" t="s">
        <v>129</v>
      </c>
      <c r="S1914">
        <v>2025</v>
      </c>
      <c r="T1914" t="s">
        <v>2753</v>
      </c>
      <c r="U1914" t="s">
        <v>2754</v>
      </c>
      <c r="V1914" s="4">
        <v>2</v>
      </c>
      <c r="W1914" s="4">
        <v>0</v>
      </c>
    </row>
    <row r="1915" spans="1:23">
      <c r="A1915" t="s">
        <v>2047</v>
      </c>
      <c r="B1915" s="2">
        <v>46152</v>
      </c>
      <c r="C1915" t="s">
        <v>142</v>
      </c>
      <c r="D1915" t="s">
        <v>143</v>
      </c>
      <c r="E1915" t="s">
        <v>112</v>
      </c>
      <c r="F1915" t="s">
        <v>22</v>
      </c>
      <c r="G1915" t="s">
        <v>160</v>
      </c>
      <c r="H1915" t="s">
        <v>161</v>
      </c>
      <c r="I1915">
        <v>6</v>
      </c>
      <c r="J1915" s="3">
        <v>3427.96</v>
      </c>
      <c r="K1915" s="3">
        <v>20567.759999999998</v>
      </c>
      <c r="L1915" t="s">
        <v>34</v>
      </c>
      <c r="M1915" s="2">
        <v>46157</v>
      </c>
      <c r="N1915" s="2">
        <v>46154</v>
      </c>
      <c r="O1915" t="s">
        <v>43</v>
      </c>
      <c r="P1915" t="s">
        <v>115</v>
      </c>
      <c r="Q1915" t="s">
        <v>28</v>
      </c>
      <c r="R1915" t="s">
        <v>29</v>
      </c>
      <c r="S1915">
        <v>2026</v>
      </c>
      <c r="T1915" t="s">
        <v>2766</v>
      </c>
      <c r="U1915" t="s">
        <v>2769</v>
      </c>
      <c r="V1915" s="4">
        <v>0</v>
      </c>
      <c r="W1915" s="4">
        <v>1</v>
      </c>
    </row>
    <row r="1916" spans="1:23">
      <c r="A1916" t="s">
        <v>2048</v>
      </c>
      <c r="B1916" s="2">
        <v>46168</v>
      </c>
      <c r="C1916" t="s">
        <v>71</v>
      </c>
      <c r="D1916" t="s">
        <v>72</v>
      </c>
      <c r="E1916" t="s">
        <v>21</v>
      </c>
      <c r="F1916" t="s">
        <v>57</v>
      </c>
      <c r="G1916" t="s">
        <v>127</v>
      </c>
      <c r="H1916" t="s">
        <v>128</v>
      </c>
      <c r="I1916">
        <v>5</v>
      </c>
      <c r="J1916" s="3">
        <v>14744.35</v>
      </c>
      <c r="K1916" s="3">
        <v>73721.75</v>
      </c>
      <c r="L1916" t="s">
        <v>25</v>
      </c>
      <c r="M1916" s="2">
        <v>46174</v>
      </c>
      <c r="N1916" s="2">
        <v>46173</v>
      </c>
      <c r="O1916" t="s">
        <v>26</v>
      </c>
      <c r="P1916" t="s">
        <v>27</v>
      </c>
      <c r="Q1916" t="s">
        <v>28</v>
      </c>
      <c r="R1916" t="s">
        <v>29</v>
      </c>
      <c r="S1916">
        <v>2026</v>
      </c>
      <c r="T1916" t="s">
        <v>2766</v>
      </c>
      <c r="U1916" t="s">
        <v>2769</v>
      </c>
      <c r="V1916" s="4">
        <v>0</v>
      </c>
      <c r="W1916" s="4">
        <v>1</v>
      </c>
    </row>
    <row r="1917" spans="1:23">
      <c r="A1917" t="s">
        <v>2049</v>
      </c>
      <c r="B1917" s="2">
        <v>45962</v>
      </c>
      <c r="C1917" t="s">
        <v>104</v>
      </c>
      <c r="D1917" t="s">
        <v>105</v>
      </c>
      <c r="E1917" t="s">
        <v>48</v>
      </c>
      <c r="F1917" t="s">
        <v>49</v>
      </c>
      <c r="G1917" t="s">
        <v>68</v>
      </c>
      <c r="H1917" t="s">
        <v>69</v>
      </c>
      <c r="I1917">
        <v>3</v>
      </c>
      <c r="J1917" s="3">
        <v>46551.69</v>
      </c>
      <c r="K1917" s="3">
        <v>139655.07</v>
      </c>
      <c r="L1917" t="s">
        <v>34</v>
      </c>
      <c r="M1917" s="2">
        <v>45968</v>
      </c>
      <c r="N1917" s="2">
        <v>45966</v>
      </c>
      <c r="O1917" t="s">
        <v>26</v>
      </c>
      <c r="P1917" t="s">
        <v>53</v>
      </c>
      <c r="Q1917" t="s">
        <v>28</v>
      </c>
      <c r="R1917" t="s">
        <v>29</v>
      </c>
      <c r="S1917">
        <v>2025</v>
      </c>
      <c r="T1917" t="s">
        <v>2763</v>
      </c>
      <c r="U1917" t="s">
        <v>2764</v>
      </c>
      <c r="V1917" s="4">
        <v>0</v>
      </c>
      <c r="W1917" s="4">
        <v>1</v>
      </c>
    </row>
    <row r="1918" spans="1:23">
      <c r="A1918" t="s">
        <v>2050</v>
      </c>
      <c r="B1918" s="2">
        <v>45892</v>
      </c>
      <c r="C1918" t="s">
        <v>71</v>
      </c>
      <c r="D1918" t="s">
        <v>72</v>
      </c>
      <c r="E1918" t="s">
        <v>21</v>
      </c>
      <c r="F1918" t="s">
        <v>57</v>
      </c>
      <c r="G1918" t="s">
        <v>101</v>
      </c>
      <c r="H1918" t="s">
        <v>102</v>
      </c>
      <c r="I1918">
        <v>48</v>
      </c>
      <c r="J1918" s="3">
        <v>1706.49</v>
      </c>
      <c r="K1918" s="3">
        <v>81911.520000000004</v>
      </c>
      <c r="L1918" t="s">
        <v>34</v>
      </c>
      <c r="M1918" s="2">
        <v>45897</v>
      </c>
      <c r="N1918" s="2">
        <v>45900</v>
      </c>
      <c r="O1918" t="s">
        <v>76</v>
      </c>
      <c r="P1918" t="s">
        <v>27</v>
      </c>
      <c r="Q1918" t="s">
        <v>28</v>
      </c>
      <c r="R1918" t="s">
        <v>129</v>
      </c>
      <c r="S1918">
        <v>2025</v>
      </c>
      <c r="T1918" t="s">
        <v>2761</v>
      </c>
      <c r="U1918" t="s">
        <v>2762</v>
      </c>
      <c r="V1918" s="4">
        <v>3</v>
      </c>
      <c r="W1918" s="4">
        <v>0</v>
      </c>
    </row>
    <row r="1919" spans="1:23">
      <c r="A1919" t="s">
        <v>2051</v>
      </c>
      <c r="B1919" s="2">
        <v>45850</v>
      </c>
      <c r="C1919" t="s">
        <v>142</v>
      </c>
      <c r="D1919" t="s">
        <v>143</v>
      </c>
      <c r="E1919" t="s">
        <v>31</v>
      </c>
      <c r="F1919" t="s">
        <v>22</v>
      </c>
      <c r="G1919" t="s">
        <v>160</v>
      </c>
      <c r="H1919" t="s">
        <v>161</v>
      </c>
      <c r="I1919">
        <v>5</v>
      </c>
      <c r="J1919" s="3">
        <v>3027.05</v>
      </c>
      <c r="K1919" s="3">
        <v>15135.25</v>
      </c>
      <c r="L1919" t="s">
        <v>52</v>
      </c>
      <c r="M1919" s="2">
        <v>45857</v>
      </c>
      <c r="N1919" s="2">
        <v>45855</v>
      </c>
      <c r="O1919" t="s">
        <v>43</v>
      </c>
      <c r="P1919" t="s">
        <v>94</v>
      </c>
      <c r="Q1919" t="s">
        <v>28</v>
      </c>
      <c r="R1919" t="s">
        <v>29</v>
      </c>
      <c r="S1919">
        <v>2025</v>
      </c>
      <c r="T1919" t="s">
        <v>2759</v>
      </c>
      <c r="U1919" t="s">
        <v>2760</v>
      </c>
      <c r="V1919" s="4">
        <v>0</v>
      </c>
      <c r="W1919" s="4">
        <v>1</v>
      </c>
    </row>
    <row r="1920" spans="1:23">
      <c r="A1920" t="s">
        <v>2052</v>
      </c>
      <c r="B1920" s="2">
        <v>45801</v>
      </c>
      <c r="C1920" t="s">
        <v>71</v>
      </c>
      <c r="D1920" t="s">
        <v>72</v>
      </c>
      <c r="E1920" t="s">
        <v>73</v>
      </c>
      <c r="F1920" t="s">
        <v>57</v>
      </c>
      <c r="G1920" t="s">
        <v>101</v>
      </c>
      <c r="H1920" t="s">
        <v>102</v>
      </c>
      <c r="I1920">
        <v>28</v>
      </c>
      <c r="J1920" s="3">
        <v>1693.44</v>
      </c>
      <c r="K1920" s="3">
        <v>47416.32</v>
      </c>
      <c r="L1920" t="s">
        <v>25</v>
      </c>
      <c r="M1920" s="2">
        <v>45818</v>
      </c>
      <c r="N1920" s="2">
        <v>45818</v>
      </c>
      <c r="O1920" t="s">
        <v>26</v>
      </c>
      <c r="P1920" t="s">
        <v>77</v>
      </c>
      <c r="Q1920" t="s">
        <v>28</v>
      </c>
      <c r="R1920" t="s">
        <v>29</v>
      </c>
      <c r="S1920">
        <v>2025</v>
      </c>
      <c r="T1920" t="s">
        <v>2766</v>
      </c>
      <c r="U1920" t="s">
        <v>2767</v>
      </c>
      <c r="V1920" s="4">
        <v>0</v>
      </c>
      <c r="W1920" s="4">
        <v>1</v>
      </c>
    </row>
    <row r="1921" spans="1:23">
      <c r="A1921" t="s">
        <v>2053</v>
      </c>
      <c r="B1921" s="2">
        <v>46034</v>
      </c>
      <c r="C1921" t="s">
        <v>46</v>
      </c>
      <c r="D1921" t="s">
        <v>47</v>
      </c>
      <c r="E1921" t="s">
        <v>48</v>
      </c>
      <c r="F1921" t="s">
        <v>49</v>
      </c>
      <c r="G1921" t="s">
        <v>50</v>
      </c>
      <c r="H1921" t="s">
        <v>51</v>
      </c>
      <c r="I1921">
        <v>1</v>
      </c>
      <c r="J1921" s="3">
        <v>55998.62</v>
      </c>
      <c r="K1921" s="3">
        <v>55998.62</v>
      </c>
      <c r="L1921" t="s">
        <v>25</v>
      </c>
      <c r="M1921" s="2">
        <v>46039</v>
      </c>
      <c r="N1921" s="2">
        <v>46036</v>
      </c>
      <c r="O1921" t="s">
        <v>76</v>
      </c>
      <c r="P1921" t="s">
        <v>53</v>
      </c>
      <c r="Q1921" t="s">
        <v>28</v>
      </c>
      <c r="R1921" t="s">
        <v>29</v>
      </c>
      <c r="S1921">
        <v>2026</v>
      </c>
      <c r="T1921" t="s">
        <v>2757</v>
      </c>
      <c r="U1921" t="s">
        <v>2758</v>
      </c>
      <c r="V1921" s="4">
        <v>0</v>
      </c>
      <c r="W1921" s="4">
        <v>1</v>
      </c>
    </row>
    <row r="1922" spans="1:23">
      <c r="A1922" t="s">
        <v>2054</v>
      </c>
      <c r="B1922" s="2">
        <v>46149</v>
      </c>
      <c r="C1922" t="s">
        <v>147</v>
      </c>
      <c r="D1922" t="s">
        <v>148</v>
      </c>
      <c r="E1922" t="s">
        <v>112</v>
      </c>
      <c r="F1922" t="s">
        <v>40</v>
      </c>
      <c r="G1922" t="s">
        <v>149</v>
      </c>
      <c r="H1922" t="s">
        <v>150</v>
      </c>
      <c r="I1922">
        <v>12</v>
      </c>
      <c r="J1922" s="3">
        <v>1326.51</v>
      </c>
      <c r="K1922" s="3">
        <v>15918.12</v>
      </c>
      <c r="L1922" t="s">
        <v>25</v>
      </c>
      <c r="M1922" s="2">
        <v>46154</v>
      </c>
      <c r="N1922" s="2">
        <v>46154</v>
      </c>
      <c r="O1922" t="s">
        <v>43</v>
      </c>
      <c r="P1922" t="s">
        <v>115</v>
      </c>
      <c r="Q1922" t="s">
        <v>28</v>
      </c>
      <c r="R1922" t="s">
        <v>29</v>
      </c>
      <c r="S1922">
        <v>2026</v>
      </c>
      <c r="T1922" t="s">
        <v>2766</v>
      </c>
      <c r="U1922" t="s">
        <v>2769</v>
      </c>
      <c r="V1922" s="4">
        <v>0</v>
      </c>
      <c r="W1922" s="4">
        <v>1</v>
      </c>
    </row>
    <row r="1923" spans="1:23">
      <c r="A1923" t="s">
        <v>2055</v>
      </c>
      <c r="B1923" s="2">
        <v>45908</v>
      </c>
      <c r="C1923" t="s">
        <v>131</v>
      </c>
      <c r="D1923" t="s">
        <v>132</v>
      </c>
      <c r="E1923" t="s">
        <v>31</v>
      </c>
      <c r="F1923" t="s">
        <v>57</v>
      </c>
      <c r="G1923" t="s">
        <v>127</v>
      </c>
      <c r="H1923" t="s">
        <v>128</v>
      </c>
      <c r="I1923">
        <v>8</v>
      </c>
      <c r="J1923" s="3">
        <v>17349.54</v>
      </c>
      <c r="K1923" s="3">
        <v>138796.32</v>
      </c>
      <c r="L1923" t="s">
        <v>25</v>
      </c>
      <c r="M1923" s="2">
        <v>45922</v>
      </c>
      <c r="N1923" s="2">
        <v>45921</v>
      </c>
      <c r="O1923" t="s">
        <v>60</v>
      </c>
      <c r="P1923" t="s">
        <v>94</v>
      </c>
      <c r="Q1923" t="s">
        <v>28</v>
      </c>
      <c r="R1923" t="s">
        <v>29</v>
      </c>
      <c r="S1923">
        <v>2025</v>
      </c>
      <c r="T1923" t="s">
        <v>2753</v>
      </c>
      <c r="U1923" t="s">
        <v>2754</v>
      </c>
      <c r="V1923" s="4">
        <v>0</v>
      </c>
      <c r="W1923" s="4">
        <v>1</v>
      </c>
    </row>
    <row r="1924" spans="1:23">
      <c r="A1924" t="s">
        <v>2056</v>
      </c>
      <c r="B1924" s="2">
        <v>45685</v>
      </c>
      <c r="C1924" t="s">
        <v>131</v>
      </c>
      <c r="D1924" t="s">
        <v>132</v>
      </c>
      <c r="E1924" t="s">
        <v>21</v>
      </c>
      <c r="F1924" t="s">
        <v>57</v>
      </c>
      <c r="G1924" t="s">
        <v>74</v>
      </c>
      <c r="H1924" t="s">
        <v>75</v>
      </c>
      <c r="I1924">
        <v>5</v>
      </c>
      <c r="J1924" s="3">
        <v>9444.68</v>
      </c>
      <c r="K1924" s="3">
        <v>47223.4</v>
      </c>
      <c r="L1924" t="s">
        <v>25</v>
      </c>
      <c r="M1924" s="2">
        <v>45691</v>
      </c>
      <c r="N1924" s="2">
        <v>45688</v>
      </c>
      <c r="O1924" t="s">
        <v>43</v>
      </c>
      <c r="P1924" t="s">
        <v>27</v>
      </c>
      <c r="Q1924" t="s">
        <v>28</v>
      </c>
      <c r="R1924" t="s">
        <v>29</v>
      </c>
      <c r="S1924">
        <v>2025</v>
      </c>
      <c r="T1924" t="s">
        <v>2757</v>
      </c>
      <c r="U1924" t="s">
        <v>2768</v>
      </c>
      <c r="V1924" s="4">
        <v>0</v>
      </c>
      <c r="W1924" s="4">
        <v>1</v>
      </c>
    </row>
    <row r="1925" spans="1:23">
      <c r="A1925" t="s">
        <v>2057</v>
      </c>
      <c r="B1925" s="2">
        <v>45917</v>
      </c>
      <c r="C1925" t="s">
        <v>80</v>
      </c>
      <c r="D1925" t="s">
        <v>81</v>
      </c>
      <c r="E1925" t="s">
        <v>39</v>
      </c>
      <c r="F1925" t="s">
        <v>82</v>
      </c>
      <c r="G1925" t="s">
        <v>197</v>
      </c>
      <c r="H1925" t="s">
        <v>198</v>
      </c>
      <c r="I1925">
        <v>20</v>
      </c>
      <c r="J1925" s="3">
        <v>1972.79</v>
      </c>
      <c r="K1925" s="3">
        <v>39455.800000000003</v>
      </c>
      <c r="L1925" t="s">
        <v>25</v>
      </c>
      <c r="M1925" s="2">
        <v>45929</v>
      </c>
      <c r="N1925" s="2">
        <v>45927</v>
      </c>
      <c r="O1925" t="s">
        <v>60</v>
      </c>
      <c r="P1925" t="s">
        <v>44</v>
      </c>
      <c r="Q1925" t="s">
        <v>28</v>
      </c>
      <c r="R1925" t="s">
        <v>29</v>
      </c>
      <c r="S1925">
        <v>2025</v>
      </c>
      <c r="T1925" t="s">
        <v>2753</v>
      </c>
      <c r="U1925" t="s">
        <v>2754</v>
      </c>
      <c r="V1925" s="4">
        <v>0</v>
      </c>
      <c r="W1925" s="4">
        <v>1</v>
      </c>
    </row>
    <row r="1926" spans="1:23">
      <c r="A1926" t="s">
        <v>2058</v>
      </c>
      <c r="B1926" s="2">
        <v>46126</v>
      </c>
      <c r="C1926" t="s">
        <v>71</v>
      </c>
      <c r="D1926" t="s">
        <v>72</v>
      </c>
      <c r="E1926" t="s">
        <v>48</v>
      </c>
      <c r="F1926" t="s">
        <v>57</v>
      </c>
      <c r="G1926" t="s">
        <v>101</v>
      </c>
      <c r="H1926" t="s">
        <v>102</v>
      </c>
      <c r="I1926">
        <v>25</v>
      </c>
      <c r="J1926" s="3">
        <v>1650.17</v>
      </c>
      <c r="K1926" s="3">
        <v>41254.25</v>
      </c>
      <c r="L1926" t="s">
        <v>34</v>
      </c>
      <c r="M1926" s="2">
        <v>46141</v>
      </c>
      <c r="N1926" s="2">
        <v>46138</v>
      </c>
      <c r="O1926" t="s">
        <v>26</v>
      </c>
      <c r="P1926" t="s">
        <v>53</v>
      </c>
      <c r="Q1926" t="s">
        <v>28</v>
      </c>
      <c r="R1926" t="s">
        <v>29</v>
      </c>
      <c r="S1926">
        <v>2026</v>
      </c>
      <c r="T1926" t="s">
        <v>2741</v>
      </c>
      <c r="U1926" t="s">
        <v>2770</v>
      </c>
      <c r="V1926" s="4">
        <v>0</v>
      </c>
      <c r="W1926" s="4">
        <v>1</v>
      </c>
    </row>
    <row r="1927" spans="1:23">
      <c r="A1927" t="s">
        <v>2059</v>
      </c>
      <c r="B1927" s="2">
        <v>45703</v>
      </c>
      <c r="C1927" t="s">
        <v>80</v>
      </c>
      <c r="D1927" t="s">
        <v>81</v>
      </c>
      <c r="E1927" t="s">
        <v>39</v>
      </c>
      <c r="F1927" t="s">
        <v>82</v>
      </c>
      <c r="G1927" t="s">
        <v>98</v>
      </c>
      <c r="H1927" t="s">
        <v>99</v>
      </c>
      <c r="I1927">
        <v>33</v>
      </c>
      <c r="J1927" s="3">
        <v>1119.8499999999999</v>
      </c>
      <c r="K1927" s="3">
        <v>36955.050000000003</v>
      </c>
      <c r="L1927" t="s">
        <v>52</v>
      </c>
      <c r="M1927" s="2">
        <v>45713</v>
      </c>
      <c r="N1927" s="2">
        <v>45710</v>
      </c>
      <c r="O1927" t="s">
        <v>76</v>
      </c>
      <c r="P1927" t="s">
        <v>44</v>
      </c>
      <c r="Q1927" t="s">
        <v>28</v>
      </c>
      <c r="R1927" t="s">
        <v>29</v>
      </c>
      <c r="S1927">
        <v>2025</v>
      </c>
      <c r="T1927" t="s">
        <v>2751</v>
      </c>
      <c r="U1927" t="s">
        <v>2752</v>
      </c>
      <c r="V1927" s="4">
        <v>0</v>
      </c>
      <c r="W1927" s="4">
        <v>1</v>
      </c>
    </row>
    <row r="1928" spans="1:23">
      <c r="A1928" t="s">
        <v>2060</v>
      </c>
      <c r="B1928" s="2">
        <v>45967</v>
      </c>
      <c r="C1928" t="s">
        <v>142</v>
      </c>
      <c r="D1928" t="s">
        <v>143</v>
      </c>
      <c r="E1928" t="s">
        <v>112</v>
      </c>
      <c r="F1928" t="s">
        <v>22</v>
      </c>
      <c r="G1928" t="s">
        <v>32</v>
      </c>
      <c r="H1928" t="s">
        <v>33</v>
      </c>
      <c r="I1928">
        <v>8</v>
      </c>
      <c r="J1928" s="3">
        <v>8587.08</v>
      </c>
      <c r="K1928" s="3">
        <v>68696.639999999999</v>
      </c>
      <c r="L1928" t="s">
        <v>25</v>
      </c>
      <c r="M1928" s="2">
        <v>45983</v>
      </c>
      <c r="N1928" s="2">
        <v>45983</v>
      </c>
      <c r="O1928" t="s">
        <v>76</v>
      </c>
      <c r="P1928" t="s">
        <v>115</v>
      </c>
      <c r="Q1928" t="s">
        <v>28</v>
      </c>
      <c r="R1928" t="s">
        <v>29</v>
      </c>
      <c r="S1928">
        <v>2025</v>
      </c>
      <c r="T1928" t="s">
        <v>2763</v>
      </c>
      <c r="U1928" t="s">
        <v>2764</v>
      </c>
      <c r="V1928" s="4">
        <v>0</v>
      </c>
      <c r="W1928" s="4">
        <v>1</v>
      </c>
    </row>
    <row r="1929" spans="1:23">
      <c r="A1929" t="s">
        <v>2061</v>
      </c>
      <c r="B1929" s="2">
        <v>45954</v>
      </c>
      <c r="C1929" t="s">
        <v>80</v>
      </c>
      <c r="D1929" t="s">
        <v>81</v>
      </c>
      <c r="E1929" t="s">
        <v>39</v>
      </c>
      <c r="F1929" t="s">
        <v>82</v>
      </c>
      <c r="G1929" t="s">
        <v>197</v>
      </c>
      <c r="H1929" t="s">
        <v>198</v>
      </c>
      <c r="I1929">
        <v>42</v>
      </c>
      <c r="J1929" s="3">
        <v>1979.82</v>
      </c>
      <c r="K1929" s="3">
        <v>83152.44</v>
      </c>
      <c r="L1929" t="s">
        <v>25</v>
      </c>
      <c r="M1929" s="2">
        <v>45970</v>
      </c>
      <c r="N1929" s="2">
        <v>45967</v>
      </c>
      <c r="O1929" t="s">
        <v>43</v>
      </c>
      <c r="P1929" t="s">
        <v>64</v>
      </c>
      <c r="Q1929" t="s">
        <v>28</v>
      </c>
      <c r="R1929" t="s">
        <v>29</v>
      </c>
      <c r="S1929">
        <v>2025</v>
      </c>
      <c r="T1929" t="s">
        <v>2749</v>
      </c>
      <c r="U1929" t="s">
        <v>2750</v>
      </c>
      <c r="V1929" s="4">
        <v>0</v>
      </c>
      <c r="W1929" s="4">
        <v>1</v>
      </c>
    </row>
    <row r="1930" spans="1:23">
      <c r="A1930" t="s">
        <v>2062</v>
      </c>
      <c r="B1930" s="2">
        <v>45768</v>
      </c>
      <c r="C1930" t="s">
        <v>104</v>
      </c>
      <c r="D1930" t="s">
        <v>105</v>
      </c>
      <c r="E1930" t="s">
        <v>112</v>
      </c>
      <c r="F1930" t="s">
        <v>49</v>
      </c>
      <c r="G1930" t="s">
        <v>68</v>
      </c>
      <c r="H1930" t="s">
        <v>69</v>
      </c>
      <c r="I1930">
        <v>1</v>
      </c>
      <c r="J1930" s="3">
        <v>49886.41</v>
      </c>
      <c r="K1930" s="3">
        <v>49886.41</v>
      </c>
      <c r="L1930" t="s">
        <v>25</v>
      </c>
      <c r="M1930" s="2">
        <v>45777</v>
      </c>
      <c r="N1930" s="2">
        <v>45775</v>
      </c>
      <c r="O1930" t="s">
        <v>60</v>
      </c>
      <c r="P1930" t="s">
        <v>115</v>
      </c>
      <c r="Q1930" t="s">
        <v>28</v>
      </c>
      <c r="R1930" t="s">
        <v>29</v>
      </c>
      <c r="S1930">
        <v>2025</v>
      </c>
      <c r="T1930" t="s">
        <v>2741</v>
      </c>
      <c r="U1930" t="s">
        <v>2742</v>
      </c>
      <c r="V1930" s="4">
        <v>0</v>
      </c>
      <c r="W1930" s="4">
        <v>1</v>
      </c>
    </row>
    <row r="1931" spans="1:23">
      <c r="A1931" t="s">
        <v>2063</v>
      </c>
      <c r="B1931" s="2">
        <v>46182</v>
      </c>
      <c r="C1931" t="s">
        <v>19</v>
      </c>
      <c r="D1931" t="s">
        <v>20</v>
      </c>
      <c r="E1931" t="s">
        <v>73</v>
      </c>
      <c r="F1931" t="s">
        <v>22</v>
      </c>
      <c r="G1931" t="s">
        <v>160</v>
      </c>
      <c r="H1931" t="s">
        <v>161</v>
      </c>
      <c r="I1931">
        <v>9</v>
      </c>
      <c r="J1931" s="3">
        <v>2867.71</v>
      </c>
      <c r="K1931" s="3">
        <v>25809.39</v>
      </c>
      <c r="L1931" t="s">
        <v>34</v>
      </c>
      <c r="M1931" s="2">
        <v>46192</v>
      </c>
      <c r="N1931" s="2">
        <v>46192</v>
      </c>
      <c r="O1931" t="s">
        <v>43</v>
      </c>
      <c r="P1931" t="s">
        <v>77</v>
      </c>
      <c r="Q1931" t="s">
        <v>28</v>
      </c>
      <c r="R1931" t="s">
        <v>29</v>
      </c>
      <c r="S1931">
        <v>2026</v>
      </c>
      <c r="T1931" t="s">
        <v>2743</v>
      </c>
      <c r="U1931" t="s">
        <v>2744</v>
      </c>
      <c r="V1931" s="4">
        <v>0</v>
      </c>
      <c r="W1931" s="4">
        <v>1</v>
      </c>
    </row>
    <row r="1932" spans="1:23">
      <c r="A1932" t="s">
        <v>2064</v>
      </c>
      <c r="B1932" s="2">
        <v>46047</v>
      </c>
      <c r="C1932" t="s">
        <v>66</v>
      </c>
      <c r="D1932" t="s">
        <v>67</v>
      </c>
      <c r="E1932" t="s">
        <v>21</v>
      </c>
      <c r="F1932" t="s">
        <v>49</v>
      </c>
      <c r="G1932" t="s">
        <v>113</v>
      </c>
      <c r="H1932" t="s">
        <v>114</v>
      </c>
      <c r="I1932">
        <v>3</v>
      </c>
      <c r="J1932" s="3">
        <v>36642.75</v>
      </c>
      <c r="K1932" s="3">
        <v>109928.25</v>
      </c>
      <c r="L1932" t="s">
        <v>25</v>
      </c>
      <c r="M1932" s="2">
        <v>46063</v>
      </c>
      <c r="N1932" s="2">
        <v>46060</v>
      </c>
      <c r="O1932" t="s">
        <v>26</v>
      </c>
      <c r="P1932" t="s">
        <v>27</v>
      </c>
      <c r="Q1932" t="s">
        <v>28</v>
      </c>
      <c r="R1932" t="s">
        <v>29</v>
      </c>
      <c r="S1932">
        <v>2026</v>
      </c>
      <c r="T1932" t="s">
        <v>2757</v>
      </c>
      <c r="U1932" t="s">
        <v>2758</v>
      </c>
      <c r="V1932" s="4">
        <v>0</v>
      </c>
      <c r="W1932" s="4">
        <v>1</v>
      </c>
    </row>
    <row r="1933" spans="1:23">
      <c r="A1933" t="s">
        <v>2065</v>
      </c>
      <c r="B1933" s="2">
        <v>46145</v>
      </c>
      <c r="C1933" t="s">
        <v>66</v>
      </c>
      <c r="D1933" t="s">
        <v>67</v>
      </c>
      <c r="E1933" t="s">
        <v>48</v>
      </c>
      <c r="F1933" t="s">
        <v>49</v>
      </c>
      <c r="G1933" t="s">
        <v>68</v>
      </c>
      <c r="H1933" t="s">
        <v>69</v>
      </c>
      <c r="I1933">
        <v>1</v>
      </c>
      <c r="J1933" s="3">
        <v>46537.32</v>
      </c>
      <c r="K1933" s="3">
        <v>46537.32</v>
      </c>
      <c r="L1933" t="s">
        <v>25</v>
      </c>
      <c r="M1933" s="2">
        <v>46157</v>
      </c>
      <c r="N1933" s="2">
        <v>46169</v>
      </c>
      <c r="O1933" t="s">
        <v>60</v>
      </c>
      <c r="P1933" t="s">
        <v>53</v>
      </c>
      <c r="Q1933" t="s">
        <v>28</v>
      </c>
      <c r="R1933" t="s">
        <v>129</v>
      </c>
      <c r="S1933">
        <v>2026</v>
      </c>
      <c r="T1933" t="s">
        <v>2766</v>
      </c>
      <c r="U1933" t="s">
        <v>2769</v>
      </c>
      <c r="V1933" s="4">
        <v>12</v>
      </c>
      <c r="W1933" s="4">
        <v>0</v>
      </c>
    </row>
    <row r="1934" spans="1:23">
      <c r="A1934" t="s">
        <v>2066</v>
      </c>
      <c r="B1934" s="2">
        <v>46043</v>
      </c>
      <c r="C1934" t="s">
        <v>37</v>
      </c>
      <c r="D1934" t="s">
        <v>38</v>
      </c>
      <c r="E1934" t="s">
        <v>73</v>
      </c>
      <c r="F1934" t="s">
        <v>22</v>
      </c>
      <c r="G1934" t="s">
        <v>32</v>
      </c>
      <c r="H1934" t="s">
        <v>33</v>
      </c>
      <c r="I1934">
        <v>2</v>
      </c>
      <c r="J1934" s="3">
        <v>8705.31</v>
      </c>
      <c r="K1934" s="3">
        <v>17410.62</v>
      </c>
      <c r="L1934" t="s">
        <v>52</v>
      </c>
      <c r="M1934" s="2">
        <v>46058</v>
      </c>
      <c r="N1934" s="2">
        <v>46058</v>
      </c>
      <c r="O1934" t="s">
        <v>26</v>
      </c>
      <c r="P1934" t="s">
        <v>77</v>
      </c>
      <c r="Q1934" t="s">
        <v>28</v>
      </c>
      <c r="R1934" t="s">
        <v>29</v>
      </c>
      <c r="S1934">
        <v>2026</v>
      </c>
      <c r="T1934" t="s">
        <v>2757</v>
      </c>
      <c r="U1934" t="s">
        <v>2758</v>
      </c>
      <c r="V1934" s="4">
        <v>0</v>
      </c>
      <c r="W1934" s="4">
        <v>1</v>
      </c>
    </row>
    <row r="1935" spans="1:23">
      <c r="A1935" t="s">
        <v>2067</v>
      </c>
      <c r="B1935" s="2">
        <v>45784</v>
      </c>
      <c r="C1935" t="s">
        <v>107</v>
      </c>
      <c r="D1935" t="s">
        <v>108</v>
      </c>
      <c r="E1935" t="s">
        <v>31</v>
      </c>
      <c r="F1935" t="s">
        <v>91</v>
      </c>
      <c r="G1935" t="s">
        <v>92</v>
      </c>
      <c r="H1935" t="s">
        <v>93</v>
      </c>
      <c r="I1935">
        <v>3</v>
      </c>
      <c r="J1935" s="3">
        <v>44487.06</v>
      </c>
      <c r="K1935" s="3">
        <v>133461.18</v>
      </c>
      <c r="L1935" t="s">
        <v>25</v>
      </c>
      <c r="M1935" s="2">
        <v>45799</v>
      </c>
      <c r="N1935" s="2">
        <v>45797</v>
      </c>
      <c r="O1935" t="s">
        <v>26</v>
      </c>
      <c r="P1935" t="s">
        <v>94</v>
      </c>
      <c r="Q1935" t="s">
        <v>28</v>
      </c>
      <c r="R1935" t="s">
        <v>29</v>
      </c>
      <c r="S1935">
        <v>2025</v>
      </c>
      <c r="T1935" t="s">
        <v>2766</v>
      </c>
      <c r="U1935" t="s">
        <v>2767</v>
      </c>
      <c r="V1935" s="4">
        <v>0</v>
      </c>
      <c r="W1935" s="4">
        <v>1</v>
      </c>
    </row>
    <row r="1936" spans="1:23">
      <c r="A1936" t="s">
        <v>2068</v>
      </c>
      <c r="B1936" s="2">
        <v>45905</v>
      </c>
      <c r="C1936" t="s">
        <v>80</v>
      </c>
      <c r="D1936" t="s">
        <v>81</v>
      </c>
      <c r="E1936" t="s">
        <v>39</v>
      </c>
      <c r="F1936" t="s">
        <v>82</v>
      </c>
      <c r="G1936" t="s">
        <v>197</v>
      </c>
      <c r="H1936" t="s">
        <v>198</v>
      </c>
      <c r="I1936">
        <v>29</v>
      </c>
      <c r="J1936" s="3">
        <v>1960.49</v>
      </c>
      <c r="K1936" s="3">
        <v>56854.21</v>
      </c>
      <c r="L1936" t="s">
        <v>34</v>
      </c>
      <c r="M1936" s="2">
        <v>45910</v>
      </c>
      <c r="N1936" s="2">
        <v>45910</v>
      </c>
      <c r="O1936" t="s">
        <v>60</v>
      </c>
      <c r="P1936" t="s">
        <v>44</v>
      </c>
      <c r="Q1936" t="s">
        <v>28</v>
      </c>
      <c r="R1936" t="s">
        <v>29</v>
      </c>
      <c r="S1936">
        <v>2025</v>
      </c>
      <c r="T1936" t="s">
        <v>2753</v>
      </c>
      <c r="U1936" t="s">
        <v>2754</v>
      </c>
      <c r="V1936" s="4">
        <v>0</v>
      </c>
      <c r="W1936" s="4">
        <v>1</v>
      </c>
    </row>
    <row r="1937" spans="1:23">
      <c r="A1937" t="s">
        <v>2069</v>
      </c>
      <c r="B1937" s="2">
        <v>45660</v>
      </c>
      <c r="C1937" t="s">
        <v>142</v>
      </c>
      <c r="D1937" t="s">
        <v>143</v>
      </c>
      <c r="E1937" t="s">
        <v>21</v>
      </c>
      <c r="F1937" t="s">
        <v>22</v>
      </c>
      <c r="G1937" t="s">
        <v>23</v>
      </c>
      <c r="H1937" t="s">
        <v>24</v>
      </c>
      <c r="I1937">
        <v>30</v>
      </c>
      <c r="J1937" s="3">
        <v>247.06</v>
      </c>
      <c r="K1937" s="3">
        <v>7411.8</v>
      </c>
      <c r="L1937" t="s">
        <v>25</v>
      </c>
      <c r="M1937" s="2">
        <v>45670</v>
      </c>
      <c r="N1937" s="2">
        <v>45668</v>
      </c>
      <c r="O1937" t="s">
        <v>76</v>
      </c>
      <c r="P1937" t="s">
        <v>27</v>
      </c>
      <c r="Q1937" t="s">
        <v>28</v>
      </c>
      <c r="R1937" t="s">
        <v>29</v>
      </c>
      <c r="S1937">
        <v>2025</v>
      </c>
      <c r="T1937" t="s">
        <v>2757</v>
      </c>
      <c r="U1937" t="s">
        <v>2768</v>
      </c>
      <c r="V1937" s="4">
        <v>0</v>
      </c>
      <c r="W1937" s="4">
        <v>1</v>
      </c>
    </row>
    <row r="1938" spans="1:23">
      <c r="A1938" t="s">
        <v>2070</v>
      </c>
      <c r="B1938" s="2">
        <v>45707</v>
      </c>
      <c r="C1938" t="s">
        <v>46</v>
      </c>
      <c r="D1938" t="s">
        <v>47</v>
      </c>
      <c r="E1938" t="s">
        <v>73</v>
      </c>
      <c r="F1938" t="s">
        <v>49</v>
      </c>
      <c r="G1938" t="s">
        <v>165</v>
      </c>
      <c r="H1938" t="s">
        <v>166</v>
      </c>
      <c r="I1938">
        <v>1</v>
      </c>
      <c r="J1938" s="3">
        <v>49346.720000000001</v>
      </c>
      <c r="K1938" s="3">
        <v>49346.720000000001</v>
      </c>
      <c r="L1938" t="s">
        <v>25</v>
      </c>
      <c r="M1938" s="2">
        <v>45716</v>
      </c>
      <c r="N1938" s="2">
        <v>45714</v>
      </c>
      <c r="O1938" t="s">
        <v>43</v>
      </c>
      <c r="P1938" t="s">
        <v>77</v>
      </c>
      <c r="Q1938" t="s">
        <v>28</v>
      </c>
      <c r="R1938" t="s">
        <v>29</v>
      </c>
      <c r="S1938">
        <v>2025</v>
      </c>
      <c r="T1938" t="s">
        <v>2751</v>
      </c>
      <c r="U1938" t="s">
        <v>2752</v>
      </c>
      <c r="V1938" s="4">
        <v>0</v>
      </c>
      <c r="W1938" s="4">
        <v>1</v>
      </c>
    </row>
    <row r="1939" spans="1:23">
      <c r="A1939" t="s">
        <v>2071</v>
      </c>
      <c r="B1939" s="2">
        <v>45920</v>
      </c>
      <c r="C1939" t="s">
        <v>46</v>
      </c>
      <c r="D1939" t="s">
        <v>47</v>
      </c>
      <c r="E1939" t="s">
        <v>21</v>
      </c>
      <c r="F1939" t="s">
        <v>49</v>
      </c>
      <c r="G1939" t="s">
        <v>50</v>
      </c>
      <c r="H1939" t="s">
        <v>51</v>
      </c>
      <c r="I1939">
        <v>1</v>
      </c>
      <c r="J1939" s="3">
        <v>52947.25</v>
      </c>
      <c r="K1939" s="3">
        <v>52947.25</v>
      </c>
      <c r="L1939" t="s">
        <v>52</v>
      </c>
      <c r="M1939" s="2">
        <v>45932</v>
      </c>
      <c r="N1939" s="2">
        <v>45930</v>
      </c>
      <c r="O1939" t="s">
        <v>76</v>
      </c>
      <c r="P1939" t="s">
        <v>27</v>
      </c>
      <c r="Q1939" t="s">
        <v>28</v>
      </c>
      <c r="R1939" t="s">
        <v>29</v>
      </c>
      <c r="S1939">
        <v>2025</v>
      </c>
      <c r="T1939" t="s">
        <v>2753</v>
      </c>
      <c r="U1939" t="s">
        <v>2754</v>
      </c>
      <c r="V1939" s="4">
        <v>0</v>
      </c>
      <c r="W1939" s="4">
        <v>1</v>
      </c>
    </row>
    <row r="1940" spans="1:23">
      <c r="A1940" t="s">
        <v>2072</v>
      </c>
      <c r="B1940" s="2">
        <v>45688</v>
      </c>
      <c r="C1940" t="s">
        <v>134</v>
      </c>
      <c r="D1940" t="s">
        <v>135</v>
      </c>
      <c r="E1940" t="s">
        <v>112</v>
      </c>
      <c r="F1940" t="s">
        <v>40</v>
      </c>
      <c r="G1940" t="s">
        <v>62</v>
      </c>
      <c r="H1940" t="s">
        <v>63</v>
      </c>
      <c r="I1940">
        <v>3</v>
      </c>
      <c r="J1940" s="3">
        <v>17805.64</v>
      </c>
      <c r="K1940" s="3">
        <v>53416.92</v>
      </c>
      <c r="L1940" t="s">
        <v>25</v>
      </c>
      <c r="M1940" s="2">
        <v>45693</v>
      </c>
      <c r="N1940" s="2">
        <v>45692</v>
      </c>
      <c r="O1940" t="s">
        <v>26</v>
      </c>
      <c r="P1940" t="s">
        <v>115</v>
      </c>
      <c r="Q1940" t="s">
        <v>28</v>
      </c>
      <c r="R1940" t="s">
        <v>29</v>
      </c>
      <c r="S1940">
        <v>2025</v>
      </c>
      <c r="T1940" t="s">
        <v>2757</v>
      </c>
      <c r="U1940" t="s">
        <v>2768</v>
      </c>
      <c r="V1940" s="4">
        <v>0</v>
      </c>
      <c r="W1940" s="4">
        <v>1</v>
      </c>
    </row>
    <row r="1941" spans="1:23">
      <c r="A1941" t="s">
        <v>2073</v>
      </c>
      <c r="B1941" s="2">
        <v>46150</v>
      </c>
      <c r="C1941" t="s">
        <v>46</v>
      </c>
      <c r="D1941" t="s">
        <v>47</v>
      </c>
      <c r="E1941" t="s">
        <v>112</v>
      </c>
      <c r="F1941" t="s">
        <v>49</v>
      </c>
      <c r="G1941" t="s">
        <v>165</v>
      </c>
      <c r="H1941" t="s">
        <v>166</v>
      </c>
      <c r="I1941">
        <v>1</v>
      </c>
      <c r="J1941" s="3">
        <v>49932.42</v>
      </c>
      <c r="K1941" s="3">
        <v>49932.42</v>
      </c>
      <c r="L1941" t="s">
        <v>25</v>
      </c>
      <c r="M1941" s="2">
        <v>46164</v>
      </c>
      <c r="N1941" s="2">
        <v>46163</v>
      </c>
      <c r="O1941" t="s">
        <v>60</v>
      </c>
      <c r="P1941" t="s">
        <v>115</v>
      </c>
      <c r="Q1941" t="s">
        <v>28</v>
      </c>
      <c r="R1941" t="s">
        <v>29</v>
      </c>
      <c r="S1941">
        <v>2026</v>
      </c>
      <c r="T1941" t="s">
        <v>2766</v>
      </c>
      <c r="U1941" t="s">
        <v>2769</v>
      </c>
      <c r="V1941" s="4">
        <v>0</v>
      </c>
      <c r="W1941" s="4">
        <v>1</v>
      </c>
    </row>
    <row r="1942" spans="1:23">
      <c r="A1942" t="s">
        <v>2074</v>
      </c>
      <c r="B1942" s="2">
        <v>46189</v>
      </c>
      <c r="C1942" t="s">
        <v>71</v>
      </c>
      <c r="D1942" t="s">
        <v>72</v>
      </c>
      <c r="E1942" t="s">
        <v>48</v>
      </c>
      <c r="F1942" t="s">
        <v>57</v>
      </c>
      <c r="G1942" t="s">
        <v>58</v>
      </c>
      <c r="H1942" t="s">
        <v>59</v>
      </c>
      <c r="I1942">
        <v>6</v>
      </c>
      <c r="J1942" s="3">
        <v>54965.19</v>
      </c>
      <c r="K1942" s="3">
        <v>329791.14</v>
      </c>
      <c r="L1942" t="s">
        <v>34</v>
      </c>
      <c r="M1942" s="2">
        <v>46206</v>
      </c>
      <c r="N1942" s="2">
        <v>46206</v>
      </c>
      <c r="O1942" t="s">
        <v>60</v>
      </c>
      <c r="P1942" t="s">
        <v>53</v>
      </c>
      <c r="Q1942" t="s">
        <v>28</v>
      </c>
      <c r="R1942" t="s">
        <v>29</v>
      </c>
      <c r="S1942">
        <v>2026</v>
      </c>
      <c r="T1942" t="s">
        <v>2743</v>
      </c>
      <c r="U1942" t="s">
        <v>2744</v>
      </c>
      <c r="V1942" s="4">
        <v>0</v>
      </c>
      <c r="W1942" s="4">
        <v>1</v>
      </c>
    </row>
    <row r="1943" spans="1:23">
      <c r="A1943" t="s">
        <v>2075</v>
      </c>
      <c r="B1943" s="2">
        <v>45965</v>
      </c>
      <c r="C1943" t="s">
        <v>19</v>
      </c>
      <c r="D1943" t="s">
        <v>20</v>
      </c>
      <c r="E1943" t="s">
        <v>39</v>
      </c>
      <c r="F1943" t="s">
        <v>22</v>
      </c>
      <c r="G1943" t="s">
        <v>23</v>
      </c>
      <c r="H1943" t="s">
        <v>24</v>
      </c>
      <c r="I1943">
        <v>35</v>
      </c>
      <c r="J1943" s="3">
        <v>229.12</v>
      </c>
      <c r="K1943" s="3">
        <v>8019.2</v>
      </c>
      <c r="L1943" t="s">
        <v>34</v>
      </c>
      <c r="M1943" s="2">
        <v>45970</v>
      </c>
      <c r="N1943" s="2">
        <v>45973</v>
      </c>
      <c r="O1943" t="s">
        <v>26</v>
      </c>
      <c r="P1943" t="s">
        <v>44</v>
      </c>
      <c r="Q1943" t="s">
        <v>28</v>
      </c>
      <c r="R1943" t="s">
        <v>129</v>
      </c>
      <c r="S1943">
        <v>2025</v>
      </c>
      <c r="T1943" t="s">
        <v>2763</v>
      </c>
      <c r="U1943" t="s">
        <v>2764</v>
      </c>
      <c r="V1943" s="4">
        <v>3</v>
      </c>
      <c r="W1943" s="4">
        <v>0</v>
      </c>
    </row>
    <row r="1944" spans="1:23">
      <c r="A1944" t="s">
        <v>2076</v>
      </c>
      <c r="B1944" s="2">
        <v>45977</v>
      </c>
      <c r="C1944" t="s">
        <v>19</v>
      </c>
      <c r="D1944" t="s">
        <v>20</v>
      </c>
      <c r="E1944" t="s">
        <v>39</v>
      </c>
      <c r="F1944" t="s">
        <v>22</v>
      </c>
      <c r="G1944" t="s">
        <v>23</v>
      </c>
      <c r="H1944" t="s">
        <v>24</v>
      </c>
      <c r="I1944">
        <v>46</v>
      </c>
      <c r="J1944" s="3">
        <v>233.72</v>
      </c>
      <c r="K1944" s="3">
        <v>10751.12</v>
      </c>
      <c r="L1944" t="s">
        <v>52</v>
      </c>
      <c r="M1944" s="2">
        <v>45994</v>
      </c>
      <c r="N1944" s="2">
        <v>46007</v>
      </c>
      <c r="O1944" t="s">
        <v>76</v>
      </c>
      <c r="P1944" t="s">
        <v>44</v>
      </c>
      <c r="Q1944" t="s">
        <v>28</v>
      </c>
      <c r="R1944" t="s">
        <v>129</v>
      </c>
      <c r="S1944">
        <v>2025</v>
      </c>
      <c r="T1944" t="s">
        <v>2763</v>
      </c>
      <c r="U1944" t="s">
        <v>2764</v>
      </c>
      <c r="V1944" s="4">
        <v>13</v>
      </c>
      <c r="W1944" s="4">
        <v>0</v>
      </c>
    </row>
    <row r="1945" spans="1:23">
      <c r="A1945" t="s">
        <v>2077</v>
      </c>
      <c r="B1945" s="2">
        <v>45726</v>
      </c>
      <c r="C1945" t="s">
        <v>19</v>
      </c>
      <c r="D1945" t="s">
        <v>20</v>
      </c>
      <c r="E1945" t="s">
        <v>31</v>
      </c>
      <c r="F1945" t="s">
        <v>22</v>
      </c>
      <c r="G1945" t="s">
        <v>23</v>
      </c>
      <c r="H1945" t="s">
        <v>24</v>
      </c>
      <c r="I1945">
        <v>8</v>
      </c>
      <c r="J1945" s="3">
        <v>233.01</v>
      </c>
      <c r="K1945" s="3">
        <v>1864.08</v>
      </c>
      <c r="L1945" t="s">
        <v>25</v>
      </c>
      <c r="M1945" s="2">
        <v>45744</v>
      </c>
      <c r="N1945" s="2">
        <v>45741</v>
      </c>
      <c r="O1945" t="s">
        <v>60</v>
      </c>
      <c r="P1945" t="s">
        <v>35</v>
      </c>
      <c r="Q1945" t="s">
        <v>28</v>
      </c>
      <c r="R1945" t="s">
        <v>29</v>
      </c>
      <c r="S1945">
        <v>2025</v>
      </c>
      <c r="T1945" t="s">
        <v>2747</v>
      </c>
      <c r="U1945" t="s">
        <v>2748</v>
      </c>
      <c r="V1945" s="4">
        <v>0</v>
      </c>
      <c r="W1945" s="4">
        <v>1</v>
      </c>
    </row>
    <row r="1946" spans="1:23">
      <c r="A1946" t="s">
        <v>2078</v>
      </c>
      <c r="B1946" s="2">
        <v>46022</v>
      </c>
      <c r="C1946" t="s">
        <v>104</v>
      </c>
      <c r="D1946" t="s">
        <v>105</v>
      </c>
      <c r="E1946" t="s">
        <v>48</v>
      </c>
      <c r="F1946" t="s">
        <v>49</v>
      </c>
      <c r="G1946" t="s">
        <v>165</v>
      </c>
      <c r="H1946" t="s">
        <v>166</v>
      </c>
      <c r="I1946">
        <v>1</v>
      </c>
      <c r="J1946" s="3">
        <v>46542.21</v>
      </c>
      <c r="K1946" s="3">
        <v>46542.21</v>
      </c>
      <c r="L1946" t="s">
        <v>25</v>
      </c>
      <c r="M1946" s="2">
        <v>46040</v>
      </c>
      <c r="N1946" s="2">
        <v>46040</v>
      </c>
      <c r="O1946" t="s">
        <v>76</v>
      </c>
      <c r="P1946" t="s">
        <v>53</v>
      </c>
      <c r="Q1946" t="s">
        <v>28</v>
      </c>
      <c r="R1946" t="s">
        <v>29</v>
      </c>
      <c r="S1946">
        <v>2025</v>
      </c>
      <c r="T1946" t="s">
        <v>2745</v>
      </c>
      <c r="U1946" t="s">
        <v>2746</v>
      </c>
      <c r="V1946" s="4">
        <v>0</v>
      </c>
      <c r="W1946" s="4">
        <v>1</v>
      </c>
    </row>
    <row r="1947" spans="1:23">
      <c r="A1947" t="s">
        <v>2079</v>
      </c>
      <c r="B1947" s="2">
        <v>45851</v>
      </c>
      <c r="C1947" t="s">
        <v>131</v>
      </c>
      <c r="D1947" t="s">
        <v>132</v>
      </c>
      <c r="E1947" t="s">
        <v>31</v>
      </c>
      <c r="F1947" t="s">
        <v>57</v>
      </c>
      <c r="G1947" t="s">
        <v>127</v>
      </c>
      <c r="H1947" t="s">
        <v>128</v>
      </c>
      <c r="I1947">
        <v>4</v>
      </c>
      <c r="J1947" s="3">
        <v>16669.189999999999</v>
      </c>
      <c r="K1947" s="3">
        <v>66676.759999999995</v>
      </c>
      <c r="L1947" t="s">
        <v>25</v>
      </c>
      <c r="M1947" s="2">
        <v>45867</v>
      </c>
      <c r="N1947" s="2">
        <v>45864</v>
      </c>
      <c r="O1947" t="s">
        <v>43</v>
      </c>
      <c r="P1947" t="s">
        <v>35</v>
      </c>
      <c r="Q1947" t="s">
        <v>28</v>
      </c>
      <c r="R1947" t="s">
        <v>29</v>
      </c>
      <c r="S1947">
        <v>2025</v>
      </c>
      <c r="T1947" t="s">
        <v>2759</v>
      </c>
      <c r="U1947" t="s">
        <v>2760</v>
      </c>
      <c r="V1947" s="4">
        <v>0</v>
      </c>
      <c r="W1947" s="4">
        <v>1</v>
      </c>
    </row>
    <row r="1948" spans="1:23">
      <c r="A1948" t="s">
        <v>2080</v>
      </c>
      <c r="B1948" s="2">
        <v>45923</v>
      </c>
      <c r="C1948" t="s">
        <v>142</v>
      </c>
      <c r="D1948" t="s">
        <v>143</v>
      </c>
      <c r="E1948" t="s">
        <v>112</v>
      </c>
      <c r="F1948" t="s">
        <v>22</v>
      </c>
      <c r="G1948" t="s">
        <v>23</v>
      </c>
      <c r="H1948" t="s">
        <v>24</v>
      </c>
      <c r="I1948">
        <v>22</v>
      </c>
      <c r="J1948" s="3">
        <v>260.66000000000003</v>
      </c>
      <c r="K1948" s="3">
        <v>5734.52</v>
      </c>
      <c r="L1948" t="s">
        <v>25</v>
      </c>
      <c r="M1948" s="2">
        <v>45939</v>
      </c>
      <c r="N1948" s="2">
        <v>45937</v>
      </c>
      <c r="O1948" t="s">
        <v>43</v>
      </c>
      <c r="P1948" t="s">
        <v>115</v>
      </c>
      <c r="Q1948" t="s">
        <v>28</v>
      </c>
      <c r="R1948" t="s">
        <v>29</v>
      </c>
      <c r="S1948">
        <v>2025</v>
      </c>
      <c r="T1948" t="s">
        <v>2753</v>
      </c>
      <c r="U1948" t="s">
        <v>2754</v>
      </c>
      <c r="V1948" s="4">
        <v>0</v>
      </c>
      <c r="W1948" s="4">
        <v>1</v>
      </c>
    </row>
    <row r="1949" spans="1:23">
      <c r="A1949" t="s">
        <v>2081</v>
      </c>
      <c r="B1949" s="2">
        <v>45665</v>
      </c>
      <c r="C1949" t="s">
        <v>142</v>
      </c>
      <c r="D1949" t="s">
        <v>143</v>
      </c>
      <c r="E1949" t="s">
        <v>39</v>
      </c>
      <c r="F1949" t="s">
        <v>22</v>
      </c>
      <c r="G1949" t="s">
        <v>32</v>
      </c>
      <c r="H1949" t="s">
        <v>33</v>
      </c>
      <c r="I1949">
        <v>14</v>
      </c>
      <c r="J1949" s="3">
        <v>7915.73</v>
      </c>
      <c r="K1949" s="3">
        <v>110820.22</v>
      </c>
      <c r="L1949" t="s">
        <v>34</v>
      </c>
      <c r="M1949" s="2">
        <v>45677</v>
      </c>
      <c r="N1949" s="2">
        <v>45677</v>
      </c>
      <c r="O1949" t="s">
        <v>76</v>
      </c>
      <c r="P1949" t="s">
        <v>64</v>
      </c>
      <c r="Q1949" t="s">
        <v>28</v>
      </c>
      <c r="R1949" t="s">
        <v>29</v>
      </c>
      <c r="S1949">
        <v>2025</v>
      </c>
      <c r="T1949" t="s">
        <v>2757</v>
      </c>
      <c r="U1949" t="s">
        <v>2768</v>
      </c>
      <c r="V1949" s="4">
        <v>0</v>
      </c>
      <c r="W1949" s="4">
        <v>1</v>
      </c>
    </row>
    <row r="1950" spans="1:23">
      <c r="A1950" t="s">
        <v>2082</v>
      </c>
      <c r="B1950" s="2">
        <v>45791</v>
      </c>
      <c r="C1950" t="s">
        <v>71</v>
      </c>
      <c r="D1950" t="s">
        <v>72</v>
      </c>
      <c r="E1950" t="s">
        <v>48</v>
      </c>
      <c r="F1950" t="s">
        <v>57</v>
      </c>
      <c r="G1950" t="s">
        <v>127</v>
      </c>
      <c r="H1950" t="s">
        <v>128</v>
      </c>
      <c r="I1950">
        <v>4</v>
      </c>
      <c r="J1950" s="3">
        <v>15161.95</v>
      </c>
      <c r="K1950" s="3">
        <v>60647.8</v>
      </c>
      <c r="L1950" t="s">
        <v>34</v>
      </c>
      <c r="M1950" s="2">
        <v>45799</v>
      </c>
      <c r="N1950" s="2">
        <v>45796</v>
      </c>
      <c r="O1950" t="s">
        <v>76</v>
      </c>
      <c r="P1950" t="s">
        <v>53</v>
      </c>
      <c r="Q1950" t="s">
        <v>28</v>
      </c>
      <c r="R1950" t="s">
        <v>29</v>
      </c>
      <c r="S1950">
        <v>2025</v>
      </c>
      <c r="T1950" t="s">
        <v>2766</v>
      </c>
      <c r="U1950" t="s">
        <v>2767</v>
      </c>
      <c r="V1950" s="4">
        <v>0</v>
      </c>
      <c r="W1950" s="4">
        <v>1</v>
      </c>
    </row>
    <row r="1951" spans="1:23">
      <c r="A1951" t="s">
        <v>2083</v>
      </c>
      <c r="B1951" s="2">
        <v>46146</v>
      </c>
      <c r="C1951" t="s">
        <v>142</v>
      </c>
      <c r="D1951" t="s">
        <v>143</v>
      </c>
      <c r="E1951" t="s">
        <v>31</v>
      </c>
      <c r="F1951" t="s">
        <v>22</v>
      </c>
      <c r="G1951" t="s">
        <v>23</v>
      </c>
      <c r="H1951" t="s">
        <v>24</v>
      </c>
      <c r="I1951">
        <v>45</v>
      </c>
      <c r="J1951" s="3">
        <v>256.47000000000003</v>
      </c>
      <c r="K1951" s="3">
        <v>11541.15</v>
      </c>
      <c r="L1951" t="s">
        <v>25</v>
      </c>
      <c r="M1951" s="2">
        <v>46156</v>
      </c>
      <c r="N1951" s="2">
        <v>46156</v>
      </c>
      <c r="O1951" t="s">
        <v>26</v>
      </c>
      <c r="P1951" t="s">
        <v>35</v>
      </c>
      <c r="Q1951" t="s">
        <v>28</v>
      </c>
      <c r="R1951" t="s">
        <v>29</v>
      </c>
      <c r="S1951">
        <v>2026</v>
      </c>
      <c r="T1951" t="s">
        <v>2766</v>
      </c>
      <c r="U1951" t="s">
        <v>2769</v>
      </c>
      <c r="V1951" s="4">
        <v>0</v>
      </c>
      <c r="W1951" s="4">
        <v>1</v>
      </c>
    </row>
    <row r="1952" spans="1:23">
      <c r="A1952" t="s">
        <v>2084</v>
      </c>
      <c r="B1952" s="2">
        <v>45743</v>
      </c>
      <c r="C1952" t="s">
        <v>142</v>
      </c>
      <c r="D1952" t="s">
        <v>143</v>
      </c>
      <c r="E1952" t="s">
        <v>39</v>
      </c>
      <c r="F1952" t="s">
        <v>22</v>
      </c>
      <c r="G1952" t="s">
        <v>160</v>
      </c>
      <c r="H1952" t="s">
        <v>161</v>
      </c>
      <c r="I1952">
        <v>5</v>
      </c>
      <c r="J1952" s="3">
        <v>3289.45</v>
      </c>
      <c r="K1952" s="3">
        <v>16447.25</v>
      </c>
      <c r="L1952" t="s">
        <v>52</v>
      </c>
      <c r="M1952" s="2">
        <v>45759</v>
      </c>
      <c r="N1952" s="2">
        <v>45757</v>
      </c>
      <c r="O1952" t="s">
        <v>76</v>
      </c>
      <c r="P1952" t="s">
        <v>44</v>
      </c>
      <c r="Q1952" t="s">
        <v>28</v>
      </c>
      <c r="R1952" t="s">
        <v>29</v>
      </c>
      <c r="S1952">
        <v>2025</v>
      </c>
      <c r="T1952" t="s">
        <v>2747</v>
      </c>
      <c r="U1952" t="s">
        <v>2748</v>
      </c>
      <c r="V1952" s="4">
        <v>0</v>
      </c>
      <c r="W1952" s="4">
        <v>1</v>
      </c>
    </row>
    <row r="1953" spans="1:23">
      <c r="A1953" t="s">
        <v>2085</v>
      </c>
      <c r="B1953" s="2">
        <v>45901</v>
      </c>
      <c r="C1953" t="s">
        <v>19</v>
      </c>
      <c r="D1953" t="s">
        <v>20</v>
      </c>
      <c r="E1953" t="s">
        <v>39</v>
      </c>
      <c r="F1953" t="s">
        <v>22</v>
      </c>
      <c r="G1953" t="s">
        <v>160</v>
      </c>
      <c r="H1953" t="s">
        <v>161</v>
      </c>
      <c r="I1953">
        <v>9</v>
      </c>
      <c r="J1953" s="3">
        <v>2948.66</v>
      </c>
      <c r="K1953" s="3">
        <v>26537.94</v>
      </c>
      <c r="L1953" t="s">
        <v>25</v>
      </c>
      <c r="M1953" s="2">
        <v>45909</v>
      </c>
      <c r="N1953" s="2">
        <v>45908</v>
      </c>
      <c r="O1953" t="s">
        <v>60</v>
      </c>
      <c r="P1953" t="s">
        <v>44</v>
      </c>
      <c r="Q1953" t="s">
        <v>28</v>
      </c>
      <c r="R1953" t="s">
        <v>29</v>
      </c>
      <c r="S1953">
        <v>2025</v>
      </c>
      <c r="T1953" t="s">
        <v>2753</v>
      </c>
      <c r="U1953" t="s">
        <v>2754</v>
      </c>
      <c r="V1953" s="4">
        <v>0</v>
      </c>
      <c r="W1953" s="4">
        <v>1</v>
      </c>
    </row>
    <row r="1954" spans="1:23">
      <c r="A1954" t="s">
        <v>2086</v>
      </c>
      <c r="B1954" s="2">
        <v>46102</v>
      </c>
      <c r="C1954" t="s">
        <v>142</v>
      </c>
      <c r="D1954" t="s">
        <v>143</v>
      </c>
      <c r="E1954" t="s">
        <v>73</v>
      </c>
      <c r="F1954" t="s">
        <v>22</v>
      </c>
      <c r="G1954" t="s">
        <v>160</v>
      </c>
      <c r="H1954" t="s">
        <v>161</v>
      </c>
      <c r="I1954">
        <v>4</v>
      </c>
      <c r="J1954" s="3">
        <v>3204.12</v>
      </c>
      <c r="K1954" s="3">
        <v>12816.48</v>
      </c>
      <c r="L1954" t="s">
        <v>34</v>
      </c>
      <c r="M1954" s="2">
        <v>46117</v>
      </c>
      <c r="N1954" s="2">
        <v>46115</v>
      </c>
      <c r="O1954" t="s">
        <v>60</v>
      </c>
      <c r="P1954" t="s">
        <v>77</v>
      </c>
      <c r="Q1954" t="s">
        <v>28</v>
      </c>
      <c r="R1954" t="s">
        <v>29</v>
      </c>
      <c r="S1954">
        <v>2026</v>
      </c>
      <c r="T1954" t="s">
        <v>2747</v>
      </c>
      <c r="U1954" t="s">
        <v>2755</v>
      </c>
      <c r="V1954" s="4">
        <v>0</v>
      </c>
      <c r="W1954" s="4">
        <v>1</v>
      </c>
    </row>
    <row r="1955" spans="1:23">
      <c r="A1955" t="s">
        <v>2087</v>
      </c>
      <c r="B1955" s="2">
        <v>45826</v>
      </c>
      <c r="C1955" t="s">
        <v>37</v>
      </c>
      <c r="D1955" t="s">
        <v>38</v>
      </c>
      <c r="E1955" t="s">
        <v>112</v>
      </c>
      <c r="F1955" t="s">
        <v>40</v>
      </c>
      <c r="G1955" t="s">
        <v>62</v>
      </c>
      <c r="H1955" t="s">
        <v>63</v>
      </c>
      <c r="I1955">
        <v>5</v>
      </c>
      <c r="J1955" s="3">
        <v>20613.73</v>
      </c>
      <c r="K1955" s="3">
        <v>103068.65</v>
      </c>
      <c r="L1955" t="s">
        <v>34</v>
      </c>
      <c r="M1955" s="2">
        <v>45834</v>
      </c>
      <c r="N1955" s="2">
        <v>45834</v>
      </c>
      <c r="O1955" t="s">
        <v>43</v>
      </c>
      <c r="P1955" t="s">
        <v>115</v>
      </c>
      <c r="Q1955" t="s">
        <v>28</v>
      </c>
      <c r="R1955" t="s">
        <v>29</v>
      </c>
      <c r="S1955">
        <v>2025</v>
      </c>
      <c r="T1955" t="s">
        <v>2743</v>
      </c>
      <c r="U1955" t="s">
        <v>2756</v>
      </c>
      <c r="V1955" s="4">
        <v>0</v>
      </c>
      <c r="W1955" s="4">
        <v>1</v>
      </c>
    </row>
    <row r="1956" spans="1:23">
      <c r="A1956" t="s">
        <v>2088</v>
      </c>
      <c r="B1956" s="2">
        <v>45786</v>
      </c>
      <c r="C1956" t="s">
        <v>71</v>
      </c>
      <c r="D1956" t="s">
        <v>72</v>
      </c>
      <c r="E1956" t="s">
        <v>31</v>
      </c>
      <c r="F1956" t="s">
        <v>57</v>
      </c>
      <c r="G1956" t="s">
        <v>101</v>
      </c>
      <c r="H1956" t="s">
        <v>102</v>
      </c>
      <c r="I1956">
        <v>41</v>
      </c>
      <c r="J1956" s="3">
        <v>1725.4</v>
      </c>
      <c r="K1956" s="3">
        <v>70741.399999999994</v>
      </c>
      <c r="L1956" t="s">
        <v>25</v>
      </c>
      <c r="M1956" s="2">
        <v>45795</v>
      </c>
      <c r="N1956" s="2">
        <v>45798</v>
      </c>
      <c r="O1956" t="s">
        <v>76</v>
      </c>
      <c r="P1956" t="s">
        <v>35</v>
      </c>
      <c r="Q1956" t="s">
        <v>28</v>
      </c>
      <c r="R1956" t="s">
        <v>129</v>
      </c>
      <c r="S1956">
        <v>2025</v>
      </c>
      <c r="T1956" t="s">
        <v>2766</v>
      </c>
      <c r="U1956" t="s">
        <v>2767</v>
      </c>
      <c r="V1956" s="4">
        <v>3</v>
      </c>
      <c r="W1956" s="4">
        <v>0</v>
      </c>
    </row>
    <row r="1957" spans="1:23">
      <c r="A1957" t="s">
        <v>2089</v>
      </c>
      <c r="B1957" s="2">
        <v>45891</v>
      </c>
      <c r="C1957" t="s">
        <v>142</v>
      </c>
      <c r="D1957" t="s">
        <v>143</v>
      </c>
      <c r="E1957" t="s">
        <v>39</v>
      </c>
      <c r="F1957" t="s">
        <v>22</v>
      </c>
      <c r="G1957" t="s">
        <v>160</v>
      </c>
      <c r="H1957" t="s">
        <v>161</v>
      </c>
      <c r="I1957">
        <v>12</v>
      </c>
      <c r="J1957" s="3">
        <v>3244.9</v>
      </c>
      <c r="K1957" s="3">
        <v>38938.800000000003</v>
      </c>
      <c r="L1957" t="s">
        <v>25</v>
      </c>
      <c r="M1957" s="2">
        <v>45909</v>
      </c>
      <c r="N1957" s="2">
        <v>45907</v>
      </c>
      <c r="O1957" t="s">
        <v>26</v>
      </c>
      <c r="P1957" t="s">
        <v>64</v>
      </c>
      <c r="Q1957" t="s">
        <v>28</v>
      </c>
      <c r="R1957" t="s">
        <v>29</v>
      </c>
      <c r="S1957">
        <v>2025</v>
      </c>
      <c r="T1957" t="s">
        <v>2761</v>
      </c>
      <c r="U1957" t="s">
        <v>2762</v>
      </c>
      <c r="V1957" s="4">
        <v>0</v>
      </c>
      <c r="W1957" s="4">
        <v>1</v>
      </c>
    </row>
    <row r="1958" spans="1:23">
      <c r="A1958" t="s">
        <v>2090</v>
      </c>
      <c r="B1958" s="2">
        <v>45884</v>
      </c>
      <c r="C1958" t="s">
        <v>107</v>
      </c>
      <c r="D1958" t="s">
        <v>108</v>
      </c>
      <c r="E1958" t="s">
        <v>31</v>
      </c>
      <c r="F1958" t="s">
        <v>91</v>
      </c>
      <c r="G1958" t="s">
        <v>92</v>
      </c>
      <c r="H1958" t="s">
        <v>93</v>
      </c>
      <c r="I1958">
        <v>1</v>
      </c>
      <c r="J1958" s="3">
        <v>45468.13</v>
      </c>
      <c r="K1958" s="3">
        <v>45468.13</v>
      </c>
      <c r="L1958" t="s">
        <v>25</v>
      </c>
      <c r="M1958" s="2">
        <v>45890</v>
      </c>
      <c r="N1958" s="2">
        <v>45889</v>
      </c>
      <c r="O1958" t="s">
        <v>43</v>
      </c>
      <c r="P1958" t="s">
        <v>94</v>
      </c>
      <c r="Q1958" t="s">
        <v>28</v>
      </c>
      <c r="R1958" t="s">
        <v>29</v>
      </c>
      <c r="S1958">
        <v>2025</v>
      </c>
      <c r="T1958" t="s">
        <v>2761</v>
      </c>
      <c r="U1958" t="s">
        <v>2762</v>
      </c>
      <c r="V1958" s="4">
        <v>0</v>
      </c>
      <c r="W1958" s="4">
        <v>1</v>
      </c>
    </row>
    <row r="1959" spans="1:23">
      <c r="A1959" t="s">
        <v>2091</v>
      </c>
      <c r="B1959" s="2">
        <v>46129</v>
      </c>
      <c r="C1959" t="s">
        <v>37</v>
      </c>
      <c r="D1959" t="s">
        <v>38</v>
      </c>
      <c r="E1959" t="s">
        <v>39</v>
      </c>
      <c r="F1959" t="s">
        <v>40</v>
      </c>
      <c r="G1959" t="s">
        <v>41</v>
      </c>
      <c r="H1959" t="s">
        <v>42</v>
      </c>
      <c r="I1959">
        <v>6</v>
      </c>
      <c r="J1959" s="3">
        <v>6046.1</v>
      </c>
      <c r="K1959" s="3">
        <v>36276.6</v>
      </c>
      <c r="L1959" t="s">
        <v>52</v>
      </c>
      <c r="M1959" s="2">
        <v>46140</v>
      </c>
      <c r="N1959" s="2">
        <v>46140</v>
      </c>
      <c r="O1959" t="s">
        <v>43</v>
      </c>
      <c r="P1959" t="s">
        <v>44</v>
      </c>
      <c r="Q1959" t="s">
        <v>28</v>
      </c>
      <c r="R1959" t="s">
        <v>29</v>
      </c>
      <c r="S1959">
        <v>2026</v>
      </c>
      <c r="T1959" t="s">
        <v>2741</v>
      </c>
      <c r="U1959" t="s">
        <v>2770</v>
      </c>
      <c r="V1959" s="4">
        <v>0</v>
      </c>
      <c r="W1959" s="4">
        <v>1</v>
      </c>
    </row>
    <row r="1960" spans="1:23">
      <c r="A1960" t="s">
        <v>2092</v>
      </c>
      <c r="B1960" s="2">
        <v>45886</v>
      </c>
      <c r="C1960" t="s">
        <v>55</v>
      </c>
      <c r="D1960" t="s">
        <v>56</v>
      </c>
      <c r="E1960" t="s">
        <v>21</v>
      </c>
      <c r="F1960" t="s">
        <v>57</v>
      </c>
      <c r="G1960" t="s">
        <v>120</v>
      </c>
      <c r="H1960" t="s">
        <v>121</v>
      </c>
      <c r="I1960">
        <v>3</v>
      </c>
      <c r="J1960" s="3">
        <v>25080.07</v>
      </c>
      <c r="K1960" s="3">
        <v>75240.210000000006</v>
      </c>
      <c r="L1960" t="s">
        <v>34</v>
      </c>
      <c r="M1960" s="2">
        <v>45893</v>
      </c>
      <c r="N1960" s="2">
        <v>45892</v>
      </c>
      <c r="O1960" t="s">
        <v>76</v>
      </c>
      <c r="P1960" t="s">
        <v>27</v>
      </c>
      <c r="Q1960" t="s">
        <v>28</v>
      </c>
      <c r="R1960" t="s">
        <v>29</v>
      </c>
      <c r="S1960">
        <v>2025</v>
      </c>
      <c r="T1960" t="s">
        <v>2761</v>
      </c>
      <c r="U1960" t="s">
        <v>2762</v>
      </c>
      <c r="V1960" s="4">
        <v>0</v>
      </c>
      <c r="W1960" s="4">
        <v>1</v>
      </c>
    </row>
    <row r="1961" spans="1:23">
      <c r="A1961" t="s">
        <v>2093</v>
      </c>
      <c r="B1961" s="2">
        <v>45828</v>
      </c>
      <c r="C1961" t="s">
        <v>104</v>
      </c>
      <c r="D1961" t="s">
        <v>105</v>
      </c>
      <c r="E1961" t="s">
        <v>112</v>
      </c>
      <c r="F1961" t="s">
        <v>49</v>
      </c>
      <c r="G1961" t="s">
        <v>165</v>
      </c>
      <c r="H1961" t="s">
        <v>166</v>
      </c>
      <c r="I1961">
        <v>2</v>
      </c>
      <c r="J1961" s="3">
        <v>46356.46</v>
      </c>
      <c r="K1961" s="3">
        <v>92712.92</v>
      </c>
      <c r="L1961" t="s">
        <v>25</v>
      </c>
      <c r="M1961" s="2">
        <v>45838</v>
      </c>
      <c r="N1961" s="2">
        <v>45851</v>
      </c>
      <c r="O1961" t="s">
        <v>43</v>
      </c>
      <c r="P1961" t="s">
        <v>115</v>
      </c>
      <c r="Q1961" t="s">
        <v>28</v>
      </c>
      <c r="R1961" t="s">
        <v>129</v>
      </c>
      <c r="S1961">
        <v>2025</v>
      </c>
      <c r="T1961" t="s">
        <v>2743</v>
      </c>
      <c r="U1961" t="s">
        <v>2756</v>
      </c>
      <c r="V1961" s="4">
        <v>13</v>
      </c>
      <c r="W1961" s="4">
        <v>0</v>
      </c>
    </row>
    <row r="1962" spans="1:23">
      <c r="A1962" t="s">
        <v>2094</v>
      </c>
      <c r="B1962" s="2">
        <v>45714</v>
      </c>
      <c r="C1962" t="s">
        <v>66</v>
      </c>
      <c r="D1962" t="s">
        <v>67</v>
      </c>
      <c r="E1962" t="s">
        <v>48</v>
      </c>
      <c r="F1962" t="s">
        <v>49</v>
      </c>
      <c r="G1962" t="s">
        <v>113</v>
      </c>
      <c r="H1962" t="s">
        <v>114</v>
      </c>
      <c r="I1962">
        <v>1</v>
      </c>
      <c r="J1962" s="3">
        <v>37525.06</v>
      </c>
      <c r="K1962" s="3">
        <v>37525.06</v>
      </c>
      <c r="L1962" t="s">
        <v>25</v>
      </c>
      <c r="M1962" s="2">
        <v>45721</v>
      </c>
      <c r="N1962" s="2">
        <v>45718</v>
      </c>
      <c r="O1962" t="s">
        <v>76</v>
      </c>
      <c r="P1962" t="s">
        <v>53</v>
      </c>
      <c r="Q1962" t="s">
        <v>28</v>
      </c>
      <c r="R1962" t="s">
        <v>29</v>
      </c>
      <c r="S1962">
        <v>2025</v>
      </c>
      <c r="T1962" t="s">
        <v>2751</v>
      </c>
      <c r="U1962" t="s">
        <v>2752</v>
      </c>
      <c r="V1962" s="4">
        <v>0</v>
      </c>
      <c r="W1962" s="4">
        <v>1</v>
      </c>
    </row>
    <row r="1963" spans="1:23">
      <c r="A1963" t="s">
        <v>2095</v>
      </c>
      <c r="B1963" s="2">
        <v>45948</v>
      </c>
      <c r="C1963" t="s">
        <v>46</v>
      </c>
      <c r="D1963" t="s">
        <v>47</v>
      </c>
      <c r="E1963" t="s">
        <v>21</v>
      </c>
      <c r="F1963" t="s">
        <v>49</v>
      </c>
      <c r="G1963" t="s">
        <v>68</v>
      </c>
      <c r="H1963" t="s">
        <v>69</v>
      </c>
      <c r="I1963">
        <v>1</v>
      </c>
      <c r="J1963" s="3">
        <v>52160.68</v>
      </c>
      <c r="K1963" s="3">
        <v>52160.68</v>
      </c>
      <c r="L1963" t="s">
        <v>34</v>
      </c>
      <c r="M1963" s="2">
        <v>45964</v>
      </c>
      <c r="N1963" s="2">
        <v>45962</v>
      </c>
      <c r="O1963" t="s">
        <v>76</v>
      </c>
      <c r="P1963" t="s">
        <v>27</v>
      </c>
      <c r="Q1963" t="s">
        <v>28</v>
      </c>
      <c r="R1963" t="s">
        <v>29</v>
      </c>
      <c r="S1963">
        <v>2025</v>
      </c>
      <c r="T1963" t="s">
        <v>2749</v>
      </c>
      <c r="U1963" t="s">
        <v>2750</v>
      </c>
      <c r="V1963" s="4">
        <v>0</v>
      </c>
      <c r="W1963" s="4">
        <v>1</v>
      </c>
    </row>
    <row r="1964" spans="1:23">
      <c r="A1964" t="s">
        <v>2096</v>
      </c>
      <c r="B1964" s="2">
        <v>45859</v>
      </c>
      <c r="C1964" t="s">
        <v>80</v>
      </c>
      <c r="D1964" t="s">
        <v>81</v>
      </c>
      <c r="E1964" t="s">
        <v>39</v>
      </c>
      <c r="F1964" t="s">
        <v>82</v>
      </c>
      <c r="G1964" t="s">
        <v>98</v>
      </c>
      <c r="H1964" t="s">
        <v>99</v>
      </c>
      <c r="I1964">
        <v>59</v>
      </c>
      <c r="J1964" s="3">
        <v>1076.05</v>
      </c>
      <c r="K1964" s="3">
        <v>63486.95</v>
      </c>
      <c r="L1964" t="s">
        <v>34</v>
      </c>
      <c r="M1964" s="2">
        <v>45867</v>
      </c>
      <c r="N1964" s="2">
        <v>45866</v>
      </c>
      <c r="O1964" t="s">
        <v>76</v>
      </c>
      <c r="P1964" t="s">
        <v>64</v>
      </c>
      <c r="Q1964" t="s">
        <v>28</v>
      </c>
      <c r="R1964" t="s">
        <v>29</v>
      </c>
      <c r="S1964">
        <v>2025</v>
      </c>
      <c r="T1964" t="s">
        <v>2759</v>
      </c>
      <c r="U1964" t="s">
        <v>2760</v>
      </c>
      <c r="V1964" s="4">
        <v>0</v>
      </c>
      <c r="W1964" s="4">
        <v>1</v>
      </c>
    </row>
    <row r="1965" spans="1:23">
      <c r="A1965" t="s">
        <v>2097</v>
      </c>
      <c r="B1965" s="2">
        <v>46183</v>
      </c>
      <c r="C1965" t="s">
        <v>104</v>
      </c>
      <c r="D1965" t="s">
        <v>105</v>
      </c>
      <c r="E1965" t="s">
        <v>48</v>
      </c>
      <c r="F1965" t="s">
        <v>49</v>
      </c>
      <c r="G1965" t="s">
        <v>68</v>
      </c>
      <c r="H1965" t="s">
        <v>69</v>
      </c>
      <c r="I1965">
        <v>3</v>
      </c>
      <c r="J1965" s="3">
        <v>49653.66</v>
      </c>
      <c r="K1965" s="3">
        <v>148960.98000000001</v>
      </c>
      <c r="L1965" t="s">
        <v>25</v>
      </c>
      <c r="M1965" s="2">
        <v>46189</v>
      </c>
      <c r="N1965" s="2">
        <v>46188</v>
      </c>
      <c r="O1965" t="s">
        <v>60</v>
      </c>
      <c r="P1965" t="s">
        <v>53</v>
      </c>
      <c r="Q1965" t="s">
        <v>28</v>
      </c>
      <c r="R1965" t="s">
        <v>29</v>
      </c>
      <c r="S1965">
        <v>2026</v>
      </c>
      <c r="T1965" t="s">
        <v>2743</v>
      </c>
      <c r="U1965" t="s">
        <v>2744</v>
      </c>
      <c r="V1965" s="4">
        <v>0</v>
      </c>
      <c r="W1965" s="4">
        <v>1</v>
      </c>
    </row>
    <row r="1966" spans="1:23">
      <c r="A1966" t="s">
        <v>2098</v>
      </c>
      <c r="B1966" s="2">
        <v>45941</v>
      </c>
      <c r="C1966" t="s">
        <v>142</v>
      </c>
      <c r="D1966" t="s">
        <v>143</v>
      </c>
      <c r="E1966" t="s">
        <v>31</v>
      </c>
      <c r="F1966" t="s">
        <v>22</v>
      </c>
      <c r="G1966" t="s">
        <v>23</v>
      </c>
      <c r="H1966" t="s">
        <v>24</v>
      </c>
      <c r="I1966">
        <v>32</v>
      </c>
      <c r="J1966" s="3">
        <v>256.94</v>
      </c>
      <c r="K1966" s="3">
        <v>8222.08</v>
      </c>
      <c r="L1966" t="s">
        <v>25</v>
      </c>
      <c r="M1966" s="2">
        <v>45950</v>
      </c>
      <c r="N1966" s="2">
        <v>45949</v>
      </c>
      <c r="O1966" t="s">
        <v>60</v>
      </c>
      <c r="P1966" t="s">
        <v>35</v>
      </c>
      <c r="Q1966" t="s">
        <v>28</v>
      </c>
      <c r="R1966" t="s">
        <v>29</v>
      </c>
      <c r="S1966">
        <v>2025</v>
      </c>
      <c r="T1966" t="s">
        <v>2749</v>
      </c>
      <c r="U1966" t="s">
        <v>2750</v>
      </c>
      <c r="V1966" s="4">
        <v>0</v>
      </c>
      <c r="W1966" s="4">
        <v>1</v>
      </c>
    </row>
    <row r="1967" spans="1:23">
      <c r="A1967" t="s">
        <v>2099</v>
      </c>
      <c r="B1967" s="2">
        <v>45680</v>
      </c>
      <c r="C1967" t="s">
        <v>89</v>
      </c>
      <c r="D1967" t="s">
        <v>90</v>
      </c>
      <c r="E1967" t="s">
        <v>31</v>
      </c>
      <c r="F1967" t="s">
        <v>91</v>
      </c>
      <c r="G1967" t="s">
        <v>109</v>
      </c>
      <c r="H1967" t="s">
        <v>110</v>
      </c>
      <c r="I1967">
        <v>1</v>
      </c>
      <c r="J1967" s="3">
        <v>12271.94</v>
      </c>
      <c r="K1967" s="3">
        <v>12271.94</v>
      </c>
      <c r="L1967" t="s">
        <v>25</v>
      </c>
      <c r="M1967" s="2">
        <v>45685</v>
      </c>
      <c r="N1967" s="2">
        <v>45685</v>
      </c>
      <c r="O1967" t="s">
        <v>26</v>
      </c>
      <c r="P1967" t="s">
        <v>94</v>
      </c>
      <c r="Q1967" t="s">
        <v>28</v>
      </c>
      <c r="R1967" t="s">
        <v>29</v>
      </c>
      <c r="S1967">
        <v>2025</v>
      </c>
      <c r="T1967" t="s">
        <v>2757</v>
      </c>
      <c r="U1967" t="s">
        <v>2768</v>
      </c>
      <c r="V1967" s="4">
        <v>0</v>
      </c>
      <c r="W1967" s="4">
        <v>1</v>
      </c>
    </row>
    <row r="1968" spans="1:23">
      <c r="A1968" t="s">
        <v>2100</v>
      </c>
      <c r="B1968" s="2">
        <v>45793</v>
      </c>
      <c r="C1968" t="s">
        <v>104</v>
      </c>
      <c r="D1968" t="s">
        <v>105</v>
      </c>
      <c r="E1968" t="s">
        <v>48</v>
      </c>
      <c r="F1968" t="s">
        <v>49</v>
      </c>
      <c r="G1968" t="s">
        <v>113</v>
      </c>
      <c r="H1968" t="s">
        <v>114</v>
      </c>
      <c r="I1968">
        <v>3</v>
      </c>
      <c r="J1968" s="3">
        <v>37699.21</v>
      </c>
      <c r="K1968" s="3">
        <v>113097.63</v>
      </c>
      <c r="L1968" t="s">
        <v>34</v>
      </c>
      <c r="M1968" s="2">
        <v>45811</v>
      </c>
      <c r="N1968" s="2">
        <v>45809</v>
      </c>
      <c r="O1968" t="s">
        <v>43</v>
      </c>
      <c r="P1968" t="s">
        <v>53</v>
      </c>
      <c r="Q1968" t="s">
        <v>28</v>
      </c>
      <c r="R1968" t="s">
        <v>29</v>
      </c>
      <c r="S1968">
        <v>2025</v>
      </c>
      <c r="T1968" t="s">
        <v>2766</v>
      </c>
      <c r="U1968" t="s">
        <v>2767</v>
      </c>
      <c r="V1968" s="4">
        <v>0</v>
      </c>
      <c r="W1968" s="4">
        <v>1</v>
      </c>
    </row>
    <row r="1969" spans="1:23">
      <c r="A1969" t="s">
        <v>2101</v>
      </c>
      <c r="B1969" s="2">
        <v>45813</v>
      </c>
      <c r="C1969" t="s">
        <v>142</v>
      </c>
      <c r="D1969" t="s">
        <v>143</v>
      </c>
      <c r="E1969" t="s">
        <v>31</v>
      </c>
      <c r="F1969" t="s">
        <v>22</v>
      </c>
      <c r="G1969" t="s">
        <v>32</v>
      </c>
      <c r="H1969" t="s">
        <v>33</v>
      </c>
      <c r="I1969">
        <v>5</v>
      </c>
      <c r="J1969" s="3">
        <v>7727.3</v>
      </c>
      <c r="K1969" s="3">
        <v>38636.5</v>
      </c>
      <c r="L1969" t="s">
        <v>25</v>
      </c>
      <c r="M1969" s="2">
        <v>45819</v>
      </c>
      <c r="N1969" s="2">
        <v>45830</v>
      </c>
      <c r="O1969" t="s">
        <v>76</v>
      </c>
      <c r="P1969" t="s">
        <v>94</v>
      </c>
      <c r="Q1969" t="s">
        <v>28</v>
      </c>
      <c r="R1969" t="s">
        <v>129</v>
      </c>
      <c r="S1969">
        <v>2025</v>
      </c>
      <c r="T1969" t="s">
        <v>2743</v>
      </c>
      <c r="U1969" t="s">
        <v>2756</v>
      </c>
      <c r="V1969" s="4">
        <v>11</v>
      </c>
      <c r="W1969" s="4">
        <v>0</v>
      </c>
    </row>
    <row r="1970" spans="1:23">
      <c r="A1970" t="s">
        <v>2102</v>
      </c>
      <c r="B1970" s="2">
        <v>45792</v>
      </c>
      <c r="C1970" t="s">
        <v>107</v>
      </c>
      <c r="D1970" t="s">
        <v>108</v>
      </c>
      <c r="E1970" t="s">
        <v>31</v>
      </c>
      <c r="F1970" t="s">
        <v>91</v>
      </c>
      <c r="G1970" t="s">
        <v>109</v>
      </c>
      <c r="H1970" t="s">
        <v>110</v>
      </c>
      <c r="I1970">
        <v>1</v>
      </c>
      <c r="J1970" s="3">
        <v>13293.27</v>
      </c>
      <c r="K1970" s="3">
        <v>13293.27</v>
      </c>
      <c r="L1970" t="s">
        <v>52</v>
      </c>
      <c r="M1970" s="2">
        <v>45810</v>
      </c>
      <c r="N1970" s="2">
        <v>45808</v>
      </c>
      <c r="O1970" t="s">
        <v>76</v>
      </c>
      <c r="P1970" t="s">
        <v>94</v>
      </c>
      <c r="Q1970" t="s">
        <v>28</v>
      </c>
      <c r="R1970" t="s">
        <v>29</v>
      </c>
      <c r="S1970">
        <v>2025</v>
      </c>
      <c r="T1970" t="s">
        <v>2766</v>
      </c>
      <c r="U1970" t="s">
        <v>2767</v>
      </c>
      <c r="V1970" s="4">
        <v>0</v>
      </c>
      <c r="W1970" s="4">
        <v>1</v>
      </c>
    </row>
    <row r="1971" spans="1:23">
      <c r="A1971" t="s">
        <v>2103</v>
      </c>
      <c r="B1971" s="2">
        <v>45975</v>
      </c>
      <c r="C1971" t="s">
        <v>19</v>
      </c>
      <c r="D1971" t="s">
        <v>20</v>
      </c>
      <c r="E1971" t="s">
        <v>21</v>
      </c>
      <c r="F1971" t="s">
        <v>22</v>
      </c>
      <c r="G1971" t="s">
        <v>32</v>
      </c>
      <c r="H1971" t="s">
        <v>33</v>
      </c>
      <c r="I1971">
        <v>6</v>
      </c>
      <c r="J1971" s="3">
        <v>7270.98</v>
      </c>
      <c r="K1971" s="3">
        <v>43625.88</v>
      </c>
      <c r="L1971" t="s">
        <v>25</v>
      </c>
      <c r="M1971" s="2">
        <v>45991</v>
      </c>
      <c r="N1971" s="2">
        <v>45989</v>
      </c>
      <c r="O1971" t="s">
        <v>43</v>
      </c>
      <c r="P1971" t="s">
        <v>27</v>
      </c>
      <c r="Q1971" t="s">
        <v>28</v>
      </c>
      <c r="R1971" t="s">
        <v>29</v>
      </c>
      <c r="S1971">
        <v>2025</v>
      </c>
      <c r="T1971" t="s">
        <v>2763</v>
      </c>
      <c r="U1971" t="s">
        <v>2764</v>
      </c>
      <c r="V1971" s="4">
        <v>0</v>
      </c>
      <c r="W1971" s="4">
        <v>1</v>
      </c>
    </row>
    <row r="1972" spans="1:23">
      <c r="A1972" t="s">
        <v>2104</v>
      </c>
      <c r="B1972" s="2">
        <v>46100</v>
      </c>
      <c r="C1972" t="s">
        <v>80</v>
      </c>
      <c r="D1972" t="s">
        <v>81</v>
      </c>
      <c r="E1972" t="s">
        <v>39</v>
      </c>
      <c r="F1972" t="s">
        <v>82</v>
      </c>
      <c r="G1972" t="s">
        <v>197</v>
      </c>
      <c r="H1972" t="s">
        <v>198</v>
      </c>
      <c r="I1972">
        <v>31</v>
      </c>
      <c r="J1972" s="3">
        <v>2091.2800000000002</v>
      </c>
      <c r="K1972" s="3">
        <v>64829.68</v>
      </c>
      <c r="L1972" t="s">
        <v>25</v>
      </c>
      <c r="M1972" s="2">
        <v>46108</v>
      </c>
      <c r="N1972" s="2">
        <v>46122</v>
      </c>
      <c r="O1972" t="s">
        <v>60</v>
      </c>
      <c r="P1972" t="s">
        <v>64</v>
      </c>
      <c r="Q1972" t="s">
        <v>28</v>
      </c>
      <c r="R1972" t="s">
        <v>129</v>
      </c>
      <c r="S1972">
        <v>2026</v>
      </c>
      <c r="T1972" t="s">
        <v>2747</v>
      </c>
      <c r="U1972" t="s">
        <v>2755</v>
      </c>
      <c r="V1972" s="4">
        <v>14</v>
      </c>
      <c r="W1972" s="4">
        <v>0</v>
      </c>
    </row>
    <row r="1973" spans="1:23">
      <c r="A1973" t="s">
        <v>2105</v>
      </c>
      <c r="B1973" s="2">
        <v>45734</v>
      </c>
      <c r="C1973" t="s">
        <v>66</v>
      </c>
      <c r="D1973" t="s">
        <v>67</v>
      </c>
      <c r="E1973" t="s">
        <v>112</v>
      </c>
      <c r="F1973" t="s">
        <v>49</v>
      </c>
      <c r="G1973" t="s">
        <v>165</v>
      </c>
      <c r="H1973" t="s">
        <v>166</v>
      </c>
      <c r="I1973">
        <v>1</v>
      </c>
      <c r="J1973" s="3">
        <v>44717.27</v>
      </c>
      <c r="K1973" s="3">
        <v>44717.27</v>
      </c>
      <c r="L1973" t="s">
        <v>25</v>
      </c>
      <c r="M1973" s="2">
        <v>45744</v>
      </c>
      <c r="N1973" s="2">
        <v>45744</v>
      </c>
      <c r="O1973" t="s">
        <v>43</v>
      </c>
      <c r="P1973" t="s">
        <v>115</v>
      </c>
      <c r="Q1973" t="s">
        <v>28</v>
      </c>
      <c r="R1973" t="s">
        <v>29</v>
      </c>
      <c r="S1973">
        <v>2025</v>
      </c>
      <c r="T1973" t="s">
        <v>2747</v>
      </c>
      <c r="U1973" t="s">
        <v>2748</v>
      </c>
      <c r="V1973" s="4">
        <v>0</v>
      </c>
      <c r="W1973" s="4">
        <v>1</v>
      </c>
    </row>
    <row r="1974" spans="1:23">
      <c r="A1974" t="s">
        <v>2106</v>
      </c>
      <c r="B1974" s="2">
        <v>45700</v>
      </c>
      <c r="C1974" t="s">
        <v>80</v>
      </c>
      <c r="D1974" t="s">
        <v>81</v>
      </c>
      <c r="E1974" t="s">
        <v>39</v>
      </c>
      <c r="F1974" t="s">
        <v>82</v>
      </c>
      <c r="G1974" t="s">
        <v>197</v>
      </c>
      <c r="H1974" t="s">
        <v>198</v>
      </c>
      <c r="I1974">
        <v>27</v>
      </c>
      <c r="J1974" s="3">
        <v>2005.15</v>
      </c>
      <c r="K1974" s="3">
        <v>54139.05</v>
      </c>
      <c r="L1974" t="s">
        <v>25</v>
      </c>
      <c r="M1974" s="2">
        <v>45715</v>
      </c>
      <c r="N1974" s="2">
        <v>45712</v>
      </c>
      <c r="O1974" t="s">
        <v>43</v>
      </c>
      <c r="P1974" t="s">
        <v>44</v>
      </c>
      <c r="Q1974" t="s">
        <v>28</v>
      </c>
      <c r="R1974" t="s">
        <v>29</v>
      </c>
      <c r="S1974">
        <v>2025</v>
      </c>
      <c r="T1974" t="s">
        <v>2751</v>
      </c>
      <c r="U1974" t="s">
        <v>2752</v>
      </c>
      <c r="V1974" s="4">
        <v>0</v>
      </c>
      <c r="W1974" s="4">
        <v>1</v>
      </c>
    </row>
    <row r="1975" spans="1:23">
      <c r="A1975" t="s">
        <v>2107</v>
      </c>
      <c r="B1975" s="2">
        <v>46090</v>
      </c>
      <c r="C1975" t="s">
        <v>19</v>
      </c>
      <c r="D1975" t="s">
        <v>20</v>
      </c>
      <c r="E1975" t="s">
        <v>112</v>
      </c>
      <c r="F1975" t="s">
        <v>22</v>
      </c>
      <c r="G1975" t="s">
        <v>32</v>
      </c>
      <c r="H1975" t="s">
        <v>33</v>
      </c>
      <c r="I1975">
        <v>1</v>
      </c>
      <c r="J1975" s="3">
        <v>7407.93</v>
      </c>
      <c r="K1975" s="3">
        <v>7407.93</v>
      </c>
      <c r="L1975" t="s">
        <v>34</v>
      </c>
      <c r="M1975" s="2">
        <v>46096</v>
      </c>
      <c r="N1975" s="2">
        <v>46093</v>
      </c>
      <c r="O1975" t="s">
        <v>43</v>
      </c>
      <c r="P1975" t="s">
        <v>115</v>
      </c>
      <c r="Q1975" t="s">
        <v>28</v>
      </c>
      <c r="R1975" t="s">
        <v>29</v>
      </c>
      <c r="S1975">
        <v>2026</v>
      </c>
      <c r="T1975" t="s">
        <v>2747</v>
      </c>
      <c r="U1975" t="s">
        <v>2755</v>
      </c>
      <c r="V1975" s="4">
        <v>0</v>
      </c>
      <c r="W1975" s="4">
        <v>1</v>
      </c>
    </row>
    <row r="1976" spans="1:23">
      <c r="A1976" t="s">
        <v>2108</v>
      </c>
      <c r="B1976" s="2">
        <v>45810</v>
      </c>
      <c r="C1976" t="s">
        <v>142</v>
      </c>
      <c r="D1976" t="s">
        <v>143</v>
      </c>
      <c r="E1976" t="s">
        <v>31</v>
      </c>
      <c r="F1976" t="s">
        <v>22</v>
      </c>
      <c r="G1976" t="s">
        <v>32</v>
      </c>
      <c r="H1976" t="s">
        <v>33</v>
      </c>
      <c r="I1976">
        <v>1</v>
      </c>
      <c r="J1976" s="3">
        <v>7904.92</v>
      </c>
      <c r="K1976" s="3">
        <v>7904.92</v>
      </c>
      <c r="L1976" t="s">
        <v>34</v>
      </c>
      <c r="M1976" s="2">
        <v>45819</v>
      </c>
      <c r="N1976" s="2">
        <v>45816</v>
      </c>
      <c r="O1976" t="s">
        <v>60</v>
      </c>
      <c r="P1976" t="s">
        <v>94</v>
      </c>
      <c r="Q1976" t="s">
        <v>28</v>
      </c>
      <c r="R1976" t="s">
        <v>29</v>
      </c>
      <c r="S1976">
        <v>2025</v>
      </c>
      <c r="T1976" t="s">
        <v>2743</v>
      </c>
      <c r="U1976" t="s">
        <v>2756</v>
      </c>
      <c r="V1976" s="4">
        <v>0</v>
      </c>
      <c r="W1976" s="4">
        <v>1</v>
      </c>
    </row>
    <row r="1977" spans="1:23">
      <c r="A1977" t="s">
        <v>2109</v>
      </c>
      <c r="B1977" s="2">
        <v>46193</v>
      </c>
      <c r="C1977" t="s">
        <v>37</v>
      </c>
      <c r="D1977" t="s">
        <v>38</v>
      </c>
      <c r="E1977" t="s">
        <v>112</v>
      </c>
      <c r="F1977" t="s">
        <v>40</v>
      </c>
      <c r="G1977" t="s">
        <v>136</v>
      </c>
      <c r="H1977" t="s">
        <v>137</v>
      </c>
      <c r="I1977">
        <v>27</v>
      </c>
      <c r="J1977" s="3">
        <v>1824.74</v>
      </c>
      <c r="K1977" s="3">
        <v>49267.98</v>
      </c>
      <c r="L1977" t="s">
        <v>34</v>
      </c>
      <c r="M1977" s="2">
        <v>46204</v>
      </c>
      <c r="N1977" s="2">
        <v>46204</v>
      </c>
      <c r="O1977" t="s">
        <v>60</v>
      </c>
      <c r="P1977" t="s">
        <v>115</v>
      </c>
      <c r="Q1977" t="s">
        <v>28</v>
      </c>
      <c r="R1977" t="s">
        <v>29</v>
      </c>
      <c r="S1977">
        <v>2026</v>
      </c>
      <c r="T1977" t="s">
        <v>2743</v>
      </c>
      <c r="U1977" t="s">
        <v>2744</v>
      </c>
      <c r="V1977" s="4">
        <v>0</v>
      </c>
      <c r="W1977" s="4">
        <v>1</v>
      </c>
    </row>
    <row r="1978" spans="1:23">
      <c r="A1978" t="s">
        <v>2110</v>
      </c>
      <c r="B1978" s="2">
        <v>45822</v>
      </c>
      <c r="C1978" t="s">
        <v>142</v>
      </c>
      <c r="D1978" t="s">
        <v>143</v>
      </c>
      <c r="E1978" t="s">
        <v>39</v>
      </c>
      <c r="F1978" t="s">
        <v>22</v>
      </c>
      <c r="G1978" t="s">
        <v>23</v>
      </c>
      <c r="H1978" t="s">
        <v>24</v>
      </c>
      <c r="I1978">
        <v>36</v>
      </c>
      <c r="J1978" s="3">
        <v>238.64</v>
      </c>
      <c r="K1978" s="3">
        <v>8591.0400000000009</v>
      </c>
      <c r="L1978" t="s">
        <v>34</v>
      </c>
      <c r="M1978" s="2">
        <v>45829</v>
      </c>
      <c r="N1978" s="2">
        <v>45829</v>
      </c>
      <c r="O1978" t="s">
        <v>76</v>
      </c>
      <c r="P1978" t="s">
        <v>44</v>
      </c>
      <c r="Q1978" t="s">
        <v>28</v>
      </c>
      <c r="R1978" t="s">
        <v>29</v>
      </c>
      <c r="S1978">
        <v>2025</v>
      </c>
      <c r="T1978" t="s">
        <v>2743</v>
      </c>
      <c r="U1978" t="s">
        <v>2756</v>
      </c>
      <c r="V1978" s="4">
        <v>0</v>
      </c>
      <c r="W1978" s="4">
        <v>1</v>
      </c>
    </row>
    <row r="1979" spans="1:23">
      <c r="A1979" t="s">
        <v>2111</v>
      </c>
      <c r="B1979" s="2">
        <v>45816</v>
      </c>
      <c r="C1979" t="s">
        <v>104</v>
      </c>
      <c r="D1979" t="s">
        <v>105</v>
      </c>
      <c r="E1979" t="s">
        <v>73</v>
      </c>
      <c r="F1979" t="s">
        <v>49</v>
      </c>
      <c r="G1979" t="s">
        <v>68</v>
      </c>
      <c r="H1979" t="s">
        <v>69</v>
      </c>
      <c r="I1979">
        <v>1</v>
      </c>
      <c r="J1979" s="3">
        <v>48093.599999999999</v>
      </c>
      <c r="K1979" s="3">
        <v>48093.599999999999</v>
      </c>
      <c r="L1979" t="s">
        <v>52</v>
      </c>
      <c r="M1979" s="2">
        <v>45832</v>
      </c>
      <c r="N1979" s="2">
        <v>45832</v>
      </c>
      <c r="O1979" t="s">
        <v>26</v>
      </c>
      <c r="P1979" t="s">
        <v>77</v>
      </c>
      <c r="Q1979" t="s">
        <v>28</v>
      </c>
      <c r="R1979" t="s">
        <v>29</v>
      </c>
      <c r="S1979">
        <v>2025</v>
      </c>
      <c r="T1979" t="s">
        <v>2743</v>
      </c>
      <c r="U1979" t="s">
        <v>2756</v>
      </c>
      <c r="V1979" s="4">
        <v>0</v>
      </c>
      <c r="W1979" s="4">
        <v>1</v>
      </c>
    </row>
    <row r="1980" spans="1:23">
      <c r="A1980" t="s">
        <v>2112</v>
      </c>
      <c r="B1980" s="2">
        <v>46067</v>
      </c>
      <c r="C1980" t="s">
        <v>104</v>
      </c>
      <c r="D1980" t="s">
        <v>105</v>
      </c>
      <c r="E1980" t="s">
        <v>112</v>
      </c>
      <c r="F1980" t="s">
        <v>49</v>
      </c>
      <c r="G1980" t="s">
        <v>165</v>
      </c>
      <c r="H1980" t="s">
        <v>166</v>
      </c>
      <c r="I1980">
        <v>1</v>
      </c>
      <c r="J1980" s="3">
        <v>44233.98</v>
      </c>
      <c r="K1980" s="3">
        <v>44233.98</v>
      </c>
      <c r="L1980" t="s">
        <v>25</v>
      </c>
      <c r="M1980" s="2">
        <v>46081</v>
      </c>
      <c r="N1980" s="2">
        <v>46078</v>
      </c>
      <c r="O1980" t="s">
        <v>43</v>
      </c>
      <c r="P1980" t="s">
        <v>115</v>
      </c>
      <c r="Q1980" t="s">
        <v>28</v>
      </c>
      <c r="R1980" t="s">
        <v>29</v>
      </c>
      <c r="S1980">
        <v>2026</v>
      </c>
      <c r="T1980" t="s">
        <v>2751</v>
      </c>
      <c r="U1980" t="s">
        <v>2765</v>
      </c>
      <c r="V1980" s="4">
        <v>0</v>
      </c>
      <c r="W1980" s="4">
        <v>1</v>
      </c>
    </row>
    <row r="1981" spans="1:23">
      <c r="A1981" t="s">
        <v>2113</v>
      </c>
      <c r="B1981" s="2">
        <v>46054</v>
      </c>
      <c r="C1981" t="s">
        <v>71</v>
      </c>
      <c r="D1981" t="s">
        <v>72</v>
      </c>
      <c r="E1981" t="s">
        <v>31</v>
      </c>
      <c r="F1981" t="s">
        <v>57</v>
      </c>
      <c r="G1981" t="s">
        <v>74</v>
      </c>
      <c r="H1981" t="s">
        <v>75</v>
      </c>
      <c r="I1981">
        <v>8</v>
      </c>
      <c r="J1981" s="3">
        <v>8302.2000000000007</v>
      </c>
      <c r="K1981" s="3">
        <v>66417.600000000006</v>
      </c>
      <c r="L1981" t="s">
        <v>25</v>
      </c>
      <c r="M1981" s="2">
        <v>46064</v>
      </c>
      <c r="N1981" s="2">
        <v>46074</v>
      </c>
      <c r="O1981" t="s">
        <v>60</v>
      </c>
      <c r="P1981" t="s">
        <v>94</v>
      </c>
      <c r="Q1981" t="s">
        <v>28</v>
      </c>
      <c r="R1981" t="s">
        <v>129</v>
      </c>
      <c r="S1981">
        <v>2026</v>
      </c>
      <c r="T1981" t="s">
        <v>2751</v>
      </c>
      <c r="U1981" t="s">
        <v>2765</v>
      </c>
      <c r="V1981" s="4">
        <v>10</v>
      </c>
      <c r="W1981" s="4">
        <v>0</v>
      </c>
    </row>
    <row r="1982" spans="1:23">
      <c r="A1982" t="s">
        <v>2114</v>
      </c>
      <c r="B1982" s="2">
        <v>45744</v>
      </c>
      <c r="C1982" t="s">
        <v>19</v>
      </c>
      <c r="D1982" t="s">
        <v>20</v>
      </c>
      <c r="E1982" t="s">
        <v>21</v>
      </c>
      <c r="F1982" t="s">
        <v>22</v>
      </c>
      <c r="G1982" t="s">
        <v>160</v>
      </c>
      <c r="H1982" t="s">
        <v>161</v>
      </c>
      <c r="I1982">
        <v>14</v>
      </c>
      <c r="J1982" s="3">
        <v>3022.09</v>
      </c>
      <c r="K1982" s="3">
        <v>42309.26</v>
      </c>
      <c r="L1982" t="s">
        <v>25</v>
      </c>
      <c r="M1982" s="2">
        <v>45755</v>
      </c>
      <c r="N1982" s="2">
        <v>45761</v>
      </c>
      <c r="O1982" t="s">
        <v>43</v>
      </c>
      <c r="P1982" t="s">
        <v>27</v>
      </c>
      <c r="Q1982" t="s">
        <v>28</v>
      </c>
      <c r="R1982" t="s">
        <v>129</v>
      </c>
      <c r="S1982">
        <v>2025</v>
      </c>
      <c r="T1982" t="s">
        <v>2747</v>
      </c>
      <c r="U1982" t="s">
        <v>2748</v>
      </c>
      <c r="V1982" s="4">
        <v>6</v>
      </c>
      <c r="W1982" s="4">
        <v>0</v>
      </c>
    </row>
    <row r="1983" spans="1:23">
      <c r="A1983" t="s">
        <v>2115</v>
      </c>
      <c r="B1983" s="2">
        <v>46107</v>
      </c>
      <c r="C1983" t="s">
        <v>142</v>
      </c>
      <c r="D1983" t="s">
        <v>143</v>
      </c>
      <c r="E1983" t="s">
        <v>112</v>
      </c>
      <c r="F1983" t="s">
        <v>22</v>
      </c>
      <c r="G1983" t="s">
        <v>32</v>
      </c>
      <c r="H1983" t="s">
        <v>33</v>
      </c>
      <c r="I1983">
        <v>14</v>
      </c>
      <c r="J1983" s="3">
        <v>8197.34</v>
      </c>
      <c r="K1983" s="3">
        <v>114762.76</v>
      </c>
      <c r="L1983" t="s">
        <v>25</v>
      </c>
      <c r="M1983" s="2">
        <v>46117</v>
      </c>
      <c r="N1983" s="2">
        <v>46116</v>
      </c>
      <c r="O1983" t="s">
        <v>60</v>
      </c>
      <c r="P1983" t="s">
        <v>115</v>
      </c>
      <c r="Q1983" t="s">
        <v>28</v>
      </c>
      <c r="R1983" t="s">
        <v>29</v>
      </c>
      <c r="S1983">
        <v>2026</v>
      </c>
      <c r="T1983" t="s">
        <v>2747</v>
      </c>
      <c r="U1983" t="s">
        <v>2755</v>
      </c>
      <c r="V1983" s="4">
        <v>0</v>
      </c>
      <c r="W1983" s="4">
        <v>1</v>
      </c>
    </row>
    <row r="1984" spans="1:23">
      <c r="A1984" t="s">
        <v>2116</v>
      </c>
      <c r="B1984" s="2">
        <v>45759</v>
      </c>
      <c r="C1984" t="s">
        <v>46</v>
      </c>
      <c r="D1984" t="s">
        <v>47</v>
      </c>
      <c r="E1984" t="s">
        <v>48</v>
      </c>
      <c r="F1984" t="s">
        <v>49</v>
      </c>
      <c r="G1984" t="s">
        <v>113</v>
      </c>
      <c r="H1984" t="s">
        <v>114</v>
      </c>
      <c r="I1984">
        <v>2</v>
      </c>
      <c r="J1984" s="3">
        <v>39252.050000000003</v>
      </c>
      <c r="K1984" s="3">
        <v>78504.100000000006</v>
      </c>
      <c r="L1984" t="s">
        <v>34</v>
      </c>
      <c r="M1984" s="2">
        <v>45765</v>
      </c>
      <c r="N1984" s="2">
        <v>45762</v>
      </c>
      <c r="O1984" t="s">
        <v>43</v>
      </c>
      <c r="P1984" t="s">
        <v>53</v>
      </c>
      <c r="Q1984" t="s">
        <v>28</v>
      </c>
      <c r="R1984" t="s">
        <v>29</v>
      </c>
      <c r="S1984">
        <v>2025</v>
      </c>
      <c r="T1984" t="s">
        <v>2741</v>
      </c>
      <c r="U1984" t="s">
        <v>2742</v>
      </c>
      <c r="V1984" s="4">
        <v>0</v>
      </c>
      <c r="W1984" s="4">
        <v>1</v>
      </c>
    </row>
    <row r="1985" spans="1:23">
      <c r="A1985" t="s">
        <v>2117</v>
      </c>
      <c r="B1985" s="2">
        <v>45805</v>
      </c>
      <c r="C1985" t="s">
        <v>134</v>
      </c>
      <c r="D1985" t="s">
        <v>135</v>
      </c>
      <c r="E1985" t="s">
        <v>39</v>
      </c>
      <c r="F1985" t="s">
        <v>40</v>
      </c>
      <c r="G1985" t="s">
        <v>136</v>
      </c>
      <c r="H1985" t="s">
        <v>137</v>
      </c>
      <c r="I1985">
        <v>8</v>
      </c>
      <c r="J1985" s="3">
        <v>1587.53</v>
      </c>
      <c r="K1985" s="3">
        <v>12700.24</v>
      </c>
      <c r="L1985" t="s">
        <v>25</v>
      </c>
      <c r="M1985" s="2">
        <v>45815</v>
      </c>
      <c r="N1985" s="2">
        <v>45815</v>
      </c>
      <c r="O1985" t="s">
        <v>43</v>
      </c>
      <c r="P1985" t="s">
        <v>64</v>
      </c>
      <c r="Q1985" t="s">
        <v>28</v>
      </c>
      <c r="R1985" t="s">
        <v>29</v>
      </c>
      <c r="S1985">
        <v>2025</v>
      </c>
      <c r="T1985" t="s">
        <v>2766</v>
      </c>
      <c r="U1985" t="s">
        <v>2767</v>
      </c>
      <c r="V1985" s="4">
        <v>0</v>
      </c>
      <c r="W1985" s="4">
        <v>1</v>
      </c>
    </row>
    <row r="1986" spans="1:23">
      <c r="A1986" t="s">
        <v>2118</v>
      </c>
      <c r="B1986" s="2">
        <v>46165</v>
      </c>
      <c r="C1986" t="s">
        <v>71</v>
      </c>
      <c r="D1986" t="s">
        <v>72</v>
      </c>
      <c r="E1986" t="s">
        <v>73</v>
      </c>
      <c r="F1986" t="s">
        <v>57</v>
      </c>
      <c r="G1986" t="s">
        <v>127</v>
      </c>
      <c r="H1986" t="s">
        <v>128</v>
      </c>
      <c r="I1986">
        <v>2</v>
      </c>
      <c r="J1986" s="3">
        <v>15102.82</v>
      </c>
      <c r="K1986" s="3">
        <v>30205.64</v>
      </c>
      <c r="L1986" t="s">
        <v>34</v>
      </c>
      <c r="M1986" s="2">
        <v>46176</v>
      </c>
      <c r="N1986" s="2">
        <v>46181</v>
      </c>
      <c r="O1986" t="s">
        <v>76</v>
      </c>
      <c r="P1986" t="s">
        <v>77</v>
      </c>
      <c r="Q1986" t="s">
        <v>28</v>
      </c>
      <c r="R1986" t="s">
        <v>129</v>
      </c>
      <c r="S1986">
        <v>2026</v>
      </c>
      <c r="T1986" t="s">
        <v>2766</v>
      </c>
      <c r="U1986" t="s">
        <v>2769</v>
      </c>
      <c r="V1986" s="4">
        <v>5</v>
      </c>
      <c r="W1986" s="4">
        <v>0</v>
      </c>
    </row>
    <row r="1987" spans="1:23">
      <c r="A1987" t="s">
        <v>2119</v>
      </c>
      <c r="B1987" s="2">
        <v>46196</v>
      </c>
      <c r="C1987" t="s">
        <v>71</v>
      </c>
      <c r="D1987" t="s">
        <v>72</v>
      </c>
      <c r="E1987" t="s">
        <v>48</v>
      </c>
      <c r="F1987" t="s">
        <v>57</v>
      </c>
      <c r="G1987" t="s">
        <v>101</v>
      </c>
      <c r="H1987" t="s">
        <v>102</v>
      </c>
      <c r="I1987">
        <v>25</v>
      </c>
      <c r="J1987" s="3">
        <v>1660.26</v>
      </c>
      <c r="K1987" s="3">
        <v>41506.5</v>
      </c>
      <c r="L1987" t="s">
        <v>25</v>
      </c>
      <c r="M1987" s="2">
        <v>46203</v>
      </c>
      <c r="N1987" s="2">
        <v>46202</v>
      </c>
      <c r="O1987" t="s">
        <v>76</v>
      </c>
      <c r="P1987" t="s">
        <v>53</v>
      </c>
      <c r="Q1987" t="s">
        <v>28</v>
      </c>
      <c r="R1987" t="s">
        <v>29</v>
      </c>
      <c r="S1987">
        <v>2026</v>
      </c>
      <c r="T1987" t="s">
        <v>2743</v>
      </c>
      <c r="U1987" t="s">
        <v>2744</v>
      </c>
      <c r="V1987" s="4">
        <v>0</v>
      </c>
      <c r="W1987" s="4">
        <v>1</v>
      </c>
    </row>
    <row r="1988" spans="1:23">
      <c r="A1988" t="s">
        <v>2120</v>
      </c>
      <c r="B1988" s="2">
        <v>46080</v>
      </c>
      <c r="C1988" t="s">
        <v>46</v>
      </c>
      <c r="D1988" t="s">
        <v>47</v>
      </c>
      <c r="E1988" t="s">
        <v>21</v>
      </c>
      <c r="F1988" t="s">
        <v>49</v>
      </c>
      <c r="G1988" t="s">
        <v>50</v>
      </c>
      <c r="H1988" t="s">
        <v>51</v>
      </c>
      <c r="I1988">
        <v>1</v>
      </c>
      <c r="J1988" s="3">
        <v>55378.39</v>
      </c>
      <c r="K1988" s="3">
        <v>55378.39</v>
      </c>
      <c r="L1988" t="s">
        <v>25</v>
      </c>
      <c r="M1988" s="2">
        <v>46090</v>
      </c>
      <c r="N1988" s="2">
        <v>46087</v>
      </c>
      <c r="O1988" t="s">
        <v>76</v>
      </c>
      <c r="P1988" t="s">
        <v>27</v>
      </c>
      <c r="Q1988" t="s">
        <v>28</v>
      </c>
      <c r="R1988" t="s">
        <v>29</v>
      </c>
      <c r="S1988">
        <v>2026</v>
      </c>
      <c r="T1988" t="s">
        <v>2751</v>
      </c>
      <c r="U1988" t="s">
        <v>2765</v>
      </c>
      <c r="V1988" s="4">
        <v>0</v>
      </c>
      <c r="W1988" s="4">
        <v>1</v>
      </c>
    </row>
    <row r="1989" spans="1:23">
      <c r="A1989" t="s">
        <v>2121</v>
      </c>
      <c r="B1989" s="2">
        <v>46071</v>
      </c>
      <c r="C1989" t="s">
        <v>142</v>
      </c>
      <c r="D1989" t="s">
        <v>143</v>
      </c>
      <c r="E1989" t="s">
        <v>39</v>
      </c>
      <c r="F1989" t="s">
        <v>22</v>
      </c>
      <c r="G1989" t="s">
        <v>23</v>
      </c>
      <c r="H1989" t="s">
        <v>24</v>
      </c>
      <c r="I1989">
        <v>23</v>
      </c>
      <c r="J1989" s="3">
        <v>254.97</v>
      </c>
      <c r="K1989" s="3">
        <v>5864.31</v>
      </c>
      <c r="L1989" t="s">
        <v>25</v>
      </c>
      <c r="M1989" s="2">
        <v>46076</v>
      </c>
      <c r="N1989" s="2">
        <v>46073</v>
      </c>
      <c r="O1989" t="s">
        <v>43</v>
      </c>
      <c r="P1989" t="s">
        <v>64</v>
      </c>
      <c r="Q1989" t="s">
        <v>28</v>
      </c>
      <c r="R1989" t="s">
        <v>29</v>
      </c>
      <c r="S1989">
        <v>2026</v>
      </c>
      <c r="T1989" t="s">
        <v>2751</v>
      </c>
      <c r="U1989" t="s">
        <v>2765</v>
      </c>
      <c r="V1989" s="4">
        <v>0</v>
      </c>
      <c r="W1989" s="4">
        <v>1</v>
      </c>
    </row>
    <row r="1990" spans="1:23">
      <c r="A1990" t="s">
        <v>2122</v>
      </c>
      <c r="B1990" s="2">
        <v>46026</v>
      </c>
      <c r="C1990" t="s">
        <v>117</v>
      </c>
      <c r="D1990" t="s">
        <v>118</v>
      </c>
      <c r="E1990" t="s">
        <v>73</v>
      </c>
      <c r="F1990" t="s">
        <v>57</v>
      </c>
      <c r="G1990" t="s">
        <v>120</v>
      </c>
      <c r="H1990" t="s">
        <v>121</v>
      </c>
      <c r="I1990">
        <v>3</v>
      </c>
      <c r="J1990" s="3">
        <v>21688.720000000001</v>
      </c>
      <c r="K1990" s="3">
        <v>65066.16</v>
      </c>
      <c r="L1990" t="s">
        <v>25</v>
      </c>
      <c r="M1990" s="2">
        <v>46043</v>
      </c>
      <c r="N1990" s="2">
        <v>46043</v>
      </c>
      <c r="O1990" t="s">
        <v>60</v>
      </c>
      <c r="P1990" t="s">
        <v>77</v>
      </c>
      <c r="Q1990" t="s">
        <v>28</v>
      </c>
      <c r="R1990" t="s">
        <v>29</v>
      </c>
      <c r="S1990">
        <v>2026</v>
      </c>
      <c r="T1990" t="s">
        <v>2757</v>
      </c>
      <c r="U1990" t="s">
        <v>2758</v>
      </c>
      <c r="V1990" s="4">
        <v>0</v>
      </c>
      <c r="W1990" s="4">
        <v>1</v>
      </c>
    </row>
    <row r="1991" spans="1:23">
      <c r="A1991" t="s">
        <v>2123</v>
      </c>
      <c r="B1991" s="2">
        <v>46099</v>
      </c>
      <c r="C1991" t="s">
        <v>89</v>
      </c>
      <c r="D1991" t="s">
        <v>90</v>
      </c>
      <c r="E1991" t="s">
        <v>31</v>
      </c>
      <c r="F1991" t="s">
        <v>91</v>
      </c>
      <c r="G1991" t="s">
        <v>92</v>
      </c>
      <c r="H1991" t="s">
        <v>93</v>
      </c>
      <c r="I1991">
        <v>3</v>
      </c>
      <c r="J1991" s="3">
        <v>40800.400000000001</v>
      </c>
      <c r="K1991" s="3">
        <v>122401.2</v>
      </c>
      <c r="L1991" t="s">
        <v>25</v>
      </c>
      <c r="M1991" s="2">
        <v>46112</v>
      </c>
      <c r="N1991" s="2">
        <v>46110</v>
      </c>
      <c r="O1991" t="s">
        <v>43</v>
      </c>
      <c r="P1991" t="s">
        <v>35</v>
      </c>
      <c r="Q1991" t="s">
        <v>28</v>
      </c>
      <c r="R1991" t="s">
        <v>29</v>
      </c>
      <c r="S1991">
        <v>2026</v>
      </c>
      <c r="T1991" t="s">
        <v>2747</v>
      </c>
      <c r="U1991" t="s">
        <v>2755</v>
      </c>
      <c r="V1991" s="4">
        <v>0</v>
      </c>
      <c r="W1991" s="4">
        <v>1</v>
      </c>
    </row>
    <row r="1992" spans="1:23">
      <c r="A1992" t="s">
        <v>2124</v>
      </c>
      <c r="B1992" s="2">
        <v>45856</v>
      </c>
      <c r="C1992" t="s">
        <v>46</v>
      </c>
      <c r="D1992" t="s">
        <v>47</v>
      </c>
      <c r="E1992" t="s">
        <v>21</v>
      </c>
      <c r="F1992" t="s">
        <v>49</v>
      </c>
      <c r="G1992" t="s">
        <v>68</v>
      </c>
      <c r="H1992" t="s">
        <v>69</v>
      </c>
      <c r="I1992">
        <v>1</v>
      </c>
      <c r="J1992" s="3">
        <v>52641.54</v>
      </c>
      <c r="K1992" s="3">
        <v>52641.54</v>
      </c>
      <c r="L1992" t="s">
        <v>25</v>
      </c>
      <c r="M1992" s="2">
        <v>45865</v>
      </c>
      <c r="N1992" s="2">
        <v>45865</v>
      </c>
      <c r="O1992" t="s">
        <v>76</v>
      </c>
      <c r="P1992" t="s">
        <v>27</v>
      </c>
      <c r="Q1992" t="s">
        <v>28</v>
      </c>
      <c r="R1992" t="s">
        <v>29</v>
      </c>
      <c r="S1992">
        <v>2025</v>
      </c>
      <c r="T1992" t="s">
        <v>2759</v>
      </c>
      <c r="U1992" t="s">
        <v>2760</v>
      </c>
      <c r="V1992" s="4">
        <v>0</v>
      </c>
      <c r="W1992" s="4">
        <v>1</v>
      </c>
    </row>
    <row r="1993" spans="1:23">
      <c r="A1993" t="s">
        <v>2125</v>
      </c>
      <c r="B1993" s="2">
        <v>45915</v>
      </c>
      <c r="C1993" t="s">
        <v>117</v>
      </c>
      <c r="D1993" t="s">
        <v>118</v>
      </c>
      <c r="E1993" t="s">
        <v>48</v>
      </c>
      <c r="F1993" t="s">
        <v>57</v>
      </c>
      <c r="G1993" t="s">
        <v>120</v>
      </c>
      <c r="H1993" t="s">
        <v>121</v>
      </c>
      <c r="I1993">
        <v>4</v>
      </c>
      <c r="J1993" s="3">
        <v>22891.15</v>
      </c>
      <c r="K1993" s="3">
        <v>91564.6</v>
      </c>
      <c r="L1993" t="s">
        <v>25</v>
      </c>
      <c r="M1993" s="2">
        <v>45927</v>
      </c>
      <c r="N1993" s="2">
        <v>45925</v>
      </c>
      <c r="O1993" t="s">
        <v>43</v>
      </c>
      <c r="P1993" t="s">
        <v>53</v>
      </c>
      <c r="Q1993" t="s">
        <v>28</v>
      </c>
      <c r="R1993" t="s">
        <v>29</v>
      </c>
      <c r="S1993">
        <v>2025</v>
      </c>
      <c r="T1993" t="s">
        <v>2753</v>
      </c>
      <c r="U1993" t="s">
        <v>2754</v>
      </c>
      <c r="V1993" s="4">
        <v>0</v>
      </c>
      <c r="W1993" s="4">
        <v>1</v>
      </c>
    </row>
    <row r="1994" spans="1:23">
      <c r="A1994" t="s">
        <v>2126</v>
      </c>
      <c r="B1994" s="2">
        <v>46203</v>
      </c>
      <c r="C1994" t="s">
        <v>80</v>
      </c>
      <c r="D1994" t="s">
        <v>81</v>
      </c>
      <c r="E1994" t="s">
        <v>39</v>
      </c>
      <c r="F1994" t="s">
        <v>82</v>
      </c>
      <c r="G1994" t="s">
        <v>98</v>
      </c>
      <c r="H1994" t="s">
        <v>99</v>
      </c>
      <c r="I1994">
        <v>21</v>
      </c>
      <c r="J1994" s="3">
        <v>1128.6600000000001</v>
      </c>
      <c r="K1994" s="3">
        <v>23701.86</v>
      </c>
      <c r="L1994" t="s">
        <v>34</v>
      </c>
      <c r="M1994" s="2">
        <v>46220</v>
      </c>
      <c r="N1994" s="2"/>
      <c r="O1994" t="s">
        <v>43</v>
      </c>
      <c r="P1994" t="s">
        <v>44</v>
      </c>
      <c r="Q1994" t="s">
        <v>167</v>
      </c>
      <c r="R1994" t="s">
        <v>167</v>
      </c>
      <c r="S1994">
        <v>2026</v>
      </c>
      <c r="T1994" t="s">
        <v>2743</v>
      </c>
      <c r="U1994" t="s">
        <v>2744</v>
      </c>
      <c r="V1994" s="4"/>
      <c r="W1994" s="4"/>
    </row>
    <row r="1995" spans="1:23">
      <c r="A1995" t="s">
        <v>2127</v>
      </c>
      <c r="B1995" s="2">
        <v>45745</v>
      </c>
      <c r="C1995" t="s">
        <v>19</v>
      </c>
      <c r="D1995" t="s">
        <v>20</v>
      </c>
      <c r="E1995" t="s">
        <v>73</v>
      </c>
      <c r="F1995" t="s">
        <v>22</v>
      </c>
      <c r="G1995" t="s">
        <v>32</v>
      </c>
      <c r="H1995" t="s">
        <v>33</v>
      </c>
      <c r="I1995">
        <v>14</v>
      </c>
      <c r="J1995" s="3">
        <v>7449.8</v>
      </c>
      <c r="K1995" s="3">
        <v>104297.2</v>
      </c>
      <c r="L1995" t="s">
        <v>34</v>
      </c>
      <c r="M1995" s="2">
        <v>45751</v>
      </c>
      <c r="N1995" s="2">
        <v>45750</v>
      </c>
      <c r="O1995" t="s">
        <v>60</v>
      </c>
      <c r="P1995" t="s">
        <v>77</v>
      </c>
      <c r="Q1995" t="s">
        <v>28</v>
      </c>
      <c r="R1995" t="s">
        <v>29</v>
      </c>
      <c r="S1995">
        <v>2025</v>
      </c>
      <c r="T1995" t="s">
        <v>2747</v>
      </c>
      <c r="U1995" t="s">
        <v>2748</v>
      </c>
      <c r="V1995" s="4">
        <v>0</v>
      </c>
      <c r="W1995" s="4">
        <v>1</v>
      </c>
    </row>
    <row r="1996" spans="1:23">
      <c r="A1996" t="s">
        <v>2128</v>
      </c>
      <c r="B1996" s="2">
        <v>45969</v>
      </c>
      <c r="C1996" t="s">
        <v>71</v>
      </c>
      <c r="D1996" t="s">
        <v>72</v>
      </c>
      <c r="E1996" t="s">
        <v>73</v>
      </c>
      <c r="F1996" t="s">
        <v>57</v>
      </c>
      <c r="G1996" t="s">
        <v>120</v>
      </c>
      <c r="H1996" t="s">
        <v>121</v>
      </c>
      <c r="I1996">
        <v>1</v>
      </c>
      <c r="J1996" s="3">
        <v>20189.41</v>
      </c>
      <c r="K1996" s="3">
        <v>20189.41</v>
      </c>
      <c r="L1996" t="s">
        <v>25</v>
      </c>
      <c r="M1996" s="2">
        <v>45977</v>
      </c>
      <c r="N1996" s="2">
        <v>45975</v>
      </c>
      <c r="O1996" t="s">
        <v>43</v>
      </c>
      <c r="P1996" t="s">
        <v>77</v>
      </c>
      <c r="Q1996" t="s">
        <v>28</v>
      </c>
      <c r="R1996" t="s">
        <v>29</v>
      </c>
      <c r="S1996">
        <v>2025</v>
      </c>
      <c r="T1996" t="s">
        <v>2763</v>
      </c>
      <c r="U1996" t="s">
        <v>2764</v>
      </c>
      <c r="V1996" s="4">
        <v>0</v>
      </c>
      <c r="W1996" s="4">
        <v>1</v>
      </c>
    </row>
    <row r="1997" spans="1:23">
      <c r="A1997" t="s">
        <v>2129</v>
      </c>
      <c r="B1997" s="2">
        <v>45764</v>
      </c>
      <c r="C1997" t="s">
        <v>147</v>
      </c>
      <c r="D1997" t="s">
        <v>148</v>
      </c>
      <c r="E1997" t="s">
        <v>112</v>
      </c>
      <c r="F1997" t="s">
        <v>40</v>
      </c>
      <c r="G1997" t="s">
        <v>41</v>
      </c>
      <c r="H1997" t="s">
        <v>42</v>
      </c>
      <c r="I1997">
        <v>6</v>
      </c>
      <c r="J1997" s="3">
        <v>5084.63</v>
      </c>
      <c r="K1997" s="3">
        <v>30507.78</v>
      </c>
      <c r="L1997" t="s">
        <v>34</v>
      </c>
      <c r="M1997" s="2">
        <v>45779</v>
      </c>
      <c r="N1997" s="2">
        <v>45794</v>
      </c>
      <c r="O1997" t="s">
        <v>43</v>
      </c>
      <c r="P1997" t="s">
        <v>115</v>
      </c>
      <c r="Q1997" t="s">
        <v>28</v>
      </c>
      <c r="R1997" t="s">
        <v>129</v>
      </c>
      <c r="S1997">
        <v>2025</v>
      </c>
      <c r="T1997" t="s">
        <v>2741</v>
      </c>
      <c r="U1997" t="s">
        <v>2742</v>
      </c>
      <c r="V1997" s="4">
        <v>15</v>
      </c>
      <c r="W1997" s="4">
        <v>0</v>
      </c>
    </row>
    <row r="1998" spans="1:23">
      <c r="A1998" t="s">
        <v>2130</v>
      </c>
      <c r="B1998" s="2">
        <v>45977</v>
      </c>
      <c r="C1998" t="s">
        <v>71</v>
      </c>
      <c r="D1998" t="s">
        <v>72</v>
      </c>
      <c r="E1998" t="s">
        <v>31</v>
      </c>
      <c r="F1998" t="s">
        <v>57</v>
      </c>
      <c r="G1998" t="s">
        <v>101</v>
      </c>
      <c r="H1998" t="s">
        <v>102</v>
      </c>
      <c r="I1998">
        <v>8</v>
      </c>
      <c r="J1998" s="3">
        <v>1657.81</v>
      </c>
      <c r="K1998" s="3">
        <v>13262.48</v>
      </c>
      <c r="L1998" t="s">
        <v>25</v>
      </c>
      <c r="M1998" s="2">
        <v>45994</v>
      </c>
      <c r="N1998" s="2">
        <v>45991</v>
      </c>
      <c r="O1998" t="s">
        <v>76</v>
      </c>
      <c r="P1998" t="s">
        <v>35</v>
      </c>
      <c r="Q1998" t="s">
        <v>28</v>
      </c>
      <c r="R1998" t="s">
        <v>29</v>
      </c>
      <c r="S1998">
        <v>2025</v>
      </c>
      <c r="T1998" t="s">
        <v>2763</v>
      </c>
      <c r="U1998" t="s">
        <v>2764</v>
      </c>
      <c r="V1998" s="4">
        <v>0</v>
      </c>
      <c r="W1998" s="4">
        <v>1</v>
      </c>
    </row>
    <row r="1999" spans="1:23">
      <c r="A1999" t="s">
        <v>2131</v>
      </c>
      <c r="B1999" s="2">
        <v>46197</v>
      </c>
      <c r="C1999" t="s">
        <v>37</v>
      </c>
      <c r="D1999" t="s">
        <v>38</v>
      </c>
      <c r="E1999" t="s">
        <v>39</v>
      </c>
      <c r="F1999" t="s">
        <v>22</v>
      </c>
      <c r="G1999" t="s">
        <v>160</v>
      </c>
      <c r="H1999" t="s">
        <v>161</v>
      </c>
      <c r="I1999">
        <v>15</v>
      </c>
      <c r="J1999" s="3">
        <v>3342.97</v>
      </c>
      <c r="K1999" s="3">
        <v>50144.55</v>
      </c>
      <c r="L1999" t="s">
        <v>34</v>
      </c>
      <c r="M1999" s="2">
        <v>46208</v>
      </c>
      <c r="N1999" s="2"/>
      <c r="O1999" t="s">
        <v>60</v>
      </c>
      <c r="P1999" t="s">
        <v>44</v>
      </c>
      <c r="Q1999" t="s">
        <v>167</v>
      </c>
      <c r="R1999" t="s">
        <v>167</v>
      </c>
      <c r="S1999">
        <v>2026</v>
      </c>
      <c r="T1999" t="s">
        <v>2743</v>
      </c>
      <c r="U1999" t="s">
        <v>2744</v>
      </c>
      <c r="V1999" s="4"/>
      <c r="W1999" s="4"/>
    </row>
    <row r="2000" spans="1:23">
      <c r="A2000" t="s">
        <v>2132</v>
      </c>
      <c r="B2000" s="2">
        <v>46141</v>
      </c>
      <c r="C2000" t="s">
        <v>104</v>
      </c>
      <c r="D2000" t="s">
        <v>105</v>
      </c>
      <c r="E2000" t="s">
        <v>48</v>
      </c>
      <c r="F2000" t="s">
        <v>49</v>
      </c>
      <c r="G2000" t="s">
        <v>165</v>
      </c>
      <c r="H2000" t="s">
        <v>166</v>
      </c>
      <c r="I2000">
        <v>2</v>
      </c>
      <c r="J2000" s="3">
        <v>44069.919999999998</v>
      </c>
      <c r="K2000" s="3">
        <v>88139.839999999997</v>
      </c>
      <c r="L2000" t="s">
        <v>25</v>
      </c>
      <c r="M2000" s="2">
        <v>46150</v>
      </c>
      <c r="N2000" s="2">
        <v>46147</v>
      </c>
      <c r="O2000" t="s">
        <v>26</v>
      </c>
      <c r="P2000" t="s">
        <v>53</v>
      </c>
      <c r="Q2000" t="s">
        <v>28</v>
      </c>
      <c r="R2000" t="s">
        <v>29</v>
      </c>
      <c r="S2000">
        <v>2026</v>
      </c>
      <c r="T2000" t="s">
        <v>2741</v>
      </c>
      <c r="U2000" t="s">
        <v>2770</v>
      </c>
      <c r="V2000" s="4">
        <v>0</v>
      </c>
      <c r="W2000" s="4">
        <v>1</v>
      </c>
    </row>
    <row r="2001" spans="1:23">
      <c r="A2001" t="s">
        <v>2133</v>
      </c>
      <c r="B2001" s="2">
        <v>45953</v>
      </c>
      <c r="C2001" t="s">
        <v>104</v>
      </c>
      <c r="D2001" t="s">
        <v>105</v>
      </c>
      <c r="E2001" t="s">
        <v>48</v>
      </c>
      <c r="F2001" t="s">
        <v>49</v>
      </c>
      <c r="G2001" t="s">
        <v>165</v>
      </c>
      <c r="H2001" t="s">
        <v>166</v>
      </c>
      <c r="I2001">
        <v>1</v>
      </c>
      <c r="J2001" s="3">
        <v>46575.5</v>
      </c>
      <c r="K2001" s="3">
        <v>46575.5</v>
      </c>
      <c r="L2001" t="s">
        <v>25</v>
      </c>
      <c r="M2001" s="2">
        <v>45961</v>
      </c>
      <c r="N2001" s="2">
        <v>45958</v>
      </c>
      <c r="O2001" t="s">
        <v>43</v>
      </c>
      <c r="P2001" t="s">
        <v>53</v>
      </c>
      <c r="Q2001" t="s">
        <v>28</v>
      </c>
      <c r="R2001" t="s">
        <v>29</v>
      </c>
      <c r="S2001">
        <v>2025</v>
      </c>
      <c r="T2001" t="s">
        <v>2749</v>
      </c>
      <c r="U2001" t="s">
        <v>2750</v>
      </c>
      <c r="V2001" s="4">
        <v>0</v>
      </c>
      <c r="W2001" s="4">
        <v>1</v>
      </c>
    </row>
    <row r="2002" spans="1:23">
      <c r="A2002" t="s">
        <v>2134</v>
      </c>
      <c r="B2002" s="2">
        <v>46014</v>
      </c>
      <c r="C2002" t="s">
        <v>19</v>
      </c>
      <c r="D2002" t="s">
        <v>20</v>
      </c>
      <c r="E2002" t="s">
        <v>112</v>
      </c>
      <c r="F2002" t="s">
        <v>22</v>
      </c>
      <c r="G2002" t="s">
        <v>23</v>
      </c>
      <c r="H2002" t="s">
        <v>24</v>
      </c>
      <c r="I2002">
        <v>6</v>
      </c>
      <c r="J2002" s="3">
        <v>232.65</v>
      </c>
      <c r="K2002" s="3">
        <v>1395.9</v>
      </c>
      <c r="L2002" t="s">
        <v>25</v>
      </c>
      <c r="M2002" s="2">
        <v>46027</v>
      </c>
      <c r="N2002" s="2">
        <v>46025</v>
      </c>
      <c r="O2002" t="s">
        <v>43</v>
      </c>
      <c r="P2002" t="s">
        <v>115</v>
      </c>
      <c r="Q2002" t="s">
        <v>28</v>
      </c>
      <c r="R2002" t="s">
        <v>29</v>
      </c>
      <c r="S2002">
        <v>2025</v>
      </c>
      <c r="T2002" t="s">
        <v>2745</v>
      </c>
      <c r="U2002" t="s">
        <v>2746</v>
      </c>
      <c r="V2002" s="4">
        <v>0</v>
      </c>
      <c r="W2002" s="4">
        <v>1</v>
      </c>
    </row>
    <row r="2003" spans="1:23">
      <c r="A2003" t="s">
        <v>2135</v>
      </c>
      <c r="B2003" s="2">
        <v>45987</v>
      </c>
      <c r="C2003" t="s">
        <v>37</v>
      </c>
      <c r="D2003" t="s">
        <v>38</v>
      </c>
      <c r="E2003" t="s">
        <v>39</v>
      </c>
      <c r="F2003" t="s">
        <v>40</v>
      </c>
      <c r="G2003" t="s">
        <v>41</v>
      </c>
      <c r="H2003" t="s">
        <v>42</v>
      </c>
      <c r="I2003">
        <v>9</v>
      </c>
      <c r="J2003" s="3">
        <v>5776.11</v>
      </c>
      <c r="K2003" s="3">
        <v>51984.99</v>
      </c>
      <c r="L2003" t="s">
        <v>52</v>
      </c>
      <c r="M2003" s="2">
        <v>45998</v>
      </c>
      <c r="N2003" s="2">
        <v>45996</v>
      </c>
      <c r="O2003" t="s">
        <v>60</v>
      </c>
      <c r="P2003" t="s">
        <v>44</v>
      </c>
      <c r="Q2003" t="s">
        <v>28</v>
      </c>
      <c r="R2003" t="s">
        <v>29</v>
      </c>
      <c r="S2003">
        <v>2025</v>
      </c>
      <c r="T2003" t="s">
        <v>2763</v>
      </c>
      <c r="U2003" t="s">
        <v>2764</v>
      </c>
      <c r="V2003" s="4">
        <v>0</v>
      </c>
      <c r="W2003" s="4">
        <v>1</v>
      </c>
    </row>
    <row r="2004" spans="1:23">
      <c r="A2004" t="s">
        <v>2136</v>
      </c>
      <c r="B2004" s="2">
        <v>46178</v>
      </c>
      <c r="C2004" t="s">
        <v>142</v>
      </c>
      <c r="D2004" t="s">
        <v>143</v>
      </c>
      <c r="E2004" t="s">
        <v>39</v>
      </c>
      <c r="F2004" t="s">
        <v>22</v>
      </c>
      <c r="G2004" t="s">
        <v>32</v>
      </c>
      <c r="H2004" t="s">
        <v>33</v>
      </c>
      <c r="I2004">
        <v>1</v>
      </c>
      <c r="J2004" s="3">
        <v>8055.3</v>
      </c>
      <c r="K2004" s="3">
        <v>8055.3</v>
      </c>
      <c r="L2004" t="s">
        <v>34</v>
      </c>
      <c r="M2004" s="2">
        <v>46183</v>
      </c>
      <c r="N2004" s="2">
        <v>46180</v>
      </c>
      <c r="O2004" t="s">
        <v>43</v>
      </c>
      <c r="P2004" t="s">
        <v>64</v>
      </c>
      <c r="Q2004" t="s">
        <v>28</v>
      </c>
      <c r="R2004" t="s">
        <v>29</v>
      </c>
      <c r="S2004">
        <v>2026</v>
      </c>
      <c r="T2004" t="s">
        <v>2743</v>
      </c>
      <c r="U2004" t="s">
        <v>2744</v>
      </c>
      <c r="V2004" s="4">
        <v>0</v>
      </c>
      <c r="W2004" s="4">
        <v>1</v>
      </c>
    </row>
    <row r="2005" spans="1:23">
      <c r="A2005" t="s">
        <v>2137</v>
      </c>
      <c r="B2005" s="2">
        <v>46113</v>
      </c>
      <c r="C2005" t="s">
        <v>19</v>
      </c>
      <c r="D2005" t="s">
        <v>20</v>
      </c>
      <c r="E2005" t="s">
        <v>112</v>
      </c>
      <c r="F2005" t="s">
        <v>22</v>
      </c>
      <c r="G2005" t="s">
        <v>32</v>
      </c>
      <c r="H2005" t="s">
        <v>33</v>
      </c>
      <c r="I2005">
        <v>5</v>
      </c>
      <c r="J2005" s="3">
        <v>7778.98</v>
      </c>
      <c r="K2005" s="3">
        <v>38894.9</v>
      </c>
      <c r="L2005" t="s">
        <v>34</v>
      </c>
      <c r="M2005" s="2">
        <v>46127</v>
      </c>
      <c r="N2005" s="2">
        <v>46132</v>
      </c>
      <c r="O2005" t="s">
        <v>43</v>
      </c>
      <c r="P2005" t="s">
        <v>115</v>
      </c>
      <c r="Q2005" t="s">
        <v>28</v>
      </c>
      <c r="R2005" t="s">
        <v>129</v>
      </c>
      <c r="S2005">
        <v>2026</v>
      </c>
      <c r="T2005" t="s">
        <v>2741</v>
      </c>
      <c r="U2005" t="s">
        <v>2770</v>
      </c>
      <c r="V2005" s="4">
        <v>5</v>
      </c>
      <c r="W2005" s="4">
        <v>0</v>
      </c>
    </row>
    <row r="2006" spans="1:23">
      <c r="A2006" t="s">
        <v>2138</v>
      </c>
      <c r="B2006" s="2">
        <v>46198</v>
      </c>
      <c r="C2006" t="s">
        <v>142</v>
      </c>
      <c r="D2006" t="s">
        <v>143</v>
      </c>
      <c r="E2006" t="s">
        <v>112</v>
      </c>
      <c r="F2006" t="s">
        <v>22</v>
      </c>
      <c r="G2006" t="s">
        <v>160</v>
      </c>
      <c r="H2006" t="s">
        <v>161</v>
      </c>
      <c r="I2006">
        <v>7</v>
      </c>
      <c r="J2006" s="3">
        <v>3416.84</v>
      </c>
      <c r="K2006" s="3">
        <v>23917.88</v>
      </c>
      <c r="L2006" t="s">
        <v>25</v>
      </c>
      <c r="M2006" s="2">
        <v>46216</v>
      </c>
      <c r="N2006" s="2"/>
      <c r="O2006" t="s">
        <v>43</v>
      </c>
      <c r="P2006" t="s">
        <v>115</v>
      </c>
      <c r="Q2006" t="s">
        <v>167</v>
      </c>
      <c r="R2006" t="s">
        <v>167</v>
      </c>
      <c r="S2006">
        <v>2026</v>
      </c>
      <c r="T2006" t="s">
        <v>2743</v>
      </c>
      <c r="U2006" t="s">
        <v>2744</v>
      </c>
      <c r="V2006" s="4"/>
      <c r="W2006" s="4"/>
    </row>
    <row r="2007" spans="1:23">
      <c r="A2007" t="s">
        <v>2139</v>
      </c>
      <c r="B2007" s="2">
        <v>45951</v>
      </c>
      <c r="C2007" t="s">
        <v>147</v>
      </c>
      <c r="D2007" t="s">
        <v>148</v>
      </c>
      <c r="E2007" t="s">
        <v>112</v>
      </c>
      <c r="F2007" t="s">
        <v>40</v>
      </c>
      <c r="G2007" t="s">
        <v>136</v>
      </c>
      <c r="H2007" t="s">
        <v>137</v>
      </c>
      <c r="I2007">
        <v>22</v>
      </c>
      <c r="J2007" s="3">
        <v>1580.92</v>
      </c>
      <c r="K2007" s="3">
        <v>34780.239999999998</v>
      </c>
      <c r="L2007" t="s">
        <v>34</v>
      </c>
      <c r="M2007" s="2">
        <v>45959</v>
      </c>
      <c r="N2007" s="2">
        <v>45957</v>
      </c>
      <c r="O2007" t="s">
        <v>60</v>
      </c>
      <c r="P2007" t="s">
        <v>115</v>
      </c>
      <c r="Q2007" t="s">
        <v>28</v>
      </c>
      <c r="R2007" t="s">
        <v>29</v>
      </c>
      <c r="S2007">
        <v>2025</v>
      </c>
      <c r="T2007" t="s">
        <v>2749</v>
      </c>
      <c r="U2007" t="s">
        <v>2750</v>
      </c>
      <c r="V2007" s="4">
        <v>0</v>
      </c>
      <c r="W2007" s="4">
        <v>1</v>
      </c>
    </row>
    <row r="2008" spans="1:23">
      <c r="A2008" t="s">
        <v>2140</v>
      </c>
      <c r="B2008" s="2">
        <v>45892</v>
      </c>
      <c r="C2008" t="s">
        <v>80</v>
      </c>
      <c r="D2008" t="s">
        <v>81</v>
      </c>
      <c r="E2008" t="s">
        <v>39</v>
      </c>
      <c r="F2008" t="s">
        <v>82</v>
      </c>
      <c r="G2008" t="s">
        <v>83</v>
      </c>
      <c r="H2008" t="s">
        <v>84</v>
      </c>
      <c r="I2008">
        <v>28</v>
      </c>
      <c r="J2008" s="3">
        <v>701.39</v>
      </c>
      <c r="K2008" s="3">
        <v>19638.919999999998</v>
      </c>
      <c r="L2008" t="s">
        <v>25</v>
      </c>
      <c r="M2008" s="2">
        <v>45900</v>
      </c>
      <c r="N2008" s="2">
        <v>45900</v>
      </c>
      <c r="O2008" t="s">
        <v>26</v>
      </c>
      <c r="P2008" t="s">
        <v>44</v>
      </c>
      <c r="Q2008" t="s">
        <v>28</v>
      </c>
      <c r="R2008" t="s">
        <v>29</v>
      </c>
      <c r="S2008">
        <v>2025</v>
      </c>
      <c r="T2008" t="s">
        <v>2761</v>
      </c>
      <c r="U2008" t="s">
        <v>2762</v>
      </c>
      <c r="V2008" s="4">
        <v>0</v>
      </c>
      <c r="W2008" s="4">
        <v>1</v>
      </c>
    </row>
    <row r="2009" spans="1:23">
      <c r="A2009" t="s">
        <v>2141</v>
      </c>
      <c r="B2009" s="2">
        <v>46125</v>
      </c>
      <c r="C2009" t="s">
        <v>37</v>
      </c>
      <c r="D2009" t="s">
        <v>38</v>
      </c>
      <c r="E2009" t="s">
        <v>112</v>
      </c>
      <c r="F2009" t="s">
        <v>22</v>
      </c>
      <c r="G2009" t="s">
        <v>32</v>
      </c>
      <c r="H2009" t="s">
        <v>33</v>
      </c>
      <c r="I2009">
        <v>12</v>
      </c>
      <c r="J2009" s="3">
        <v>9100.67</v>
      </c>
      <c r="K2009" s="3">
        <v>109208.04</v>
      </c>
      <c r="L2009" t="s">
        <v>34</v>
      </c>
      <c r="M2009" s="2">
        <v>46132</v>
      </c>
      <c r="N2009" s="2">
        <v>46129</v>
      </c>
      <c r="O2009" t="s">
        <v>26</v>
      </c>
      <c r="P2009" t="s">
        <v>115</v>
      </c>
      <c r="Q2009" t="s">
        <v>28</v>
      </c>
      <c r="R2009" t="s">
        <v>29</v>
      </c>
      <c r="S2009">
        <v>2026</v>
      </c>
      <c r="T2009" t="s">
        <v>2741</v>
      </c>
      <c r="U2009" t="s">
        <v>2770</v>
      </c>
      <c r="V2009" s="4">
        <v>0</v>
      </c>
      <c r="W2009" s="4">
        <v>1</v>
      </c>
    </row>
    <row r="2010" spans="1:23">
      <c r="A2010" t="s">
        <v>2142</v>
      </c>
      <c r="B2010" s="2">
        <v>46055</v>
      </c>
      <c r="C2010" t="s">
        <v>66</v>
      </c>
      <c r="D2010" t="s">
        <v>67</v>
      </c>
      <c r="E2010" t="s">
        <v>48</v>
      </c>
      <c r="F2010" t="s">
        <v>49</v>
      </c>
      <c r="G2010" t="s">
        <v>113</v>
      </c>
      <c r="H2010" t="s">
        <v>114</v>
      </c>
      <c r="I2010">
        <v>1</v>
      </c>
      <c r="J2010" s="3">
        <v>38566.85</v>
      </c>
      <c r="K2010" s="3">
        <v>38566.85</v>
      </c>
      <c r="L2010" t="s">
        <v>52</v>
      </c>
      <c r="M2010" s="2">
        <v>46069</v>
      </c>
      <c r="N2010" s="2">
        <v>46069</v>
      </c>
      <c r="O2010" t="s">
        <v>60</v>
      </c>
      <c r="P2010" t="s">
        <v>53</v>
      </c>
      <c r="Q2010" t="s">
        <v>28</v>
      </c>
      <c r="R2010" t="s">
        <v>29</v>
      </c>
      <c r="S2010">
        <v>2026</v>
      </c>
      <c r="T2010" t="s">
        <v>2751</v>
      </c>
      <c r="U2010" t="s">
        <v>2765</v>
      </c>
      <c r="V2010" s="4">
        <v>0</v>
      </c>
      <c r="W2010" s="4">
        <v>1</v>
      </c>
    </row>
    <row r="2011" spans="1:23">
      <c r="A2011" t="s">
        <v>2143</v>
      </c>
      <c r="B2011" s="2">
        <v>46098</v>
      </c>
      <c r="C2011" t="s">
        <v>71</v>
      </c>
      <c r="D2011" t="s">
        <v>72</v>
      </c>
      <c r="E2011" t="s">
        <v>73</v>
      </c>
      <c r="F2011" t="s">
        <v>57</v>
      </c>
      <c r="G2011" t="s">
        <v>101</v>
      </c>
      <c r="H2011" t="s">
        <v>102</v>
      </c>
      <c r="I2011">
        <v>25</v>
      </c>
      <c r="J2011" s="3">
        <v>1650.86</v>
      </c>
      <c r="K2011" s="3">
        <v>41271.5</v>
      </c>
      <c r="L2011" t="s">
        <v>52</v>
      </c>
      <c r="M2011" s="2">
        <v>46110</v>
      </c>
      <c r="N2011" s="2">
        <v>46110</v>
      </c>
      <c r="O2011" t="s">
        <v>43</v>
      </c>
      <c r="P2011" t="s">
        <v>77</v>
      </c>
      <c r="Q2011" t="s">
        <v>28</v>
      </c>
      <c r="R2011" t="s">
        <v>29</v>
      </c>
      <c r="S2011">
        <v>2026</v>
      </c>
      <c r="T2011" t="s">
        <v>2747</v>
      </c>
      <c r="U2011" t="s">
        <v>2755</v>
      </c>
      <c r="V2011" s="4">
        <v>0</v>
      </c>
      <c r="W2011" s="4">
        <v>1</v>
      </c>
    </row>
    <row r="2012" spans="1:23">
      <c r="A2012" t="s">
        <v>2144</v>
      </c>
      <c r="B2012" s="2">
        <v>45797</v>
      </c>
      <c r="C2012" t="s">
        <v>71</v>
      </c>
      <c r="D2012" t="s">
        <v>72</v>
      </c>
      <c r="E2012" t="s">
        <v>73</v>
      </c>
      <c r="F2012" t="s">
        <v>57</v>
      </c>
      <c r="G2012" t="s">
        <v>127</v>
      </c>
      <c r="H2012" t="s">
        <v>128</v>
      </c>
      <c r="I2012">
        <v>6</v>
      </c>
      <c r="J2012" s="3">
        <v>15962.23</v>
      </c>
      <c r="K2012" s="3">
        <v>95773.38</v>
      </c>
      <c r="L2012" t="s">
        <v>25</v>
      </c>
      <c r="M2012" s="2">
        <v>45814</v>
      </c>
      <c r="N2012" s="2">
        <v>45812</v>
      </c>
      <c r="O2012" t="s">
        <v>60</v>
      </c>
      <c r="P2012" t="s">
        <v>77</v>
      </c>
      <c r="Q2012" t="s">
        <v>28</v>
      </c>
      <c r="R2012" t="s">
        <v>29</v>
      </c>
      <c r="S2012">
        <v>2025</v>
      </c>
      <c r="T2012" t="s">
        <v>2766</v>
      </c>
      <c r="U2012" t="s">
        <v>2767</v>
      </c>
      <c r="V2012" s="4">
        <v>0</v>
      </c>
      <c r="W2012" s="4">
        <v>1</v>
      </c>
    </row>
    <row r="2013" spans="1:23">
      <c r="A2013" t="s">
        <v>2145</v>
      </c>
      <c r="B2013" s="2">
        <v>45993</v>
      </c>
      <c r="C2013" t="s">
        <v>19</v>
      </c>
      <c r="D2013" t="s">
        <v>20</v>
      </c>
      <c r="E2013" t="s">
        <v>39</v>
      </c>
      <c r="F2013" t="s">
        <v>22</v>
      </c>
      <c r="G2013" t="s">
        <v>32</v>
      </c>
      <c r="H2013" t="s">
        <v>33</v>
      </c>
      <c r="I2013">
        <v>3</v>
      </c>
      <c r="J2013" s="3">
        <v>7127.41</v>
      </c>
      <c r="K2013" s="3">
        <v>21382.23</v>
      </c>
      <c r="L2013" t="s">
        <v>34</v>
      </c>
      <c r="M2013" s="2">
        <v>46005</v>
      </c>
      <c r="N2013" s="2">
        <v>46005</v>
      </c>
      <c r="O2013" t="s">
        <v>60</v>
      </c>
      <c r="P2013" t="s">
        <v>44</v>
      </c>
      <c r="Q2013" t="s">
        <v>28</v>
      </c>
      <c r="R2013" t="s">
        <v>29</v>
      </c>
      <c r="S2013">
        <v>2025</v>
      </c>
      <c r="T2013" t="s">
        <v>2745</v>
      </c>
      <c r="U2013" t="s">
        <v>2746</v>
      </c>
      <c r="V2013" s="4">
        <v>0</v>
      </c>
      <c r="W2013" s="4">
        <v>1</v>
      </c>
    </row>
    <row r="2014" spans="1:23">
      <c r="A2014" t="s">
        <v>2146</v>
      </c>
      <c r="B2014" s="2">
        <v>45812</v>
      </c>
      <c r="C2014" t="s">
        <v>96</v>
      </c>
      <c r="D2014" t="s">
        <v>97</v>
      </c>
      <c r="E2014" t="s">
        <v>39</v>
      </c>
      <c r="F2014" t="s">
        <v>82</v>
      </c>
      <c r="G2014" t="s">
        <v>83</v>
      </c>
      <c r="H2014" t="s">
        <v>84</v>
      </c>
      <c r="I2014">
        <v>16</v>
      </c>
      <c r="J2014" s="3">
        <v>738.76</v>
      </c>
      <c r="K2014" s="3">
        <v>11820.16</v>
      </c>
      <c r="L2014" t="s">
        <v>25</v>
      </c>
      <c r="M2014" s="2">
        <v>45823</v>
      </c>
      <c r="N2014" s="2">
        <v>45823</v>
      </c>
      <c r="O2014" t="s">
        <v>43</v>
      </c>
      <c r="P2014" t="s">
        <v>64</v>
      </c>
      <c r="Q2014" t="s">
        <v>28</v>
      </c>
      <c r="R2014" t="s">
        <v>29</v>
      </c>
      <c r="S2014">
        <v>2025</v>
      </c>
      <c r="T2014" t="s">
        <v>2743</v>
      </c>
      <c r="U2014" t="s">
        <v>2756</v>
      </c>
      <c r="V2014" s="4">
        <v>0</v>
      </c>
      <c r="W2014" s="4">
        <v>1</v>
      </c>
    </row>
    <row r="2015" spans="1:23">
      <c r="A2015" t="s">
        <v>2147</v>
      </c>
      <c r="B2015" s="2">
        <v>45714</v>
      </c>
      <c r="C2015" t="s">
        <v>142</v>
      </c>
      <c r="D2015" t="s">
        <v>143</v>
      </c>
      <c r="E2015" t="s">
        <v>21</v>
      </c>
      <c r="F2015" t="s">
        <v>22</v>
      </c>
      <c r="G2015" t="s">
        <v>160</v>
      </c>
      <c r="H2015" t="s">
        <v>161</v>
      </c>
      <c r="I2015">
        <v>4</v>
      </c>
      <c r="J2015" s="3">
        <v>3189.97</v>
      </c>
      <c r="K2015" s="3">
        <v>12759.88</v>
      </c>
      <c r="L2015" t="s">
        <v>52</v>
      </c>
      <c r="M2015" s="2">
        <v>45727</v>
      </c>
      <c r="N2015" s="2">
        <v>45725</v>
      </c>
      <c r="O2015" t="s">
        <v>43</v>
      </c>
      <c r="P2015" t="s">
        <v>27</v>
      </c>
      <c r="Q2015" t="s">
        <v>28</v>
      </c>
      <c r="R2015" t="s">
        <v>29</v>
      </c>
      <c r="S2015">
        <v>2025</v>
      </c>
      <c r="T2015" t="s">
        <v>2751</v>
      </c>
      <c r="U2015" t="s">
        <v>2752</v>
      </c>
      <c r="V2015" s="4">
        <v>0</v>
      </c>
      <c r="W2015" s="4">
        <v>1</v>
      </c>
    </row>
    <row r="2016" spans="1:23">
      <c r="A2016" t="s">
        <v>2148</v>
      </c>
      <c r="B2016" s="2">
        <v>45659</v>
      </c>
      <c r="C2016" t="s">
        <v>71</v>
      </c>
      <c r="D2016" t="s">
        <v>72</v>
      </c>
      <c r="E2016" t="s">
        <v>48</v>
      </c>
      <c r="F2016" t="s">
        <v>57</v>
      </c>
      <c r="G2016" t="s">
        <v>120</v>
      </c>
      <c r="H2016" t="s">
        <v>121</v>
      </c>
      <c r="I2016">
        <v>5</v>
      </c>
      <c r="J2016" s="3">
        <v>20634.23</v>
      </c>
      <c r="K2016" s="3">
        <v>103171.15</v>
      </c>
      <c r="L2016" t="s">
        <v>34</v>
      </c>
      <c r="M2016" s="2">
        <v>45674</v>
      </c>
      <c r="N2016" s="2">
        <v>45674</v>
      </c>
      <c r="O2016" t="s">
        <v>60</v>
      </c>
      <c r="P2016" t="s">
        <v>53</v>
      </c>
      <c r="Q2016" t="s">
        <v>28</v>
      </c>
      <c r="R2016" t="s">
        <v>29</v>
      </c>
      <c r="S2016">
        <v>2025</v>
      </c>
      <c r="T2016" t="s">
        <v>2757</v>
      </c>
      <c r="U2016" t="s">
        <v>2768</v>
      </c>
      <c r="V2016" s="4">
        <v>0</v>
      </c>
      <c r="W2016" s="4">
        <v>1</v>
      </c>
    </row>
    <row r="2017" spans="1:23">
      <c r="A2017" t="s">
        <v>2149</v>
      </c>
      <c r="B2017" s="2">
        <v>45788</v>
      </c>
      <c r="C2017" t="s">
        <v>142</v>
      </c>
      <c r="D2017" t="s">
        <v>143</v>
      </c>
      <c r="E2017" t="s">
        <v>112</v>
      </c>
      <c r="F2017" t="s">
        <v>22</v>
      </c>
      <c r="G2017" t="s">
        <v>23</v>
      </c>
      <c r="H2017" t="s">
        <v>24</v>
      </c>
      <c r="I2017">
        <v>12</v>
      </c>
      <c r="J2017" s="3">
        <v>255.45</v>
      </c>
      <c r="K2017" s="3">
        <v>3065.4</v>
      </c>
      <c r="L2017" t="s">
        <v>52</v>
      </c>
      <c r="M2017" s="2">
        <v>45800</v>
      </c>
      <c r="N2017" s="2">
        <v>45797</v>
      </c>
      <c r="O2017" t="s">
        <v>26</v>
      </c>
      <c r="P2017" t="s">
        <v>115</v>
      </c>
      <c r="Q2017" t="s">
        <v>28</v>
      </c>
      <c r="R2017" t="s">
        <v>29</v>
      </c>
      <c r="S2017">
        <v>2025</v>
      </c>
      <c r="T2017" t="s">
        <v>2766</v>
      </c>
      <c r="U2017" t="s">
        <v>2767</v>
      </c>
      <c r="V2017" s="4">
        <v>0</v>
      </c>
      <c r="W2017" s="4">
        <v>1</v>
      </c>
    </row>
    <row r="2018" spans="1:23">
      <c r="A2018" t="s">
        <v>2150</v>
      </c>
      <c r="B2018" s="2">
        <v>46087</v>
      </c>
      <c r="C2018" t="s">
        <v>19</v>
      </c>
      <c r="D2018" t="s">
        <v>20</v>
      </c>
      <c r="E2018" t="s">
        <v>39</v>
      </c>
      <c r="F2018" t="s">
        <v>22</v>
      </c>
      <c r="G2018" t="s">
        <v>32</v>
      </c>
      <c r="H2018" t="s">
        <v>33</v>
      </c>
      <c r="I2018">
        <v>1</v>
      </c>
      <c r="J2018" s="3">
        <v>7537.56</v>
      </c>
      <c r="K2018" s="3">
        <v>7537.56</v>
      </c>
      <c r="L2018" t="s">
        <v>25</v>
      </c>
      <c r="M2018" s="2">
        <v>46098</v>
      </c>
      <c r="N2018" s="2">
        <v>46101</v>
      </c>
      <c r="O2018" t="s">
        <v>60</v>
      </c>
      <c r="P2018" t="s">
        <v>44</v>
      </c>
      <c r="Q2018" t="s">
        <v>28</v>
      </c>
      <c r="R2018" t="s">
        <v>129</v>
      </c>
      <c r="S2018">
        <v>2026</v>
      </c>
      <c r="T2018" t="s">
        <v>2747</v>
      </c>
      <c r="U2018" t="s">
        <v>2755</v>
      </c>
      <c r="V2018" s="4">
        <v>3</v>
      </c>
      <c r="W2018" s="4">
        <v>0</v>
      </c>
    </row>
    <row r="2019" spans="1:23">
      <c r="A2019" t="s">
        <v>2151</v>
      </c>
      <c r="B2019" s="2">
        <v>45782</v>
      </c>
      <c r="C2019" t="s">
        <v>80</v>
      </c>
      <c r="D2019" t="s">
        <v>81</v>
      </c>
      <c r="E2019" t="s">
        <v>39</v>
      </c>
      <c r="F2019" t="s">
        <v>82</v>
      </c>
      <c r="G2019" t="s">
        <v>197</v>
      </c>
      <c r="H2019" t="s">
        <v>198</v>
      </c>
      <c r="I2019">
        <v>6</v>
      </c>
      <c r="J2019" s="3">
        <v>1955.3</v>
      </c>
      <c r="K2019" s="3">
        <v>11731.8</v>
      </c>
      <c r="L2019" t="s">
        <v>34</v>
      </c>
      <c r="M2019" s="2">
        <v>45789</v>
      </c>
      <c r="N2019" s="2">
        <v>45787</v>
      </c>
      <c r="O2019" t="s">
        <v>60</v>
      </c>
      <c r="P2019" t="s">
        <v>64</v>
      </c>
      <c r="Q2019" t="s">
        <v>28</v>
      </c>
      <c r="R2019" t="s">
        <v>29</v>
      </c>
      <c r="S2019">
        <v>2025</v>
      </c>
      <c r="T2019" t="s">
        <v>2766</v>
      </c>
      <c r="U2019" t="s">
        <v>2767</v>
      </c>
      <c r="V2019" s="4">
        <v>0</v>
      </c>
      <c r="W2019" s="4">
        <v>1</v>
      </c>
    </row>
    <row r="2020" spans="1:23">
      <c r="A2020" t="s">
        <v>2152</v>
      </c>
      <c r="B2020" s="2">
        <v>46091</v>
      </c>
      <c r="C2020" t="s">
        <v>71</v>
      </c>
      <c r="D2020" t="s">
        <v>72</v>
      </c>
      <c r="E2020" t="s">
        <v>21</v>
      </c>
      <c r="F2020" t="s">
        <v>57</v>
      </c>
      <c r="G2020" t="s">
        <v>127</v>
      </c>
      <c r="H2020" t="s">
        <v>128</v>
      </c>
      <c r="I2020">
        <v>8</v>
      </c>
      <c r="J2020" s="3">
        <v>15245.87</v>
      </c>
      <c r="K2020" s="3">
        <v>121966.96</v>
      </c>
      <c r="L2020" t="s">
        <v>25</v>
      </c>
      <c r="M2020" s="2">
        <v>46102</v>
      </c>
      <c r="N2020" s="2">
        <v>46101</v>
      </c>
      <c r="O2020" t="s">
        <v>43</v>
      </c>
      <c r="P2020" t="s">
        <v>27</v>
      </c>
      <c r="Q2020" t="s">
        <v>28</v>
      </c>
      <c r="R2020" t="s">
        <v>29</v>
      </c>
      <c r="S2020">
        <v>2026</v>
      </c>
      <c r="T2020" t="s">
        <v>2747</v>
      </c>
      <c r="U2020" t="s">
        <v>2755</v>
      </c>
      <c r="V2020" s="4">
        <v>0</v>
      </c>
      <c r="W2020" s="4">
        <v>1</v>
      </c>
    </row>
    <row r="2021" spans="1:23">
      <c r="A2021" t="s">
        <v>2153</v>
      </c>
      <c r="B2021" s="2">
        <v>45762</v>
      </c>
      <c r="C2021" t="s">
        <v>19</v>
      </c>
      <c r="D2021" t="s">
        <v>20</v>
      </c>
      <c r="E2021" t="s">
        <v>112</v>
      </c>
      <c r="F2021" t="s">
        <v>22</v>
      </c>
      <c r="G2021" t="s">
        <v>160</v>
      </c>
      <c r="H2021" t="s">
        <v>161</v>
      </c>
      <c r="I2021">
        <v>10</v>
      </c>
      <c r="J2021" s="3">
        <v>3150.14</v>
      </c>
      <c r="K2021" s="3">
        <v>31501.4</v>
      </c>
      <c r="L2021" t="s">
        <v>52</v>
      </c>
      <c r="M2021" s="2">
        <v>45776</v>
      </c>
      <c r="N2021" s="2">
        <v>45775</v>
      </c>
      <c r="O2021" t="s">
        <v>76</v>
      </c>
      <c r="P2021" t="s">
        <v>115</v>
      </c>
      <c r="Q2021" t="s">
        <v>28</v>
      </c>
      <c r="R2021" t="s">
        <v>29</v>
      </c>
      <c r="S2021">
        <v>2025</v>
      </c>
      <c r="T2021" t="s">
        <v>2741</v>
      </c>
      <c r="U2021" t="s">
        <v>2742</v>
      </c>
      <c r="V2021" s="4">
        <v>0</v>
      </c>
      <c r="W2021" s="4">
        <v>1</v>
      </c>
    </row>
    <row r="2022" spans="1:23">
      <c r="A2022" t="s">
        <v>2154</v>
      </c>
      <c r="B2022" s="2">
        <v>46082</v>
      </c>
      <c r="C2022" t="s">
        <v>55</v>
      </c>
      <c r="D2022" t="s">
        <v>56</v>
      </c>
      <c r="E2022" t="s">
        <v>21</v>
      </c>
      <c r="F2022" t="s">
        <v>57</v>
      </c>
      <c r="G2022" t="s">
        <v>127</v>
      </c>
      <c r="H2022" t="s">
        <v>128</v>
      </c>
      <c r="I2022">
        <v>7</v>
      </c>
      <c r="J2022" s="3">
        <v>18988.22</v>
      </c>
      <c r="K2022" s="3">
        <v>132917.54</v>
      </c>
      <c r="L2022" t="s">
        <v>25</v>
      </c>
      <c r="M2022" s="2">
        <v>46099</v>
      </c>
      <c r="N2022" s="2">
        <v>46096</v>
      </c>
      <c r="O2022" t="s">
        <v>43</v>
      </c>
      <c r="P2022" t="s">
        <v>27</v>
      </c>
      <c r="Q2022" t="s">
        <v>28</v>
      </c>
      <c r="R2022" t="s">
        <v>29</v>
      </c>
      <c r="S2022">
        <v>2026</v>
      </c>
      <c r="T2022" t="s">
        <v>2747</v>
      </c>
      <c r="U2022" t="s">
        <v>2755</v>
      </c>
      <c r="V2022" s="4">
        <v>0</v>
      </c>
      <c r="W2022" s="4">
        <v>1</v>
      </c>
    </row>
    <row r="2023" spans="1:23">
      <c r="A2023" t="s">
        <v>2155</v>
      </c>
      <c r="B2023" s="2">
        <v>45974</v>
      </c>
      <c r="C2023" t="s">
        <v>142</v>
      </c>
      <c r="D2023" t="s">
        <v>143</v>
      </c>
      <c r="E2023" t="s">
        <v>39</v>
      </c>
      <c r="F2023" t="s">
        <v>22</v>
      </c>
      <c r="G2023" t="s">
        <v>160</v>
      </c>
      <c r="H2023" t="s">
        <v>161</v>
      </c>
      <c r="I2023">
        <v>9</v>
      </c>
      <c r="J2023" s="3">
        <v>3195.52</v>
      </c>
      <c r="K2023" s="3">
        <v>28759.68</v>
      </c>
      <c r="L2023" t="s">
        <v>25</v>
      </c>
      <c r="M2023" s="2">
        <v>45979</v>
      </c>
      <c r="N2023" s="2">
        <v>45976</v>
      </c>
      <c r="O2023" t="s">
        <v>76</v>
      </c>
      <c r="P2023" t="s">
        <v>44</v>
      </c>
      <c r="Q2023" t="s">
        <v>28</v>
      </c>
      <c r="R2023" t="s">
        <v>29</v>
      </c>
      <c r="S2023">
        <v>2025</v>
      </c>
      <c r="T2023" t="s">
        <v>2763</v>
      </c>
      <c r="U2023" t="s">
        <v>2764</v>
      </c>
      <c r="V2023" s="4">
        <v>0</v>
      </c>
      <c r="W2023" s="4">
        <v>1</v>
      </c>
    </row>
    <row r="2024" spans="1:23">
      <c r="A2024" t="s">
        <v>2156</v>
      </c>
      <c r="B2024" s="2">
        <v>46014</v>
      </c>
      <c r="C2024" t="s">
        <v>131</v>
      </c>
      <c r="D2024" t="s">
        <v>132</v>
      </c>
      <c r="E2024" t="s">
        <v>48</v>
      </c>
      <c r="F2024" t="s">
        <v>57</v>
      </c>
      <c r="G2024" t="s">
        <v>120</v>
      </c>
      <c r="H2024" t="s">
        <v>121</v>
      </c>
      <c r="I2024">
        <v>3</v>
      </c>
      <c r="J2024" s="3">
        <v>23474.959999999999</v>
      </c>
      <c r="K2024" s="3">
        <v>70424.88</v>
      </c>
      <c r="L2024" t="s">
        <v>52</v>
      </c>
      <c r="M2024" s="2">
        <v>46031</v>
      </c>
      <c r="N2024" s="2">
        <v>46028</v>
      </c>
      <c r="O2024" t="s">
        <v>43</v>
      </c>
      <c r="P2024" t="s">
        <v>53</v>
      </c>
      <c r="Q2024" t="s">
        <v>28</v>
      </c>
      <c r="R2024" t="s">
        <v>29</v>
      </c>
      <c r="S2024">
        <v>2025</v>
      </c>
      <c r="T2024" t="s">
        <v>2745</v>
      </c>
      <c r="U2024" t="s">
        <v>2746</v>
      </c>
      <c r="V2024" s="4">
        <v>0</v>
      </c>
      <c r="W2024" s="4">
        <v>1</v>
      </c>
    </row>
    <row r="2025" spans="1:23">
      <c r="A2025" t="s">
        <v>2157</v>
      </c>
      <c r="B2025" s="2">
        <v>46022</v>
      </c>
      <c r="C2025" t="s">
        <v>71</v>
      </c>
      <c r="D2025" t="s">
        <v>72</v>
      </c>
      <c r="E2025" t="s">
        <v>48</v>
      </c>
      <c r="F2025" t="s">
        <v>57</v>
      </c>
      <c r="G2025" t="s">
        <v>120</v>
      </c>
      <c r="H2025" t="s">
        <v>121</v>
      </c>
      <c r="I2025">
        <v>4</v>
      </c>
      <c r="J2025" s="3">
        <v>21414.959999999999</v>
      </c>
      <c r="K2025" s="3">
        <v>85659.839999999997</v>
      </c>
      <c r="L2025" t="s">
        <v>25</v>
      </c>
      <c r="M2025" s="2">
        <v>46034</v>
      </c>
      <c r="N2025" s="2">
        <v>46042</v>
      </c>
      <c r="O2025" t="s">
        <v>60</v>
      </c>
      <c r="P2025" t="s">
        <v>53</v>
      </c>
      <c r="Q2025" t="s">
        <v>28</v>
      </c>
      <c r="R2025" t="s">
        <v>129</v>
      </c>
      <c r="S2025">
        <v>2025</v>
      </c>
      <c r="T2025" t="s">
        <v>2745</v>
      </c>
      <c r="U2025" t="s">
        <v>2746</v>
      </c>
      <c r="V2025" s="4">
        <v>8</v>
      </c>
      <c r="W2025" s="4">
        <v>0</v>
      </c>
    </row>
    <row r="2026" spans="1:23">
      <c r="A2026" t="s">
        <v>2158</v>
      </c>
      <c r="B2026" s="2">
        <v>45681</v>
      </c>
      <c r="C2026" t="s">
        <v>96</v>
      </c>
      <c r="D2026" t="s">
        <v>97</v>
      </c>
      <c r="E2026" t="s">
        <v>39</v>
      </c>
      <c r="F2026" t="s">
        <v>82</v>
      </c>
      <c r="G2026" t="s">
        <v>98</v>
      </c>
      <c r="H2026" t="s">
        <v>99</v>
      </c>
      <c r="I2026">
        <v>16</v>
      </c>
      <c r="J2026" s="3">
        <v>1198.28</v>
      </c>
      <c r="K2026" s="3">
        <v>19172.48</v>
      </c>
      <c r="L2026" t="s">
        <v>25</v>
      </c>
      <c r="M2026" s="2">
        <v>45695</v>
      </c>
      <c r="N2026" s="2">
        <v>45692</v>
      </c>
      <c r="O2026" t="s">
        <v>26</v>
      </c>
      <c r="P2026" t="s">
        <v>44</v>
      </c>
      <c r="Q2026" t="s">
        <v>28</v>
      </c>
      <c r="R2026" t="s">
        <v>29</v>
      </c>
      <c r="S2026">
        <v>2025</v>
      </c>
      <c r="T2026" t="s">
        <v>2757</v>
      </c>
      <c r="U2026" t="s">
        <v>2768</v>
      </c>
      <c r="V2026" s="4">
        <v>0</v>
      </c>
      <c r="W2026" s="4">
        <v>1</v>
      </c>
    </row>
    <row r="2027" spans="1:23">
      <c r="A2027" t="s">
        <v>2159</v>
      </c>
      <c r="B2027" s="2">
        <v>45858</v>
      </c>
      <c r="C2027" t="s">
        <v>66</v>
      </c>
      <c r="D2027" t="s">
        <v>67</v>
      </c>
      <c r="E2027" t="s">
        <v>21</v>
      </c>
      <c r="F2027" t="s">
        <v>49</v>
      </c>
      <c r="G2027" t="s">
        <v>165</v>
      </c>
      <c r="H2027" t="s">
        <v>166</v>
      </c>
      <c r="I2027">
        <v>1</v>
      </c>
      <c r="J2027" s="3">
        <v>42168.97</v>
      </c>
      <c r="K2027" s="3">
        <v>42168.97</v>
      </c>
      <c r="L2027" t="s">
        <v>34</v>
      </c>
      <c r="M2027" s="2">
        <v>45867</v>
      </c>
      <c r="N2027" s="2">
        <v>45865</v>
      </c>
      <c r="O2027" t="s">
        <v>43</v>
      </c>
      <c r="P2027" t="s">
        <v>27</v>
      </c>
      <c r="Q2027" t="s">
        <v>28</v>
      </c>
      <c r="R2027" t="s">
        <v>29</v>
      </c>
      <c r="S2027">
        <v>2025</v>
      </c>
      <c r="T2027" t="s">
        <v>2759</v>
      </c>
      <c r="U2027" t="s">
        <v>2760</v>
      </c>
      <c r="V2027" s="4">
        <v>0</v>
      </c>
      <c r="W2027" s="4">
        <v>1</v>
      </c>
    </row>
    <row r="2028" spans="1:23">
      <c r="A2028" t="s">
        <v>2160</v>
      </c>
      <c r="B2028" s="2">
        <v>46124</v>
      </c>
      <c r="C2028" t="s">
        <v>66</v>
      </c>
      <c r="D2028" t="s">
        <v>67</v>
      </c>
      <c r="E2028" t="s">
        <v>48</v>
      </c>
      <c r="F2028" t="s">
        <v>49</v>
      </c>
      <c r="G2028" t="s">
        <v>50</v>
      </c>
      <c r="H2028" t="s">
        <v>51</v>
      </c>
      <c r="I2028">
        <v>2</v>
      </c>
      <c r="J2028" s="3">
        <v>50206.21</v>
      </c>
      <c r="K2028" s="3">
        <v>100412.42</v>
      </c>
      <c r="L2028" t="s">
        <v>25</v>
      </c>
      <c r="M2028" s="2">
        <v>46142</v>
      </c>
      <c r="N2028" s="2">
        <v>46142</v>
      </c>
      <c r="O2028" t="s">
        <v>76</v>
      </c>
      <c r="P2028" t="s">
        <v>53</v>
      </c>
      <c r="Q2028" t="s">
        <v>28</v>
      </c>
      <c r="R2028" t="s">
        <v>29</v>
      </c>
      <c r="S2028">
        <v>2026</v>
      </c>
      <c r="T2028" t="s">
        <v>2741</v>
      </c>
      <c r="U2028" t="s">
        <v>2770</v>
      </c>
      <c r="V2028" s="4">
        <v>0</v>
      </c>
      <c r="W2028" s="4">
        <v>1</v>
      </c>
    </row>
    <row r="2029" spans="1:23">
      <c r="A2029" t="s">
        <v>2161</v>
      </c>
      <c r="B2029" s="2">
        <v>45868</v>
      </c>
      <c r="C2029" t="s">
        <v>71</v>
      </c>
      <c r="D2029" t="s">
        <v>72</v>
      </c>
      <c r="E2029" t="s">
        <v>48</v>
      </c>
      <c r="F2029" t="s">
        <v>57</v>
      </c>
      <c r="G2029" t="s">
        <v>58</v>
      </c>
      <c r="H2029" t="s">
        <v>59</v>
      </c>
      <c r="I2029">
        <v>3</v>
      </c>
      <c r="J2029" s="3">
        <v>52299.77</v>
      </c>
      <c r="K2029" s="3">
        <v>156899.31</v>
      </c>
      <c r="L2029" t="s">
        <v>52</v>
      </c>
      <c r="M2029" s="2">
        <v>45882</v>
      </c>
      <c r="N2029" s="2">
        <v>45880</v>
      </c>
      <c r="O2029" t="s">
        <v>26</v>
      </c>
      <c r="P2029" t="s">
        <v>53</v>
      </c>
      <c r="Q2029" t="s">
        <v>28</v>
      </c>
      <c r="R2029" t="s">
        <v>29</v>
      </c>
      <c r="S2029">
        <v>2025</v>
      </c>
      <c r="T2029" t="s">
        <v>2759</v>
      </c>
      <c r="U2029" t="s">
        <v>2760</v>
      </c>
      <c r="V2029" s="4">
        <v>0</v>
      </c>
      <c r="W2029" s="4">
        <v>1</v>
      </c>
    </row>
    <row r="2030" spans="1:23">
      <c r="A2030" t="s">
        <v>2162</v>
      </c>
      <c r="B2030" s="2">
        <v>46192</v>
      </c>
      <c r="C2030" t="s">
        <v>96</v>
      </c>
      <c r="D2030" t="s">
        <v>97</v>
      </c>
      <c r="E2030" t="s">
        <v>39</v>
      </c>
      <c r="F2030" t="s">
        <v>82</v>
      </c>
      <c r="G2030" t="s">
        <v>98</v>
      </c>
      <c r="H2030" t="s">
        <v>99</v>
      </c>
      <c r="I2030">
        <v>27</v>
      </c>
      <c r="J2030" s="3">
        <v>1159.6500000000001</v>
      </c>
      <c r="K2030" s="3">
        <v>31310.55</v>
      </c>
      <c r="L2030" t="s">
        <v>25</v>
      </c>
      <c r="M2030" s="2">
        <v>46209</v>
      </c>
      <c r="N2030" s="2"/>
      <c r="O2030" t="s">
        <v>26</v>
      </c>
      <c r="P2030" t="s">
        <v>64</v>
      </c>
      <c r="Q2030" t="s">
        <v>167</v>
      </c>
      <c r="R2030" t="s">
        <v>167</v>
      </c>
      <c r="S2030">
        <v>2026</v>
      </c>
      <c r="T2030" t="s">
        <v>2743</v>
      </c>
      <c r="U2030" t="s">
        <v>2744</v>
      </c>
      <c r="V2030" s="4"/>
      <c r="W2030" s="4"/>
    </row>
    <row r="2031" spans="1:23">
      <c r="A2031" t="s">
        <v>2163</v>
      </c>
      <c r="B2031" s="2">
        <v>45723</v>
      </c>
      <c r="C2031" t="s">
        <v>46</v>
      </c>
      <c r="D2031" t="s">
        <v>47</v>
      </c>
      <c r="E2031" t="s">
        <v>48</v>
      </c>
      <c r="F2031" t="s">
        <v>49</v>
      </c>
      <c r="G2031" t="s">
        <v>50</v>
      </c>
      <c r="H2031" t="s">
        <v>51</v>
      </c>
      <c r="I2031">
        <v>1</v>
      </c>
      <c r="J2031" s="3">
        <v>54172.19</v>
      </c>
      <c r="K2031" s="3">
        <v>54172.19</v>
      </c>
      <c r="L2031" t="s">
        <v>25</v>
      </c>
      <c r="M2031" s="2">
        <v>45734</v>
      </c>
      <c r="N2031" s="2">
        <v>45733</v>
      </c>
      <c r="O2031" t="s">
        <v>60</v>
      </c>
      <c r="P2031" t="s">
        <v>53</v>
      </c>
      <c r="Q2031" t="s">
        <v>28</v>
      </c>
      <c r="R2031" t="s">
        <v>29</v>
      </c>
      <c r="S2031">
        <v>2025</v>
      </c>
      <c r="T2031" t="s">
        <v>2747</v>
      </c>
      <c r="U2031" t="s">
        <v>2748</v>
      </c>
      <c r="V2031" s="4">
        <v>0</v>
      </c>
      <c r="W2031" s="4">
        <v>1</v>
      </c>
    </row>
    <row r="2032" spans="1:23">
      <c r="A2032" t="s">
        <v>2164</v>
      </c>
      <c r="B2032" s="2">
        <v>46063</v>
      </c>
      <c r="C2032" t="s">
        <v>96</v>
      </c>
      <c r="D2032" t="s">
        <v>97</v>
      </c>
      <c r="E2032" t="s">
        <v>39</v>
      </c>
      <c r="F2032" t="s">
        <v>82</v>
      </c>
      <c r="G2032" t="s">
        <v>197</v>
      </c>
      <c r="H2032" t="s">
        <v>198</v>
      </c>
      <c r="I2032">
        <v>48</v>
      </c>
      <c r="J2032" s="3">
        <v>2099.54</v>
      </c>
      <c r="K2032" s="3">
        <v>100777.92</v>
      </c>
      <c r="L2032" t="s">
        <v>52</v>
      </c>
      <c r="M2032" s="2">
        <v>46079</v>
      </c>
      <c r="N2032" s="2">
        <v>46086</v>
      </c>
      <c r="O2032" t="s">
        <v>43</v>
      </c>
      <c r="P2032" t="s">
        <v>64</v>
      </c>
      <c r="Q2032" t="s">
        <v>28</v>
      </c>
      <c r="R2032" t="s">
        <v>129</v>
      </c>
      <c r="S2032">
        <v>2026</v>
      </c>
      <c r="T2032" t="s">
        <v>2751</v>
      </c>
      <c r="U2032" t="s">
        <v>2765</v>
      </c>
      <c r="V2032" s="4">
        <v>7</v>
      </c>
      <c r="W2032" s="4">
        <v>0</v>
      </c>
    </row>
    <row r="2033" spans="1:23">
      <c r="A2033" t="s">
        <v>2165</v>
      </c>
      <c r="B2033" s="2">
        <v>45968</v>
      </c>
      <c r="C2033" t="s">
        <v>71</v>
      </c>
      <c r="D2033" t="s">
        <v>72</v>
      </c>
      <c r="E2033" t="s">
        <v>48</v>
      </c>
      <c r="F2033" t="s">
        <v>57</v>
      </c>
      <c r="G2033" t="s">
        <v>86</v>
      </c>
      <c r="H2033" t="s">
        <v>87</v>
      </c>
      <c r="I2033">
        <v>1</v>
      </c>
      <c r="J2033" s="3">
        <v>9942.93</v>
      </c>
      <c r="K2033" s="3">
        <v>9942.93</v>
      </c>
      <c r="L2033" t="s">
        <v>52</v>
      </c>
      <c r="M2033" s="2">
        <v>45973</v>
      </c>
      <c r="N2033" s="2">
        <v>45975</v>
      </c>
      <c r="O2033" t="s">
        <v>26</v>
      </c>
      <c r="P2033" t="s">
        <v>53</v>
      </c>
      <c r="Q2033" t="s">
        <v>28</v>
      </c>
      <c r="R2033" t="s">
        <v>129</v>
      </c>
      <c r="S2033">
        <v>2025</v>
      </c>
      <c r="T2033" t="s">
        <v>2763</v>
      </c>
      <c r="U2033" t="s">
        <v>2764</v>
      </c>
      <c r="V2033" s="4">
        <v>2</v>
      </c>
      <c r="W2033" s="4">
        <v>0</v>
      </c>
    </row>
    <row r="2034" spans="1:23">
      <c r="A2034" t="s">
        <v>2166</v>
      </c>
      <c r="B2034" s="2">
        <v>45904</v>
      </c>
      <c r="C2034" t="s">
        <v>96</v>
      </c>
      <c r="D2034" t="s">
        <v>97</v>
      </c>
      <c r="E2034" t="s">
        <v>39</v>
      </c>
      <c r="F2034" t="s">
        <v>82</v>
      </c>
      <c r="G2034" t="s">
        <v>197</v>
      </c>
      <c r="H2034" t="s">
        <v>198</v>
      </c>
      <c r="I2034">
        <v>17</v>
      </c>
      <c r="J2034" s="3">
        <v>2170.81</v>
      </c>
      <c r="K2034" s="3">
        <v>36903.769999999997</v>
      </c>
      <c r="L2034" t="s">
        <v>52</v>
      </c>
      <c r="M2034" s="2">
        <v>45919</v>
      </c>
      <c r="N2034" s="2">
        <v>45918</v>
      </c>
      <c r="O2034" t="s">
        <v>76</v>
      </c>
      <c r="P2034" t="s">
        <v>64</v>
      </c>
      <c r="Q2034" t="s">
        <v>28</v>
      </c>
      <c r="R2034" t="s">
        <v>29</v>
      </c>
      <c r="S2034">
        <v>2025</v>
      </c>
      <c r="T2034" t="s">
        <v>2753</v>
      </c>
      <c r="U2034" t="s">
        <v>2754</v>
      </c>
      <c r="V2034" s="4">
        <v>0</v>
      </c>
      <c r="W2034" s="4">
        <v>1</v>
      </c>
    </row>
    <row r="2035" spans="1:23">
      <c r="A2035" t="s">
        <v>2167</v>
      </c>
      <c r="B2035" s="2">
        <v>46125</v>
      </c>
      <c r="C2035" t="s">
        <v>19</v>
      </c>
      <c r="D2035" t="s">
        <v>20</v>
      </c>
      <c r="E2035" t="s">
        <v>39</v>
      </c>
      <c r="F2035" t="s">
        <v>22</v>
      </c>
      <c r="G2035" t="s">
        <v>160</v>
      </c>
      <c r="H2035" t="s">
        <v>161</v>
      </c>
      <c r="I2035">
        <v>9</v>
      </c>
      <c r="J2035" s="3">
        <v>2849.64</v>
      </c>
      <c r="K2035" s="3">
        <v>25646.76</v>
      </c>
      <c r="L2035" t="s">
        <v>52</v>
      </c>
      <c r="M2035" s="2">
        <v>46130</v>
      </c>
      <c r="N2035" s="2">
        <v>46130</v>
      </c>
      <c r="O2035" t="s">
        <v>60</v>
      </c>
      <c r="P2035" t="s">
        <v>64</v>
      </c>
      <c r="Q2035" t="s">
        <v>28</v>
      </c>
      <c r="R2035" t="s">
        <v>29</v>
      </c>
      <c r="S2035">
        <v>2026</v>
      </c>
      <c r="T2035" t="s">
        <v>2741</v>
      </c>
      <c r="U2035" t="s">
        <v>2770</v>
      </c>
      <c r="V2035" s="4">
        <v>0</v>
      </c>
      <c r="W2035" s="4">
        <v>1</v>
      </c>
    </row>
    <row r="2036" spans="1:23">
      <c r="A2036" t="s">
        <v>2168</v>
      </c>
      <c r="B2036" s="2">
        <v>45784</v>
      </c>
      <c r="C2036" t="s">
        <v>147</v>
      </c>
      <c r="D2036" t="s">
        <v>148</v>
      </c>
      <c r="E2036" t="s">
        <v>112</v>
      </c>
      <c r="F2036" t="s">
        <v>40</v>
      </c>
      <c r="G2036" t="s">
        <v>62</v>
      </c>
      <c r="H2036" t="s">
        <v>63</v>
      </c>
      <c r="I2036">
        <v>5</v>
      </c>
      <c r="J2036" s="3">
        <v>17802.84</v>
      </c>
      <c r="K2036" s="3">
        <v>89014.2</v>
      </c>
      <c r="L2036" t="s">
        <v>25</v>
      </c>
      <c r="M2036" s="2">
        <v>45789</v>
      </c>
      <c r="N2036" s="2">
        <v>45789</v>
      </c>
      <c r="O2036" t="s">
        <v>76</v>
      </c>
      <c r="P2036" t="s">
        <v>115</v>
      </c>
      <c r="Q2036" t="s">
        <v>28</v>
      </c>
      <c r="R2036" t="s">
        <v>29</v>
      </c>
      <c r="S2036">
        <v>2025</v>
      </c>
      <c r="T2036" t="s">
        <v>2766</v>
      </c>
      <c r="U2036" t="s">
        <v>2767</v>
      </c>
      <c r="V2036" s="4">
        <v>0</v>
      </c>
      <c r="W2036" s="4">
        <v>1</v>
      </c>
    </row>
    <row r="2037" spans="1:23">
      <c r="A2037" t="s">
        <v>2169</v>
      </c>
      <c r="B2037" s="2">
        <v>46056</v>
      </c>
      <c r="C2037" t="s">
        <v>117</v>
      </c>
      <c r="D2037" t="s">
        <v>118</v>
      </c>
      <c r="E2037" t="s">
        <v>73</v>
      </c>
      <c r="F2037" t="s">
        <v>57</v>
      </c>
      <c r="G2037" t="s">
        <v>74</v>
      </c>
      <c r="H2037" t="s">
        <v>75</v>
      </c>
      <c r="I2037">
        <v>5</v>
      </c>
      <c r="J2037" s="3">
        <v>8911.44</v>
      </c>
      <c r="K2037" s="3">
        <v>44557.2</v>
      </c>
      <c r="L2037" t="s">
        <v>34</v>
      </c>
      <c r="M2037" s="2">
        <v>46065</v>
      </c>
      <c r="N2037" s="2">
        <v>46063</v>
      </c>
      <c r="O2037" t="s">
        <v>43</v>
      </c>
      <c r="P2037" t="s">
        <v>77</v>
      </c>
      <c r="Q2037" t="s">
        <v>28</v>
      </c>
      <c r="R2037" t="s">
        <v>29</v>
      </c>
      <c r="S2037">
        <v>2026</v>
      </c>
      <c r="T2037" t="s">
        <v>2751</v>
      </c>
      <c r="U2037" t="s">
        <v>2765</v>
      </c>
      <c r="V2037" s="4">
        <v>0</v>
      </c>
      <c r="W2037" s="4">
        <v>1</v>
      </c>
    </row>
    <row r="2038" spans="1:23">
      <c r="A2038" t="s">
        <v>2170</v>
      </c>
      <c r="B2038" s="2">
        <v>45755</v>
      </c>
      <c r="C2038" t="s">
        <v>71</v>
      </c>
      <c r="D2038" t="s">
        <v>72</v>
      </c>
      <c r="E2038" t="s">
        <v>21</v>
      </c>
      <c r="F2038" t="s">
        <v>57</v>
      </c>
      <c r="G2038" t="s">
        <v>74</v>
      </c>
      <c r="H2038" t="s">
        <v>75</v>
      </c>
      <c r="I2038">
        <v>1</v>
      </c>
      <c r="J2038" s="3">
        <v>7898.92</v>
      </c>
      <c r="K2038" s="3">
        <v>7898.92</v>
      </c>
      <c r="L2038" t="s">
        <v>25</v>
      </c>
      <c r="M2038" s="2">
        <v>45769</v>
      </c>
      <c r="N2038" s="2">
        <v>45772</v>
      </c>
      <c r="O2038" t="s">
        <v>43</v>
      </c>
      <c r="P2038" t="s">
        <v>27</v>
      </c>
      <c r="Q2038" t="s">
        <v>28</v>
      </c>
      <c r="R2038" t="s">
        <v>129</v>
      </c>
      <c r="S2038">
        <v>2025</v>
      </c>
      <c r="T2038" t="s">
        <v>2741</v>
      </c>
      <c r="U2038" t="s">
        <v>2742</v>
      </c>
      <c r="V2038" s="4">
        <v>3</v>
      </c>
      <c r="W2038" s="4">
        <v>0</v>
      </c>
    </row>
    <row r="2039" spans="1:23">
      <c r="A2039" t="s">
        <v>2171</v>
      </c>
      <c r="B2039" s="2">
        <v>46075</v>
      </c>
      <c r="C2039" t="s">
        <v>147</v>
      </c>
      <c r="D2039" t="s">
        <v>148</v>
      </c>
      <c r="E2039" t="s">
        <v>112</v>
      </c>
      <c r="F2039" t="s">
        <v>40</v>
      </c>
      <c r="G2039" t="s">
        <v>41</v>
      </c>
      <c r="H2039" t="s">
        <v>42</v>
      </c>
      <c r="I2039">
        <v>2</v>
      </c>
      <c r="J2039" s="3">
        <v>5337.21</v>
      </c>
      <c r="K2039" s="3">
        <v>10674.42</v>
      </c>
      <c r="L2039" t="s">
        <v>25</v>
      </c>
      <c r="M2039" s="2">
        <v>46085</v>
      </c>
      <c r="N2039" s="2">
        <v>46083</v>
      </c>
      <c r="O2039" t="s">
        <v>26</v>
      </c>
      <c r="P2039" t="s">
        <v>115</v>
      </c>
      <c r="Q2039" t="s">
        <v>28</v>
      </c>
      <c r="R2039" t="s">
        <v>29</v>
      </c>
      <c r="S2039">
        <v>2026</v>
      </c>
      <c r="T2039" t="s">
        <v>2751</v>
      </c>
      <c r="U2039" t="s">
        <v>2765</v>
      </c>
      <c r="V2039" s="4">
        <v>0</v>
      </c>
      <c r="W2039" s="4">
        <v>1</v>
      </c>
    </row>
    <row r="2040" spans="1:23">
      <c r="A2040" t="s">
        <v>2172</v>
      </c>
      <c r="B2040" s="2">
        <v>45707</v>
      </c>
      <c r="C2040" t="s">
        <v>71</v>
      </c>
      <c r="D2040" t="s">
        <v>72</v>
      </c>
      <c r="E2040" t="s">
        <v>48</v>
      </c>
      <c r="F2040" t="s">
        <v>57</v>
      </c>
      <c r="G2040" t="s">
        <v>74</v>
      </c>
      <c r="H2040" t="s">
        <v>75</v>
      </c>
      <c r="I2040">
        <v>4</v>
      </c>
      <c r="J2040" s="3">
        <v>8238.6</v>
      </c>
      <c r="K2040" s="3">
        <v>32954.400000000001</v>
      </c>
      <c r="L2040" t="s">
        <v>52</v>
      </c>
      <c r="M2040" s="2">
        <v>45717</v>
      </c>
      <c r="N2040" s="2">
        <v>45717</v>
      </c>
      <c r="O2040" t="s">
        <v>76</v>
      </c>
      <c r="P2040" t="s">
        <v>53</v>
      </c>
      <c r="Q2040" t="s">
        <v>28</v>
      </c>
      <c r="R2040" t="s">
        <v>29</v>
      </c>
      <c r="S2040">
        <v>2025</v>
      </c>
      <c r="T2040" t="s">
        <v>2751</v>
      </c>
      <c r="U2040" t="s">
        <v>2752</v>
      </c>
      <c r="V2040" s="4">
        <v>0</v>
      </c>
      <c r="W2040" s="4">
        <v>1</v>
      </c>
    </row>
    <row r="2041" spans="1:23">
      <c r="A2041" t="s">
        <v>2173</v>
      </c>
      <c r="B2041" s="2">
        <v>46072</v>
      </c>
      <c r="C2041" t="s">
        <v>71</v>
      </c>
      <c r="D2041" t="s">
        <v>72</v>
      </c>
      <c r="E2041" t="s">
        <v>21</v>
      </c>
      <c r="F2041" t="s">
        <v>57</v>
      </c>
      <c r="G2041" t="s">
        <v>86</v>
      </c>
      <c r="H2041" t="s">
        <v>87</v>
      </c>
      <c r="I2041">
        <v>2</v>
      </c>
      <c r="J2041" s="3">
        <v>9827.18</v>
      </c>
      <c r="K2041" s="3">
        <v>19654.36</v>
      </c>
      <c r="L2041" t="s">
        <v>34</v>
      </c>
      <c r="M2041" s="2">
        <v>46078</v>
      </c>
      <c r="N2041" s="2">
        <v>46085</v>
      </c>
      <c r="O2041" t="s">
        <v>76</v>
      </c>
      <c r="P2041" t="s">
        <v>27</v>
      </c>
      <c r="Q2041" t="s">
        <v>28</v>
      </c>
      <c r="R2041" t="s">
        <v>129</v>
      </c>
      <c r="S2041">
        <v>2026</v>
      </c>
      <c r="T2041" t="s">
        <v>2751</v>
      </c>
      <c r="U2041" t="s">
        <v>2765</v>
      </c>
      <c r="V2041" s="4">
        <v>7</v>
      </c>
      <c r="W2041" s="4">
        <v>0</v>
      </c>
    </row>
    <row r="2042" spans="1:23">
      <c r="A2042" t="s">
        <v>2174</v>
      </c>
      <c r="B2042" s="2">
        <v>45843</v>
      </c>
      <c r="C2042" t="s">
        <v>117</v>
      </c>
      <c r="D2042" t="s">
        <v>118</v>
      </c>
      <c r="E2042" t="s">
        <v>48</v>
      </c>
      <c r="F2042" t="s">
        <v>57</v>
      </c>
      <c r="G2042" t="s">
        <v>74</v>
      </c>
      <c r="H2042" t="s">
        <v>75</v>
      </c>
      <c r="I2042">
        <v>8</v>
      </c>
      <c r="J2042" s="3">
        <v>8437.85</v>
      </c>
      <c r="K2042" s="3">
        <v>67502.8</v>
      </c>
      <c r="L2042" t="s">
        <v>52</v>
      </c>
      <c r="M2042" s="2">
        <v>45852</v>
      </c>
      <c r="N2042" s="2">
        <v>45852</v>
      </c>
      <c r="O2042" t="s">
        <v>43</v>
      </c>
      <c r="P2042" t="s">
        <v>53</v>
      </c>
      <c r="Q2042" t="s">
        <v>28</v>
      </c>
      <c r="R2042" t="s">
        <v>29</v>
      </c>
      <c r="S2042">
        <v>2025</v>
      </c>
      <c r="T2042" t="s">
        <v>2759</v>
      </c>
      <c r="U2042" t="s">
        <v>2760</v>
      </c>
      <c r="V2042" s="4">
        <v>0</v>
      </c>
      <c r="W2042" s="4">
        <v>1</v>
      </c>
    </row>
    <row r="2043" spans="1:23">
      <c r="A2043" t="s">
        <v>2175</v>
      </c>
      <c r="B2043" s="2">
        <v>46177</v>
      </c>
      <c r="C2043" t="s">
        <v>66</v>
      </c>
      <c r="D2043" t="s">
        <v>67</v>
      </c>
      <c r="E2043" t="s">
        <v>48</v>
      </c>
      <c r="F2043" t="s">
        <v>49</v>
      </c>
      <c r="G2043" t="s">
        <v>113</v>
      </c>
      <c r="H2043" t="s">
        <v>114</v>
      </c>
      <c r="I2043">
        <v>1</v>
      </c>
      <c r="J2043" s="3">
        <v>36817.94</v>
      </c>
      <c r="K2043" s="3">
        <v>36817.94</v>
      </c>
      <c r="L2043" t="s">
        <v>34</v>
      </c>
      <c r="M2043" s="2">
        <v>46195</v>
      </c>
      <c r="N2043" s="2">
        <v>46194</v>
      </c>
      <c r="O2043" t="s">
        <v>26</v>
      </c>
      <c r="P2043" t="s">
        <v>53</v>
      </c>
      <c r="Q2043" t="s">
        <v>28</v>
      </c>
      <c r="R2043" t="s">
        <v>29</v>
      </c>
      <c r="S2043">
        <v>2026</v>
      </c>
      <c r="T2043" t="s">
        <v>2743</v>
      </c>
      <c r="U2043" t="s">
        <v>2744</v>
      </c>
      <c r="V2043" s="4">
        <v>0</v>
      </c>
      <c r="W2043" s="4">
        <v>1</v>
      </c>
    </row>
    <row r="2044" spans="1:23">
      <c r="A2044" t="s">
        <v>2176</v>
      </c>
      <c r="B2044" s="2">
        <v>45960</v>
      </c>
      <c r="C2044" t="s">
        <v>142</v>
      </c>
      <c r="D2044" t="s">
        <v>143</v>
      </c>
      <c r="E2044" t="s">
        <v>73</v>
      </c>
      <c r="F2044" t="s">
        <v>22</v>
      </c>
      <c r="G2044" t="s">
        <v>23</v>
      </c>
      <c r="H2044" t="s">
        <v>24</v>
      </c>
      <c r="I2044">
        <v>41</v>
      </c>
      <c r="J2044" s="3">
        <v>252.7</v>
      </c>
      <c r="K2044" s="3">
        <v>10360.700000000001</v>
      </c>
      <c r="L2044" t="s">
        <v>25</v>
      </c>
      <c r="M2044" s="2">
        <v>45971</v>
      </c>
      <c r="N2044" s="2">
        <v>45968</v>
      </c>
      <c r="O2044" t="s">
        <v>43</v>
      </c>
      <c r="P2044" t="s">
        <v>77</v>
      </c>
      <c r="Q2044" t="s">
        <v>28</v>
      </c>
      <c r="R2044" t="s">
        <v>29</v>
      </c>
      <c r="S2044">
        <v>2025</v>
      </c>
      <c r="T2044" t="s">
        <v>2749</v>
      </c>
      <c r="U2044" t="s">
        <v>2750</v>
      </c>
      <c r="V2044" s="4">
        <v>0</v>
      </c>
      <c r="W2044" s="4">
        <v>1</v>
      </c>
    </row>
    <row r="2045" spans="1:23">
      <c r="A2045" t="s">
        <v>2177</v>
      </c>
      <c r="B2045" s="2">
        <v>45886</v>
      </c>
      <c r="C2045" t="s">
        <v>104</v>
      </c>
      <c r="D2045" t="s">
        <v>105</v>
      </c>
      <c r="E2045" t="s">
        <v>21</v>
      </c>
      <c r="F2045" t="s">
        <v>49</v>
      </c>
      <c r="G2045" t="s">
        <v>68</v>
      </c>
      <c r="H2045" t="s">
        <v>69</v>
      </c>
      <c r="I2045">
        <v>1</v>
      </c>
      <c r="J2045" s="3">
        <v>46696.88</v>
      </c>
      <c r="K2045" s="3">
        <v>46696.88</v>
      </c>
      <c r="L2045" t="s">
        <v>25</v>
      </c>
      <c r="M2045" s="2">
        <v>45896</v>
      </c>
      <c r="N2045" s="2">
        <v>45896</v>
      </c>
      <c r="O2045" t="s">
        <v>60</v>
      </c>
      <c r="P2045" t="s">
        <v>27</v>
      </c>
      <c r="Q2045" t="s">
        <v>28</v>
      </c>
      <c r="R2045" t="s">
        <v>29</v>
      </c>
      <c r="S2045">
        <v>2025</v>
      </c>
      <c r="T2045" t="s">
        <v>2761</v>
      </c>
      <c r="U2045" t="s">
        <v>2762</v>
      </c>
      <c r="V2045" s="4">
        <v>0</v>
      </c>
      <c r="W2045" s="4">
        <v>1</v>
      </c>
    </row>
    <row r="2046" spans="1:23">
      <c r="A2046" t="s">
        <v>2178</v>
      </c>
      <c r="B2046" s="2">
        <v>45829</v>
      </c>
      <c r="C2046" t="s">
        <v>71</v>
      </c>
      <c r="D2046" t="s">
        <v>72</v>
      </c>
      <c r="E2046" t="s">
        <v>48</v>
      </c>
      <c r="F2046" t="s">
        <v>57</v>
      </c>
      <c r="G2046" t="s">
        <v>74</v>
      </c>
      <c r="H2046" t="s">
        <v>75</v>
      </c>
      <c r="I2046">
        <v>7</v>
      </c>
      <c r="J2046" s="3">
        <v>8208.82</v>
      </c>
      <c r="K2046" s="3">
        <v>57461.74</v>
      </c>
      <c r="L2046" t="s">
        <v>25</v>
      </c>
      <c r="M2046" s="2">
        <v>45834</v>
      </c>
      <c r="N2046" s="2">
        <v>45844</v>
      </c>
      <c r="O2046" t="s">
        <v>60</v>
      </c>
      <c r="P2046" t="s">
        <v>53</v>
      </c>
      <c r="Q2046" t="s">
        <v>28</v>
      </c>
      <c r="R2046" t="s">
        <v>129</v>
      </c>
      <c r="S2046">
        <v>2025</v>
      </c>
      <c r="T2046" t="s">
        <v>2743</v>
      </c>
      <c r="U2046" t="s">
        <v>2756</v>
      </c>
      <c r="V2046" s="4">
        <v>10</v>
      </c>
      <c r="W2046" s="4">
        <v>0</v>
      </c>
    </row>
    <row r="2047" spans="1:23">
      <c r="A2047" t="s">
        <v>2179</v>
      </c>
      <c r="B2047" s="2">
        <v>45730</v>
      </c>
      <c r="C2047" t="s">
        <v>19</v>
      </c>
      <c r="D2047" t="s">
        <v>20</v>
      </c>
      <c r="E2047" t="s">
        <v>31</v>
      </c>
      <c r="F2047" t="s">
        <v>22</v>
      </c>
      <c r="G2047" t="s">
        <v>32</v>
      </c>
      <c r="H2047" t="s">
        <v>33</v>
      </c>
      <c r="I2047">
        <v>1</v>
      </c>
      <c r="J2047" s="3">
        <v>7434.89</v>
      </c>
      <c r="K2047" s="3">
        <v>7434.89</v>
      </c>
      <c r="L2047" t="s">
        <v>25</v>
      </c>
      <c r="M2047" s="2">
        <v>45745</v>
      </c>
      <c r="N2047" s="2">
        <v>45742</v>
      </c>
      <c r="O2047" t="s">
        <v>43</v>
      </c>
      <c r="P2047" t="s">
        <v>94</v>
      </c>
      <c r="Q2047" t="s">
        <v>28</v>
      </c>
      <c r="R2047" t="s">
        <v>29</v>
      </c>
      <c r="S2047">
        <v>2025</v>
      </c>
      <c r="T2047" t="s">
        <v>2747</v>
      </c>
      <c r="U2047" t="s">
        <v>2748</v>
      </c>
      <c r="V2047" s="4">
        <v>0</v>
      </c>
      <c r="W2047" s="4">
        <v>1</v>
      </c>
    </row>
    <row r="2048" spans="1:23">
      <c r="A2048" t="s">
        <v>2180</v>
      </c>
      <c r="B2048" s="2">
        <v>46148</v>
      </c>
      <c r="C2048" t="s">
        <v>104</v>
      </c>
      <c r="D2048" t="s">
        <v>105</v>
      </c>
      <c r="E2048" t="s">
        <v>112</v>
      </c>
      <c r="F2048" t="s">
        <v>49</v>
      </c>
      <c r="G2048" t="s">
        <v>50</v>
      </c>
      <c r="H2048" t="s">
        <v>51</v>
      </c>
      <c r="I2048">
        <v>1</v>
      </c>
      <c r="J2048" s="3">
        <v>52884.32</v>
      </c>
      <c r="K2048" s="3">
        <v>52884.32</v>
      </c>
      <c r="L2048" t="s">
        <v>52</v>
      </c>
      <c r="M2048" s="2">
        <v>46164</v>
      </c>
      <c r="N2048" s="2">
        <v>46164</v>
      </c>
      <c r="O2048" t="s">
        <v>26</v>
      </c>
      <c r="P2048" t="s">
        <v>115</v>
      </c>
      <c r="Q2048" t="s">
        <v>28</v>
      </c>
      <c r="R2048" t="s">
        <v>29</v>
      </c>
      <c r="S2048">
        <v>2026</v>
      </c>
      <c r="T2048" t="s">
        <v>2766</v>
      </c>
      <c r="U2048" t="s">
        <v>2769</v>
      </c>
      <c r="V2048" s="4">
        <v>0</v>
      </c>
      <c r="W2048" s="4">
        <v>1</v>
      </c>
    </row>
    <row r="2049" spans="1:23">
      <c r="A2049" t="s">
        <v>2181</v>
      </c>
      <c r="B2049" s="2">
        <v>45807</v>
      </c>
      <c r="C2049" t="s">
        <v>46</v>
      </c>
      <c r="D2049" t="s">
        <v>47</v>
      </c>
      <c r="E2049" t="s">
        <v>48</v>
      </c>
      <c r="F2049" t="s">
        <v>49</v>
      </c>
      <c r="G2049" t="s">
        <v>113</v>
      </c>
      <c r="H2049" t="s">
        <v>114</v>
      </c>
      <c r="I2049">
        <v>1</v>
      </c>
      <c r="J2049" s="3">
        <v>41449.29</v>
      </c>
      <c r="K2049" s="3">
        <v>41449.29</v>
      </c>
      <c r="L2049" t="s">
        <v>25</v>
      </c>
      <c r="M2049" s="2">
        <v>45821</v>
      </c>
      <c r="N2049" s="2">
        <v>45820</v>
      </c>
      <c r="O2049" t="s">
        <v>43</v>
      </c>
      <c r="P2049" t="s">
        <v>53</v>
      </c>
      <c r="Q2049" t="s">
        <v>28</v>
      </c>
      <c r="R2049" t="s">
        <v>29</v>
      </c>
      <c r="S2049">
        <v>2025</v>
      </c>
      <c r="T2049" t="s">
        <v>2766</v>
      </c>
      <c r="U2049" t="s">
        <v>2767</v>
      </c>
      <c r="V2049" s="4">
        <v>0</v>
      </c>
      <c r="W2049" s="4">
        <v>1</v>
      </c>
    </row>
    <row r="2050" spans="1:23">
      <c r="A2050" t="s">
        <v>2182</v>
      </c>
      <c r="B2050" s="2">
        <v>46139</v>
      </c>
      <c r="C2050" t="s">
        <v>37</v>
      </c>
      <c r="D2050" t="s">
        <v>38</v>
      </c>
      <c r="E2050" t="s">
        <v>31</v>
      </c>
      <c r="F2050" t="s">
        <v>22</v>
      </c>
      <c r="G2050" t="s">
        <v>32</v>
      </c>
      <c r="H2050" t="s">
        <v>33</v>
      </c>
      <c r="I2050">
        <v>12</v>
      </c>
      <c r="J2050" s="3">
        <v>8650.3700000000008</v>
      </c>
      <c r="K2050" s="3">
        <v>103804.44</v>
      </c>
      <c r="L2050" t="s">
        <v>25</v>
      </c>
      <c r="M2050" s="2">
        <v>46154</v>
      </c>
      <c r="N2050" s="2">
        <v>46152</v>
      </c>
      <c r="O2050" t="s">
        <v>76</v>
      </c>
      <c r="P2050" t="s">
        <v>35</v>
      </c>
      <c r="Q2050" t="s">
        <v>28</v>
      </c>
      <c r="R2050" t="s">
        <v>29</v>
      </c>
      <c r="S2050">
        <v>2026</v>
      </c>
      <c r="T2050" t="s">
        <v>2741</v>
      </c>
      <c r="U2050" t="s">
        <v>2770</v>
      </c>
      <c r="V2050" s="4">
        <v>0</v>
      </c>
      <c r="W2050" s="4">
        <v>1</v>
      </c>
    </row>
    <row r="2051" spans="1:23">
      <c r="A2051" t="s">
        <v>2183</v>
      </c>
      <c r="B2051" s="2">
        <v>45941</v>
      </c>
      <c r="C2051" t="s">
        <v>134</v>
      </c>
      <c r="D2051" t="s">
        <v>135</v>
      </c>
      <c r="E2051" t="s">
        <v>112</v>
      </c>
      <c r="F2051" t="s">
        <v>40</v>
      </c>
      <c r="G2051" t="s">
        <v>62</v>
      </c>
      <c r="H2051" t="s">
        <v>63</v>
      </c>
      <c r="I2051">
        <v>7</v>
      </c>
      <c r="J2051" s="3">
        <v>19139.18</v>
      </c>
      <c r="K2051" s="3">
        <v>133974.26</v>
      </c>
      <c r="L2051" t="s">
        <v>25</v>
      </c>
      <c r="M2051" s="2">
        <v>45948</v>
      </c>
      <c r="N2051" s="2">
        <v>45946</v>
      </c>
      <c r="O2051" t="s">
        <v>26</v>
      </c>
      <c r="P2051" t="s">
        <v>115</v>
      </c>
      <c r="Q2051" t="s">
        <v>28</v>
      </c>
      <c r="R2051" t="s">
        <v>29</v>
      </c>
      <c r="S2051">
        <v>2025</v>
      </c>
      <c r="T2051" t="s">
        <v>2749</v>
      </c>
      <c r="U2051" t="s">
        <v>2750</v>
      </c>
      <c r="V2051" s="4">
        <v>0</v>
      </c>
      <c r="W2051" s="4">
        <v>1</v>
      </c>
    </row>
    <row r="2052" spans="1:23">
      <c r="A2052" t="s">
        <v>2184</v>
      </c>
      <c r="B2052" s="2">
        <v>45923</v>
      </c>
      <c r="C2052" t="s">
        <v>37</v>
      </c>
      <c r="D2052" t="s">
        <v>38</v>
      </c>
      <c r="E2052" t="s">
        <v>31</v>
      </c>
      <c r="F2052" t="s">
        <v>22</v>
      </c>
      <c r="G2052" t="s">
        <v>23</v>
      </c>
      <c r="H2052" t="s">
        <v>24</v>
      </c>
      <c r="I2052">
        <v>45</v>
      </c>
      <c r="J2052" s="3">
        <v>263.83</v>
      </c>
      <c r="K2052" s="3">
        <v>11872.35</v>
      </c>
      <c r="L2052" t="s">
        <v>25</v>
      </c>
      <c r="M2052" s="2">
        <v>45938</v>
      </c>
      <c r="N2052" s="2">
        <v>45938</v>
      </c>
      <c r="O2052" t="s">
        <v>60</v>
      </c>
      <c r="P2052" t="s">
        <v>35</v>
      </c>
      <c r="Q2052" t="s">
        <v>28</v>
      </c>
      <c r="R2052" t="s">
        <v>29</v>
      </c>
      <c r="S2052">
        <v>2025</v>
      </c>
      <c r="T2052" t="s">
        <v>2753</v>
      </c>
      <c r="U2052" t="s">
        <v>2754</v>
      </c>
      <c r="V2052" s="4">
        <v>0</v>
      </c>
      <c r="W2052" s="4">
        <v>1</v>
      </c>
    </row>
    <row r="2053" spans="1:23">
      <c r="A2053" t="s">
        <v>2185</v>
      </c>
      <c r="B2053" s="2">
        <v>46119</v>
      </c>
      <c r="C2053" t="s">
        <v>96</v>
      </c>
      <c r="D2053" t="s">
        <v>97</v>
      </c>
      <c r="E2053" t="s">
        <v>39</v>
      </c>
      <c r="F2053" t="s">
        <v>82</v>
      </c>
      <c r="G2053" t="s">
        <v>98</v>
      </c>
      <c r="H2053" t="s">
        <v>99</v>
      </c>
      <c r="I2053">
        <v>56</v>
      </c>
      <c r="J2053" s="3">
        <v>1184.6600000000001</v>
      </c>
      <c r="K2053" s="3">
        <v>66340.960000000006</v>
      </c>
      <c r="L2053" t="s">
        <v>25</v>
      </c>
      <c r="M2053" s="2">
        <v>46132</v>
      </c>
      <c r="N2053" s="2">
        <v>46129</v>
      </c>
      <c r="O2053" t="s">
        <v>26</v>
      </c>
      <c r="P2053" t="s">
        <v>44</v>
      </c>
      <c r="Q2053" t="s">
        <v>28</v>
      </c>
      <c r="R2053" t="s">
        <v>29</v>
      </c>
      <c r="S2053">
        <v>2026</v>
      </c>
      <c r="T2053" t="s">
        <v>2741</v>
      </c>
      <c r="U2053" t="s">
        <v>2770</v>
      </c>
      <c r="V2053" s="4">
        <v>0</v>
      </c>
      <c r="W2053" s="4">
        <v>1</v>
      </c>
    </row>
    <row r="2054" spans="1:23">
      <c r="A2054" t="s">
        <v>2186</v>
      </c>
      <c r="B2054" s="2">
        <v>45697</v>
      </c>
      <c r="C2054" t="s">
        <v>37</v>
      </c>
      <c r="D2054" t="s">
        <v>38</v>
      </c>
      <c r="E2054" t="s">
        <v>112</v>
      </c>
      <c r="F2054" t="s">
        <v>22</v>
      </c>
      <c r="G2054" t="s">
        <v>23</v>
      </c>
      <c r="H2054" t="s">
        <v>24</v>
      </c>
      <c r="I2054">
        <v>11</v>
      </c>
      <c r="J2054" s="3">
        <v>283.07</v>
      </c>
      <c r="K2054" s="3">
        <v>3113.77</v>
      </c>
      <c r="L2054" t="s">
        <v>25</v>
      </c>
      <c r="M2054" s="2">
        <v>45714</v>
      </c>
      <c r="N2054" s="2">
        <v>45711</v>
      </c>
      <c r="O2054" t="s">
        <v>60</v>
      </c>
      <c r="P2054" t="s">
        <v>115</v>
      </c>
      <c r="Q2054" t="s">
        <v>28</v>
      </c>
      <c r="R2054" t="s">
        <v>29</v>
      </c>
      <c r="S2054">
        <v>2025</v>
      </c>
      <c r="T2054" t="s">
        <v>2751</v>
      </c>
      <c r="U2054" t="s">
        <v>2752</v>
      </c>
      <c r="V2054" s="4">
        <v>0</v>
      </c>
      <c r="W2054" s="4">
        <v>1</v>
      </c>
    </row>
    <row r="2055" spans="1:23">
      <c r="A2055" t="s">
        <v>2187</v>
      </c>
      <c r="B2055" s="2">
        <v>45855</v>
      </c>
      <c r="C2055" t="s">
        <v>96</v>
      </c>
      <c r="D2055" t="s">
        <v>97</v>
      </c>
      <c r="E2055" t="s">
        <v>39</v>
      </c>
      <c r="F2055" t="s">
        <v>82</v>
      </c>
      <c r="G2055" t="s">
        <v>83</v>
      </c>
      <c r="H2055" t="s">
        <v>84</v>
      </c>
      <c r="I2055">
        <v>29</v>
      </c>
      <c r="J2055" s="3">
        <v>733.1</v>
      </c>
      <c r="K2055" s="3">
        <v>21259.9</v>
      </c>
      <c r="L2055" t="s">
        <v>25</v>
      </c>
      <c r="M2055" s="2">
        <v>45869</v>
      </c>
      <c r="N2055" s="2">
        <v>45868</v>
      </c>
      <c r="O2055" t="s">
        <v>76</v>
      </c>
      <c r="P2055" t="s">
        <v>44</v>
      </c>
      <c r="Q2055" t="s">
        <v>28</v>
      </c>
      <c r="R2055" t="s">
        <v>29</v>
      </c>
      <c r="S2055">
        <v>2025</v>
      </c>
      <c r="T2055" t="s">
        <v>2759</v>
      </c>
      <c r="U2055" t="s">
        <v>2760</v>
      </c>
      <c r="V2055" s="4">
        <v>0</v>
      </c>
      <c r="W2055" s="4">
        <v>1</v>
      </c>
    </row>
    <row r="2056" spans="1:23">
      <c r="A2056" t="s">
        <v>2188</v>
      </c>
      <c r="B2056" s="2">
        <v>45671</v>
      </c>
      <c r="C2056" t="s">
        <v>80</v>
      </c>
      <c r="D2056" t="s">
        <v>81</v>
      </c>
      <c r="E2056" t="s">
        <v>39</v>
      </c>
      <c r="F2056" t="s">
        <v>82</v>
      </c>
      <c r="G2056" t="s">
        <v>197</v>
      </c>
      <c r="H2056" t="s">
        <v>198</v>
      </c>
      <c r="I2056">
        <v>40</v>
      </c>
      <c r="J2056" s="3">
        <v>1938.52</v>
      </c>
      <c r="K2056" s="3">
        <v>77540.800000000003</v>
      </c>
      <c r="L2056" t="s">
        <v>34</v>
      </c>
      <c r="M2056" s="2">
        <v>45681</v>
      </c>
      <c r="N2056" s="2">
        <v>45681</v>
      </c>
      <c r="O2056" t="s">
        <v>26</v>
      </c>
      <c r="P2056" t="s">
        <v>64</v>
      </c>
      <c r="Q2056" t="s">
        <v>28</v>
      </c>
      <c r="R2056" t="s">
        <v>29</v>
      </c>
      <c r="S2056">
        <v>2025</v>
      </c>
      <c r="T2056" t="s">
        <v>2757</v>
      </c>
      <c r="U2056" t="s">
        <v>2768</v>
      </c>
      <c r="V2056" s="4">
        <v>0</v>
      </c>
      <c r="W2056" s="4">
        <v>1</v>
      </c>
    </row>
    <row r="2057" spans="1:23">
      <c r="A2057" t="s">
        <v>2189</v>
      </c>
      <c r="B2057" s="2">
        <v>46060</v>
      </c>
      <c r="C2057" t="s">
        <v>19</v>
      </c>
      <c r="D2057" t="s">
        <v>20</v>
      </c>
      <c r="E2057" t="s">
        <v>39</v>
      </c>
      <c r="F2057" t="s">
        <v>22</v>
      </c>
      <c r="G2057" t="s">
        <v>160</v>
      </c>
      <c r="H2057" t="s">
        <v>161</v>
      </c>
      <c r="I2057">
        <v>13</v>
      </c>
      <c r="J2057" s="3">
        <v>2999.76</v>
      </c>
      <c r="K2057" s="3">
        <v>38996.879999999997</v>
      </c>
      <c r="L2057" t="s">
        <v>25</v>
      </c>
      <c r="M2057" s="2">
        <v>46066</v>
      </c>
      <c r="N2057" s="2">
        <v>46063</v>
      </c>
      <c r="O2057" t="s">
        <v>43</v>
      </c>
      <c r="P2057" t="s">
        <v>64</v>
      </c>
      <c r="Q2057" t="s">
        <v>28</v>
      </c>
      <c r="R2057" t="s">
        <v>29</v>
      </c>
      <c r="S2057">
        <v>2026</v>
      </c>
      <c r="T2057" t="s">
        <v>2751</v>
      </c>
      <c r="U2057" t="s">
        <v>2765</v>
      </c>
      <c r="V2057" s="4">
        <v>0</v>
      </c>
      <c r="W2057" s="4">
        <v>1</v>
      </c>
    </row>
    <row r="2058" spans="1:23">
      <c r="A2058" t="s">
        <v>2190</v>
      </c>
      <c r="B2058" s="2">
        <v>45909</v>
      </c>
      <c r="C2058" t="s">
        <v>71</v>
      </c>
      <c r="D2058" t="s">
        <v>72</v>
      </c>
      <c r="E2058" t="s">
        <v>31</v>
      </c>
      <c r="F2058" t="s">
        <v>57</v>
      </c>
      <c r="G2058" t="s">
        <v>74</v>
      </c>
      <c r="H2058" t="s">
        <v>75</v>
      </c>
      <c r="I2058">
        <v>1</v>
      </c>
      <c r="J2058" s="3">
        <v>8015.39</v>
      </c>
      <c r="K2058" s="3">
        <v>8015.39</v>
      </c>
      <c r="L2058" t="s">
        <v>25</v>
      </c>
      <c r="M2058" s="2">
        <v>45923</v>
      </c>
      <c r="N2058" s="2">
        <v>45921</v>
      </c>
      <c r="O2058" t="s">
        <v>76</v>
      </c>
      <c r="P2058" t="s">
        <v>35</v>
      </c>
      <c r="Q2058" t="s">
        <v>28</v>
      </c>
      <c r="R2058" t="s">
        <v>29</v>
      </c>
      <c r="S2058">
        <v>2025</v>
      </c>
      <c r="T2058" t="s">
        <v>2753</v>
      </c>
      <c r="U2058" t="s">
        <v>2754</v>
      </c>
      <c r="V2058" s="4">
        <v>0</v>
      </c>
      <c r="W2058" s="4">
        <v>1</v>
      </c>
    </row>
    <row r="2059" spans="1:23">
      <c r="A2059" t="s">
        <v>2191</v>
      </c>
      <c r="B2059" s="2">
        <v>45810</v>
      </c>
      <c r="C2059" t="s">
        <v>104</v>
      </c>
      <c r="D2059" t="s">
        <v>105</v>
      </c>
      <c r="E2059" t="s">
        <v>73</v>
      </c>
      <c r="F2059" t="s">
        <v>49</v>
      </c>
      <c r="G2059" t="s">
        <v>165</v>
      </c>
      <c r="H2059" t="s">
        <v>166</v>
      </c>
      <c r="I2059">
        <v>1</v>
      </c>
      <c r="J2059" s="3">
        <v>44893.29</v>
      </c>
      <c r="K2059" s="3">
        <v>44893.29</v>
      </c>
      <c r="L2059" t="s">
        <v>34</v>
      </c>
      <c r="M2059" s="2">
        <v>45819</v>
      </c>
      <c r="N2059" s="2">
        <v>45817</v>
      </c>
      <c r="O2059" t="s">
        <v>60</v>
      </c>
      <c r="P2059" t="s">
        <v>77</v>
      </c>
      <c r="Q2059" t="s">
        <v>28</v>
      </c>
      <c r="R2059" t="s">
        <v>29</v>
      </c>
      <c r="S2059">
        <v>2025</v>
      </c>
      <c r="T2059" t="s">
        <v>2743</v>
      </c>
      <c r="U2059" t="s">
        <v>2756</v>
      </c>
      <c r="V2059" s="4">
        <v>0</v>
      </c>
      <c r="W2059" s="4">
        <v>1</v>
      </c>
    </row>
    <row r="2060" spans="1:23">
      <c r="A2060" t="s">
        <v>2192</v>
      </c>
      <c r="B2060" s="2">
        <v>45768</v>
      </c>
      <c r="C2060" t="s">
        <v>117</v>
      </c>
      <c r="D2060" t="s">
        <v>118</v>
      </c>
      <c r="E2060" t="s">
        <v>21</v>
      </c>
      <c r="F2060" t="s">
        <v>57</v>
      </c>
      <c r="G2060" t="s">
        <v>127</v>
      </c>
      <c r="H2060" t="s">
        <v>128</v>
      </c>
      <c r="I2060">
        <v>8</v>
      </c>
      <c r="J2060" s="3">
        <v>16746.16</v>
      </c>
      <c r="K2060" s="3">
        <v>133969.28</v>
      </c>
      <c r="L2060" t="s">
        <v>34</v>
      </c>
      <c r="M2060" s="2">
        <v>45783</v>
      </c>
      <c r="N2060" s="2">
        <v>45783</v>
      </c>
      <c r="O2060" t="s">
        <v>76</v>
      </c>
      <c r="P2060" t="s">
        <v>27</v>
      </c>
      <c r="Q2060" t="s">
        <v>28</v>
      </c>
      <c r="R2060" t="s">
        <v>29</v>
      </c>
      <c r="S2060">
        <v>2025</v>
      </c>
      <c r="T2060" t="s">
        <v>2741</v>
      </c>
      <c r="U2060" t="s">
        <v>2742</v>
      </c>
      <c r="V2060" s="4">
        <v>0</v>
      </c>
      <c r="W2060" s="4">
        <v>1</v>
      </c>
    </row>
    <row r="2061" spans="1:23">
      <c r="A2061" t="s">
        <v>2193</v>
      </c>
      <c r="B2061" s="2">
        <v>46106</v>
      </c>
      <c r="C2061" t="s">
        <v>37</v>
      </c>
      <c r="D2061" t="s">
        <v>38</v>
      </c>
      <c r="E2061" t="s">
        <v>39</v>
      </c>
      <c r="F2061" t="s">
        <v>22</v>
      </c>
      <c r="G2061" t="s">
        <v>23</v>
      </c>
      <c r="H2061" t="s">
        <v>24</v>
      </c>
      <c r="I2061">
        <v>39</v>
      </c>
      <c r="J2061" s="3">
        <v>273.05</v>
      </c>
      <c r="K2061" s="3">
        <v>10648.95</v>
      </c>
      <c r="L2061" t="s">
        <v>25</v>
      </c>
      <c r="M2061" s="2">
        <v>46121</v>
      </c>
      <c r="N2061" s="2">
        <v>46121</v>
      </c>
      <c r="O2061" t="s">
        <v>76</v>
      </c>
      <c r="P2061" t="s">
        <v>44</v>
      </c>
      <c r="Q2061" t="s">
        <v>28</v>
      </c>
      <c r="R2061" t="s">
        <v>29</v>
      </c>
      <c r="S2061">
        <v>2026</v>
      </c>
      <c r="T2061" t="s">
        <v>2747</v>
      </c>
      <c r="U2061" t="s">
        <v>2755</v>
      </c>
      <c r="V2061" s="4">
        <v>0</v>
      </c>
      <c r="W2061" s="4">
        <v>1</v>
      </c>
    </row>
    <row r="2062" spans="1:23">
      <c r="A2062" t="s">
        <v>2194</v>
      </c>
      <c r="B2062" s="2">
        <v>46087</v>
      </c>
      <c r="C2062" t="s">
        <v>131</v>
      </c>
      <c r="D2062" t="s">
        <v>132</v>
      </c>
      <c r="E2062" t="s">
        <v>21</v>
      </c>
      <c r="F2062" t="s">
        <v>57</v>
      </c>
      <c r="G2062" t="s">
        <v>101</v>
      </c>
      <c r="H2062" t="s">
        <v>102</v>
      </c>
      <c r="I2062">
        <v>25</v>
      </c>
      <c r="J2062" s="3">
        <v>1874.52</v>
      </c>
      <c r="K2062" s="3">
        <v>46863</v>
      </c>
      <c r="L2062" t="s">
        <v>25</v>
      </c>
      <c r="M2062" s="2">
        <v>46104</v>
      </c>
      <c r="N2062" s="2">
        <v>46102</v>
      </c>
      <c r="O2062" t="s">
        <v>60</v>
      </c>
      <c r="P2062" t="s">
        <v>27</v>
      </c>
      <c r="Q2062" t="s">
        <v>28</v>
      </c>
      <c r="R2062" t="s">
        <v>29</v>
      </c>
      <c r="S2062">
        <v>2026</v>
      </c>
      <c r="T2062" t="s">
        <v>2747</v>
      </c>
      <c r="U2062" t="s">
        <v>2755</v>
      </c>
      <c r="V2062" s="4">
        <v>0</v>
      </c>
      <c r="W2062" s="4">
        <v>1</v>
      </c>
    </row>
    <row r="2063" spans="1:23">
      <c r="A2063" t="s">
        <v>2195</v>
      </c>
      <c r="B2063" s="2">
        <v>45998</v>
      </c>
      <c r="C2063" t="s">
        <v>71</v>
      </c>
      <c r="D2063" t="s">
        <v>72</v>
      </c>
      <c r="E2063" t="s">
        <v>31</v>
      </c>
      <c r="F2063" t="s">
        <v>57</v>
      </c>
      <c r="G2063" t="s">
        <v>127</v>
      </c>
      <c r="H2063" t="s">
        <v>128</v>
      </c>
      <c r="I2063">
        <v>4</v>
      </c>
      <c r="J2063" s="3">
        <v>15601.32</v>
      </c>
      <c r="K2063" s="3">
        <v>62405.279999999999</v>
      </c>
      <c r="L2063" t="s">
        <v>25</v>
      </c>
      <c r="M2063" s="2">
        <v>46006</v>
      </c>
      <c r="N2063" s="2">
        <v>46003</v>
      </c>
      <c r="O2063" t="s">
        <v>26</v>
      </c>
      <c r="P2063" t="s">
        <v>94</v>
      </c>
      <c r="Q2063" t="s">
        <v>28</v>
      </c>
      <c r="R2063" t="s">
        <v>29</v>
      </c>
      <c r="S2063">
        <v>2025</v>
      </c>
      <c r="T2063" t="s">
        <v>2745</v>
      </c>
      <c r="U2063" t="s">
        <v>2746</v>
      </c>
      <c r="V2063" s="4">
        <v>0</v>
      </c>
      <c r="W2063" s="4">
        <v>1</v>
      </c>
    </row>
    <row r="2064" spans="1:23">
      <c r="A2064" t="s">
        <v>2196</v>
      </c>
      <c r="B2064" s="2">
        <v>46078</v>
      </c>
      <c r="C2064" t="s">
        <v>37</v>
      </c>
      <c r="D2064" t="s">
        <v>38</v>
      </c>
      <c r="E2064" t="s">
        <v>31</v>
      </c>
      <c r="F2064" t="s">
        <v>22</v>
      </c>
      <c r="G2064" t="s">
        <v>32</v>
      </c>
      <c r="H2064" t="s">
        <v>33</v>
      </c>
      <c r="I2064">
        <v>7</v>
      </c>
      <c r="J2064" s="3">
        <v>8312.85</v>
      </c>
      <c r="K2064" s="3">
        <v>58189.95</v>
      </c>
      <c r="L2064" t="s">
        <v>52</v>
      </c>
      <c r="M2064" s="2">
        <v>46094</v>
      </c>
      <c r="N2064" s="2">
        <v>46093</v>
      </c>
      <c r="O2064" t="s">
        <v>60</v>
      </c>
      <c r="P2064" t="s">
        <v>94</v>
      </c>
      <c r="Q2064" t="s">
        <v>28</v>
      </c>
      <c r="R2064" t="s">
        <v>29</v>
      </c>
      <c r="S2064">
        <v>2026</v>
      </c>
      <c r="T2064" t="s">
        <v>2751</v>
      </c>
      <c r="U2064" t="s">
        <v>2765</v>
      </c>
      <c r="V2064" s="4">
        <v>0</v>
      </c>
      <c r="W2064" s="4">
        <v>1</v>
      </c>
    </row>
    <row r="2065" spans="1:23">
      <c r="A2065" t="s">
        <v>2197</v>
      </c>
      <c r="B2065" s="2">
        <v>45846</v>
      </c>
      <c r="C2065" t="s">
        <v>71</v>
      </c>
      <c r="D2065" t="s">
        <v>72</v>
      </c>
      <c r="E2065" t="s">
        <v>31</v>
      </c>
      <c r="F2065" t="s">
        <v>57</v>
      </c>
      <c r="G2065" t="s">
        <v>58</v>
      </c>
      <c r="H2065" t="s">
        <v>59</v>
      </c>
      <c r="I2065">
        <v>8</v>
      </c>
      <c r="J2065" s="3">
        <v>53024.03</v>
      </c>
      <c r="K2065" s="3">
        <v>424192.24</v>
      </c>
      <c r="L2065" t="s">
        <v>34</v>
      </c>
      <c r="M2065" s="2">
        <v>45863</v>
      </c>
      <c r="N2065" s="2">
        <v>45860</v>
      </c>
      <c r="O2065" t="s">
        <v>60</v>
      </c>
      <c r="P2065" t="s">
        <v>94</v>
      </c>
      <c r="Q2065" t="s">
        <v>28</v>
      </c>
      <c r="R2065" t="s">
        <v>29</v>
      </c>
      <c r="S2065">
        <v>2025</v>
      </c>
      <c r="T2065" t="s">
        <v>2759</v>
      </c>
      <c r="U2065" t="s">
        <v>2760</v>
      </c>
      <c r="V2065" s="4">
        <v>0</v>
      </c>
      <c r="W2065" s="4">
        <v>1</v>
      </c>
    </row>
    <row r="2066" spans="1:23">
      <c r="A2066" t="s">
        <v>2198</v>
      </c>
      <c r="B2066" s="2">
        <v>45768</v>
      </c>
      <c r="C2066" t="s">
        <v>96</v>
      </c>
      <c r="D2066" t="s">
        <v>97</v>
      </c>
      <c r="E2066" t="s">
        <v>39</v>
      </c>
      <c r="F2066" t="s">
        <v>82</v>
      </c>
      <c r="G2066" t="s">
        <v>83</v>
      </c>
      <c r="H2066" t="s">
        <v>84</v>
      </c>
      <c r="I2066">
        <v>34</v>
      </c>
      <c r="J2066" s="3">
        <v>738.14</v>
      </c>
      <c r="K2066" s="3">
        <v>25096.76</v>
      </c>
      <c r="L2066" t="s">
        <v>52</v>
      </c>
      <c r="M2066" s="2">
        <v>45779</v>
      </c>
      <c r="N2066" s="2">
        <v>45778</v>
      </c>
      <c r="O2066" t="s">
        <v>60</v>
      </c>
      <c r="P2066" t="s">
        <v>64</v>
      </c>
      <c r="Q2066" t="s">
        <v>28</v>
      </c>
      <c r="R2066" t="s">
        <v>29</v>
      </c>
      <c r="S2066">
        <v>2025</v>
      </c>
      <c r="T2066" t="s">
        <v>2741</v>
      </c>
      <c r="U2066" t="s">
        <v>2742</v>
      </c>
      <c r="V2066" s="4">
        <v>0</v>
      </c>
      <c r="W2066" s="4">
        <v>1</v>
      </c>
    </row>
    <row r="2067" spans="1:23">
      <c r="A2067" t="s">
        <v>2199</v>
      </c>
      <c r="B2067" s="2">
        <v>45733</v>
      </c>
      <c r="C2067" t="s">
        <v>37</v>
      </c>
      <c r="D2067" t="s">
        <v>38</v>
      </c>
      <c r="E2067" t="s">
        <v>39</v>
      </c>
      <c r="F2067" t="s">
        <v>22</v>
      </c>
      <c r="G2067" t="s">
        <v>32</v>
      </c>
      <c r="H2067" t="s">
        <v>33</v>
      </c>
      <c r="I2067">
        <v>11</v>
      </c>
      <c r="J2067" s="3">
        <v>8453.9599999999991</v>
      </c>
      <c r="K2067" s="3">
        <v>92993.56</v>
      </c>
      <c r="L2067" t="s">
        <v>34</v>
      </c>
      <c r="M2067" s="2">
        <v>45751</v>
      </c>
      <c r="N2067" s="2">
        <v>45750</v>
      </c>
      <c r="O2067" t="s">
        <v>60</v>
      </c>
      <c r="P2067" t="s">
        <v>64</v>
      </c>
      <c r="Q2067" t="s">
        <v>28</v>
      </c>
      <c r="R2067" t="s">
        <v>29</v>
      </c>
      <c r="S2067">
        <v>2025</v>
      </c>
      <c r="T2067" t="s">
        <v>2747</v>
      </c>
      <c r="U2067" t="s">
        <v>2748</v>
      </c>
      <c r="V2067" s="4">
        <v>0</v>
      </c>
      <c r="W2067" s="4">
        <v>1</v>
      </c>
    </row>
    <row r="2068" spans="1:23">
      <c r="A2068" t="s">
        <v>2200</v>
      </c>
      <c r="B2068" s="2">
        <v>45773</v>
      </c>
      <c r="C2068" t="s">
        <v>142</v>
      </c>
      <c r="D2068" t="s">
        <v>143</v>
      </c>
      <c r="E2068" t="s">
        <v>21</v>
      </c>
      <c r="F2068" t="s">
        <v>22</v>
      </c>
      <c r="G2068" t="s">
        <v>160</v>
      </c>
      <c r="H2068" t="s">
        <v>161</v>
      </c>
      <c r="I2068">
        <v>7</v>
      </c>
      <c r="J2068" s="3">
        <v>3073.14</v>
      </c>
      <c r="K2068" s="3">
        <v>21511.98</v>
      </c>
      <c r="L2068" t="s">
        <v>52</v>
      </c>
      <c r="M2068" s="2">
        <v>45778</v>
      </c>
      <c r="N2068" s="2">
        <v>45777</v>
      </c>
      <c r="O2068" t="s">
        <v>26</v>
      </c>
      <c r="P2068" t="s">
        <v>27</v>
      </c>
      <c r="Q2068" t="s">
        <v>28</v>
      </c>
      <c r="R2068" t="s">
        <v>29</v>
      </c>
      <c r="S2068">
        <v>2025</v>
      </c>
      <c r="T2068" t="s">
        <v>2741</v>
      </c>
      <c r="U2068" t="s">
        <v>2742</v>
      </c>
      <c r="V2068" s="4">
        <v>0</v>
      </c>
      <c r="W2068" s="4">
        <v>1</v>
      </c>
    </row>
    <row r="2069" spans="1:23">
      <c r="A2069" t="s">
        <v>2201</v>
      </c>
      <c r="B2069" s="2">
        <v>45844</v>
      </c>
      <c r="C2069" t="s">
        <v>134</v>
      </c>
      <c r="D2069" t="s">
        <v>135</v>
      </c>
      <c r="E2069" t="s">
        <v>39</v>
      </c>
      <c r="F2069" t="s">
        <v>40</v>
      </c>
      <c r="G2069" t="s">
        <v>136</v>
      </c>
      <c r="H2069" t="s">
        <v>137</v>
      </c>
      <c r="I2069">
        <v>33</v>
      </c>
      <c r="J2069" s="3">
        <v>1664.41</v>
      </c>
      <c r="K2069" s="3">
        <v>54925.53</v>
      </c>
      <c r="L2069" t="s">
        <v>25</v>
      </c>
      <c r="M2069" s="2">
        <v>45861</v>
      </c>
      <c r="N2069" s="2">
        <v>45860</v>
      </c>
      <c r="O2069" t="s">
        <v>26</v>
      </c>
      <c r="P2069" t="s">
        <v>64</v>
      </c>
      <c r="Q2069" t="s">
        <v>28</v>
      </c>
      <c r="R2069" t="s">
        <v>29</v>
      </c>
      <c r="S2069">
        <v>2025</v>
      </c>
      <c r="T2069" t="s">
        <v>2759</v>
      </c>
      <c r="U2069" t="s">
        <v>2760</v>
      </c>
      <c r="V2069" s="4">
        <v>0</v>
      </c>
      <c r="W2069" s="4">
        <v>1</v>
      </c>
    </row>
    <row r="2070" spans="1:23">
      <c r="A2070" t="s">
        <v>2202</v>
      </c>
      <c r="B2070" s="2">
        <v>45829</v>
      </c>
      <c r="C2070" t="s">
        <v>89</v>
      </c>
      <c r="D2070" t="s">
        <v>90</v>
      </c>
      <c r="E2070" t="s">
        <v>31</v>
      </c>
      <c r="F2070" t="s">
        <v>91</v>
      </c>
      <c r="G2070" t="s">
        <v>109</v>
      </c>
      <c r="H2070" t="s">
        <v>110</v>
      </c>
      <c r="I2070">
        <v>1</v>
      </c>
      <c r="J2070" s="3">
        <v>12791.65</v>
      </c>
      <c r="K2070" s="3">
        <v>12791.65</v>
      </c>
      <c r="L2070" t="s">
        <v>34</v>
      </c>
      <c r="M2070" s="2">
        <v>45842</v>
      </c>
      <c r="N2070" s="2">
        <v>45841</v>
      </c>
      <c r="O2070" t="s">
        <v>76</v>
      </c>
      <c r="P2070" t="s">
        <v>35</v>
      </c>
      <c r="Q2070" t="s">
        <v>28</v>
      </c>
      <c r="R2070" t="s">
        <v>29</v>
      </c>
      <c r="S2070">
        <v>2025</v>
      </c>
      <c r="T2070" t="s">
        <v>2743</v>
      </c>
      <c r="U2070" t="s">
        <v>2756</v>
      </c>
      <c r="V2070" s="4">
        <v>0</v>
      </c>
      <c r="W2070" s="4">
        <v>1</v>
      </c>
    </row>
    <row r="2071" spans="1:23">
      <c r="A2071" t="s">
        <v>2203</v>
      </c>
      <c r="B2071" s="2">
        <v>46076</v>
      </c>
      <c r="C2071" t="s">
        <v>19</v>
      </c>
      <c r="D2071" t="s">
        <v>20</v>
      </c>
      <c r="E2071" t="s">
        <v>31</v>
      </c>
      <c r="F2071" t="s">
        <v>22</v>
      </c>
      <c r="G2071" t="s">
        <v>23</v>
      </c>
      <c r="H2071" t="s">
        <v>24</v>
      </c>
      <c r="I2071">
        <v>21</v>
      </c>
      <c r="J2071" s="3">
        <v>236.91</v>
      </c>
      <c r="K2071" s="3">
        <v>4975.1099999999997</v>
      </c>
      <c r="L2071" t="s">
        <v>25</v>
      </c>
      <c r="M2071" s="2">
        <v>46088</v>
      </c>
      <c r="N2071" s="2">
        <v>46100</v>
      </c>
      <c r="O2071" t="s">
        <v>76</v>
      </c>
      <c r="P2071" t="s">
        <v>94</v>
      </c>
      <c r="Q2071" t="s">
        <v>28</v>
      </c>
      <c r="R2071" t="s">
        <v>129</v>
      </c>
      <c r="S2071">
        <v>2026</v>
      </c>
      <c r="T2071" t="s">
        <v>2751</v>
      </c>
      <c r="U2071" t="s">
        <v>2765</v>
      </c>
      <c r="V2071" s="4">
        <v>12</v>
      </c>
      <c r="W2071" s="4">
        <v>0</v>
      </c>
    </row>
    <row r="2072" spans="1:23">
      <c r="A2072" t="s">
        <v>2204</v>
      </c>
      <c r="B2072" s="2">
        <v>46028</v>
      </c>
      <c r="C2072" t="s">
        <v>104</v>
      </c>
      <c r="D2072" t="s">
        <v>105</v>
      </c>
      <c r="E2072" t="s">
        <v>73</v>
      </c>
      <c r="F2072" t="s">
        <v>49</v>
      </c>
      <c r="G2072" t="s">
        <v>165</v>
      </c>
      <c r="H2072" t="s">
        <v>166</v>
      </c>
      <c r="I2072">
        <v>3</v>
      </c>
      <c r="J2072" s="3">
        <v>45417.19</v>
      </c>
      <c r="K2072" s="3">
        <v>136251.57</v>
      </c>
      <c r="L2072" t="s">
        <v>34</v>
      </c>
      <c r="M2072" s="2">
        <v>46037</v>
      </c>
      <c r="N2072" s="2">
        <v>46039</v>
      </c>
      <c r="O2072" t="s">
        <v>76</v>
      </c>
      <c r="P2072" t="s">
        <v>77</v>
      </c>
      <c r="Q2072" t="s">
        <v>28</v>
      </c>
      <c r="R2072" t="s">
        <v>129</v>
      </c>
      <c r="S2072">
        <v>2026</v>
      </c>
      <c r="T2072" t="s">
        <v>2757</v>
      </c>
      <c r="U2072" t="s">
        <v>2758</v>
      </c>
      <c r="V2072" s="4">
        <v>2</v>
      </c>
      <c r="W2072" s="4">
        <v>0</v>
      </c>
    </row>
    <row r="2073" spans="1:23">
      <c r="A2073" t="s">
        <v>2205</v>
      </c>
      <c r="B2073" s="2">
        <v>45983</v>
      </c>
      <c r="C2073" t="s">
        <v>142</v>
      </c>
      <c r="D2073" t="s">
        <v>143</v>
      </c>
      <c r="E2073" t="s">
        <v>73</v>
      </c>
      <c r="F2073" t="s">
        <v>22</v>
      </c>
      <c r="G2073" t="s">
        <v>160</v>
      </c>
      <c r="H2073" t="s">
        <v>161</v>
      </c>
      <c r="I2073">
        <v>9</v>
      </c>
      <c r="J2073" s="3">
        <v>3280.53</v>
      </c>
      <c r="K2073" s="3">
        <v>29524.77</v>
      </c>
      <c r="L2073" t="s">
        <v>25</v>
      </c>
      <c r="M2073" s="2">
        <v>45996</v>
      </c>
      <c r="N2073" s="2">
        <v>45995</v>
      </c>
      <c r="O2073" t="s">
        <v>26</v>
      </c>
      <c r="P2073" t="s">
        <v>77</v>
      </c>
      <c r="Q2073" t="s">
        <v>28</v>
      </c>
      <c r="R2073" t="s">
        <v>29</v>
      </c>
      <c r="S2073">
        <v>2025</v>
      </c>
      <c r="T2073" t="s">
        <v>2763</v>
      </c>
      <c r="U2073" t="s">
        <v>2764</v>
      </c>
      <c r="V2073" s="4">
        <v>0</v>
      </c>
      <c r="W2073" s="4">
        <v>1</v>
      </c>
    </row>
    <row r="2074" spans="1:23">
      <c r="A2074" t="s">
        <v>2206</v>
      </c>
      <c r="B2074" s="2">
        <v>46192</v>
      </c>
      <c r="C2074" t="s">
        <v>37</v>
      </c>
      <c r="D2074" t="s">
        <v>38</v>
      </c>
      <c r="E2074" t="s">
        <v>31</v>
      </c>
      <c r="F2074" t="s">
        <v>22</v>
      </c>
      <c r="G2074" t="s">
        <v>23</v>
      </c>
      <c r="H2074" t="s">
        <v>24</v>
      </c>
      <c r="I2074">
        <v>9</v>
      </c>
      <c r="J2074" s="3">
        <v>267.87</v>
      </c>
      <c r="K2074" s="3">
        <v>2410.83</v>
      </c>
      <c r="L2074" t="s">
        <v>25</v>
      </c>
      <c r="M2074" s="2">
        <v>46208</v>
      </c>
      <c r="N2074" s="2"/>
      <c r="O2074" t="s">
        <v>43</v>
      </c>
      <c r="P2074" t="s">
        <v>35</v>
      </c>
      <c r="Q2074" t="s">
        <v>167</v>
      </c>
      <c r="R2074" t="s">
        <v>167</v>
      </c>
      <c r="S2074">
        <v>2026</v>
      </c>
      <c r="T2074" t="s">
        <v>2743</v>
      </c>
      <c r="U2074" t="s">
        <v>2744</v>
      </c>
      <c r="V2074" s="4"/>
      <c r="W2074" s="4"/>
    </row>
    <row r="2075" spans="1:23">
      <c r="A2075" t="s">
        <v>2207</v>
      </c>
      <c r="B2075" s="2">
        <v>45734</v>
      </c>
      <c r="C2075" t="s">
        <v>142</v>
      </c>
      <c r="D2075" t="s">
        <v>143</v>
      </c>
      <c r="E2075" t="s">
        <v>112</v>
      </c>
      <c r="F2075" t="s">
        <v>22</v>
      </c>
      <c r="G2075" t="s">
        <v>160</v>
      </c>
      <c r="H2075" t="s">
        <v>161</v>
      </c>
      <c r="I2075">
        <v>9</v>
      </c>
      <c r="J2075" s="3">
        <v>3420.98</v>
      </c>
      <c r="K2075" s="3">
        <v>30788.82</v>
      </c>
      <c r="L2075" t="s">
        <v>25</v>
      </c>
      <c r="M2075" s="2">
        <v>45747</v>
      </c>
      <c r="N2075" s="2">
        <v>45752</v>
      </c>
      <c r="O2075" t="s">
        <v>60</v>
      </c>
      <c r="P2075" t="s">
        <v>115</v>
      </c>
      <c r="Q2075" t="s">
        <v>28</v>
      </c>
      <c r="R2075" t="s">
        <v>129</v>
      </c>
      <c r="S2075">
        <v>2025</v>
      </c>
      <c r="T2075" t="s">
        <v>2747</v>
      </c>
      <c r="U2075" t="s">
        <v>2748</v>
      </c>
      <c r="V2075" s="4">
        <v>5</v>
      </c>
      <c r="W2075" s="4">
        <v>0</v>
      </c>
    </row>
    <row r="2076" spans="1:23">
      <c r="A2076" t="s">
        <v>2208</v>
      </c>
      <c r="B2076" s="2">
        <v>46034</v>
      </c>
      <c r="C2076" t="s">
        <v>96</v>
      </c>
      <c r="D2076" t="s">
        <v>97</v>
      </c>
      <c r="E2076" t="s">
        <v>39</v>
      </c>
      <c r="F2076" t="s">
        <v>82</v>
      </c>
      <c r="G2076" t="s">
        <v>197</v>
      </c>
      <c r="H2076" t="s">
        <v>198</v>
      </c>
      <c r="I2076">
        <v>16</v>
      </c>
      <c r="J2076" s="3">
        <v>2059.6799999999998</v>
      </c>
      <c r="K2076" s="3">
        <v>32954.879999999997</v>
      </c>
      <c r="L2076" t="s">
        <v>25</v>
      </c>
      <c r="M2076" s="2">
        <v>46051</v>
      </c>
      <c r="N2076" s="2">
        <v>46049</v>
      </c>
      <c r="O2076" t="s">
        <v>76</v>
      </c>
      <c r="P2076" t="s">
        <v>64</v>
      </c>
      <c r="Q2076" t="s">
        <v>28</v>
      </c>
      <c r="R2076" t="s">
        <v>29</v>
      </c>
      <c r="S2076">
        <v>2026</v>
      </c>
      <c r="T2076" t="s">
        <v>2757</v>
      </c>
      <c r="U2076" t="s">
        <v>2758</v>
      </c>
      <c r="V2076" s="4">
        <v>0</v>
      </c>
      <c r="W2076" s="4">
        <v>1</v>
      </c>
    </row>
    <row r="2077" spans="1:23">
      <c r="A2077" t="s">
        <v>2209</v>
      </c>
      <c r="B2077" s="2">
        <v>45934</v>
      </c>
      <c r="C2077" t="s">
        <v>19</v>
      </c>
      <c r="D2077" t="s">
        <v>20</v>
      </c>
      <c r="E2077" t="s">
        <v>73</v>
      </c>
      <c r="F2077" t="s">
        <v>22</v>
      </c>
      <c r="G2077" t="s">
        <v>23</v>
      </c>
      <c r="H2077" t="s">
        <v>24</v>
      </c>
      <c r="I2077">
        <v>44</v>
      </c>
      <c r="J2077" s="3">
        <v>220.49</v>
      </c>
      <c r="K2077" s="3">
        <v>9701.56</v>
      </c>
      <c r="L2077" t="s">
        <v>25</v>
      </c>
      <c r="M2077" s="2">
        <v>45947</v>
      </c>
      <c r="N2077" s="2">
        <v>45947</v>
      </c>
      <c r="O2077" t="s">
        <v>43</v>
      </c>
      <c r="P2077" t="s">
        <v>77</v>
      </c>
      <c r="Q2077" t="s">
        <v>28</v>
      </c>
      <c r="R2077" t="s">
        <v>29</v>
      </c>
      <c r="S2077">
        <v>2025</v>
      </c>
      <c r="T2077" t="s">
        <v>2749</v>
      </c>
      <c r="U2077" t="s">
        <v>2750</v>
      </c>
      <c r="V2077" s="4">
        <v>0</v>
      </c>
      <c r="W2077" s="4">
        <v>1</v>
      </c>
    </row>
    <row r="2078" spans="1:23">
      <c r="A2078" t="s">
        <v>2210</v>
      </c>
      <c r="B2078" s="2">
        <v>46140</v>
      </c>
      <c r="C2078" t="s">
        <v>142</v>
      </c>
      <c r="D2078" t="s">
        <v>143</v>
      </c>
      <c r="E2078" t="s">
        <v>31</v>
      </c>
      <c r="F2078" t="s">
        <v>22</v>
      </c>
      <c r="G2078" t="s">
        <v>32</v>
      </c>
      <c r="H2078" t="s">
        <v>33</v>
      </c>
      <c r="I2078">
        <v>2</v>
      </c>
      <c r="J2078" s="3">
        <v>8100.3</v>
      </c>
      <c r="K2078" s="3">
        <v>16200.6</v>
      </c>
      <c r="L2078" t="s">
        <v>25</v>
      </c>
      <c r="M2078" s="2">
        <v>46150</v>
      </c>
      <c r="N2078" s="2">
        <v>46147</v>
      </c>
      <c r="O2078" t="s">
        <v>43</v>
      </c>
      <c r="P2078" t="s">
        <v>94</v>
      </c>
      <c r="Q2078" t="s">
        <v>28</v>
      </c>
      <c r="R2078" t="s">
        <v>29</v>
      </c>
      <c r="S2078">
        <v>2026</v>
      </c>
      <c r="T2078" t="s">
        <v>2741</v>
      </c>
      <c r="U2078" t="s">
        <v>2770</v>
      </c>
      <c r="V2078" s="4">
        <v>0</v>
      </c>
      <c r="W2078" s="4">
        <v>1</v>
      </c>
    </row>
    <row r="2079" spans="1:23">
      <c r="A2079" t="s">
        <v>2211</v>
      </c>
      <c r="B2079" s="2">
        <v>45717</v>
      </c>
      <c r="C2079" t="s">
        <v>96</v>
      </c>
      <c r="D2079" t="s">
        <v>97</v>
      </c>
      <c r="E2079" t="s">
        <v>39</v>
      </c>
      <c r="F2079" t="s">
        <v>82</v>
      </c>
      <c r="G2079" t="s">
        <v>197</v>
      </c>
      <c r="H2079" t="s">
        <v>198</v>
      </c>
      <c r="I2079">
        <v>29</v>
      </c>
      <c r="J2079" s="3">
        <v>2120.65</v>
      </c>
      <c r="K2079" s="3">
        <v>61498.85</v>
      </c>
      <c r="L2079" t="s">
        <v>25</v>
      </c>
      <c r="M2079" s="2">
        <v>45729</v>
      </c>
      <c r="N2079" s="2">
        <v>45727</v>
      </c>
      <c r="O2079" t="s">
        <v>43</v>
      </c>
      <c r="P2079" t="s">
        <v>44</v>
      </c>
      <c r="Q2079" t="s">
        <v>28</v>
      </c>
      <c r="R2079" t="s">
        <v>29</v>
      </c>
      <c r="S2079">
        <v>2025</v>
      </c>
      <c r="T2079" t="s">
        <v>2747</v>
      </c>
      <c r="U2079" t="s">
        <v>2748</v>
      </c>
      <c r="V2079" s="4">
        <v>0</v>
      </c>
      <c r="W2079" s="4">
        <v>1</v>
      </c>
    </row>
    <row r="2080" spans="1:23">
      <c r="A2080" t="s">
        <v>2212</v>
      </c>
      <c r="B2080" s="2">
        <v>45726</v>
      </c>
      <c r="C2080" t="s">
        <v>104</v>
      </c>
      <c r="D2080" t="s">
        <v>105</v>
      </c>
      <c r="E2080" t="s">
        <v>112</v>
      </c>
      <c r="F2080" t="s">
        <v>49</v>
      </c>
      <c r="G2080" t="s">
        <v>113</v>
      </c>
      <c r="H2080" t="s">
        <v>114</v>
      </c>
      <c r="I2080">
        <v>1</v>
      </c>
      <c r="J2080" s="3">
        <v>38083.919999999998</v>
      </c>
      <c r="K2080" s="3">
        <v>38083.919999999998</v>
      </c>
      <c r="L2080" t="s">
        <v>25</v>
      </c>
      <c r="M2080" s="2">
        <v>45738</v>
      </c>
      <c r="N2080" s="2">
        <v>45736</v>
      </c>
      <c r="O2080" t="s">
        <v>26</v>
      </c>
      <c r="P2080" t="s">
        <v>115</v>
      </c>
      <c r="Q2080" t="s">
        <v>28</v>
      </c>
      <c r="R2080" t="s">
        <v>29</v>
      </c>
      <c r="S2080">
        <v>2025</v>
      </c>
      <c r="T2080" t="s">
        <v>2747</v>
      </c>
      <c r="U2080" t="s">
        <v>2748</v>
      </c>
      <c r="V2080" s="4">
        <v>0</v>
      </c>
      <c r="W2080" s="4">
        <v>1</v>
      </c>
    </row>
    <row r="2081" spans="1:23">
      <c r="A2081" t="s">
        <v>2213</v>
      </c>
      <c r="B2081" s="2">
        <v>46039</v>
      </c>
      <c r="C2081" t="s">
        <v>104</v>
      </c>
      <c r="D2081" t="s">
        <v>105</v>
      </c>
      <c r="E2081" t="s">
        <v>21</v>
      </c>
      <c r="F2081" t="s">
        <v>49</v>
      </c>
      <c r="G2081" t="s">
        <v>68</v>
      </c>
      <c r="H2081" t="s">
        <v>69</v>
      </c>
      <c r="I2081">
        <v>1</v>
      </c>
      <c r="J2081" s="3">
        <v>49374.44</v>
      </c>
      <c r="K2081" s="3">
        <v>49374.44</v>
      </c>
      <c r="L2081" t="s">
        <v>25</v>
      </c>
      <c r="M2081" s="2">
        <v>46055</v>
      </c>
      <c r="N2081" s="2">
        <v>46054</v>
      </c>
      <c r="O2081" t="s">
        <v>43</v>
      </c>
      <c r="P2081" t="s">
        <v>27</v>
      </c>
      <c r="Q2081" t="s">
        <v>28</v>
      </c>
      <c r="R2081" t="s">
        <v>29</v>
      </c>
      <c r="S2081">
        <v>2026</v>
      </c>
      <c r="T2081" t="s">
        <v>2757</v>
      </c>
      <c r="U2081" t="s">
        <v>2758</v>
      </c>
      <c r="V2081" s="4">
        <v>0</v>
      </c>
      <c r="W2081" s="4">
        <v>1</v>
      </c>
    </row>
    <row r="2082" spans="1:23">
      <c r="A2082" t="s">
        <v>2214</v>
      </c>
      <c r="B2082" s="2">
        <v>46139</v>
      </c>
      <c r="C2082" t="s">
        <v>142</v>
      </c>
      <c r="D2082" t="s">
        <v>143</v>
      </c>
      <c r="E2082" t="s">
        <v>31</v>
      </c>
      <c r="F2082" t="s">
        <v>22</v>
      </c>
      <c r="G2082" t="s">
        <v>160</v>
      </c>
      <c r="H2082" t="s">
        <v>161</v>
      </c>
      <c r="I2082">
        <v>12</v>
      </c>
      <c r="J2082" s="3">
        <v>3154.61</v>
      </c>
      <c r="K2082" s="3">
        <v>37855.32</v>
      </c>
      <c r="L2082" t="s">
        <v>34</v>
      </c>
      <c r="M2082" s="2">
        <v>46154</v>
      </c>
      <c r="N2082" s="2">
        <v>46152</v>
      </c>
      <c r="O2082" t="s">
        <v>60</v>
      </c>
      <c r="P2082" t="s">
        <v>35</v>
      </c>
      <c r="Q2082" t="s">
        <v>28</v>
      </c>
      <c r="R2082" t="s">
        <v>29</v>
      </c>
      <c r="S2082">
        <v>2026</v>
      </c>
      <c r="T2082" t="s">
        <v>2741</v>
      </c>
      <c r="U2082" t="s">
        <v>2770</v>
      </c>
      <c r="V2082" s="4">
        <v>0</v>
      </c>
      <c r="W2082" s="4">
        <v>1</v>
      </c>
    </row>
    <row r="2083" spans="1:23">
      <c r="A2083" t="s">
        <v>2215</v>
      </c>
      <c r="B2083" s="2">
        <v>45829</v>
      </c>
      <c r="C2083" t="s">
        <v>71</v>
      </c>
      <c r="D2083" t="s">
        <v>72</v>
      </c>
      <c r="E2083" t="s">
        <v>73</v>
      </c>
      <c r="F2083" t="s">
        <v>57</v>
      </c>
      <c r="G2083" t="s">
        <v>120</v>
      </c>
      <c r="H2083" t="s">
        <v>121</v>
      </c>
      <c r="I2083">
        <v>3</v>
      </c>
      <c r="J2083" s="3">
        <v>21023.31</v>
      </c>
      <c r="K2083" s="3">
        <v>63069.93</v>
      </c>
      <c r="L2083" t="s">
        <v>25</v>
      </c>
      <c r="M2083" s="2">
        <v>45834</v>
      </c>
      <c r="N2083" s="2">
        <v>45831</v>
      </c>
      <c r="O2083" t="s">
        <v>76</v>
      </c>
      <c r="P2083" t="s">
        <v>77</v>
      </c>
      <c r="Q2083" t="s">
        <v>28</v>
      </c>
      <c r="R2083" t="s">
        <v>29</v>
      </c>
      <c r="S2083">
        <v>2025</v>
      </c>
      <c r="T2083" t="s">
        <v>2743</v>
      </c>
      <c r="U2083" t="s">
        <v>2756</v>
      </c>
      <c r="V2083" s="4">
        <v>0</v>
      </c>
      <c r="W2083" s="4">
        <v>1</v>
      </c>
    </row>
    <row r="2084" spans="1:23">
      <c r="A2084" t="s">
        <v>2216</v>
      </c>
      <c r="B2084" s="2">
        <v>46109</v>
      </c>
      <c r="C2084" t="s">
        <v>104</v>
      </c>
      <c r="D2084" t="s">
        <v>105</v>
      </c>
      <c r="E2084" t="s">
        <v>112</v>
      </c>
      <c r="F2084" t="s">
        <v>49</v>
      </c>
      <c r="G2084" t="s">
        <v>165</v>
      </c>
      <c r="H2084" t="s">
        <v>166</v>
      </c>
      <c r="I2084">
        <v>1</v>
      </c>
      <c r="J2084" s="3">
        <v>46837.19</v>
      </c>
      <c r="K2084" s="3">
        <v>46837.19</v>
      </c>
      <c r="L2084" t="s">
        <v>52</v>
      </c>
      <c r="M2084" s="2">
        <v>46117</v>
      </c>
      <c r="N2084" s="2">
        <v>46116</v>
      </c>
      <c r="O2084" t="s">
        <v>60</v>
      </c>
      <c r="P2084" t="s">
        <v>115</v>
      </c>
      <c r="Q2084" t="s">
        <v>28</v>
      </c>
      <c r="R2084" t="s">
        <v>29</v>
      </c>
      <c r="S2084">
        <v>2026</v>
      </c>
      <c r="T2084" t="s">
        <v>2747</v>
      </c>
      <c r="U2084" t="s">
        <v>2755</v>
      </c>
      <c r="V2084" s="4">
        <v>0</v>
      </c>
      <c r="W2084" s="4">
        <v>1</v>
      </c>
    </row>
    <row r="2085" spans="1:23">
      <c r="A2085" t="s">
        <v>2217</v>
      </c>
      <c r="B2085" s="2">
        <v>46116</v>
      </c>
      <c r="C2085" t="s">
        <v>80</v>
      </c>
      <c r="D2085" t="s">
        <v>81</v>
      </c>
      <c r="E2085" t="s">
        <v>39</v>
      </c>
      <c r="F2085" t="s">
        <v>82</v>
      </c>
      <c r="G2085" t="s">
        <v>98</v>
      </c>
      <c r="H2085" t="s">
        <v>99</v>
      </c>
      <c r="I2085">
        <v>38</v>
      </c>
      <c r="J2085" s="3">
        <v>1049.27</v>
      </c>
      <c r="K2085" s="3">
        <v>39872.26</v>
      </c>
      <c r="L2085" t="s">
        <v>34</v>
      </c>
      <c r="M2085" s="2">
        <v>46126</v>
      </c>
      <c r="N2085" s="2">
        <v>46126</v>
      </c>
      <c r="O2085" t="s">
        <v>60</v>
      </c>
      <c r="P2085" t="s">
        <v>44</v>
      </c>
      <c r="Q2085" t="s">
        <v>28</v>
      </c>
      <c r="R2085" t="s">
        <v>29</v>
      </c>
      <c r="S2085">
        <v>2026</v>
      </c>
      <c r="T2085" t="s">
        <v>2741</v>
      </c>
      <c r="U2085" t="s">
        <v>2770</v>
      </c>
      <c r="V2085" s="4">
        <v>0</v>
      </c>
      <c r="W2085" s="4">
        <v>1</v>
      </c>
    </row>
    <row r="2086" spans="1:23">
      <c r="A2086" t="s">
        <v>2218</v>
      </c>
      <c r="B2086" s="2">
        <v>46191</v>
      </c>
      <c r="C2086" t="s">
        <v>55</v>
      </c>
      <c r="D2086" t="s">
        <v>56</v>
      </c>
      <c r="E2086" t="s">
        <v>48</v>
      </c>
      <c r="F2086" t="s">
        <v>57</v>
      </c>
      <c r="G2086" t="s">
        <v>58</v>
      </c>
      <c r="H2086" t="s">
        <v>59</v>
      </c>
      <c r="I2086">
        <v>1</v>
      </c>
      <c r="J2086" s="3">
        <v>64134.32</v>
      </c>
      <c r="K2086" s="3">
        <v>64134.32</v>
      </c>
      <c r="L2086" t="s">
        <v>25</v>
      </c>
      <c r="M2086" s="2">
        <v>46199</v>
      </c>
      <c r="N2086" s="2">
        <v>46197</v>
      </c>
      <c r="O2086" t="s">
        <v>43</v>
      </c>
      <c r="P2086" t="s">
        <v>53</v>
      </c>
      <c r="Q2086" t="s">
        <v>28</v>
      </c>
      <c r="R2086" t="s">
        <v>29</v>
      </c>
      <c r="S2086">
        <v>2026</v>
      </c>
      <c r="T2086" t="s">
        <v>2743</v>
      </c>
      <c r="U2086" t="s">
        <v>2744</v>
      </c>
      <c r="V2086" s="4">
        <v>0</v>
      </c>
      <c r="W2086" s="4">
        <v>1</v>
      </c>
    </row>
    <row r="2087" spans="1:23">
      <c r="A2087" t="s">
        <v>2219</v>
      </c>
      <c r="B2087" s="2">
        <v>46112</v>
      </c>
      <c r="C2087" t="s">
        <v>71</v>
      </c>
      <c r="D2087" t="s">
        <v>72</v>
      </c>
      <c r="E2087" t="s">
        <v>21</v>
      </c>
      <c r="F2087" t="s">
        <v>57</v>
      </c>
      <c r="G2087" t="s">
        <v>127</v>
      </c>
      <c r="H2087" t="s">
        <v>128</v>
      </c>
      <c r="I2087">
        <v>3</v>
      </c>
      <c r="J2087" s="3">
        <v>15277.39</v>
      </c>
      <c r="K2087" s="3">
        <v>45832.17</v>
      </c>
      <c r="L2087" t="s">
        <v>25</v>
      </c>
      <c r="M2087" s="2">
        <v>46121</v>
      </c>
      <c r="N2087" s="2">
        <v>46120</v>
      </c>
      <c r="O2087" t="s">
        <v>60</v>
      </c>
      <c r="P2087" t="s">
        <v>27</v>
      </c>
      <c r="Q2087" t="s">
        <v>28</v>
      </c>
      <c r="R2087" t="s">
        <v>29</v>
      </c>
      <c r="S2087">
        <v>2026</v>
      </c>
      <c r="T2087" t="s">
        <v>2747</v>
      </c>
      <c r="U2087" t="s">
        <v>2755</v>
      </c>
      <c r="V2087" s="4">
        <v>0</v>
      </c>
      <c r="W2087" s="4">
        <v>1</v>
      </c>
    </row>
    <row r="2088" spans="1:23">
      <c r="A2088" t="s">
        <v>2220</v>
      </c>
      <c r="B2088" s="2">
        <v>46188</v>
      </c>
      <c r="C2088" t="s">
        <v>55</v>
      </c>
      <c r="D2088" t="s">
        <v>56</v>
      </c>
      <c r="E2088" t="s">
        <v>48</v>
      </c>
      <c r="F2088" t="s">
        <v>57</v>
      </c>
      <c r="G2088" t="s">
        <v>127</v>
      </c>
      <c r="H2088" t="s">
        <v>128</v>
      </c>
      <c r="I2088">
        <v>6</v>
      </c>
      <c r="J2088" s="3">
        <v>18524.45</v>
      </c>
      <c r="K2088" s="3">
        <v>111146.7</v>
      </c>
      <c r="L2088" t="s">
        <v>25</v>
      </c>
      <c r="M2088" s="2">
        <v>46202</v>
      </c>
      <c r="N2088" s="2"/>
      <c r="O2088" t="s">
        <v>60</v>
      </c>
      <c r="P2088" t="s">
        <v>53</v>
      </c>
      <c r="Q2088" t="s">
        <v>167</v>
      </c>
      <c r="R2088" t="s">
        <v>167</v>
      </c>
      <c r="S2088">
        <v>2026</v>
      </c>
      <c r="T2088" t="s">
        <v>2743</v>
      </c>
      <c r="U2088" t="s">
        <v>2744</v>
      </c>
      <c r="V2088" s="4"/>
      <c r="W2088" s="4"/>
    </row>
    <row r="2089" spans="1:23">
      <c r="A2089" t="s">
        <v>2221</v>
      </c>
      <c r="B2089" s="2">
        <v>46202</v>
      </c>
      <c r="C2089" t="s">
        <v>71</v>
      </c>
      <c r="D2089" t="s">
        <v>72</v>
      </c>
      <c r="E2089" t="s">
        <v>48</v>
      </c>
      <c r="F2089" t="s">
        <v>57</v>
      </c>
      <c r="G2089" t="s">
        <v>86</v>
      </c>
      <c r="H2089" t="s">
        <v>87</v>
      </c>
      <c r="I2089">
        <v>3</v>
      </c>
      <c r="J2089" s="3">
        <v>10168.290000000001</v>
      </c>
      <c r="K2089" s="3">
        <v>30504.87</v>
      </c>
      <c r="L2089" t="s">
        <v>25</v>
      </c>
      <c r="M2089" s="2">
        <v>46212</v>
      </c>
      <c r="N2089" s="2">
        <v>46209</v>
      </c>
      <c r="O2089" t="s">
        <v>76</v>
      </c>
      <c r="P2089" t="s">
        <v>53</v>
      </c>
      <c r="Q2089" t="s">
        <v>28</v>
      </c>
      <c r="R2089" t="s">
        <v>29</v>
      </c>
      <c r="S2089">
        <v>2026</v>
      </c>
      <c r="T2089" t="s">
        <v>2743</v>
      </c>
      <c r="U2089" t="s">
        <v>2744</v>
      </c>
      <c r="V2089" s="4">
        <v>0</v>
      </c>
      <c r="W2089" s="4">
        <v>1</v>
      </c>
    </row>
    <row r="2090" spans="1:23">
      <c r="A2090" t="s">
        <v>2222</v>
      </c>
      <c r="B2090" s="2">
        <v>45961</v>
      </c>
      <c r="C2090" t="s">
        <v>80</v>
      </c>
      <c r="D2090" t="s">
        <v>81</v>
      </c>
      <c r="E2090" t="s">
        <v>39</v>
      </c>
      <c r="F2090" t="s">
        <v>82</v>
      </c>
      <c r="G2090" t="s">
        <v>197</v>
      </c>
      <c r="H2090" t="s">
        <v>198</v>
      </c>
      <c r="I2090">
        <v>55</v>
      </c>
      <c r="J2090" s="3">
        <v>2081.6799999999998</v>
      </c>
      <c r="K2090" s="3">
        <v>114492.4</v>
      </c>
      <c r="L2090" t="s">
        <v>52</v>
      </c>
      <c r="M2090" s="2">
        <v>45974</v>
      </c>
      <c r="N2090" s="2">
        <v>45973</v>
      </c>
      <c r="O2090" t="s">
        <v>76</v>
      </c>
      <c r="P2090" t="s">
        <v>44</v>
      </c>
      <c r="Q2090" t="s">
        <v>28</v>
      </c>
      <c r="R2090" t="s">
        <v>29</v>
      </c>
      <c r="S2090">
        <v>2025</v>
      </c>
      <c r="T2090" t="s">
        <v>2749</v>
      </c>
      <c r="U2090" t="s">
        <v>2750</v>
      </c>
      <c r="V2090" s="4">
        <v>0</v>
      </c>
      <c r="W2090" s="4">
        <v>1</v>
      </c>
    </row>
    <row r="2091" spans="1:23">
      <c r="A2091" t="s">
        <v>2223</v>
      </c>
      <c r="B2091" s="2">
        <v>45919</v>
      </c>
      <c r="C2091" t="s">
        <v>71</v>
      </c>
      <c r="D2091" t="s">
        <v>72</v>
      </c>
      <c r="E2091" t="s">
        <v>31</v>
      </c>
      <c r="F2091" t="s">
        <v>57</v>
      </c>
      <c r="G2091" t="s">
        <v>58</v>
      </c>
      <c r="H2091" t="s">
        <v>59</v>
      </c>
      <c r="I2091">
        <v>4</v>
      </c>
      <c r="J2091" s="3">
        <v>52517.49</v>
      </c>
      <c r="K2091" s="3">
        <v>210069.96</v>
      </c>
      <c r="L2091" t="s">
        <v>34</v>
      </c>
      <c r="M2091" s="2">
        <v>45931</v>
      </c>
      <c r="N2091" s="2">
        <v>45928</v>
      </c>
      <c r="O2091" t="s">
        <v>76</v>
      </c>
      <c r="P2091" t="s">
        <v>35</v>
      </c>
      <c r="Q2091" t="s">
        <v>28</v>
      </c>
      <c r="R2091" t="s">
        <v>29</v>
      </c>
      <c r="S2091">
        <v>2025</v>
      </c>
      <c r="T2091" t="s">
        <v>2753</v>
      </c>
      <c r="U2091" t="s">
        <v>2754</v>
      </c>
      <c r="V2091" s="4">
        <v>0</v>
      </c>
      <c r="W2091" s="4">
        <v>1</v>
      </c>
    </row>
    <row r="2092" spans="1:23">
      <c r="A2092" t="s">
        <v>2224</v>
      </c>
      <c r="B2092" s="2">
        <v>45842</v>
      </c>
      <c r="C2092" t="s">
        <v>104</v>
      </c>
      <c r="D2092" t="s">
        <v>105</v>
      </c>
      <c r="E2092" t="s">
        <v>73</v>
      </c>
      <c r="F2092" t="s">
        <v>49</v>
      </c>
      <c r="G2092" t="s">
        <v>50</v>
      </c>
      <c r="H2092" t="s">
        <v>51</v>
      </c>
      <c r="I2092">
        <v>1</v>
      </c>
      <c r="J2092" s="3">
        <v>52425.37</v>
      </c>
      <c r="K2092" s="3">
        <v>52425.37</v>
      </c>
      <c r="L2092" t="s">
        <v>25</v>
      </c>
      <c r="M2092" s="2">
        <v>45852</v>
      </c>
      <c r="N2092" s="2">
        <v>45851</v>
      </c>
      <c r="O2092" t="s">
        <v>60</v>
      </c>
      <c r="P2092" t="s">
        <v>77</v>
      </c>
      <c r="Q2092" t="s">
        <v>28</v>
      </c>
      <c r="R2092" t="s">
        <v>29</v>
      </c>
      <c r="S2092">
        <v>2025</v>
      </c>
      <c r="T2092" t="s">
        <v>2759</v>
      </c>
      <c r="U2092" t="s">
        <v>2760</v>
      </c>
      <c r="V2092" s="4">
        <v>0</v>
      </c>
      <c r="W2092" s="4">
        <v>1</v>
      </c>
    </row>
    <row r="2093" spans="1:23">
      <c r="A2093" t="s">
        <v>2225</v>
      </c>
      <c r="B2093" s="2">
        <v>46195</v>
      </c>
      <c r="C2093" t="s">
        <v>55</v>
      </c>
      <c r="D2093" t="s">
        <v>56</v>
      </c>
      <c r="E2093" t="s">
        <v>31</v>
      </c>
      <c r="F2093" t="s">
        <v>57</v>
      </c>
      <c r="G2093" t="s">
        <v>58</v>
      </c>
      <c r="H2093" t="s">
        <v>59</v>
      </c>
      <c r="I2093">
        <v>8</v>
      </c>
      <c r="J2093" s="3">
        <v>62119.74</v>
      </c>
      <c r="K2093" s="3">
        <v>496957.92</v>
      </c>
      <c r="L2093" t="s">
        <v>25</v>
      </c>
      <c r="M2093" s="2">
        <v>46212</v>
      </c>
      <c r="N2093" s="2"/>
      <c r="O2093" t="s">
        <v>26</v>
      </c>
      <c r="P2093" t="s">
        <v>94</v>
      </c>
      <c r="Q2093" t="s">
        <v>167</v>
      </c>
      <c r="R2093" t="s">
        <v>167</v>
      </c>
      <c r="S2093">
        <v>2026</v>
      </c>
      <c r="T2093" t="s">
        <v>2743</v>
      </c>
      <c r="U2093" t="s">
        <v>2744</v>
      </c>
      <c r="V2093" s="4"/>
      <c r="W2093" s="4"/>
    </row>
    <row r="2094" spans="1:23">
      <c r="A2094" t="s">
        <v>2226</v>
      </c>
      <c r="B2094" s="2">
        <v>46103</v>
      </c>
      <c r="C2094" t="s">
        <v>131</v>
      </c>
      <c r="D2094" t="s">
        <v>132</v>
      </c>
      <c r="E2094" t="s">
        <v>73</v>
      </c>
      <c r="F2094" t="s">
        <v>57</v>
      </c>
      <c r="G2094" t="s">
        <v>101</v>
      </c>
      <c r="H2094" t="s">
        <v>102</v>
      </c>
      <c r="I2094">
        <v>21</v>
      </c>
      <c r="J2094" s="3">
        <v>1910.26</v>
      </c>
      <c r="K2094" s="3">
        <v>40115.46</v>
      </c>
      <c r="L2094" t="s">
        <v>25</v>
      </c>
      <c r="M2094" s="2">
        <v>46114</v>
      </c>
      <c r="N2094" s="2">
        <v>46114</v>
      </c>
      <c r="O2094" t="s">
        <v>76</v>
      </c>
      <c r="P2094" t="s">
        <v>77</v>
      </c>
      <c r="Q2094" t="s">
        <v>28</v>
      </c>
      <c r="R2094" t="s">
        <v>29</v>
      </c>
      <c r="S2094">
        <v>2026</v>
      </c>
      <c r="T2094" t="s">
        <v>2747</v>
      </c>
      <c r="U2094" t="s">
        <v>2755</v>
      </c>
      <c r="V2094" s="4">
        <v>0</v>
      </c>
      <c r="W2094" s="4">
        <v>1</v>
      </c>
    </row>
    <row r="2095" spans="1:23">
      <c r="A2095" t="s">
        <v>2227</v>
      </c>
      <c r="B2095" s="2">
        <v>45959</v>
      </c>
      <c r="C2095" t="s">
        <v>55</v>
      </c>
      <c r="D2095" t="s">
        <v>56</v>
      </c>
      <c r="E2095" t="s">
        <v>21</v>
      </c>
      <c r="F2095" t="s">
        <v>57</v>
      </c>
      <c r="G2095" t="s">
        <v>120</v>
      </c>
      <c r="H2095" t="s">
        <v>121</v>
      </c>
      <c r="I2095">
        <v>2</v>
      </c>
      <c r="J2095" s="3">
        <v>23587.88</v>
      </c>
      <c r="K2095" s="3">
        <v>47175.76</v>
      </c>
      <c r="L2095" t="s">
        <v>25</v>
      </c>
      <c r="M2095" s="2">
        <v>45969</v>
      </c>
      <c r="N2095" s="2">
        <v>45966</v>
      </c>
      <c r="O2095" t="s">
        <v>26</v>
      </c>
      <c r="P2095" t="s">
        <v>27</v>
      </c>
      <c r="Q2095" t="s">
        <v>28</v>
      </c>
      <c r="R2095" t="s">
        <v>29</v>
      </c>
      <c r="S2095">
        <v>2025</v>
      </c>
      <c r="T2095" t="s">
        <v>2749</v>
      </c>
      <c r="U2095" t="s">
        <v>2750</v>
      </c>
      <c r="V2095" s="4">
        <v>0</v>
      </c>
      <c r="W2095" s="4">
        <v>1</v>
      </c>
    </row>
    <row r="2096" spans="1:23">
      <c r="A2096" t="s">
        <v>2228</v>
      </c>
      <c r="B2096" s="2">
        <v>46134</v>
      </c>
      <c r="C2096" t="s">
        <v>71</v>
      </c>
      <c r="D2096" t="s">
        <v>72</v>
      </c>
      <c r="E2096" t="s">
        <v>73</v>
      </c>
      <c r="F2096" t="s">
        <v>57</v>
      </c>
      <c r="G2096" t="s">
        <v>58</v>
      </c>
      <c r="H2096" t="s">
        <v>59</v>
      </c>
      <c r="I2096">
        <v>4</v>
      </c>
      <c r="J2096" s="3">
        <v>55256.6</v>
      </c>
      <c r="K2096" s="3">
        <v>221026.4</v>
      </c>
      <c r="L2096" t="s">
        <v>34</v>
      </c>
      <c r="M2096" s="2">
        <v>46140</v>
      </c>
      <c r="N2096" s="2">
        <v>46139</v>
      </c>
      <c r="O2096" t="s">
        <v>60</v>
      </c>
      <c r="P2096" t="s">
        <v>77</v>
      </c>
      <c r="Q2096" t="s">
        <v>28</v>
      </c>
      <c r="R2096" t="s">
        <v>29</v>
      </c>
      <c r="S2096">
        <v>2026</v>
      </c>
      <c r="T2096" t="s">
        <v>2741</v>
      </c>
      <c r="U2096" t="s">
        <v>2770</v>
      </c>
      <c r="V2096" s="4">
        <v>0</v>
      </c>
      <c r="W2096" s="4">
        <v>1</v>
      </c>
    </row>
    <row r="2097" spans="1:23">
      <c r="A2097" t="s">
        <v>2229</v>
      </c>
      <c r="B2097" s="2">
        <v>45905</v>
      </c>
      <c r="C2097" t="s">
        <v>147</v>
      </c>
      <c r="D2097" t="s">
        <v>148</v>
      </c>
      <c r="E2097" t="s">
        <v>39</v>
      </c>
      <c r="F2097" t="s">
        <v>40</v>
      </c>
      <c r="G2097" t="s">
        <v>149</v>
      </c>
      <c r="H2097" t="s">
        <v>150</v>
      </c>
      <c r="I2097">
        <v>50</v>
      </c>
      <c r="J2097" s="3">
        <v>1350.72</v>
      </c>
      <c r="K2097" s="3">
        <v>67536</v>
      </c>
      <c r="L2097" t="s">
        <v>25</v>
      </c>
      <c r="M2097" s="2">
        <v>45922</v>
      </c>
      <c r="N2097" s="2">
        <v>45922</v>
      </c>
      <c r="O2097" t="s">
        <v>26</v>
      </c>
      <c r="P2097" t="s">
        <v>44</v>
      </c>
      <c r="Q2097" t="s">
        <v>28</v>
      </c>
      <c r="R2097" t="s">
        <v>29</v>
      </c>
      <c r="S2097">
        <v>2025</v>
      </c>
      <c r="T2097" t="s">
        <v>2753</v>
      </c>
      <c r="U2097" t="s">
        <v>2754</v>
      </c>
      <c r="V2097" s="4">
        <v>0</v>
      </c>
      <c r="W2097" s="4">
        <v>1</v>
      </c>
    </row>
    <row r="2098" spans="1:23">
      <c r="A2098" t="s">
        <v>2230</v>
      </c>
      <c r="B2098" s="2">
        <v>45963</v>
      </c>
      <c r="C2098" t="s">
        <v>147</v>
      </c>
      <c r="D2098" t="s">
        <v>148</v>
      </c>
      <c r="E2098" t="s">
        <v>112</v>
      </c>
      <c r="F2098" t="s">
        <v>40</v>
      </c>
      <c r="G2098" t="s">
        <v>149</v>
      </c>
      <c r="H2098" t="s">
        <v>150</v>
      </c>
      <c r="I2098">
        <v>11</v>
      </c>
      <c r="J2098" s="3">
        <v>1337.45</v>
      </c>
      <c r="K2098" s="3">
        <v>14711.95</v>
      </c>
      <c r="L2098" t="s">
        <v>25</v>
      </c>
      <c r="M2098" s="2">
        <v>45970</v>
      </c>
      <c r="N2098" s="2">
        <v>45969</v>
      </c>
      <c r="O2098" t="s">
        <v>43</v>
      </c>
      <c r="P2098" t="s">
        <v>115</v>
      </c>
      <c r="Q2098" t="s">
        <v>28</v>
      </c>
      <c r="R2098" t="s">
        <v>29</v>
      </c>
      <c r="S2098">
        <v>2025</v>
      </c>
      <c r="T2098" t="s">
        <v>2763</v>
      </c>
      <c r="U2098" t="s">
        <v>2764</v>
      </c>
      <c r="V2098" s="4">
        <v>0</v>
      </c>
      <c r="W2098" s="4">
        <v>1</v>
      </c>
    </row>
    <row r="2099" spans="1:23">
      <c r="A2099" t="s">
        <v>2231</v>
      </c>
      <c r="B2099" s="2">
        <v>45848</v>
      </c>
      <c r="C2099" t="s">
        <v>89</v>
      </c>
      <c r="D2099" t="s">
        <v>90</v>
      </c>
      <c r="E2099" t="s">
        <v>31</v>
      </c>
      <c r="F2099" t="s">
        <v>91</v>
      </c>
      <c r="G2099" t="s">
        <v>109</v>
      </c>
      <c r="H2099" t="s">
        <v>110</v>
      </c>
      <c r="I2099">
        <v>1</v>
      </c>
      <c r="J2099" s="3">
        <v>12358.82</v>
      </c>
      <c r="K2099" s="3">
        <v>12358.82</v>
      </c>
      <c r="L2099" t="s">
        <v>25</v>
      </c>
      <c r="M2099" s="2">
        <v>45858</v>
      </c>
      <c r="N2099" s="2">
        <v>45856</v>
      </c>
      <c r="O2099" t="s">
        <v>60</v>
      </c>
      <c r="P2099" t="s">
        <v>94</v>
      </c>
      <c r="Q2099" t="s">
        <v>28</v>
      </c>
      <c r="R2099" t="s">
        <v>29</v>
      </c>
      <c r="S2099">
        <v>2025</v>
      </c>
      <c r="T2099" t="s">
        <v>2759</v>
      </c>
      <c r="U2099" t="s">
        <v>2760</v>
      </c>
      <c r="V2099" s="4">
        <v>0</v>
      </c>
      <c r="W2099" s="4">
        <v>1</v>
      </c>
    </row>
    <row r="2100" spans="1:23">
      <c r="A2100" t="s">
        <v>2232</v>
      </c>
      <c r="B2100" s="2">
        <v>46020</v>
      </c>
      <c r="C2100" t="s">
        <v>46</v>
      </c>
      <c r="D2100" t="s">
        <v>47</v>
      </c>
      <c r="E2100" t="s">
        <v>48</v>
      </c>
      <c r="F2100" t="s">
        <v>49</v>
      </c>
      <c r="G2100" t="s">
        <v>113</v>
      </c>
      <c r="H2100" t="s">
        <v>114</v>
      </c>
      <c r="I2100">
        <v>3</v>
      </c>
      <c r="J2100" s="3">
        <v>38772.92</v>
      </c>
      <c r="K2100" s="3">
        <v>116318.76</v>
      </c>
      <c r="L2100" t="s">
        <v>25</v>
      </c>
      <c r="M2100" s="2">
        <v>46035</v>
      </c>
      <c r="N2100" s="2">
        <v>46033</v>
      </c>
      <c r="O2100" t="s">
        <v>26</v>
      </c>
      <c r="P2100" t="s">
        <v>53</v>
      </c>
      <c r="Q2100" t="s">
        <v>28</v>
      </c>
      <c r="R2100" t="s">
        <v>29</v>
      </c>
      <c r="S2100">
        <v>2025</v>
      </c>
      <c r="T2100" t="s">
        <v>2745</v>
      </c>
      <c r="U2100" t="s">
        <v>2746</v>
      </c>
      <c r="V2100" s="4">
        <v>0</v>
      </c>
      <c r="W2100" s="4">
        <v>1</v>
      </c>
    </row>
    <row r="2101" spans="1:23">
      <c r="A2101" t="s">
        <v>2233</v>
      </c>
      <c r="B2101" s="2">
        <v>46101</v>
      </c>
      <c r="C2101" t="s">
        <v>134</v>
      </c>
      <c r="D2101" t="s">
        <v>135</v>
      </c>
      <c r="E2101" t="s">
        <v>112</v>
      </c>
      <c r="F2101" t="s">
        <v>40</v>
      </c>
      <c r="G2101" t="s">
        <v>136</v>
      </c>
      <c r="H2101" t="s">
        <v>137</v>
      </c>
      <c r="I2101">
        <v>43</v>
      </c>
      <c r="J2101" s="3">
        <v>1720.97</v>
      </c>
      <c r="K2101" s="3">
        <v>74001.710000000006</v>
      </c>
      <c r="L2101" t="s">
        <v>25</v>
      </c>
      <c r="M2101" s="2">
        <v>46114</v>
      </c>
      <c r="N2101" s="2">
        <v>46113</v>
      </c>
      <c r="O2101" t="s">
        <v>26</v>
      </c>
      <c r="P2101" t="s">
        <v>115</v>
      </c>
      <c r="Q2101" t="s">
        <v>28</v>
      </c>
      <c r="R2101" t="s">
        <v>29</v>
      </c>
      <c r="S2101">
        <v>2026</v>
      </c>
      <c r="T2101" t="s">
        <v>2747</v>
      </c>
      <c r="U2101" t="s">
        <v>2755</v>
      </c>
      <c r="V2101" s="4">
        <v>0</v>
      </c>
      <c r="W2101" s="4">
        <v>1</v>
      </c>
    </row>
    <row r="2102" spans="1:23">
      <c r="A2102" t="s">
        <v>2234</v>
      </c>
      <c r="B2102" s="2">
        <v>45994</v>
      </c>
      <c r="C2102" t="s">
        <v>71</v>
      </c>
      <c r="D2102" t="s">
        <v>72</v>
      </c>
      <c r="E2102" t="s">
        <v>21</v>
      </c>
      <c r="F2102" t="s">
        <v>57</v>
      </c>
      <c r="G2102" t="s">
        <v>86</v>
      </c>
      <c r="H2102" t="s">
        <v>87</v>
      </c>
      <c r="I2102">
        <v>8</v>
      </c>
      <c r="J2102" s="3">
        <v>9938.02</v>
      </c>
      <c r="K2102" s="3">
        <v>79504.160000000003</v>
      </c>
      <c r="L2102" t="s">
        <v>25</v>
      </c>
      <c r="M2102" s="2">
        <v>46000</v>
      </c>
      <c r="N2102" s="2">
        <v>45999</v>
      </c>
      <c r="O2102" t="s">
        <v>26</v>
      </c>
      <c r="P2102" t="s">
        <v>27</v>
      </c>
      <c r="Q2102" t="s">
        <v>28</v>
      </c>
      <c r="R2102" t="s">
        <v>29</v>
      </c>
      <c r="S2102">
        <v>2025</v>
      </c>
      <c r="T2102" t="s">
        <v>2745</v>
      </c>
      <c r="U2102" t="s">
        <v>2746</v>
      </c>
      <c r="V2102" s="4">
        <v>0</v>
      </c>
      <c r="W2102" s="4">
        <v>1</v>
      </c>
    </row>
    <row r="2103" spans="1:23">
      <c r="A2103" t="s">
        <v>2235</v>
      </c>
      <c r="B2103" s="2">
        <v>46048</v>
      </c>
      <c r="C2103" t="s">
        <v>37</v>
      </c>
      <c r="D2103" t="s">
        <v>38</v>
      </c>
      <c r="E2103" t="s">
        <v>112</v>
      </c>
      <c r="F2103" t="s">
        <v>22</v>
      </c>
      <c r="G2103" t="s">
        <v>160</v>
      </c>
      <c r="H2103" t="s">
        <v>161</v>
      </c>
      <c r="I2103">
        <v>9</v>
      </c>
      <c r="J2103" s="3">
        <v>3670.65</v>
      </c>
      <c r="K2103" s="3">
        <v>33035.85</v>
      </c>
      <c r="L2103" t="s">
        <v>25</v>
      </c>
      <c r="M2103" s="2">
        <v>46059</v>
      </c>
      <c r="N2103" s="2">
        <v>46057</v>
      </c>
      <c r="O2103" t="s">
        <v>26</v>
      </c>
      <c r="P2103" t="s">
        <v>115</v>
      </c>
      <c r="Q2103" t="s">
        <v>28</v>
      </c>
      <c r="R2103" t="s">
        <v>29</v>
      </c>
      <c r="S2103">
        <v>2026</v>
      </c>
      <c r="T2103" t="s">
        <v>2757</v>
      </c>
      <c r="U2103" t="s">
        <v>2758</v>
      </c>
      <c r="V2103" s="4">
        <v>0</v>
      </c>
      <c r="W2103" s="4">
        <v>1</v>
      </c>
    </row>
    <row r="2104" spans="1:23">
      <c r="A2104" t="s">
        <v>2236</v>
      </c>
      <c r="B2104" s="2">
        <v>45907</v>
      </c>
      <c r="C2104" t="s">
        <v>71</v>
      </c>
      <c r="D2104" t="s">
        <v>72</v>
      </c>
      <c r="E2104" t="s">
        <v>31</v>
      </c>
      <c r="F2104" t="s">
        <v>57</v>
      </c>
      <c r="G2104" t="s">
        <v>74</v>
      </c>
      <c r="H2104" t="s">
        <v>75</v>
      </c>
      <c r="I2104">
        <v>8</v>
      </c>
      <c r="J2104" s="3">
        <v>8380.8799999999992</v>
      </c>
      <c r="K2104" s="3">
        <v>67047.039999999994</v>
      </c>
      <c r="L2104" t="s">
        <v>25</v>
      </c>
      <c r="M2104" s="2">
        <v>45913</v>
      </c>
      <c r="N2104" s="2">
        <v>45913</v>
      </c>
      <c r="O2104" t="s">
        <v>26</v>
      </c>
      <c r="P2104" t="s">
        <v>94</v>
      </c>
      <c r="Q2104" t="s">
        <v>28</v>
      </c>
      <c r="R2104" t="s">
        <v>29</v>
      </c>
      <c r="S2104">
        <v>2025</v>
      </c>
      <c r="T2104" t="s">
        <v>2753</v>
      </c>
      <c r="U2104" t="s">
        <v>2754</v>
      </c>
      <c r="V2104" s="4">
        <v>0</v>
      </c>
      <c r="W2104" s="4">
        <v>1</v>
      </c>
    </row>
    <row r="2105" spans="1:23">
      <c r="A2105" t="s">
        <v>2237</v>
      </c>
      <c r="B2105" s="2">
        <v>45930</v>
      </c>
      <c r="C2105" t="s">
        <v>55</v>
      </c>
      <c r="D2105" t="s">
        <v>56</v>
      </c>
      <c r="E2105" t="s">
        <v>21</v>
      </c>
      <c r="F2105" t="s">
        <v>57</v>
      </c>
      <c r="G2105" t="s">
        <v>120</v>
      </c>
      <c r="H2105" t="s">
        <v>121</v>
      </c>
      <c r="I2105">
        <v>7</v>
      </c>
      <c r="J2105" s="3">
        <v>23858.82</v>
      </c>
      <c r="K2105" s="3">
        <v>167011.74</v>
      </c>
      <c r="L2105" t="s">
        <v>52</v>
      </c>
      <c r="M2105" s="2">
        <v>45937</v>
      </c>
      <c r="N2105" s="2">
        <v>45936</v>
      </c>
      <c r="O2105" t="s">
        <v>60</v>
      </c>
      <c r="P2105" t="s">
        <v>27</v>
      </c>
      <c r="Q2105" t="s">
        <v>28</v>
      </c>
      <c r="R2105" t="s">
        <v>29</v>
      </c>
      <c r="S2105">
        <v>2025</v>
      </c>
      <c r="T2105" t="s">
        <v>2753</v>
      </c>
      <c r="U2105" t="s">
        <v>2754</v>
      </c>
      <c r="V2105" s="4">
        <v>0</v>
      </c>
      <c r="W2105" s="4">
        <v>1</v>
      </c>
    </row>
    <row r="2106" spans="1:23">
      <c r="A2106" t="s">
        <v>2238</v>
      </c>
      <c r="B2106" s="2">
        <v>45695</v>
      </c>
      <c r="C2106" t="s">
        <v>46</v>
      </c>
      <c r="D2106" t="s">
        <v>47</v>
      </c>
      <c r="E2106" t="s">
        <v>21</v>
      </c>
      <c r="F2106" t="s">
        <v>49</v>
      </c>
      <c r="G2106" t="s">
        <v>165</v>
      </c>
      <c r="H2106" t="s">
        <v>166</v>
      </c>
      <c r="I2106">
        <v>1</v>
      </c>
      <c r="J2106" s="3">
        <v>47808.92</v>
      </c>
      <c r="K2106" s="3">
        <v>47808.92</v>
      </c>
      <c r="L2106" t="s">
        <v>34</v>
      </c>
      <c r="M2106" s="2">
        <v>45702</v>
      </c>
      <c r="N2106" s="2">
        <v>45701</v>
      </c>
      <c r="O2106" t="s">
        <v>26</v>
      </c>
      <c r="P2106" t="s">
        <v>27</v>
      </c>
      <c r="Q2106" t="s">
        <v>28</v>
      </c>
      <c r="R2106" t="s">
        <v>29</v>
      </c>
      <c r="S2106">
        <v>2025</v>
      </c>
      <c r="T2106" t="s">
        <v>2751</v>
      </c>
      <c r="U2106" t="s">
        <v>2752</v>
      </c>
      <c r="V2106" s="4">
        <v>0</v>
      </c>
      <c r="W2106" s="4">
        <v>1</v>
      </c>
    </row>
    <row r="2107" spans="1:23">
      <c r="A2107" t="s">
        <v>2239</v>
      </c>
      <c r="B2107" s="2">
        <v>45681</v>
      </c>
      <c r="C2107" t="s">
        <v>147</v>
      </c>
      <c r="D2107" t="s">
        <v>148</v>
      </c>
      <c r="E2107" t="s">
        <v>39</v>
      </c>
      <c r="F2107" t="s">
        <v>40</v>
      </c>
      <c r="G2107" t="s">
        <v>41</v>
      </c>
      <c r="H2107" t="s">
        <v>42</v>
      </c>
      <c r="I2107">
        <v>6</v>
      </c>
      <c r="J2107" s="3">
        <v>5429.65</v>
      </c>
      <c r="K2107" s="3">
        <v>32577.9</v>
      </c>
      <c r="L2107" t="s">
        <v>25</v>
      </c>
      <c r="M2107" s="2">
        <v>45691</v>
      </c>
      <c r="N2107" s="2">
        <v>45688</v>
      </c>
      <c r="O2107" t="s">
        <v>26</v>
      </c>
      <c r="P2107" t="s">
        <v>44</v>
      </c>
      <c r="Q2107" t="s">
        <v>28</v>
      </c>
      <c r="R2107" t="s">
        <v>29</v>
      </c>
      <c r="S2107">
        <v>2025</v>
      </c>
      <c r="T2107" t="s">
        <v>2757</v>
      </c>
      <c r="U2107" t="s">
        <v>2768</v>
      </c>
      <c r="V2107" s="4">
        <v>0</v>
      </c>
      <c r="W2107" s="4">
        <v>1</v>
      </c>
    </row>
    <row r="2108" spans="1:23">
      <c r="A2108" t="s">
        <v>2240</v>
      </c>
      <c r="B2108" s="2">
        <v>45958</v>
      </c>
      <c r="C2108" t="s">
        <v>131</v>
      </c>
      <c r="D2108" t="s">
        <v>132</v>
      </c>
      <c r="E2108" t="s">
        <v>73</v>
      </c>
      <c r="F2108" t="s">
        <v>57</v>
      </c>
      <c r="G2108" t="s">
        <v>127</v>
      </c>
      <c r="H2108" t="s">
        <v>128</v>
      </c>
      <c r="I2108">
        <v>7</v>
      </c>
      <c r="J2108" s="3">
        <v>16557.21</v>
      </c>
      <c r="K2108" s="3">
        <v>115900.47</v>
      </c>
      <c r="L2108" t="s">
        <v>25</v>
      </c>
      <c r="M2108" s="2">
        <v>45973</v>
      </c>
      <c r="N2108" s="2">
        <v>45971</v>
      </c>
      <c r="O2108" t="s">
        <v>60</v>
      </c>
      <c r="P2108" t="s">
        <v>77</v>
      </c>
      <c r="Q2108" t="s">
        <v>28</v>
      </c>
      <c r="R2108" t="s">
        <v>29</v>
      </c>
      <c r="S2108">
        <v>2025</v>
      </c>
      <c r="T2108" t="s">
        <v>2749</v>
      </c>
      <c r="U2108" t="s">
        <v>2750</v>
      </c>
      <c r="V2108" s="4">
        <v>0</v>
      </c>
      <c r="W2108" s="4">
        <v>1</v>
      </c>
    </row>
    <row r="2109" spans="1:23">
      <c r="A2109" t="s">
        <v>2241</v>
      </c>
      <c r="B2109" s="2">
        <v>46198</v>
      </c>
      <c r="C2109" t="s">
        <v>46</v>
      </c>
      <c r="D2109" t="s">
        <v>47</v>
      </c>
      <c r="E2109" t="s">
        <v>48</v>
      </c>
      <c r="F2109" t="s">
        <v>49</v>
      </c>
      <c r="G2109" t="s">
        <v>68</v>
      </c>
      <c r="H2109" t="s">
        <v>69</v>
      </c>
      <c r="I2109">
        <v>1</v>
      </c>
      <c r="J2109" s="3">
        <v>50204.91</v>
      </c>
      <c r="K2109" s="3">
        <v>50204.91</v>
      </c>
      <c r="L2109" t="s">
        <v>25</v>
      </c>
      <c r="M2109" s="2">
        <v>46211</v>
      </c>
      <c r="N2109" s="2">
        <v>46209</v>
      </c>
      <c r="O2109" t="s">
        <v>26</v>
      </c>
      <c r="P2109" t="s">
        <v>53</v>
      </c>
      <c r="Q2109" t="s">
        <v>28</v>
      </c>
      <c r="R2109" t="s">
        <v>29</v>
      </c>
      <c r="S2109">
        <v>2026</v>
      </c>
      <c r="T2109" t="s">
        <v>2743</v>
      </c>
      <c r="U2109" t="s">
        <v>2744</v>
      </c>
      <c r="V2109" s="4">
        <v>0</v>
      </c>
      <c r="W2109" s="4">
        <v>1</v>
      </c>
    </row>
    <row r="2110" spans="1:23">
      <c r="A2110" t="s">
        <v>2242</v>
      </c>
      <c r="B2110" s="2">
        <v>45824</v>
      </c>
      <c r="C2110" t="s">
        <v>71</v>
      </c>
      <c r="D2110" t="s">
        <v>72</v>
      </c>
      <c r="E2110" t="s">
        <v>31</v>
      </c>
      <c r="F2110" t="s">
        <v>57</v>
      </c>
      <c r="G2110" t="s">
        <v>127</v>
      </c>
      <c r="H2110" t="s">
        <v>128</v>
      </c>
      <c r="I2110">
        <v>1</v>
      </c>
      <c r="J2110" s="3">
        <v>15625.14</v>
      </c>
      <c r="K2110" s="3">
        <v>15625.14</v>
      </c>
      <c r="L2110" t="s">
        <v>52</v>
      </c>
      <c r="M2110" s="2">
        <v>45829</v>
      </c>
      <c r="N2110" s="2">
        <v>45826</v>
      </c>
      <c r="O2110" t="s">
        <v>26</v>
      </c>
      <c r="P2110" t="s">
        <v>35</v>
      </c>
      <c r="Q2110" t="s">
        <v>28</v>
      </c>
      <c r="R2110" t="s">
        <v>29</v>
      </c>
      <c r="S2110">
        <v>2025</v>
      </c>
      <c r="T2110" t="s">
        <v>2743</v>
      </c>
      <c r="U2110" t="s">
        <v>2756</v>
      </c>
      <c r="V2110" s="4">
        <v>0</v>
      </c>
      <c r="W2110" s="4">
        <v>1</v>
      </c>
    </row>
    <row r="2111" spans="1:23">
      <c r="A2111" t="s">
        <v>2243</v>
      </c>
      <c r="B2111" s="2">
        <v>45978</v>
      </c>
      <c r="C2111" t="s">
        <v>71</v>
      </c>
      <c r="D2111" t="s">
        <v>72</v>
      </c>
      <c r="E2111" t="s">
        <v>31</v>
      </c>
      <c r="F2111" t="s">
        <v>57</v>
      </c>
      <c r="G2111" t="s">
        <v>86</v>
      </c>
      <c r="H2111" t="s">
        <v>87</v>
      </c>
      <c r="I2111">
        <v>7</v>
      </c>
      <c r="J2111" s="3">
        <v>9813.4699999999993</v>
      </c>
      <c r="K2111" s="3">
        <v>68694.289999999994</v>
      </c>
      <c r="L2111" t="s">
        <v>25</v>
      </c>
      <c r="M2111" s="2">
        <v>45983</v>
      </c>
      <c r="N2111" s="2">
        <v>45981</v>
      </c>
      <c r="O2111" t="s">
        <v>43</v>
      </c>
      <c r="P2111" t="s">
        <v>94</v>
      </c>
      <c r="Q2111" t="s">
        <v>28</v>
      </c>
      <c r="R2111" t="s">
        <v>29</v>
      </c>
      <c r="S2111">
        <v>2025</v>
      </c>
      <c r="T2111" t="s">
        <v>2763</v>
      </c>
      <c r="U2111" t="s">
        <v>2764</v>
      </c>
      <c r="V2111" s="4">
        <v>0</v>
      </c>
      <c r="W2111" s="4">
        <v>1</v>
      </c>
    </row>
    <row r="2112" spans="1:23">
      <c r="A2112" t="s">
        <v>2244</v>
      </c>
      <c r="B2112" s="2">
        <v>45706</v>
      </c>
      <c r="C2112" t="s">
        <v>46</v>
      </c>
      <c r="D2112" t="s">
        <v>47</v>
      </c>
      <c r="E2112" t="s">
        <v>112</v>
      </c>
      <c r="F2112" t="s">
        <v>49</v>
      </c>
      <c r="G2112" t="s">
        <v>113</v>
      </c>
      <c r="H2112" t="s">
        <v>114</v>
      </c>
      <c r="I2112">
        <v>3</v>
      </c>
      <c r="J2112" s="3">
        <v>39543.65</v>
      </c>
      <c r="K2112" s="3">
        <v>118630.95</v>
      </c>
      <c r="L2112" t="s">
        <v>25</v>
      </c>
      <c r="M2112" s="2">
        <v>45718</v>
      </c>
      <c r="N2112" s="2">
        <v>45715</v>
      </c>
      <c r="O2112" t="s">
        <v>26</v>
      </c>
      <c r="P2112" t="s">
        <v>115</v>
      </c>
      <c r="Q2112" t="s">
        <v>28</v>
      </c>
      <c r="R2112" t="s">
        <v>29</v>
      </c>
      <c r="S2112">
        <v>2025</v>
      </c>
      <c r="T2112" t="s">
        <v>2751</v>
      </c>
      <c r="U2112" t="s">
        <v>2752</v>
      </c>
      <c r="V2112" s="4">
        <v>0</v>
      </c>
      <c r="W2112" s="4">
        <v>1</v>
      </c>
    </row>
    <row r="2113" spans="1:23">
      <c r="A2113" t="s">
        <v>2245</v>
      </c>
      <c r="B2113" s="2">
        <v>46022</v>
      </c>
      <c r="C2113" t="s">
        <v>71</v>
      </c>
      <c r="D2113" t="s">
        <v>72</v>
      </c>
      <c r="E2113" t="s">
        <v>31</v>
      </c>
      <c r="F2113" t="s">
        <v>57</v>
      </c>
      <c r="G2113" t="s">
        <v>127</v>
      </c>
      <c r="H2113" t="s">
        <v>128</v>
      </c>
      <c r="I2113">
        <v>1</v>
      </c>
      <c r="J2113" s="3">
        <v>14780.63</v>
      </c>
      <c r="K2113" s="3">
        <v>14780.63</v>
      </c>
      <c r="L2113" t="s">
        <v>25</v>
      </c>
      <c r="M2113" s="2">
        <v>46028</v>
      </c>
      <c r="N2113" s="2">
        <v>46027</v>
      </c>
      <c r="O2113" t="s">
        <v>76</v>
      </c>
      <c r="P2113" t="s">
        <v>94</v>
      </c>
      <c r="Q2113" t="s">
        <v>28</v>
      </c>
      <c r="R2113" t="s">
        <v>29</v>
      </c>
      <c r="S2113">
        <v>2025</v>
      </c>
      <c r="T2113" t="s">
        <v>2745</v>
      </c>
      <c r="U2113" t="s">
        <v>2746</v>
      </c>
      <c r="V2113" s="4">
        <v>0</v>
      </c>
      <c r="W2113" s="4">
        <v>1</v>
      </c>
    </row>
    <row r="2114" spans="1:23">
      <c r="A2114" t="s">
        <v>2246</v>
      </c>
      <c r="B2114" s="2">
        <v>45991</v>
      </c>
      <c r="C2114" t="s">
        <v>96</v>
      </c>
      <c r="D2114" t="s">
        <v>97</v>
      </c>
      <c r="E2114" t="s">
        <v>39</v>
      </c>
      <c r="F2114" t="s">
        <v>82</v>
      </c>
      <c r="G2114" t="s">
        <v>197</v>
      </c>
      <c r="H2114" t="s">
        <v>198</v>
      </c>
      <c r="I2114">
        <v>54</v>
      </c>
      <c r="J2114" s="3">
        <v>2067.79</v>
      </c>
      <c r="K2114" s="3">
        <v>111660.66</v>
      </c>
      <c r="L2114" t="s">
        <v>52</v>
      </c>
      <c r="M2114" s="2">
        <v>46003</v>
      </c>
      <c r="N2114" s="2">
        <v>46001</v>
      </c>
      <c r="O2114" t="s">
        <v>76</v>
      </c>
      <c r="P2114" t="s">
        <v>44</v>
      </c>
      <c r="Q2114" t="s">
        <v>28</v>
      </c>
      <c r="R2114" t="s">
        <v>29</v>
      </c>
      <c r="S2114">
        <v>2025</v>
      </c>
      <c r="T2114" t="s">
        <v>2763</v>
      </c>
      <c r="U2114" t="s">
        <v>2764</v>
      </c>
      <c r="V2114" s="4">
        <v>0</v>
      </c>
      <c r="W2114" s="4">
        <v>1</v>
      </c>
    </row>
    <row r="2115" spans="1:23">
      <c r="A2115" t="s">
        <v>2247</v>
      </c>
      <c r="B2115" s="2">
        <v>46034</v>
      </c>
      <c r="C2115" t="s">
        <v>104</v>
      </c>
      <c r="D2115" t="s">
        <v>105</v>
      </c>
      <c r="E2115" t="s">
        <v>112</v>
      </c>
      <c r="F2115" t="s">
        <v>49</v>
      </c>
      <c r="G2115" t="s">
        <v>165</v>
      </c>
      <c r="H2115" t="s">
        <v>166</v>
      </c>
      <c r="I2115">
        <v>3</v>
      </c>
      <c r="J2115" s="3">
        <v>45203.28</v>
      </c>
      <c r="K2115" s="3">
        <v>135609.84</v>
      </c>
      <c r="L2115" t="s">
        <v>52</v>
      </c>
      <c r="M2115" s="2">
        <v>46044</v>
      </c>
      <c r="N2115" s="2">
        <v>46042</v>
      </c>
      <c r="O2115" t="s">
        <v>43</v>
      </c>
      <c r="P2115" t="s">
        <v>115</v>
      </c>
      <c r="Q2115" t="s">
        <v>28</v>
      </c>
      <c r="R2115" t="s">
        <v>29</v>
      </c>
      <c r="S2115">
        <v>2026</v>
      </c>
      <c r="T2115" t="s">
        <v>2757</v>
      </c>
      <c r="U2115" t="s">
        <v>2758</v>
      </c>
      <c r="V2115" s="4">
        <v>0</v>
      </c>
      <c r="W2115" s="4">
        <v>1</v>
      </c>
    </row>
    <row r="2116" spans="1:23">
      <c r="A2116" t="s">
        <v>2248</v>
      </c>
      <c r="B2116" s="2">
        <v>46054</v>
      </c>
      <c r="C2116" t="s">
        <v>117</v>
      </c>
      <c r="D2116" t="s">
        <v>118</v>
      </c>
      <c r="E2116" t="s">
        <v>48</v>
      </c>
      <c r="F2116" t="s">
        <v>57</v>
      </c>
      <c r="G2116" t="s">
        <v>74</v>
      </c>
      <c r="H2116" t="s">
        <v>75</v>
      </c>
      <c r="I2116">
        <v>15</v>
      </c>
      <c r="J2116" s="3">
        <v>8776.56</v>
      </c>
      <c r="K2116" s="3">
        <v>131648.4</v>
      </c>
      <c r="L2116" t="s">
        <v>34</v>
      </c>
      <c r="M2116" s="2">
        <v>46072</v>
      </c>
      <c r="N2116" s="2">
        <v>46072</v>
      </c>
      <c r="O2116" t="s">
        <v>76</v>
      </c>
      <c r="P2116" t="s">
        <v>53</v>
      </c>
      <c r="Q2116" t="s">
        <v>28</v>
      </c>
      <c r="R2116" t="s">
        <v>29</v>
      </c>
      <c r="S2116">
        <v>2026</v>
      </c>
      <c r="T2116" t="s">
        <v>2751</v>
      </c>
      <c r="U2116" t="s">
        <v>2765</v>
      </c>
      <c r="V2116" s="4">
        <v>0</v>
      </c>
      <c r="W2116" s="4">
        <v>1</v>
      </c>
    </row>
    <row r="2117" spans="1:23">
      <c r="A2117" t="s">
        <v>2249</v>
      </c>
      <c r="B2117" s="2">
        <v>45978</v>
      </c>
      <c r="C2117" t="s">
        <v>147</v>
      </c>
      <c r="D2117" t="s">
        <v>148</v>
      </c>
      <c r="E2117" t="s">
        <v>112</v>
      </c>
      <c r="F2117" t="s">
        <v>40</v>
      </c>
      <c r="G2117" t="s">
        <v>149</v>
      </c>
      <c r="H2117" t="s">
        <v>150</v>
      </c>
      <c r="I2117">
        <v>34</v>
      </c>
      <c r="J2117" s="3">
        <v>1251.3599999999999</v>
      </c>
      <c r="K2117" s="3">
        <v>42546.239999999998</v>
      </c>
      <c r="L2117" t="s">
        <v>34</v>
      </c>
      <c r="M2117" s="2">
        <v>45993</v>
      </c>
      <c r="N2117" s="2">
        <v>45992</v>
      </c>
      <c r="O2117" t="s">
        <v>43</v>
      </c>
      <c r="P2117" t="s">
        <v>115</v>
      </c>
      <c r="Q2117" t="s">
        <v>28</v>
      </c>
      <c r="R2117" t="s">
        <v>29</v>
      </c>
      <c r="S2117">
        <v>2025</v>
      </c>
      <c r="T2117" t="s">
        <v>2763</v>
      </c>
      <c r="U2117" t="s">
        <v>2764</v>
      </c>
      <c r="V2117" s="4">
        <v>0</v>
      </c>
      <c r="W2117" s="4">
        <v>1</v>
      </c>
    </row>
    <row r="2118" spans="1:23">
      <c r="A2118" t="s">
        <v>2250</v>
      </c>
      <c r="B2118" s="2">
        <v>45978</v>
      </c>
      <c r="C2118" t="s">
        <v>96</v>
      </c>
      <c r="D2118" t="s">
        <v>97</v>
      </c>
      <c r="E2118" t="s">
        <v>39</v>
      </c>
      <c r="F2118" t="s">
        <v>82</v>
      </c>
      <c r="G2118" t="s">
        <v>197</v>
      </c>
      <c r="H2118" t="s">
        <v>198</v>
      </c>
      <c r="I2118">
        <v>28</v>
      </c>
      <c r="J2118" s="3">
        <v>2093.31</v>
      </c>
      <c r="K2118" s="3">
        <v>58612.68</v>
      </c>
      <c r="L2118" t="s">
        <v>25</v>
      </c>
      <c r="M2118" s="2">
        <v>45990</v>
      </c>
      <c r="N2118" s="2">
        <v>45988</v>
      </c>
      <c r="O2118" t="s">
        <v>43</v>
      </c>
      <c r="P2118" t="s">
        <v>64</v>
      </c>
      <c r="Q2118" t="s">
        <v>28</v>
      </c>
      <c r="R2118" t="s">
        <v>29</v>
      </c>
      <c r="S2118">
        <v>2025</v>
      </c>
      <c r="T2118" t="s">
        <v>2763</v>
      </c>
      <c r="U2118" t="s">
        <v>2764</v>
      </c>
      <c r="V2118" s="4">
        <v>0</v>
      </c>
      <c r="W2118" s="4">
        <v>1</v>
      </c>
    </row>
    <row r="2119" spans="1:23">
      <c r="A2119" t="s">
        <v>2251</v>
      </c>
      <c r="B2119" s="2">
        <v>45796</v>
      </c>
      <c r="C2119" t="s">
        <v>71</v>
      </c>
      <c r="D2119" t="s">
        <v>72</v>
      </c>
      <c r="E2119" t="s">
        <v>73</v>
      </c>
      <c r="F2119" t="s">
        <v>57</v>
      </c>
      <c r="G2119" t="s">
        <v>58</v>
      </c>
      <c r="H2119" t="s">
        <v>59</v>
      </c>
      <c r="I2119">
        <v>3</v>
      </c>
      <c r="J2119" s="3">
        <v>51228.83</v>
      </c>
      <c r="K2119" s="3">
        <v>153686.49</v>
      </c>
      <c r="L2119" t="s">
        <v>34</v>
      </c>
      <c r="M2119" s="2">
        <v>45805</v>
      </c>
      <c r="N2119" s="2">
        <v>45804</v>
      </c>
      <c r="O2119" t="s">
        <v>76</v>
      </c>
      <c r="P2119" t="s">
        <v>77</v>
      </c>
      <c r="Q2119" t="s">
        <v>28</v>
      </c>
      <c r="R2119" t="s">
        <v>29</v>
      </c>
      <c r="S2119">
        <v>2025</v>
      </c>
      <c r="T2119" t="s">
        <v>2766</v>
      </c>
      <c r="U2119" t="s">
        <v>2767</v>
      </c>
      <c r="V2119" s="4">
        <v>0</v>
      </c>
      <c r="W2119" s="4">
        <v>1</v>
      </c>
    </row>
    <row r="2120" spans="1:23">
      <c r="A2120" t="s">
        <v>2252</v>
      </c>
      <c r="B2120" s="2">
        <v>45950</v>
      </c>
      <c r="C2120" t="s">
        <v>55</v>
      </c>
      <c r="D2120" t="s">
        <v>56</v>
      </c>
      <c r="E2120" t="s">
        <v>48</v>
      </c>
      <c r="F2120" t="s">
        <v>57</v>
      </c>
      <c r="G2120" t="s">
        <v>74</v>
      </c>
      <c r="H2120" t="s">
        <v>75</v>
      </c>
      <c r="I2120">
        <v>13</v>
      </c>
      <c r="J2120" s="3">
        <v>9784.6200000000008</v>
      </c>
      <c r="K2120" s="3">
        <v>127200.06</v>
      </c>
      <c r="L2120" t="s">
        <v>25</v>
      </c>
      <c r="M2120" s="2">
        <v>45967</v>
      </c>
      <c r="N2120" s="2">
        <v>45973</v>
      </c>
      <c r="O2120" t="s">
        <v>43</v>
      </c>
      <c r="P2120" t="s">
        <v>53</v>
      </c>
      <c r="Q2120" t="s">
        <v>28</v>
      </c>
      <c r="R2120" t="s">
        <v>129</v>
      </c>
      <c r="S2120">
        <v>2025</v>
      </c>
      <c r="T2120" t="s">
        <v>2749</v>
      </c>
      <c r="U2120" t="s">
        <v>2750</v>
      </c>
      <c r="V2120" s="4">
        <v>6</v>
      </c>
      <c r="W2120" s="4">
        <v>0</v>
      </c>
    </row>
    <row r="2121" spans="1:23">
      <c r="A2121" t="s">
        <v>2253</v>
      </c>
      <c r="B2121" s="2">
        <v>45826</v>
      </c>
      <c r="C2121" t="s">
        <v>142</v>
      </c>
      <c r="D2121" t="s">
        <v>143</v>
      </c>
      <c r="E2121" t="s">
        <v>31</v>
      </c>
      <c r="F2121" t="s">
        <v>22</v>
      </c>
      <c r="G2121" t="s">
        <v>32</v>
      </c>
      <c r="H2121" t="s">
        <v>33</v>
      </c>
      <c r="I2121">
        <v>15</v>
      </c>
      <c r="J2121" s="3">
        <v>7506.89</v>
      </c>
      <c r="K2121" s="3">
        <v>112603.35</v>
      </c>
      <c r="L2121" t="s">
        <v>25</v>
      </c>
      <c r="M2121" s="2">
        <v>45844</v>
      </c>
      <c r="N2121" s="2">
        <v>45842</v>
      </c>
      <c r="O2121" t="s">
        <v>26</v>
      </c>
      <c r="P2121" t="s">
        <v>94</v>
      </c>
      <c r="Q2121" t="s">
        <v>28</v>
      </c>
      <c r="R2121" t="s">
        <v>29</v>
      </c>
      <c r="S2121">
        <v>2025</v>
      </c>
      <c r="T2121" t="s">
        <v>2743</v>
      </c>
      <c r="U2121" t="s">
        <v>2756</v>
      </c>
      <c r="V2121" s="4">
        <v>0</v>
      </c>
      <c r="W2121" s="4">
        <v>1</v>
      </c>
    </row>
    <row r="2122" spans="1:23">
      <c r="A2122" t="s">
        <v>2254</v>
      </c>
      <c r="B2122" s="2">
        <v>45990</v>
      </c>
      <c r="C2122" t="s">
        <v>96</v>
      </c>
      <c r="D2122" t="s">
        <v>97</v>
      </c>
      <c r="E2122" t="s">
        <v>39</v>
      </c>
      <c r="F2122" t="s">
        <v>82</v>
      </c>
      <c r="G2122" t="s">
        <v>197</v>
      </c>
      <c r="H2122" t="s">
        <v>198</v>
      </c>
      <c r="I2122">
        <v>12</v>
      </c>
      <c r="J2122" s="3">
        <v>2220.66</v>
      </c>
      <c r="K2122" s="3">
        <v>26647.919999999998</v>
      </c>
      <c r="L2122" t="s">
        <v>25</v>
      </c>
      <c r="M2122" s="2">
        <v>45998</v>
      </c>
      <c r="N2122" s="2">
        <v>45997</v>
      </c>
      <c r="O2122" t="s">
        <v>76</v>
      </c>
      <c r="P2122" t="s">
        <v>44</v>
      </c>
      <c r="Q2122" t="s">
        <v>28</v>
      </c>
      <c r="R2122" t="s">
        <v>29</v>
      </c>
      <c r="S2122">
        <v>2025</v>
      </c>
      <c r="T2122" t="s">
        <v>2763</v>
      </c>
      <c r="U2122" t="s">
        <v>2764</v>
      </c>
      <c r="V2122" s="4">
        <v>0</v>
      </c>
      <c r="W2122" s="4">
        <v>1</v>
      </c>
    </row>
    <row r="2123" spans="1:23">
      <c r="A2123" t="s">
        <v>2255</v>
      </c>
      <c r="B2123" s="2">
        <v>45728</v>
      </c>
      <c r="C2123" t="s">
        <v>142</v>
      </c>
      <c r="D2123" t="s">
        <v>143</v>
      </c>
      <c r="E2123" t="s">
        <v>31</v>
      </c>
      <c r="F2123" t="s">
        <v>22</v>
      </c>
      <c r="G2123" t="s">
        <v>32</v>
      </c>
      <c r="H2123" t="s">
        <v>33</v>
      </c>
      <c r="I2123">
        <v>8</v>
      </c>
      <c r="J2123" s="3">
        <v>7611.48</v>
      </c>
      <c r="K2123" s="3">
        <v>60891.839999999997</v>
      </c>
      <c r="L2123" t="s">
        <v>25</v>
      </c>
      <c r="M2123" s="2">
        <v>45739</v>
      </c>
      <c r="N2123" s="2">
        <v>45739</v>
      </c>
      <c r="O2123" t="s">
        <v>26</v>
      </c>
      <c r="P2123" t="s">
        <v>35</v>
      </c>
      <c r="Q2123" t="s">
        <v>28</v>
      </c>
      <c r="R2123" t="s">
        <v>29</v>
      </c>
      <c r="S2123">
        <v>2025</v>
      </c>
      <c r="T2123" t="s">
        <v>2747</v>
      </c>
      <c r="U2123" t="s">
        <v>2748</v>
      </c>
      <c r="V2123" s="4">
        <v>0</v>
      </c>
      <c r="W2123" s="4">
        <v>1</v>
      </c>
    </row>
    <row r="2124" spans="1:23">
      <c r="A2124" t="s">
        <v>2256</v>
      </c>
      <c r="B2124" s="2">
        <v>45789</v>
      </c>
      <c r="C2124" t="s">
        <v>19</v>
      </c>
      <c r="D2124" t="s">
        <v>20</v>
      </c>
      <c r="E2124" t="s">
        <v>39</v>
      </c>
      <c r="F2124" t="s">
        <v>22</v>
      </c>
      <c r="G2124" t="s">
        <v>23</v>
      </c>
      <c r="H2124" t="s">
        <v>24</v>
      </c>
      <c r="I2124">
        <v>50</v>
      </c>
      <c r="J2124" s="3">
        <v>236.84</v>
      </c>
      <c r="K2124" s="3">
        <v>11842</v>
      </c>
      <c r="L2124" t="s">
        <v>25</v>
      </c>
      <c r="M2124" s="2">
        <v>45797</v>
      </c>
      <c r="N2124" s="2">
        <v>45796</v>
      </c>
      <c r="O2124" t="s">
        <v>76</v>
      </c>
      <c r="P2124" t="s">
        <v>44</v>
      </c>
      <c r="Q2124" t="s">
        <v>28</v>
      </c>
      <c r="R2124" t="s">
        <v>29</v>
      </c>
      <c r="S2124">
        <v>2025</v>
      </c>
      <c r="T2124" t="s">
        <v>2766</v>
      </c>
      <c r="U2124" t="s">
        <v>2767</v>
      </c>
      <c r="V2124" s="4">
        <v>0</v>
      </c>
      <c r="W2124" s="4">
        <v>1</v>
      </c>
    </row>
    <row r="2125" spans="1:23">
      <c r="A2125" t="s">
        <v>2257</v>
      </c>
      <c r="B2125" s="2">
        <v>45693</v>
      </c>
      <c r="C2125" t="s">
        <v>19</v>
      </c>
      <c r="D2125" t="s">
        <v>20</v>
      </c>
      <c r="E2125" t="s">
        <v>31</v>
      </c>
      <c r="F2125" t="s">
        <v>22</v>
      </c>
      <c r="G2125" t="s">
        <v>23</v>
      </c>
      <c r="H2125" t="s">
        <v>24</v>
      </c>
      <c r="I2125">
        <v>50</v>
      </c>
      <c r="J2125" s="3">
        <v>231.96</v>
      </c>
      <c r="K2125" s="3">
        <v>11598</v>
      </c>
      <c r="L2125" t="s">
        <v>25</v>
      </c>
      <c r="M2125" s="2">
        <v>45699</v>
      </c>
      <c r="N2125" s="2">
        <v>45696</v>
      </c>
      <c r="O2125" t="s">
        <v>76</v>
      </c>
      <c r="P2125" t="s">
        <v>94</v>
      </c>
      <c r="Q2125" t="s">
        <v>28</v>
      </c>
      <c r="R2125" t="s">
        <v>29</v>
      </c>
      <c r="S2125">
        <v>2025</v>
      </c>
      <c r="T2125" t="s">
        <v>2751</v>
      </c>
      <c r="U2125" t="s">
        <v>2752</v>
      </c>
      <c r="V2125" s="4">
        <v>0</v>
      </c>
      <c r="W2125" s="4">
        <v>1</v>
      </c>
    </row>
    <row r="2126" spans="1:23">
      <c r="A2126" t="s">
        <v>2258</v>
      </c>
      <c r="B2126" s="2">
        <v>45850</v>
      </c>
      <c r="C2126" t="s">
        <v>37</v>
      </c>
      <c r="D2126" t="s">
        <v>38</v>
      </c>
      <c r="E2126" t="s">
        <v>31</v>
      </c>
      <c r="F2126" t="s">
        <v>22</v>
      </c>
      <c r="G2126" t="s">
        <v>32</v>
      </c>
      <c r="H2126" t="s">
        <v>33</v>
      </c>
      <c r="I2126">
        <v>3</v>
      </c>
      <c r="J2126" s="3">
        <v>8039.28</v>
      </c>
      <c r="K2126" s="3">
        <v>24117.84</v>
      </c>
      <c r="L2126" t="s">
        <v>25</v>
      </c>
      <c r="M2126" s="2">
        <v>45856</v>
      </c>
      <c r="N2126" s="2">
        <v>45855</v>
      </c>
      <c r="O2126" t="s">
        <v>26</v>
      </c>
      <c r="P2126" t="s">
        <v>94</v>
      </c>
      <c r="Q2126" t="s">
        <v>28</v>
      </c>
      <c r="R2126" t="s">
        <v>29</v>
      </c>
      <c r="S2126">
        <v>2025</v>
      </c>
      <c r="T2126" t="s">
        <v>2759</v>
      </c>
      <c r="U2126" t="s">
        <v>2760</v>
      </c>
      <c r="V2126" s="4">
        <v>0</v>
      </c>
      <c r="W2126" s="4">
        <v>1</v>
      </c>
    </row>
    <row r="2127" spans="1:23">
      <c r="A2127" t="s">
        <v>2259</v>
      </c>
      <c r="B2127" s="2">
        <v>46066</v>
      </c>
      <c r="C2127" t="s">
        <v>66</v>
      </c>
      <c r="D2127" t="s">
        <v>67</v>
      </c>
      <c r="E2127" t="s">
        <v>112</v>
      </c>
      <c r="F2127" t="s">
        <v>49</v>
      </c>
      <c r="G2127" t="s">
        <v>113</v>
      </c>
      <c r="H2127" t="s">
        <v>114</v>
      </c>
      <c r="I2127">
        <v>1</v>
      </c>
      <c r="J2127" s="3">
        <v>35667.83</v>
      </c>
      <c r="K2127" s="3">
        <v>35667.83</v>
      </c>
      <c r="L2127" t="s">
        <v>34</v>
      </c>
      <c r="M2127" s="2">
        <v>46082</v>
      </c>
      <c r="N2127" s="2">
        <v>46082</v>
      </c>
      <c r="O2127" t="s">
        <v>60</v>
      </c>
      <c r="P2127" t="s">
        <v>115</v>
      </c>
      <c r="Q2127" t="s">
        <v>28</v>
      </c>
      <c r="R2127" t="s">
        <v>29</v>
      </c>
      <c r="S2127">
        <v>2026</v>
      </c>
      <c r="T2127" t="s">
        <v>2751</v>
      </c>
      <c r="U2127" t="s">
        <v>2765</v>
      </c>
      <c r="V2127" s="4">
        <v>0</v>
      </c>
      <c r="W2127" s="4">
        <v>1</v>
      </c>
    </row>
    <row r="2128" spans="1:23">
      <c r="A2128" t="s">
        <v>2260</v>
      </c>
      <c r="B2128" s="2">
        <v>45694</v>
      </c>
      <c r="C2128" t="s">
        <v>19</v>
      </c>
      <c r="D2128" t="s">
        <v>20</v>
      </c>
      <c r="E2128" t="s">
        <v>112</v>
      </c>
      <c r="F2128" t="s">
        <v>22</v>
      </c>
      <c r="G2128" t="s">
        <v>23</v>
      </c>
      <c r="H2128" t="s">
        <v>24</v>
      </c>
      <c r="I2128">
        <v>6</v>
      </c>
      <c r="J2128" s="3">
        <v>248.85</v>
      </c>
      <c r="K2128" s="3">
        <v>1493.1</v>
      </c>
      <c r="L2128" t="s">
        <v>25</v>
      </c>
      <c r="M2128" s="2">
        <v>45711</v>
      </c>
      <c r="N2128" s="2">
        <v>45710</v>
      </c>
      <c r="O2128" t="s">
        <v>76</v>
      </c>
      <c r="P2128" t="s">
        <v>115</v>
      </c>
      <c r="Q2128" t="s">
        <v>28</v>
      </c>
      <c r="R2128" t="s">
        <v>29</v>
      </c>
      <c r="S2128">
        <v>2025</v>
      </c>
      <c r="T2128" t="s">
        <v>2751</v>
      </c>
      <c r="U2128" t="s">
        <v>2752</v>
      </c>
      <c r="V2128" s="4">
        <v>0</v>
      </c>
      <c r="W2128" s="4">
        <v>1</v>
      </c>
    </row>
    <row r="2129" spans="1:23">
      <c r="A2129" t="s">
        <v>2261</v>
      </c>
      <c r="B2129" s="2">
        <v>46098</v>
      </c>
      <c r="C2129" t="s">
        <v>71</v>
      </c>
      <c r="D2129" t="s">
        <v>72</v>
      </c>
      <c r="E2129" t="s">
        <v>31</v>
      </c>
      <c r="F2129" t="s">
        <v>57</v>
      </c>
      <c r="G2129" t="s">
        <v>127</v>
      </c>
      <c r="H2129" t="s">
        <v>128</v>
      </c>
      <c r="I2129">
        <v>1</v>
      </c>
      <c r="J2129" s="3">
        <v>15214.25</v>
      </c>
      <c r="K2129" s="3">
        <v>15214.25</v>
      </c>
      <c r="L2129" t="s">
        <v>25</v>
      </c>
      <c r="M2129" s="2">
        <v>46116</v>
      </c>
      <c r="N2129" s="2">
        <v>46113</v>
      </c>
      <c r="O2129" t="s">
        <v>26</v>
      </c>
      <c r="P2129" t="s">
        <v>35</v>
      </c>
      <c r="Q2129" t="s">
        <v>28</v>
      </c>
      <c r="R2129" t="s">
        <v>29</v>
      </c>
      <c r="S2129">
        <v>2026</v>
      </c>
      <c r="T2129" t="s">
        <v>2747</v>
      </c>
      <c r="U2129" t="s">
        <v>2755</v>
      </c>
      <c r="V2129" s="4">
        <v>0</v>
      </c>
      <c r="W2129" s="4">
        <v>1</v>
      </c>
    </row>
    <row r="2130" spans="1:23">
      <c r="A2130" t="s">
        <v>2262</v>
      </c>
      <c r="B2130" s="2">
        <v>46128</v>
      </c>
      <c r="C2130" t="s">
        <v>37</v>
      </c>
      <c r="D2130" t="s">
        <v>38</v>
      </c>
      <c r="E2130" t="s">
        <v>39</v>
      </c>
      <c r="F2130" t="s">
        <v>40</v>
      </c>
      <c r="G2130" t="s">
        <v>149</v>
      </c>
      <c r="H2130" t="s">
        <v>150</v>
      </c>
      <c r="I2130">
        <v>17</v>
      </c>
      <c r="J2130" s="3">
        <v>1390.11</v>
      </c>
      <c r="K2130" s="3">
        <v>23631.87</v>
      </c>
      <c r="L2130" t="s">
        <v>25</v>
      </c>
      <c r="M2130" s="2">
        <v>46143</v>
      </c>
      <c r="N2130" s="2">
        <v>46143</v>
      </c>
      <c r="O2130" t="s">
        <v>43</v>
      </c>
      <c r="P2130" t="s">
        <v>44</v>
      </c>
      <c r="Q2130" t="s">
        <v>28</v>
      </c>
      <c r="R2130" t="s">
        <v>29</v>
      </c>
      <c r="S2130">
        <v>2026</v>
      </c>
      <c r="T2130" t="s">
        <v>2741</v>
      </c>
      <c r="U2130" t="s">
        <v>2770</v>
      </c>
      <c r="V2130" s="4">
        <v>0</v>
      </c>
      <c r="W2130" s="4">
        <v>1</v>
      </c>
    </row>
    <row r="2131" spans="1:23">
      <c r="A2131" t="s">
        <v>2263</v>
      </c>
      <c r="B2131" s="2">
        <v>45868</v>
      </c>
      <c r="C2131" t="s">
        <v>104</v>
      </c>
      <c r="D2131" t="s">
        <v>105</v>
      </c>
      <c r="E2131" t="s">
        <v>73</v>
      </c>
      <c r="F2131" t="s">
        <v>49</v>
      </c>
      <c r="G2131" t="s">
        <v>113</v>
      </c>
      <c r="H2131" t="s">
        <v>114</v>
      </c>
      <c r="I2131">
        <v>1</v>
      </c>
      <c r="J2131" s="3">
        <v>38510.82</v>
      </c>
      <c r="K2131" s="3">
        <v>38510.82</v>
      </c>
      <c r="L2131" t="s">
        <v>25</v>
      </c>
      <c r="M2131" s="2">
        <v>45879</v>
      </c>
      <c r="N2131" s="2">
        <v>45876</v>
      </c>
      <c r="O2131" t="s">
        <v>26</v>
      </c>
      <c r="P2131" t="s">
        <v>77</v>
      </c>
      <c r="Q2131" t="s">
        <v>28</v>
      </c>
      <c r="R2131" t="s">
        <v>29</v>
      </c>
      <c r="S2131">
        <v>2025</v>
      </c>
      <c r="T2131" t="s">
        <v>2759</v>
      </c>
      <c r="U2131" t="s">
        <v>2760</v>
      </c>
      <c r="V2131" s="4">
        <v>0</v>
      </c>
      <c r="W2131" s="4">
        <v>1</v>
      </c>
    </row>
    <row r="2132" spans="1:23">
      <c r="A2132" t="s">
        <v>2264</v>
      </c>
      <c r="B2132" s="2">
        <v>45911</v>
      </c>
      <c r="C2132" t="s">
        <v>142</v>
      </c>
      <c r="D2132" t="s">
        <v>143</v>
      </c>
      <c r="E2132" t="s">
        <v>73</v>
      </c>
      <c r="F2132" t="s">
        <v>22</v>
      </c>
      <c r="G2132" t="s">
        <v>160</v>
      </c>
      <c r="H2132" t="s">
        <v>161</v>
      </c>
      <c r="I2132">
        <v>9</v>
      </c>
      <c r="J2132" s="3">
        <v>3217.12</v>
      </c>
      <c r="K2132" s="3">
        <v>28954.080000000002</v>
      </c>
      <c r="L2132" t="s">
        <v>34</v>
      </c>
      <c r="M2132" s="2">
        <v>45929</v>
      </c>
      <c r="N2132" s="2">
        <v>45931</v>
      </c>
      <c r="O2132" t="s">
        <v>43</v>
      </c>
      <c r="P2132" t="s">
        <v>77</v>
      </c>
      <c r="Q2132" t="s">
        <v>28</v>
      </c>
      <c r="R2132" t="s">
        <v>129</v>
      </c>
      <c r="S2132">
        <v>2025</v>
      </c>
      <c r="T2132" t="s">
        <v>2753</v>
      </c>
      <c r="U2132" t="s">
        <v>2754</v>
      </c>
      <c r="V2132" s="4">
        <v>2</v>
      </c>
      <c r="W2132" s="4">
        <v>0</v>
      </c>
    </row>
    <row r="2133" spans="1:23">
      <c r="A2133" t="s">
        <v>2265</v>
      </c>
      <c r="B2133" s="2">
        <v>45707</v>
      </c>
      <c r="C2133" t="s">
        <v>142</v>
      </c>
      <c r="D2133" t="s">
        <v>143</v>
      </c>
      <c r="E2133" t="s">
        <v>39</v>
      </c>
      <c r="F2133" t="s">
        <v>22</v>
      </c>
      <c r="G2133" t="s">
        <v>23</v>
      </c>
      <c r="H2133" t="s">
        <v>24</v>
      </c>
      <c r="I2133">
        <v>56</v>
      </c>
      <c r="J2133" s="3">
        <v>253.82</v>
      </c>
      <c r="K2133" s="3">
        <v>14213.92</v>
      </c>
      <c r="L2133" t="s">
        <v>25</v>
      </c>
      <c r="M2133" s="2">
        <v>45724</v>
      </c>
      <c r="N2133" s="2">
        <v>45721</v>
      </c>
      <c r="O2133" t="s">
        <v>26</v>
      </c>
      <c r="P2133" t="s">
        <v>64</v>
      </c>
      <c r="Q2133" t="s">
        <v>28</v>
      </c>
      <c r="R2133" t="s">
        <v>29</v>
      </c>
      <c r="S2133">
        <v>2025</v>
      </c>
      <c r="T2133" t="s">
        <v>2751</v>
      </c>
      <c r="U2133" t="s">
        <v>2752</v>
      </c>
      <c r="V2133" s="4">
        <v>0</v>
      </c>
      <c r="W2133" s="4">
        <v>1</v>
      </c>
    </row>
    <row r="2134" spans="1:23">
      <c r="A2134" t="s">
        <v>2266</v>
      </c>
      <c r="B2134" s="2">
        <v>45907</v>
      </c>
      <c r="C2134" t="s">
        <v>89</v>
      </c>
      <c r="D2134" t="s">
        <v>90</v>
      </c>
      <c r="E2134" t="s">
        <v>31</v>
      </c>
      <c r="F2134" t="s">
        <v>91</v>
      </c>
      <c r="G2134" t="s">
        <v>109</v>
      </c>
      <c r="H2134" t="s">
        <v>110</v>
      </c>
      <c r="I2134">
        <v>1</v>
      </c>
      <c r="J2134" s="3">
        <v>12590.17</v>
      </c>
      <c r="K2134" s="3">
        <v>12590.17</v>
      </c>
      <c r="L2134" t="s">
        <v>34</v>
      </c>
      <c r="M2134" s="2">
        <v>45920</v>
      </c>
      <c r="N2134" s="2">
        <v>45919</v>
      </c>
      <c r="O2134" t="s">
        <v>76</v>
      </c>
      <c r="P2134" t="s">
        <v>35</v>
      </c>
      <c r="Q2134" t="s">
        <v>28</v>
      </c>
      <c r="R2134" t="s">
        <v>29</v>
      </c>
      <c r="S2134">
        <v>2025</v>
      </c>
      <c r="T2134" t="s">
        <v>2753</v>
      </c>
      <c r="U2134" t="s">
        <v>2754</v>
      </c>
      <c r="V2134" s="4">
        <v>0</v>
      </c>
      <c r="W2134" s="4">
        <v>1</v>
      </c>
    </row>
    <row r="2135" spans="1:23">
      <c r="A2135" t="s">
        <v>2267</v>
      </c>
      <c r="B2135" s="2">
        <v>46022</v>
      </c>
      <c r="C2135" t="s">
        <v>19</v>
      </c>
      <c r="D2135" t="s">
        <v>20</v>
      </c>
      <c r="E2135" t="s">
        <v>112</v>
      </c>
      <c r="F2135" t="s">
        <v>22</v>
      </c>
      <c r="G2135" t="s">
        <v>32</v>
      </c>
      <c r="H2135" t="s">
        <v>33</v>
      </c>
      <c r="I2135">
        <v>7</v>
      </c>
      <c r="J2135" s="3">
        <v>8000.46</v>
      </c>
      <c r="K2135" s="3">
        <v>56003.22</v>
      </c>
      <c r="L2135" t="s">
        <v>52</v>
      </c>
      <c r="M2135" s="2">
        <v>46039</v>
      </c>
      <c r="N2135" s="2">
        <v>46044</v>
      </c>
      <c r="O2135" t="s">
        <v>26</v>
      </c>
      <c r="P2135" t="s">
        <v>115</v>
      </c>
      <c r="Q2135" t="s">
        <v>28</v>
      </c>
      <c r="R2135" t="s">
        <v>129</v>
      </c>
      <c r="S2135">
        <v>2025</v>
      </c>
      <c r="T2135" t="s">
        <v>2745</v>
      </c>
      <c r="U2135" t="s">
        <v>2746</v>
      </c>
      <c r="V2135" s="4">
        <v>5</v>
      </c>
      <c r="W2135" s="4">
        <v>0</v>
      </c>
    </row>
    <row r="2136" spans="1:23">
      <c r="A2136" t="s">
        <v>2268</v>
      </c>
      <c r="B2136" s="2">
        <v>46096</v>
      </c>
      <c r="C2136" t="s">
        <v>89</v>
      </c>
      <c r="D2136" t="s">
        <v>90</v>
      </c>
      <c r="E2136" t="s">
        <v>31</v>
      </c>
      <c r="F2136" t="s">
        <v>91</v>
      </c>
      <c r="G2136" t="s">
        <v>109</v>
      </c>
      <c r="H2136" t="s">
        <v>110</v>
      </c>
      <c r="I2136">
        <v>1</v>
      </c>
      <c r="J2136" s="3">
        <v>12987.79</v>
      </c>
      <c r="K2136" s="3">
        <v>12987.79</v>
      </c>
      <c r="L2136" t="s">
        <v>25</v>
      </c>
      <c r="M2136" s="2">
        <v>46103</v>
      </c>
      <c r="N2136" s="2">
        <v>46103</v>
      </c>
      <c r="O2136" t="s">
        <v>26</v>
      </c>
      <c r="P2136" t="s">
        <v>35</v>
      </c>
      <c r="Q2136" t="s">
        <v>28</v>
      </c>
      <c r="R2136" t="s">
        <v>29</v>
      </c>
      <c r="S2136">
        <v>2026</v>
      </c>
      <c r="T2136" t="s">
        <v>2747</v>
      </c>
      <c r="U2136" t="s">
        <v>2755</v>
      </c>
      <c r="V2136" s="4">
        <v>0</v>
      </c>
      <c r="W2136" s="4">
        <v>1</v>
      </c>
    </row>
    <row r="2137" spans="1:23">
      <c r="A2137" t="s">
        <v>2269</v>
      </c>
      <c r="B2137" s="2">
        <v>45919</v>
      </c>
      <c r="C2137" t="s">
        <v>131</v>
      </c>
      <c r="D2137" t="s">
        <v>132</v>
      </c>
      <c r="E2137" t="s">
        <v>31</v>
      </c>
      <c r="F2137" t="s">
        <v>57</v>
      </c>
      <c r="G2137" t="s">
        <v>74</v>
      </c>
      <c r="H2137" t="s">
        <v>75</v>
      </c>
      <c r="I2137">
        <v>7</v>
      </c>
      <c r="J2137" s="3">
        <v>8938.31</v>
      </c>
      <c r="K2137" s="3">
        <v>62568.17</v>
      </c>
      <c r="L2137" t="s">
        <v>25</v>
      </c>
      <c r="M2137" s="2">
        <v>45935</v>
      </c>
      <c r="N2137" s="2">
        <v>45933</v>
      </c>
      <c r="O2137" t="s">
        <v>26</v>
      </c>
      <c r="P2137" t="s">
        <v>35</v>
      </c>
      <c r="Q2137" t="s">
        <v>28</v>
      </c>
      <c r="R2137" t="s">
        <v>29</v>
      </c>
      <c r="S2137">
        <v>2025</v>
      </c>
      <c r="T2137" t="s">
        <v>2753</v>
      </c>
      <c r="U2137" t="s">
        <v>2754</v>
      </c>
      <c r="V2137" s="4">
        <v>0</v>
      </c>
      <c r="W2137" s="4">
        <v>1</v>
      </c>
    </row>
    <row r="2138" spans="1:23">
      <c r="A2138" t="s">
        <v>2270</v>
      </c>
      <c r="B2138" s="2">
        <v>45748</v>
      </c>
      <c r="C2138" t="s">
        <v>142</v>
      </c>
      <c r="D2138" t="s">
        <v>143</v>
      </c>
      <c r="E2138" t="s">
        <v>73</v>
      </c>
      <c r="F2138" t="s">
        <v>22</v>
      </c>
      <c r="G2138" t="s">
        <v>160</v>
      </c>
      <c r="H2138" t="s">
        <v>161</v>
      </c>
      <c r="I2138">
        <v>10</v>
      </c>
      <c r="J2138" s="3">
        <v>3276.39</v>
      </c>
      <c r="K2138" s="3">
        <v>32763.9</v>
      </c>
      <c r="L2138" t="s">
        <v>25</v>
      </c>
      <c r="M2138" s="2">
        <v>45760</v>
      </c>
      <c r="N2138" s="2">
        <v>45760</v>
      </c>
      <c r="O2138" t="s">
        <v>76</v>
      </c>
      <c r="P2138" t="s">
        <v>77</v>
      </c>
      <c r="Q2138" t="s">
        <v>28</v>
      </c>
      <c r="R2138" t="s">
        <v>29</v>
      </c>
      <c r="S2138">
        <v>2025</v>
      </c>
      <c r="T2138" t="s">
        <v>2741</v>
      </c>
      <c r="U2138" t="s">
        <v>2742</v>
      </c>
      <c r="V2138" s="4">
        <v>0</v>
      </c>
      <c r="W2138" s="4">
        <v>1</v>
      </c>
    </row>
    <row r="2139" spans="1:23">
      <c r="A2139" t="s">
        <v>2271</v>
      </c>
      <c r="B2139" s="2">
        <v>45662</v>
      </c>
      <c r="C2139" t="s">
        <v>147</v>
      </c>
      <c r="D2139" t="s">
        <v>148</v>
      </c>
      <c r="E2139" t="s">
        <v>39</v>
      </c>
      <c r="F2139" t="s">
        <v>40</v>
      </c>
      <c r="G2139" t="s">
        <v>136</v>
      </c>
      <c r="H2139" t="s">
        <v>137</v>
      </c>
      <c r="I2139">
        <v>16</v>
      </c>
      <c r="J2139" s="3">
        <v>1573.37</v>
      </c>
      <c r="K2139" s="3">
        <v>25173.919999999998</v>
      </c>
      <c r="L2139" t="s">
        <v>34</v>
      </c>
      <c r="M2139" s="2">
        <v>45675</v>
      </c>
      <c r="N2139" s="2">
        <v>45681</v>
      </c>
      <c r="O2139" t="s">
        <v>60</v>
      </c>
      <c r="P2139" t="s">
        <v>64</v>
      </c>
      <c r="Q2139" t="s">
        <v>28</v>
      </c>
      <c r="R2139" t="s">
        <v>129</v>
      </c>
      <c r="S2139">
        <v>2025</v>
      </c>
      <c r="T2139" t="s">
        <v>2757</v>
      </c>
      <c r="U2139" t="s">
        <v>2768</v>
      </c>
      <c r="V2139" s="4">
        <v>6</v>
      </c>
      <c r="W2139" s="4">
        <v>0</v>
      </c>
    </row>
    <row r="2140" spans="1:23">
      <c r="A2140" t="s">
        <v>2272</v>
      </c>
      <c r="B2140" s="2">
        <v>45732</v>
      </c>
      <c r="C2140" t="s">
        <v>142</v>
      </c>
      <c r="D2140" t="s">
        <v>143</v>
      </c>
      <c r="E2140" t="s">
        <v>73</v>
      </c>
      <c r="F2140" t="s">
        <v>22</v>
      </c>
      <c r="G2140" t="s">
        <v>160</v>
      </c>
      <c r="H2140" t="s">
        <v>161</v>
      </c>
      <c r="I2140">
        <v>4</v>
      </c>
      <c r="J2140" s="3">
        <v>3032.8</v>
      </c>
      <c r="K2140" s="3">
        <v>12131.2</v>
      </c>
      <c r="L2140" t="s">
        <v>34</v>
      </c>
      <c r="M2140" s="2">
        <v>45743</v>
      </c>
      <c r="N2140" s="2">
        <v>45753</v>
      </c>
      <c r="O2140" t="s">
        <v>60</v>
      </c>
      <c r="P2140" t="s">
        <v>77</v>
      </c>
      <c r="Q2140" t="s">
        <v>28</v>
      </c>
      <c r="R2140" t="s">
        <v>129</v>
      </c>
      <c r="S2140">
        <v>2025</v>
      </c>
      <c r="T2140" t="s">
        <v>2747</v>
      </c>
      <c r="U2140" t="s">
        <v>2748</v>
      </c>
      <c r="V2140" s="4">
        <v>10</v>
      </c>
      <c r="W2140" s="4">
        <v>0</v>
      </c>
    </row>
    <row r="2141" spans="1:23">
      <c r="A2141" t="s">
        <v>2273</v>
      </c>
      <c r="B2141" s="2">
        <v>45998</v>
      </c>
      <c r="C2141" t="s">
        <v>66</v>
      </c>
      <c r="D2141" t="s">
        <v>67</v>
      </c>
      <c r="E2141" t="s">
        <v>48</v>
      </c>
      <c r="F2141" t="s">
        <v>49</v>
      </c>
      <c r="G2141" t="s">
        <v>68</v>
      </c>
      <c r="H2141" t="s">
        <v>69</v>
      </c>
      <c r="I2141">
        <v>1</v>
      </c>
      <c r="J2141" s="3">
        <v>48509.89</v>
      </c>
      <c r="K2141" s="3">
        <v>48509.89</v>
      </c>
      <c r="L2141" t="s">
        <v>25</v>
      </c>
      <c r="M2141" s="2">
        <v>46014</v>
      </c>
      <c r="N2141" s="2">
        <v>46013</v>
      </c>
      <c r="O2141" t="s">
        <v>76</v>
      </c>
      <c r="P2141" t="s">
        <v>53</v>
      </c>
      <c r="Q2141" t="s">
        <v>28</v>
      </c>
      <c r="R2141" t="s">
        <v>29</v>
      </c>
      <c r="S2141">
        <v>2025</v>
      </c>
      <c r="T2141" t="s">
        <v>2745</v>
      </c>
      <c r="U2141" t="s">
        <v>2746</v>
      </c>
      <c r="V2141" s="4">
        <v>0</v>
      </c>
      <c r="W2141" s="4">
        <v>1</v>
      </c>
    </row>
    <row r="2142" spans="1:23">
      <c r="A2142" t="s">
        <v>2274</v>
      </c>
      <c r="B2142" s="2">
        <v>46169</v>
      </c>
      <c r="C2142" t="s">
        <v>142</v>
      </c>
      <c r="D2142" t="s">
        <v>143</v>
      </c>
      <c r="E2142" t="s">
        <v>112</v>
      </c>
      <c r="F2142" t="s">
        <v>22</v>
      </c>
      <c r="G2142" t="s">
        <v>23</v>
      </c>
      <c r="H2142" t="s">
        <v>24</v>
      </c>
      <c r="I2142">
        <v>22</v>
      </c>
      <c r="J2142" s="3">
        <v>267.99</v>
      </c>
      <c r="K2142" s="3">
        <v>5895.78</v>
      </c>
      <c r="L2142" t="s">
        <v>52</v>
      </c>
      <c r="M2142" s="2">
        <v>46184</v>
      </c>
      <c r="N2142" s="2">
        <v>46182</v>
      </c>
      <c r="O2142" t="s">
        <v>76</v>
      </c>
      <c r="P2142" t="s">
        <v>115</v>
      </c>
      <c r="Q2142" t="s">
        <v>28</v>
      </c>
      <c r="R2142" t="s">
        <v>29</v>
      </c>
      <c r="S2142">
        <v>2026</v>
      </c>
      <c r="T2142" t="s">
        <v>2766</v>
      </c>
      <c r="U2142" t="s">
        <v>2769</v>
      </c>
      <c r="V2142" s="4">
        <v>0</v>
      </c>
      <c r="W2142" s="4">
        <v>1</v>
      </c>
    </row>
    <row r="2143" spans="1:23">
      <c r="A2143" t="s">
        <v>2275</v>
      </c>
      <c r="B2143" s="2">
        <v>46092</v>
      </c>
      <c r="C2143" t="s">
        <v>142</v>
      </c>
      <c r="D2143" t="s">
        <v>143</v>
      </c>
      <c r="E2143" t="s">
        <v>39</v>
      </c>
      <c r="F2143" t="s">
        <v>22</v>
      </c>
      <c r="G2143" t="s">
        <v>23</v>
      </c>
      <c r="H2143" t="s">
        <v>24</v>
      </c>
      <c r="I2143">
        <v>46</v>
      </c>
      <c r="J2143" s="3">
        <v>256.26</v>
      </c>
      <c r="K2143" s="3">
        <v>11787.96</v>
      </c>
      <c r="L2143" t="s">
        <v>52</v>
      </c>
      <c r="M2143" s="2">
        <v>46099</v>
      </c>
      <c r="N2143" s="2">
        <v>46098</v>
      </c>
      <c r="O2143" t="s">
        <v>60</v>
      </c>
      <c r="P2143" t="s">
        <v>44</v>
      </c>
      <c r="Q2143" t="s">
        <v>28</v>
      </c>
      <c r="R2143" t="s">
        <v>29</v>
      </c>
      <c r="S2143">
        <v>2026</v>
      </c>
      <c r="T2143" t="s">
        <v>2747</v>
      </c>
      <c r="U2143" t="s">
        <v>2755</v>
      </c>
      <c r="V2143" s="4">
        <v>0</v>
      </c>
      <c r="W2143" s="4">
        <v>1</v>
      </c>
    </row>
    <row r="2144" spans="1:23">
      <c r="A2144" t="s">
        <v>2276</v>
      </c>
      <c r="B2144" s="2">
        <v>45931</v>
      </c>
      <c r="C2144" t="s">
        <v>104</v>
      </c>
      <c r="D2144" t="s">
        <v>105</v>
      </c>
      <c r="E2144" t="s">
        <v>48</v>
      </c>
      <c r="F2144" t="s">
        <v>49</v>
      </c>
      <c r="G2144" t="s">
        <v>50</v>
      </c>
      <c r="H2144" t="s">
        <v>51</v>
      </c>
      <c r="I2144">
        <v>3</v>
      </c>
      <c r="J2144" s="3">
        <v>52402.16</v>
      </c>
      <c r="K2144" s="3">
        <v>157206.48000000001</v>
      </c>
      <c r="L2144" t="s">
        <v>52</v>
      </c>
      <c r="M2144" s="2">
        <v>45941</v>
      </c>
      <c r="N2144" s="2">
        <v>45941</v>
      </c>
      <c r="O2144" t="s">
        <v>76</v>
      </c>
      <c r="P2144" t="s">
        <v>53</v>
      </c>
      <c r="Q2144" t="s">
        <v>28</v>
      </c>
      <c r="R2144" t="s">
        <v>29</v>
      </c>
      <c r="S2144">
        <v>2025</v>
      </c>
      <c r="T2144" t="s">
        <v>2749</v>
      </c>
      <c r="U2144" t="s">
        <v>2750</v>
      </c>
      <c r="V2144" s="4">
        <v>0</v>
      </c>
      <c r="W2144" s="4">
        <v>1</v>
      </c>
    </row>
    <row r="2145" spans="1:23">
      <c r="A2145" t="s">
        <v>2277</v>
      </c>
      <c r="B2145" s="2">
        <v>45856</v>
      </c>
      <c r="C2145" t="s">
        <v>71</v>
      </c>
      <c r="D2145" t="s">
        <v>72</v>
      </c>
      <c r="E2145" t="s">
        <v>48</v>
      </c>
      <c r="F2145" t="s">
        <v>57</v>
      </c>
      <c r="G2145" t="s">
        <v>74</v>
      </c>
      <c r="H2145" t="s">
        <v>75</v>
      </c>
      <c r="I2145">
        <v>1</v>
      </c>
      <c r="J2145" s="3">
        <v>8436.08</v>
      </c>
      <c r="K2145" s="3">
        <v>8436.08</v>
      </c>
      <c r="L2145" t="s">
        <v>25</v>
      </c>
      <c r="M2145" s="2">
        <v>45869</v>
      </c>
      <c r="N2145" s="2">
        <v>45874</v>
      </c>
      <c r="O2145" t="s">
        <v>76</v>
      </c>
      <c r="P2145" t="s">
        <v>53</v>
      </c>
      <c r="Q2145" t="s">
        <v>28</v>
      </c>
      <c r="R2145" t="s">
        <v>129</v>
      </c>
      <c r="S2145">
        <v>2025</v>
      </c>
      <c r="T2145" t="s">
        <v>2759</v>
      </c>
      <c r="U2145" t="s">
        <v>2760</v>
      </c>
      <c r="V2145" s="4">
        <v>5</v>
      </c>
      <c r="W2145" s="4">
        <v>0</v>
      </c>
    </row>
    <row r="2146" spans="1:23">
      <c r="A2146" t="s">
        <v>2278</v>
      </c>
      <c r="B2146" s="2">
        <v>45904</v>
      </c>
      <c r="C2146" t="s">
        <v>55</v>
      </c>
      <c r="D2146" t="s">
        <v>56</v>
      </c>
      <c r="E2146" t="s">
        <v>31</v>
      </c>
      <c r="F2146" t="s">
        <v>57</v>
      </c>
      <c r="G2146" t="s">
        <v>127</v>
      </c>
      <c r="H2146" t="s">
        <v>128</v>
      </c>
      <c r="I2146">
        <v>8</v>
      </c>
      <c r="J2146" s="3">
        <v>18841.54</v>
      </c>
      <c r="K2146" s="3">
        <v>150732.32</v>
      </c>
      <c r="L2146" t="s">
        <v>34</v>
      </c>
      <c r="M2146" s="2">
        <v>45922</v>
      </c>
      <c r="N2146" s="2">
        <v>45922</v>
      </c>
      <c r="O2146" t="s">
        <v>26</v>
      </c>
      <c r="P2146" t="s">
        <v>35</v>
      </c>
      <c r="Q2146" t="s">
        <v>28</v>
      </c>
      <c r="R2146" t="s">
        <v>29</v>
      </c>
      <c r="S2146">
        <v>2025</v>
      </c>
      <c r="T2146" t="s">
        <v>2753</v>
      </c>
      <c r="U2146" t="s">
        <v>2754</v>
      </c>
      <c r="V2146" s="4">
        <v>0</v>
      </c>
      <c r="W2146" s="4">
        <v>1</v>
      </c>
    </row>
    <row r="2147" spans="1:23">
      <c r="A2147" t="s">
        <v>2279</v>
      </c>
      <c r="B2147" s="2">
        <v>45785</v>
      </c>
      <c r="C2147" t="s">
        <v>37</v>
      </c>
      <c r="D2147" t="s">
        <v>38</v>
      </c>
      <c r="E2147" t="s">
        <v>39</v>
      </c>
      <c r="F2147" t="s">
        <v>40</v>
      </c>
      <c r="G2147" t="s">
        <v>136</v>
      </c>
      <c r="H2147" t="s">
        <v>137</v>
      </c>
      <c r="I2147">
        <v>32</v>
      </c>
      <c r="J2147" s="3">
        <v>1813.87</v>
      </c>
      <c r="K2147" s="3">
        <v>58043.839999999997</v>
      </c>
      <c r="L2147" t="s">
        <v>34</v>
      </c>
      <c r="M2147" s="2">
        <v>45799</v>
      </c>
      <c r="N2147" s="2">
        <v>45798</v>
      </c>
      <c r="O2147" t="s">
        <v>60</v>
      </c>
      <c r="P2147" t="s">
        <v>44</v>
      </c>
      <c r="Q2147" t="s">
        <v>28</v>
      </c>
      <c r="R2147" t="s">
        <v>29</v>
      </c>
      <c r="S2147">
        <v>2025</v>
      </c>
      <c r="T2147" t="s">
        <v>2766</v>
      </c>
      <c r="U2147" t="s">
        <v>2767</v>
      </c>
      <c r="V2147" s="4">
        <v>0</v>
      </c>
      <c r="W2147" s="4">
        <v>1</v>
      </c>
    </row>
    <row r="2148" spans="1:23">
      <c r="A2148" t="s">
        <v>2280</v>
      </c>
      <c r="B2148" s="2">
        <v>46103</v>
      </c>
      <c r="C2148" t="s">
        <v>131</v>
      </c>
      <c r="D2148" t="s">
        <v>132</v>
      </c>
      <c r="E2148" t="s">
        <v>21</v>
      </c>
      <c r="F2148" t="s">
        <v>57</v>
      </c>
      <c r="G2148" t="s">
        <v>101</v>
      </c>
      <c r="H2148" t="s">
        <v>102</v>
      </c>
      <c r="I2148">
        <v>52</v>
      </c>
      <c r="J2148" s="3">
        <v>1830.58</v>
      </c>
      <c r="K2148" s="3">
        <v>95190.16</v>
      </c>
      <c r="L2148" t="s">
        <v>25</v>
      </c>
      <c r="M2148" s="2">
        <v>46119</v>
      </c>
      <c r="N2148" s="2">
        <v>46116</v>
      </c>
      <c r="O2148" t="s">
        <v>76</v>
      </c>
      <c r="P2148" t="s">
        <v>27</v>
      </c>
      <c r="Q2148" t="s">
        <v>28</v>
      </c>
      <c r="R2148" t="s">
        <v>29</v>
      </c>
      <c r="S2148">
        <v>2026</v>
      </c>
      <c r="T2148" t="s">
        <v>2747</v>
      </c>
      <c r="U2148" t="s">
        <v>2755</v>
      </c>
      <c r="V2148" s="4">
        <v>0</v>
      </c>
      <c r="W2148" s="4">
        <v>1</v>
      </c>
    </row>
    <row r="2149" spans="1:23">
      <c r="A2149" t="s">
        <v>2282</v>
      </c>
      <c r="B2149" s="2">
        <v>45949</v>
      </c>
      <c r="C2149" t="s">
        <v>142</v>
      </c>
      <c r="D2149" t="s">
        <v>143</v>
      </c>
      <c r="E2149" t="s">
        <v>21</v>
      </c>
      <c r="F2149" t="s">
        <v>22</v>
      </c>
      <c r="G2149" t="s">
        <v>23</v>
      </c>
      <c r="H2149" t="s">
        <v>24</v>
      </c>
      <c r="I2149">
        <v>31</v>
      </c>
      <c r="J2149" s="3">
        <v>237.79</v>
      </c>
      <c r="K2149" s="3">
        <v>7371.49</v>
      </c>
      <c r="L2149" t="s">
        <v>34</v>
      </c>
      <c r="M2149" s="2">
        <v>45965</v>
      </c>
      <c r="N2149" s="2">
        <v>45964</v>
      </c>
      <c r="O2149" t="s">
        <v>60</v>
      </c>
      <c r="P2149" t="s">
        <v>27</v>
      </c>
      <c r="Q2149" t="s">
        <v>28</v>
      </c>
      <c r="R2149" t="s">
        <v>29</v>
      </c>
      <c r="S2149">
        <v>2025</v>
      </c>
      <c r="T2149" t="s">
        <v>2749</v>
      </c>
      <c r="U2149" t="s">
        <v>2750</v>
      </c>
      <c r="V2149" s="4">
        <v>0</v>
      </c>
      <c r="W2149" s="4">
        <v>1</v>
      </c>
    </row>
    <row r="2150" spans="1:23">
      <c r="A2150" t="s">
        <v>2283</v>
      </c>
      <c r="B2150" s="2">
        <v>46184</v>
      </c>
      <c r="C2150" t="s">
        <v>117</v>
      </c>
      <c r="D2150" t="s">
        <v>118</v>
      </c>
      <c r="E2150" t="s">
        <v>48</v>
      </c>
      <c r="F2150" t="s">
        <v>57</v>
      </c>
      <c r="G2150" t="s">
        <v>101</v>
      </c>
      <c r="H2150" t="s">
        <v>102</v>
      </c>
      <c r="I2150">
        <v>40</v>
      </c>
      <c r="J2150" s="3">
        <v>1742.56</v>
      </c>
      <c r="K2150" s="3">
        <v>69702.399999999994</v>
      </c>
      <c r="L2150" t="s">
        <v>34</v>
      </c>
      <c r="M2150" s="2">
        <v>46190</v>
      </c>
      <c r="N2150" s="2">
        <v>46188</v>
      </c>
      <c r="O2150" t="s">
        <v>76</v>
      </c>
      <c r="P2150" t="s">
        <v>53</v>
      </c>
      <c r="Q2150" t="s">
        <v>28</v>
      </c>
      <c r="R2150" t="s">
        <v>29</v>
      </c>
      <c r="S2150">
        <v>2026</v>
      </c>
      <c r="T2150" t="s">
        <v>2743</v>
      </c>
      <c r="U2150" t="s">
        <v>2744</v>
      </c>
      <c r="V2150" s="4">
        <v>0</v>
      </c>
      <c r="W2150" s="4">
        <v>1</v>
      </c>
    </row>
    <row r="2151" spans="1:23">
      <c r="A2151" t="s">
        <v>2284</v>
      </c>
      <c r="B2151" s="2">
        <v>45903</v>
      </c>
      <c r="C2151" t="s">
        <v>71</v>
      </c>
      <c r="D2151" t="s">
        <v>72</v>
      </c>
      <c r="E2151" t="s">
        <v>21</v>
      </c>
      <c r="F2151" t="s">
        <v>57</v>
      </c>
      <c r="G2151" t="s">
        <v>58</v>
      </c>
      <c r="H2151" t="s">
        <v>59</v>
      </c>
      <c r="I2151">
        <v>5</v>
      </c>
      <c r="J2151" s="3">
        <v>51536.14</v>
      </c>
      <c r="K2151" s="3">
        <v>257680.7</v>
      </c>
      <c r="L2151" t="s">
        <v>25</v>
      </c>
      <c r="M2151" s="2">
        <v>45910</v>
      </c>
      <c r="N2151" s="2">
        <v>45909</v>
      </c>
      <c r="O2151" t="s">
        <v>76</v>
      </c>
      <c r="P2151" t="s">
        <v>27</v>
      </c>
      <c r="Q2151" t="s">
        <v>28</v>
      </c>
      <c r="R2151" t="s">
        <v>29</v>
      </c>
      <c r="S2151">
        <v>2025</v>
      </c>
      <c r="T2151" t="s">
        <v>2753</v>
      </c>
      <c r="U2151" t="s">
        <v>2754</v>
      </c>
      <c r="V2151" s="4">
        <v>0</v>
      </c>
      <c r="W2151" s="4">
        <v>1</v>
      </c>
    </row>
    <row r="2152" spans="1:23">
      <c r="A2152" t="s">
        <v>2285</v>
      </c>
      <c r="B2152" s="2">
        <v>45864</v>
      </c>
      <c r="C2152" t="s">
        <v>37</v>
      </c>
      <c r="D2152" t="s">
        <v>38</v>
      </c>
      <c r="E2152" t="s">
        <v>31</v>
      </c>
      <c r="F2152" t="s">
        <v>22</v>
      </c>
      <c r="G2152" t="s">
        <v>32</v>
      </c>
      <c r="H2152" t="s">
        <v>33</v>
      </c>
      <c r="I2152">
        <v>14</v>
      </c>
      <c r="J2152" s="3">
        <v>8547.68</v>
      </c>
      <c r="K2152" s="3">
        <v>119667.52</v>
      </c>
      <c r="L2152" t="s">
        <v>34</v>
      </c>
      <c r="M2152" s="2">
        <v>45875</v>
      </c>
      <c r="N2152" s="2">
        <v>45875</v>
      </c>
      <c r="O2152" t="s">
        <v>43</v>
      </c>
      <c r="P2152" t="s">
        <v>94</v>
      </c>
      <c r="Q2152" t="s">
        <v>28</v>
      </c>
      <c r="R2152" t="s">
        <v>29</v>
      </c>
      <c r="S2152">
        <v>2025</v>
      </c>
      <c r="T2152" t="s">
        <v>2759</v>
      </c>
      <c r="U2152" t="s">
        <v>2760</v>
      </c>
      <c r="V2152" s="4">
        <v>0</v>
      </c>
      <c r="W2152" s="4">
        <v>1</v>
      </c>
    </row>
    <row r="2153" spans="1:23">
      <c r="A2153" t="s">
        <v>2286</v>
      </c>
      <c r="B2153" s="2">
        <v>46045</v>
      </c>
      <c r="C2153" t="s">
        <v>117</v>
      </c>
      <c r="D2153" t="s">
        <v>118</v>
      </c>
      <c r="E2153" t="s">
        <v>73</v>
      </c>
      <c r="F2153" t="s">
        <v>57</v>
      </c>
      <c r="G2153" t="s">
        <v>74</v>
      </c>
      <c r="H2153" t="s">
        <v>75</v>
      </c>
      <c r="I2153">
        <v>9</v>
      </c>
      <c r="J2153" s="3">
        <v>8438.11</v>
      </c>
      <c r="K2153" s="3">
        <v>75942.990000000005</v>
      </c>
      <c r="L2153" t="s">
        <v>34</v>
      </c>
      <c r="M2153" s="2">
        <v>46058</v>
      </c>
      <c r="N2153" s="2">
        <v>46058</v>
      </c>
      <c r="O2153" t="s">
        <v>60</v>
      </c>
      <c r="P2153" t="s">
        <v>77</v>
      </c>
      <c r="Q2153" t="s">
        <v>28</v>
      </c>
      <c r="R2153" t="s">
        <v>29</v>
      </c>
      <c r="S2153">
        <v>2026</v>
      </c>
      <c r="T2153" t="s">
        <v>2757</v>
      </c>
      <c r="U2153" t="s">
        <v>2758</v>
      </c>
      <c r="V2153" s="4">
        <v>0</v>
      </c>
      <c r="W2153" s="4">
        <v>1</v>
      </c>
    </row>
    <row r="2154" spans="1:23">
      <c r="A2154" t="s">
        <v>2287</v>
      </c>
      <c r="B2154" s="2">
        <v>45942</v>
      </c>
      <c r="C2154" t="s">
        <v>71</v>
      </c>
      <c r="D2154" t="s">
        <v>72</v>
      </c>
      <c r="E2154" t="s">
        <v>48</v>
      </c>
      <c r="F2154" t="s">
        <v>57</v>
      </c>
      <c r="G2154" t="s">
        <v>74</v>
      </c>
      <c r="H2154" t="s">
        <v>75</v>
      </c>
      <c r="I2154">
        <v>7</v>
      </c>
      <c r="J2154" s="3">
        <v>7863.11</v>
      </c>
      <c r="K2154" s="3">
        <v>55041.77</v>
      </c>
      <c r="L2154" t="s">
        <v>25</v>
      </c>
      <c r="M2154" s="2">
        <v>45948</v>
      </c>
      <c r="N2154" s="2">
        <v>45956</v>
      </c>
      <c r="O2154" t="s">
        <v>60</v>
      </c>
      <c r="P2154" t="s">
        <v>53</v>
      </c>
      <c r="Q2154" t="s">
        <v>28</v>
      </c>
      <c r="R2154" t="s">
        <v>129</v>
      </c>
      <c r="S2154">
        <v>2025</v>
      </c>
      <c r="T2154" t="s">
        <v>2749</v>
      </c>
      <c r="U2154" t="s">
        <v>2750</v>
      </c>
      <c r="V2154" s="4">
        <v>8</v>
      </c>
      <c r="W2154" s="4">
        <v>0</v>
      </c>
    </row>
    <row r="2155" spans="1:23">
      <c r="A2155" t="s">
        <v>2288</v>
      </c>
      <c r="B2155" s="2">
        <v>46174</v>
      </c>
      <c r="C2155" t="s">
        <v>66</v>
      </c>
      <c r="D2155" t="s">
        <v>67</v>
      </c>
      <c r="E2155" t="s">
        <v>48</v>
      </c>
      <c r="F2155" t="s">
        <v>49</v>
      </c>
      <c r="G2155" t="s">
        <v>165</v>
      </c>
      <c r="H2155" t="s">
        <v>166</v>
      </c>
      <c r="I2155">
        <v>1</v>
      </c>
      <c r="J2155" s="3">
        <v>42581.52</v>
      </c>
      <c r="K2155" s="3">
        <v>42581.52</v>
      </c>
      <c r="L2155" t="s">
        <v>52</v>
      </c>
      <c r="M2155" s="2">
        <v>46192</v>
      </c>
      <c r="N2155" s="2">
        <v>46191</v>
      </c>
      <c r="O2155" t="s">
        <v>76</v>
      </c>
      <c r="P2155" t="s">
        <v>53</v>
      </c>
      <c r="Q2155" t="s">
        <v>28</v>
      </c>
      <c r="R2155" t="s">
        <v>29</v>
      </c>
      <c r="S2155">
        <v>2026</v>
      </c>
      <c r="T2155" t="s">
        <v>2743</v>
      </c>
      <c r="U2155" t="s">
        <v>2744</v>
      </c>
      <c r="V2155" s="4">
        <v>0</v>
      </c>
      <c r="W2155" s="4">
        <v>1</v>
      </c>
    </row>
    <row r="2156" spans="1:23">
      <c r="A2156" t="s">
        <v>2289</v>
      </c>
      <c r="B2156" s="2">
        <v>45904</v>
      </c>
      <c r="C2156" t="s">
        <v>46</v>
      </c>
      <c r="D2156" t="s">
        <v>47</v>
      </c>
      <c r="E2156" t="s">
        <v>48</v>
      </c>
      <c r="F2156" t="s">
        <v>49</v>
      </c>
      <c r="G2156" t="s">
        <v>165</v>
      </c>
      <c r="H2156" t="s">
        <v>166</v>
      </c>
      <c r="I2156">
        <v>2</v>
      </c>
      <c r="J2156" s="3">
        <v>49392.89</v>
      </c>
      <c r="K2156" s="3">
        <v>98785.78</v>
      </c>
      <c r="L2156" t="s">
        <v>34</v>
      </c>
      <c r="M2156" s="2">
        <v>45916</v>
      </c>
      <c r="N2156" s="2">
        <v>45925</v>
      </c>
      <c r="O2156" t="s">
        <v>43</v>
      </c>
      <c r="P2156" t="s">
        <v>53</v>
      </c>
      <c r="Q2156" t="s">
        <v>28</v>
      </c>
      <c r="R2156" t="s">
        <v>129</v>
      </c>
      <c r="S2156">
        <v>2025</v>
      </c>
      <c r="T2156" t="s">
        <v>2753</v>
      </c>
      <c r="U2156" t="s">
        <v>2754</v>
      </c>
      <c r="V2156" s="4">
        <v>9</v>
      </c>
      <c r="W2156" s="4">
        <v>0</v>
      </c>
    </row>
    <row r="2157" spans="1:23">
      <c r="A2157" t="s">
        <v>2290</v>
      </c>
      <c r="B2157" s="2">
        <v>46006</v>
      </c>
      <c r="C2157" t="s">
        <v>142</v>
      </c>
      <c r="D2157" t="s">
        <v>143</v>
      </c>
      <c r="E2157" t="s">
        <v>21</v>
      </c>
      <c r="F2157" t="s">
        <v>22</v>
      </c>
      <c r="G2157" t="s">
        <v>23</v>
      </c>
      <c r="H2157" t="s">
        <v>24</v>
      </c>
      <c r="I2157">
        <v>54</v>
      </c>
      <c r="J2157" s="3">
        <v>249.53</v>
      </c>
      <c r="K2157" s="3">
        <v>13474.62</v>
      </c>
      <c r="L2157" t="s">
        <v>34</v>
      </c>
      <c r="M2157" s="2">
        <v>46019</v>
      </c>
      <c r="N2157" s="2">
        <v>46018</v>
      </c>
      <c r="O2157" t="s">
        <v>60</v>
      </c>
      <c r="P2157" t="s">
        <v>27</v>
      </c>
      <c r="Q2157" t="s">
        <v>28</v>
      </c>
      <c r="R2157" t="s">
        <v>29</v>
      </c>
      <c r="S2157">
        <v>2025</v>
      </c>
      <c r="T2157" t="s">
        <v>2745</v>
      </c>
      <c r="U2157" t="s">
        <v>2746</v>
      </c>
      <c r="V2157" s="4">
        <v>0</v>
      </c>
      <c r="W2157" s="4">
        <v>1</v>
      </c>
    </row>
    <row r="2158" spans="1:23">
      <c r="A2158" t="s">
        <v>2291</v>
      </c>
      <c r="B2158" s="2">
        <v>45719</v>
      </c>
      <c r="C2158" t="s">
        <v>104</v>
      </c>
      <c r="D2158" t="s">
        <v>105</v>
      </c>
      <c r="E2158" t="s">
        <v>48</v>
      </c>
      <c r="F2158" t="s">
        <v>49</v>
      </c>
      <c r="G2158" t="s">
        <v>113</v>
      </c>
      <c r="H2158" t="s">
        <v>114</v>
      </c>
      <c r="I2158">
        <v>1</v>
      </c>
      <c r="J2158" s="3">
        <v>37951.89</v>
      </c>
      <c r="K2158" s="3">
        <v>37951.89</v>
      </c>
      <c r="L2158" t="s">
        <v>25</v>
      </c>
      <c r="M2158" s="2">
        <v>45732</v>
      </c>
      <c r="N2158" s="2">
        <v>45730</v>
      </c>
      <c r="O2158" t="s">
        <v>60</v>
      </c>
      <c r="P2158" t="s">
        <v>53</v>
      </c>
      <c r="Q2158" t="s">
        <v>28</v>
      </c>
      <c r="R2158" t="s">
        <v>29</v>
      </c>
      <c r="S2158">
        <v>2025</v>
      </c>
      <c r="T2158" t="s">
        <v>2747</v>
      </c>
      <c r="U2158" t="s">
        <v>2748</v>
      </c>
      <c r="V2158" s="4">
        <v>0</v>
      </c>
      <c r="W2158" s="4">
        <v>1</v>
      </c>
    </row>
    <row r="2159" spans="1:23">
      <c r="A2159" t="s">
        <v>2292</v>
      </c>
      <c r="B2159" s="2">
        <v>46200</v>
      </c>
      <c r="C2159" t="s">
        <v>80</v>
      </c>
      <c r="D2159" t="s">
        <v>81</v>
      </c>
      <c r="E2159" t="s">
        <v>39</v>
      </c>
      <c r="F2159" t="s">
        <v>82</v>
      </c>
      <c r="G2159" t="s">
        <v>83</v>
      </c>
      <c r="H2159" t="s">
        <v>84</v>
      </c>
      <c r="I2159">
        <v>52</v>
      </c>
      <c r="J2159" s="3">
        <v>668.27</v>
      </c>
      <c r="K2159" s="3">
        <v>34750.04</v>
      </c>
      <c r="L2159" t="s">
        <v>34</v>
      </c>
      <c r="M2159" s="2">
        <v>46212</v>
      </c>
      <c r="N2159" s="2">
        <v>46226</v>
      </c>
      <c r="O2159" t="s">
        <v>43</v>
      </c>
      <c r="P2159" t="s">
        <v>44</v>
      </c>
      <c r="Q2159" t="s">
        <v>28</v>
      </c>
      <c r="R2159" t="s">
        <v>129</v>
      </c>
      <c r="S2159">
        <v>2026</v>
      </c>
      <c r="T2159" t="s">
        <v>2743</v>
      </c>
      <c r="U2159" t="s">
        <v>2744</v>
      </c>
      <c r="V2159" s="4">
        <v>14</v>
      </c>
      <c r="W2159" s="4">
        <v>0</v>
      </c>
    </row>
    <row r="2160" spans="1:23">
      <c r="A2160" t="s">
        <v>2293</v>
      </c>
      <c r="B2160" s="2">
        <v>46157</v>
      </c>
      <c r="C2160" t="s">
        <v>80</v>
      </c>
      <c r="D2160" t="s">
        <v>81</v>
      </c>
      <c r="E2160" t="s">
        <v>39</v>
      </c>
      <c r="F2160" t="s">
        <v>82</v>
      </c>
      <c r="G2160" t="s">
        <v>197</v>
      </c>
      <c r="H2160" t="s">
        <v>198</v>
      </c>
      <c r="I2160">
        <v>50</v>
      </c>
      <c r="J2160" s="3">
        <v>1990.06</v>
      </c>
      <c r="K2160" s="3">
        <v>99503</v>
      </c>
      <c r="L2160" t="s">
        <v>25</v>
      </c>
      <c r="M2160" s="2">
        <v>46173</v>
      </c>
      <c r="N2160" s="2">
        <v>46172</v>
      </c>
      <c r="O2160" t="s">
        <v>60</v>
      </c>
      <c r="P2160" t="s">
        <v>64</v>
      </c>
      <c r="Q2160" t="s">
        <v>28</v>
      </c>
      <c r="R2160" t="s">
        <v>29</v>
      </c>
      <c r="S2160">
        <v>2026</v>
      </c>
      <c r="T2160" t="s">
        <v>2766</v>
      </c>
      <c r="U2160" t="s">
        <v>2769</v>
      </c>
      <c r="V2160" s="4">
        <v>0</v>
      </c>
      <c r="W2160" s="4">
        <v>1</v>
      </c>
    </row>
    <row r="2161" spans="1:23">
      <c r="A2161" t="s">
        <v>2294</v>
      </c>
      <c r="B2161" s="2">
        <v>46185</v>
      </c>
      <c r="C2161" t="s">
        <v>19</v>
      </c>
      <c r="D2161" t="s">
        <v>20</v>
      </c>
      <c r="E2161" t="s">
        <v>31</v>
      </c>
      <c r="F2161" t="s">
        <v>22</v>
      </c>
      <c r="G2161" t="s">
        <v>23</v>
      </c>
      <c r="H2161" t="s">
        <v>24</v>
      </c>
      <c r="I2161">
        <v>36</v>
      </c>
      <c r="J2161" s="3">
        <v>232.92</v>
      </c>
      <c r="K2161" s="3">
        <v>8385.1200000000008</v>
      </c>
      <c r="L2161" t="s">
        <v>52</v>
      </c>
      <c r="M2161" s="2">
        <v>46201</v>
      </c>
      <c r="N2161" s="2">
        <v>46198</v>
      </c>
      <c r="O2161" t="s">
        <v>26</v>
      </c>
      <c r="P2161" t="s">
        <v>35</v>
      </c>
      <c r="Q2161" t="s">
        <v>28</v>
      </c>
      <c r="R2161" t="s">
        <v>29</v>
      </c>
      <c r="S2161">
        <v>2026</v>
      </c>
      <c r="T2161" t="s">
        <v>2743</v>
      </c>
      <c r="U2161" t="s">
        <v>2744</v>
      </c>
      <c r="V2161" s="4">
        <v>0</v>
      </c>
      <c r="W2161" s="4">
        <v>1</v>
      </c>
    </row>
    <row r="2162" spans="1:23">
      <c r="A2162" t="s">
        <v>2295</v>
      </c>
      <c r="B2162" s="2">
        <v>46013</v>
      </c>
      <c r="C2162" t="s">
        <v>131</v>
      </c>
      <c r="D2162" t="s">
        <v>132</v>
      </c>
      <c r="E2162" t="s">
        <v>31</v>
      </c>
      <c r="F2162" t="s">
        <v>57</v>
      </c>
      <c r="G2162" t="s">
        <v>120</v>
      </c>
      <c r="H2162" t="s">
        <v>121</v>
      </c>
      <c r="I2162">
        <v>7</v>
      </c>
      <c r="J2162" s="3">
        <v>23709.34</v>
      </c>
      <c r="K2162" s="3">
        <v>165965.38</v>
      </c>
      <c r="L2162" t="s">
        <v>25</v>
      </c>
      <c r="M2162" s="2">
        <v>46023</v>
      </c>
      <c r="N2162" s="2">
        <v>46020</v>
      </c>
      <c r="O2162" t="s">
        <v>76</v>
      </c>
      <c r="P2162" t="s">
        <v>35</v>
      </c>
      <c r="Q2162" t="s">
        <v>28</v>
      </c>
      <c r="R2162" t="s">
        <v>29</v>
      </c>
      <c r="S2162">
        <v>2025</v>
      </c>
      <c r="T2162" t="s">
        <v>2745</v>
      </c>
      <c r="U2162" t="s">
        <v>2746</v>
      </c>
      <c r="V2162" s="4">
        <v>0</v>
      </c>
      <c r="W2162" s="4">
        <v>1</v>
      </c>
    </row>
    <row r="2163" spans="1:23">
      <c r="A2163" t="s">
        <v>2296</v>
      </c>
      <c r="B2163" s="2">
        <v>46180</v>
      </c>
      <c r="C2163" t="s">
        <v>96</v>
      </c>
      <c r="D2163" t="s">
        <v>97</v>
      </c>
      <c r="E2163" t="s">
        <v>39</v>
      </c>
      <c r="F2163" t="s">
        <v>82</v>
      </c>
      <c r="G2163" t="s">
        <v>98</v>
      </c>
      <c r="H2163" t="s">
        <v>99</v>
      </c>
      <c r="I2163">
        <v>5</v>
      </c>
      <c r="J2163" s="3">
        <v>1175.4000000000001</v>
      </c>
      <c r="K2163" s="3">
        <v>5877</v>
      </c>
      <c r="L2163" t="s">
        <v>25</v>
      </c>
      <c r="M2163" s="2">
        <v>46198</v>
      </c>
      <c r="N2163" s="2">
        <v>46198</v>
      </c>
      <c r="O2163" t="s">
        <v>76</v>
      </c>
      <c r="P2163" t="s">
        <v>64</v>
      </c>
      <c r="Q2163" t="s">
        <v>28</v>
      </c>
      <c r="R2163" t="s">
        <v>29</v>
      </c>
      <c r="S2163">
        <v>2026</v>
      </c>
      <c r="T2163" t="s">
        <v>2743</v>
      </c>
      <c r="U2163" t="s">
        <v>2744</v>
      </c>
      <c r="V2163" s="4">
        <v>0</v>
      </c>
      <c r="W2163" s="4">
        <v>1</v>
      </c>
    </row>
    <row r="2164" spans="1:23">
      <c r="A2164" t="s">
        <v>2297</v>
      </c>
      <c r="B2164" s="2">
        <v>45810</v>
      </c>
      <c r="C2164" t="s">
        <v>19</v>
      </c>
      <c r="D2164" t="s">
        <v>20</v>
      </c>
      <c r="E2164" t="s">
        <v>73</v>
      </c>
      <c r="F2164" t="s">
        <v>22</v>
      </c>
      <c r="G2164" t="s">
        <v>160</v>
      </c>
      <c r="H2164" t="s">
        <v>161</v>
      </c>
      <c r="I2164">
        <v>1</v>
      </c>
      <c r="J2164" s="3">
        <v>3069.83</v>
      </c>
      <c r="K2164" s="3">
        <v>3069.83</v>
      </c>
      <c r="L2164" t="s">
        <v>25</v>
      </c>
      <c r="M2164" s="2">
        <v>45818</v>
      </c>
      <c r="N2164" s="2">
        <v>45831</v>
      </c>
      <c r="O2164" t="s">
        <v>76</v>
      </c>
      <c r="P2164" t="s">
        <v>77</v>
      </c>
      <c r="Q2164" t="s">
        <v>28</v>
      </c>
      <c r="R2164" t="s">
        <v>129</v>
      </c>
      <c r="S2164">
        <v>2025</v>
      </c>
      <c r="T2164" t="s">
        <v>2743</v>
      </c>
      <c r="U2164" t="s">
        <v>2756</v>
      </c>
      <c r="V2164" s="4">
        <v>13</v>
      </c>
      <c r="W2164" s="4">
        <v>0</v>
      </c>
    </row>
    <row r="2165" spans="1:23">
      <c r="A2165" t="s">
        <v>2298</v>
      </c>
      <c r="B2165" s="2">
        <v>45886</v>
      </c>
      <c r="C2165" t="s">
        <v>37</v>
      </c>
      <c r="D2165" t="s">
        <v>38</v>
      </c>
      <c r="E2165" t="s">
        <v>31</v>
      </c>
      <c r="F2165" t="s">
        <v>22</v>
      </c>
      <c r="G2165" t="s">
        <v>23</v>
      </c>
      <c r="H2165" t="s">
        <v>24</v>
      </c>
      <c r="I2165">
        <v>54</v>
      </c>
      <c r="J2165" s="3">
        <v>262.55</v>
      </c>
      <c r="K2165" s="3">
        <v>14177.7</v>
      </c>
      <c r="L2165" t="s">
        <v>34</v>
      </c>
      <c r="M2165" s="2">
        <v>45904</v>
      </c>
      <c r="N2165" s="2">
        <v>45904</v>
      </c>
      <c r="O2165" t="s">
        <v>26</v>
      </c>
      <c r="P2165" t="s">
        <v>35</v>
      </c>
      <c r="Q2165" t="s">
        <v>28</v>
      </c>
      <c r="R2165" t="s">
        <v>29</v>
      </c>
      <c r="S2165">
        <v>2025</v>
      </c>
      <c r="T2165" t="s">
        <v>2761</v>
      </c>
      <c r="U2165" t="s">
        <v>2762</v>
      </c>
      <c r="V2165" s="4">
        <v>0</v>
      </c>
      <c r="W2165" s="4">
        <v>1</v>
      </c>
    </row>
    <row r="2166" spans="1:23">
      <c r="A2166" t="s">
        <v>2299</v>
      </c>
      <c r="B2166" s="2">
        <v>45746</v>
      </c>
      <c r="C2166" t="s">
        <v>55</v>
      </c>
      <c r="D2166" t="s">
        <v>56</v>
      </c>
      <c r="E2166" t="s">
        <v>21</v>
      </c>
      <c r="F2166" t="s">
        <v>57</v>
      </c>
      <c r="G2166" t="s">
        <v>86</v>
      </c>
      <c r="H2166" t="s">
        <v>87</v>
      </c>
      <c r="I2166">
        <v>8</v>
      </c>
      <c r="J2166" s="3">
        <v>12047.3</v>
      </c>
      <c r="K2166" s="3">
        <v>96378.4</v>
      </c>
      <c r="L2166" t="s">
        <v>34</v>
      </c>
      <c r="M2166" s="2">
        <v>45756</v>
      </c>
      <c r="N2166" s="2">
        <v>45754</v>
      </c>
      <c r="O2166" t="s">
        <v>26</v>
      </c>
      <c r="P2166" t="s">
        <v>27</v>
      </c>
      <c r="Q2166" t="s">
        <v>28</v>
      </c>
      <c r="R2166" t="s">
        <v>29</v>
      </c>
      <c r="S2166">
        <v>2025</v>
      </c>
      <c r="T2166" t="s">
        <v>2747</v>
      </c>
      <c r="U2166" t="s">
        <v>2748</v>
      </c>
      <c r="V2166" s="4">
        <v>0</v>
      </c>
      <c r="W2166" s="4">
        <v>1</v>
      </c>
    </row>
    <row r="2167" spans="1:23">
      <c r="A2167" t="s">
        <v>2300</v>
      </c>
      <c r="B2167" s="2">
        <v>45683</v>
      </c>
      <c r="C2167" t="s">
        <v>71</v>
      </c>
      <c r="D2167" t="s">
        <v>72</v>
      </c>
      <c r="E2167" t="s">
        <v>48</v>
      </c>
      <c r="F2167" t="s">
        <v>57</v>
      </c>
      <c r="G2167" t="s">
        <v>74</v>
      </c>
      <c r="H2167" t="s">
        <v>75</v>
      </c>
      <c r="I2167">
        <v>10</v>
      </c>
      <c r="J2167" s="3">
        <v>8334.16</v>
      </c>
      <c r="K2167" s="3">
        <v>83341.600000000006</v>
      </c>
      <c r="L2167" t="s">
        <v>25</v>
      </c>
      <c r="M2167" s="2">
        <v>45691</v>
      </c>
      <c r="N2167" s="2">
        <v>45700</v>
      </c>
      <c r="O2167" t="s">
        <v>26</v>
      </c>
      <c r="P2167" t="s">
        <v>53</v>
      </c>
      <c r="Q2167" t="s">
        <v>28</v>
      </c>
      <c r="R2167" t="s">
        <v>129</v>
      </c>
      <c r="S2167">
        <v>2025</v>
      </c>
      <c r="T2167" t="s">
        <v>2757</v>
      </c>
      <c r="U2167" t="s">
        <v>2768</v>
      </c>
      <c r="V2167" s="4">
        <v>9</v>
      </c>
      <c r="W2167" s="4">
        <v>0</v>
      </c>
    </row>
    <row r="2168" spans="1:23">
      <c r="A2168" t="s">
        <v>2301</v>
      </c>
      <c r="B2168" s="2">
        <v>45790</v>
      </c>
      <c r="C2168" t="s">
        <v>104</v>
      </c>
      <c r="D2168" t="s">
        <v>105</v>
      </c>
      <c r="E2168" t="s">
        <v>112</v>
      </c>
      <c r="F2168" t="s">
        <v>49</v>
      </c>
      <c r="G2168" t="s">
        <v>68</v>
      </c>
      <c r="H2168" t="s">
        <v>69</v>
      </c>
      <c r="I2168">
        <v>3</v>
      </c>
      <c r="J2168" s="3">
        <v>50168.74</v>
      </c>
      <c r="K2168" s="3">
        <v>150506.22</v>
      </c>
      <c r="L2168" t="s">
        <v>25</v>
      </c>
      <c r="M2168" s="2">
        <v>45798</v>
      </c>
      <c r="N2168" s="2">
        <v>45797</v>
      </c>
      <c r="O2168" t="s">
        <v>26</v>
      </c>
      <c r="P2168" t="s">
        <v>115</v>
      </c>
      <c r="Q2168" t="s">
        <v>28</v>
      </c>
      <c r="R2168" t="s">
        <v>29</v>
      </c>
      <c r="S2168">
        <v>2025</v>
      </c>
      <c r="T2168" t="s">
        <v>2766</v>
      </c>
      <c r="U2168" t="s">
        <v>2767</v>
      </c>
      <c r="V2168" s="4">
        <v>0</v>
      </c>
      <c r="W2168" s="4">
        <v>1</v>
      </c>
    </row>
    <row r="2169" spans="1:23">
      <c r="A2169" t="s">
        <v>2302</v>
      </c>
      <c r="B2169" s="2">
        <v>45870</v>
      </c>
      <c r="C2169" t="s">
        <v>142</v>
      </c>
      <c r="D2169" t="s">
        <v>143</v>
      </c>
      <c r="E2169" t="s">
        <v>39</v>
      </c>
      <c r="F2169" t="s">
        <v>22</v>
      </c>
      <c r="G2169" t="s">
        <v>32</v>
      </c>
      <c r="H2169" t="s">
        <v>33</v>
      </c>
      <c r="I2169">
        <v>12</v>
      </c>
      <c r="J2169" s="3">
        <v>8026.31</v>
      </c>
      <c r="K2169" s="3">
        <v>96315.72</v>
      </c>
      <c r="L2169" t="s">
        <v>25</v>
      </c>
      <c r="M2169" s="2">
        <v>45886</v>
      </c>
      <c r="N2169" s="2">
        <v>45886</v>
      </c>
      <c r="O2169" t="s">
        <v>76</v>
      </c>
      <c r="P2169" t="s">
        <v>64</v>
      </c>
      <c r="Q2169" t="s">
        <v>28</v>
      </c>
      <c r="R2169" t="s">
        <v>29</v>
      </c>
      <c r="S2169">
        <v>2025</v>
      </c>
      <c r="T2169" t="s">
        <v>2761</v>
      </c>
      <c r="U2169" t="s">
        <v>2762</v>
      </c>
      <c r="V2169" s="4">
        <v>0</v>
      </c>
      <c r="W2169" s="4">
        <v>1</v>
      </c>
    </row>
    <row r="2170" spans="1:23">
      <c r="A2170" t="s">
        <v>2303</v>
      </c>
      <c r="B2170" s="2">
        <v>45870</v>
      </c>
      <c r="C2170" t="s">
        <v>142</v>
      </c>
      <c r="D2170" t="s">
        <v>143</v>
      </c>
      <c r="E2170" t="s">
        <v>112</v>
      </c>
      <c r="F2170" t="s">
        <v>22</v>
      </c>
      <c r="G2170" t="s">
        <v>32</v>
      </c>
      <c r="H2170" t="s">
        <v>33</v>
      </c>
      <c r="I2170">
        <v>4</v>
      </c>
      <c r="J2170" s="3">
        <v>8136.03</v>
      </c>
      <c r="K2170" s="3">
        <v>32544.12</v>
      </c>
      <c r="L2170" t="s">
        <v>34</v>
      </c>
      <c r="M2170" s="2">
        <v>45878</v>
      </c>
      <c r="N2170" s="2">
        <v>45877</v>
      </c>
      <c r="O2170" t="s">
        <v>26</v>
      </c>
      <c r="P2170" t="s">
        <v>115</v>
      </c>
      <c r="Q2170" t="s">
        <v>28</v>
      </c>
      <c r="R2170" t="s">
        <v>29</v>
      </c>
      <c r="S2170">
        <v>2025</v>
      </c>
      <c r="T2170" t="s">
        <v>2761</v>
      </c>
      <c r="U2170" t="s">
        <v>2762</v>
      </c>
      <c r="V2170" s="4">
        <v>0</v>
      </c>
      <c r="W2170" s="4">
        <v>1</v>
      </c>
    </row>
    <row r="2171" spans="1:23">
      <c r="A2171" t="s">
        <v>2304</v>
      </c>
      <c r="B2171" s="2">
        <v>46033</v>
      </c>
      <c r="C2171" t="s">
        <v>55</v>
      </c>
      <c r="D2171" t="s">
        <v>56</v>
      </c>
      <c r="E2171" t="s">
        <v>48</v>
      </c>
      <c r="F2171" t="s">
        <v>57</v>
      </c>
      <c r="G2171" t="s">
        <v>86</v>
      </c>
      <c r="H2171" t="s">
        <v>87</v>
      </c>
      <c r="I2171">
        <v>1</v>
      </c>
      <c r="J2171" s="3">
        <v>12142.18</v>
      </c>
      <c r="K2171" s="3">
        <v>12142.18</v>
      </c>
      <c r="L2171" t="s">
        <v>25</v>
      </c>
      <c r="M2171" s="2">
        <v>46042</v>
      </c>
      <c r="N2171" s="2">
        <v>46039</v>
      </c>
      <c r="O2171" t="s">
        <v>76</v>
      </c>
      <c r="P2171" t="s">
        <v>53</v>
      </c>
      <c r="Q2171" t="s">
        <v>28</v>
      </c>
      <c r="R2171" t="s">
        <v>29</v>
      </c>
      <c r="S2171">
        <v>2026</v>
      </c>
      <c r="T2171" t="s">
        <v>2757</v>
      </c>
      <c r="U2171" t="s">
        <v>2758</v>
      </c>
      <c r="V2171" s="4">
        <v>0</v>
      </c>
      <c r="W2171" s="4">
        <v>1</v>
      </c>
    </row>
    <row r="2172" spans="1:23">
      <c r="A2172" t="s">
        <v>2305</v>
      </c>
      <c r="B2172" s="2">
        <v>46052</v>
      </c>
      <c r="C2172" t="s">
        <v>104</v>
      </c>
      <c r="D2172" t="s">
        <v>105</v>
      </c>
      <c r="E2172" t="s">
        <v>112</v>
      </c>
      <c r="F2172" t="s">
        <v>49</v>
      </c>
      <c r="G2172" t="s">
        <v>68</v>
      </c>
      <c r="H2172" t="s">
        <v>69</v>
      </c>
      <c r="I2172">
        <v>1</v>
      </c>
      <c r="J2172" s="3">
        <v>49726.73</v>
      </c>
      <c r="K2172" s="3">
        <v>49726.73</v>
      </c>
      <c r="L2172" t="s">
        <v>25</v>
      </c>
      <c r="M2172" s="2">
        <v>46061</v>
      </c>
      <c r="N2172" s="2">
        <v>46060</v>
      </c>
      <c r="O2172" t="s">
        <v>60</v>
      </c>
      <c r="P2172" t="s">
        <v>115</v>
      </c>
      <c r="Q2172" t="s">
        <v>28</v>
      </c>
      <c r="R2172" t="s">
        <v>29</v>
      </c>
      <c r="S2172">
        <v>2026</v>
      </c>
      <c r="T2172" t="s">
        <v>2757</v>
      </c>
      <c r="U2172" t="s">
        <v>2758</v>
      </c>
      <c r="V2172" s="4">
        <v>0</v>
      </c>
      <c r="W2172" s="4">
        <v>1</v>
      </c>
    </row>
    <row r="2173" spans="1:23">
      <c r="A2173" t="s">
        <v>2306</v>
      </c>
      <c r="B2173" s="2">
        <v>46132</v>
      </c>
      <c r="C2173" t="s">
        <v>37</v>
      </c>
      <c r="D2173" t="s">
        <v>38</v>
      </c>
      <c r="E2173" t="s">
        <v>39</v>
      </c>
      <c r="F2173" t="s">
        <v>40</v>
      </c>
      <c r="G2173" t="s">
        <v>41</v>
      </c>
      <c r="H2173" t="s">
        <v>42</v>
      </c>
      <c r="I2173">
        <v>11</v>
      </c>
      <c r="J2173" s="3">
        <v>5917.8</v>
      </c>
      <c r="K2173" s="3">
        <v>65095.8</v>
      </c>
      <c r="L2173" t="s">
        <v>25</v>
      </c>
      <c r="M2173" s="2">
        <v>46150</v>
      </c>
      <c r="N2173" s="2">
        <v>46147</v>
      </c>
      <c r="O2173" t="s">
        <v>76</v>
      </c>
      <c r="P2173" t="s">
        <v>64</v>
      </c>
      <c r="Q2173" t="s">
        <v>28</v>
      </c>
      <c r="R2173" t="s">
        <v>29</v>
      </c>
      <c r="S2173">
        <v>2026</v>
      </c>
      <c r="T2173" t="s">
        <v>2741</v>
      </c>
      <c r="U2173" t="s">
        <v>2770</v>
      </c>
      <c r="V2173" s="4">
        <v>0</v>
      </c>
      <c r="W2173" s="4">
        <v>1</v>
      </c>
    </row>
    <row r="2174" spans="1:23">
      <c r="A2174" t="s">
        <v>2307</v>
      </c>
      <c r="B2174" s="2">
        <v>45793</v>
      </c>
      <c r="C2174" t="s">
        <v>142</v>
      </c>
      <c r="D2174" t="s">
        <v>143</v>
      </c>
      <c r="E2174" t="s">
        <v>31</v>
      </c>
      <c r="F2174" t="s">
        <v>22</v>
      </c>
      <c r="G2174" t="s">
        <v>32</v>
      </c>
      <c r="H2174" t="s">
        <v>33</v>
      </c>
      <c r="I2174">
        <v>10</v>
      </c>
      <c r="J2174" s="3">
        <v>7911.47</v>
      </c>
      <c r="K2174" s="3">
        <v>79114.7</v>
      </c>
      <c r="L2174" t="s">
        <v>34</v>
      </c>
      <c r="M2174" s="2">
        <v>45807</v>
      </c>
      <c r="N2174" s="2">
        <v>45806</v>
      </c>
      <c r="O2174" t="s">
        <v>43</v>
      </c>
      <c r="P2174" t="s">
        <v>35</v>
      </c>
      <c r="Q2174" t="s">
        <v>28</v>
      </c>
      <c r="R2174" t="s">
        <v>29</v>
      </c>
      <c r="S2174">
        <v>2025</v>
      </c>
      <c r="T2174" t="s">
        <v>2766</v>
      </c>
      <c r="U2174" t="s">
        <v>2767</v>
      </c>
      <c r="V2174" s="4">
        <v>0</v>
      </c>
      <c r="W2174" s="4">
        <v>1</v>
      </c>
    </row>
    <row r="2175" spans="1:23">
      <c r="A2175" t="s">
        <v>2308</v>
      </c>
      <c r="B2175" s="2">
        <v>45681</v>
      </c>
      <c r="C2175" t="s">
        <v>80</v>
      </c>
      <c r="D2175" t="s">
        <v>81</v>
      </c>
      <c r="E2175" t="s">
        <v>39</v>
      </c>
      <c r="F2175" t="s">
        <v>82</v>
      </c>
      <c r="G2175" t="s">
        <v>98</v>
      </c>
      <c r="H2175" t="s">
        <v>99</v>
      </c>
      <c r="I2175">
        <v>31</v>
      </c>
      <c r="J2175" s="3">
        <v>1129.8499999999999</v>
      </c>
      <c r="K2175" s="3">
        <v>35025.35</v>
      </c>
      <c r="L2175" t="s">
        <v>34</v>
      </c>
      <c r="M2175" s="2">
        <v>45691</v>
      </c>
      <c r="N2175" s="2">
        <v>45691</v>
      </c>
      <c r="O2175" t="s">
        <v>43</v>
      </c>
      <c r="P2175" t="s">
        <v>64</v>
      </c>
      <c r="Q2175" t="s">
        <v>28</v>
      </c>
      <c r="R2175" t="s">
        <v>29</v>
      </c>
      <c r="S2175">
        <v>2025</v>
      </c>
      <c r="T2175" t="s">
        <v>2757</v>
      </c>
      <c r="U2175" t="s">
        <v>2768</v>
      </c>
      <c r="V2175" s="4">
        <v>0</v>
      </c>
      <c r="W2175" s="4">
        <v>1</v>
      </c>
    </row>
    <row r="2176" spans="1:23">
      <c r="A2176" t="s">
        <v>2309</v>
      </c>
      <c r="B2176" s="2">
        <v>45997</v>
      </c>
      <c r="C2176" t="s">
        <v>71</v>
      </c>
      <c r="D2176" t="s">
        <v>72</v>
      </c>
      <c r="E2176" t="s">
        <v>73</v>
      </c>
      <c r="F2176" t="s">
        <v>57</v>
      </c>
      <c r="G2176" t="s">
        <v>120</v>
      </c>
      <c r="H2176" t="s">
        <v>121</v>
      </c>
      <c r="I2176">
        <v>1</v>
      </c>
      <c r="J2176" s="3">
        <v>20831.48</v>
      </c>
      <c r="K2176" s="3">
        <v>20831.48</v>
      </c>
      <c r="L2176" t="s">
        <v>52</v>
      </c>
      <c r="M2176" s="2">
        <v>46008</v>
      </c>
      <c r="N2176" s="2">
        <v>46007</v>
      </c>
      <c r="O2176" t="s">
        <v>60</v>
      </c>
      <c r="P2176" t="s">
        <v>77</v>
      </c>
      <c r="Q2176" t="s">
        <v>28</v>
      </c>
      <c r="R2176" t="s">
        <v>29</v>
      </c>
      <c r="S2176">
        <v>2025</v>
      </c>
      <c r="T2176" t="s">
        <v>2745</v>
      </c>
      <c r="U2176" t="s">
        <v>2746</v>
      </c>
      <c r="V2176" s="4">
        <v>0</v>
      </c>
      <c r="W2176" s="4">
        <v>1</v>
      </c>
    </row>
    <row r="2177" spans="1:23">
      <c r="A2177" t="s">
        <v>2310</v>
      </c>
      <c r="B2177" s="2">
        <v>46140</v>
      </c>
      <c r="C2177" t="s">
        <v>71</v>
      </c>
      <c r="D2177" t="s">
        <v>72</v>
      </c>
      <c r="E2177" t="s">
        <v>21</v>
      </c>
      <c r="F2177" t="s">
        <v>57</v>
      </c>
      <c r="G2177" t="s">
        <v>127</v>
      </c>
      <c r="H2177" t="s">
        <v>128</v>
      </c>
      <c r="I2177">
        <v>3</v>
      </c>
      <c r="J2177" s="3">
        <v>15266.15</v>
      </c>
      <c r="K2177" s="3">
        <v>45798.45</v>
      </c>
      <c r="L2177" t="s">
        <v>52</v>
      </c>
      <c r="M2177" s="2">
        <v>46153</v>
      </c>
      <c r="N2177" s="2">
        <v>46153</v>
      </c>
      <c r="O2177" t="s">
        <v>43</v>
      </c>
      <c r="P2177" t="s">
        <v>27</v>
      </c>
      <c r="Q2177" t="s">
        <v>28</v>
      </c>
      <c r="R2177" t="s">
        <v>29</v>
      </c>
      <c r="S2177">
        <v>2026</v>
      </c>
      <c r="T2177" t="s">
        <v>2741</v>
      </c>
      <c r="U2177" t="s">
        <v>2770</v>
      </c>
      <c r="V2177" s="4">
        <v>0</v>
      </c>
      <c r="W2177" s="4">
        <v>1</v>
      </c>
    </row>
    <row r="2178" spans="1:23">
      <c r="A2178" t="s">
        <v>2311</v>
      </c>
      <c r="B2178" s="2">
        <v>46198</v>
      </c>
      <c r="C2178" t="s">
        <v>104</v>
      </c>
      <c r="D2178" t="s">
        <v>105</v>
      </c>
      <c r="E2178" t="s">
        <v>21</v>
      </c>
      <c r="F2178" t="s">
        <v>49</v>
      </c>
      <c r="G2178" t="s">
        <v>68</v>
      </c>
      <c r="H2178" t="s">
        <v>69</v>
      </c>
      <c r="I2178">
        <v>1</v>
      </c>
      <c r="J2178" s="3">
        <v>46525.67</v>
      </c>
      <c r="K2178" s="3">
        <v>46525.67</v>
      </c>
      <c r="L2178" t="s">
        <v>25</v>
      </c>
      <c r="M2178" s="2">
        <v>46212</v>
      </c>
      <c r="N2178" s="2">
        <v>46211</v>
      </c>
      <c r="O2178" t="s">
        <v>26</v>
      </c>
      <c r="P2178" t="s">
        <v>27</v>
      </c>
      <c r="Q2178" t="s">
        <v>28</v>
      </c>
      <c r="R2178" t="s">
        <v>29</v>
      </c>
      <c r="S2178">
        <v>2026</v>
      </c>
      <c r="T2178" t="s">
        <v>2743</v>
      </c>
      <c r="U2178" t="s">
        <v>2744</v>
      </c>
      <c r="V2178" s="4">
        <v>0</v>
      </c>
      <c r="W2178" s="4">
        <v>1</v>
      </c>
    </row>
    <row r="2179" spans="1:23">
      <c r="A2179" t="s">
        <v>2312</v>
      </c>
      <c r="B2179" s="2">
        <v>45891</v>
      </c>
      <c r="C2179" t="s">
        <v>104</v>
      </c>
      <c r="D2179" t="s">
        <v>105</v>
      </c>
      <c r="E2179" t="s">
        <v>21</v>
      </c>
      <c r="F2179" t="s">
        <v>49</v>
      </c>
      <c r="G2179" t="s">
        <v>165</v>
      </c>
      <c r="H2179" t="s">
        <v>166</v>
      </c>
      <c r="I2179">
        <v>1</v>
      </c>
      <c r="J2179" s="3">
        <v>45453.14</v>
      </c>
      <c r="K2179" s="3">
        <v>45453.14</v>
      </c>
      <c r="L2179" t="s">
        <v>25</v>
      </c>
      <c r="M2179" s="2">
        <v>45901</v>
      </c>
      <c r="N2179" s="2">
        <v>45899</v>
      </c>
      <c r="O2179" t="s">
        <v>60</v>
      </c>
      <c r="P2179" t="s">
        <v>27</v>
      </c>
      <c r="Q2179" t="s">
        <v>28</v>
      </c>
      <c r="R2179" t="s">
        <v>29</v>
      </c>
      <c r="S2179">
        <v>2025</v>
      </c>
      <c r="T2179" t="s">
        <v>2761</v>
      </c>
      <c r="U2179" t="s">
        <v>2762</v>
      </c>
      <c r="V2179" s="4">
        <v>0</v>
      </c>
      <c r="W2179" s="4">
        <v>1</v>
      </c>
    </row>
    <row r="2180" spans="1:23">
      <c r="A2180" t="s">
        <v>2313</v>
      </c>
      <c r="B2180" s="2">
        <v>45861</v>
      </c>
      <c r="C2180" t="s">
        <v>37</v>
      </c>
      <c r="D2180" t="s">
        <v>38</v>
      </c>
      <c r="E2180" t="s">
        <v>39</v>
      </c>
      <c r="F2180" t="s">
        <v>40</v>
      </c>
      <c r="G2180" t="s">
        <v>149</v>
      </c>
      <c r="H2180" t="s">
        <v>150</v>
      </c>
      <c r="I2180">
        <v>59</v>
      </c>
      <c r="J2180" s="3">
        <v>1406.17</v>
      </c>
      <c r="K2180" s="3">
        <v>82964.03</v>
      </c>
      <c r="L2180" t="s">
        <v>34</v>
      </c>
      <c r="M2180" s="2">
        <v>45867</v>
      </c>
      <c r="N2180" s="2">
        <v>45871</v>
      </c>
      <c r="O2180" t="s">
        <v>60</v>
      </c>
      <c r="P2180" t="s">
        <v>64</v>
      </c>
      <c r="Q2180" t="s">
        <v>28</v>
      </c>
      <c r="R2180" t="s">
        <v>129</v>
      </c>
      <c r="S2180">
        <v>2025</v>
      </c>
      <c r="T2180" t="s">
        <v>2759</v>
      </c>
      <c r="U2180" t="s">
        <v>2760</v>
      </c>
      <c r="V2180" s="4">
        <v>4</v>
      </c>
      <c r="W2180" s="4">
        <v>0</v>
      </c>
    </row>
    <row r="2181" spans="1:23">
      <c r="A2181" t="s">
        <v>2314</v>
      </c>
      <c r="B2181" s="2">
        <v>45829</v>
      </c>
      <c r="C2181" t="s">
        <v>46</v>
      </c>
      <c r="D2181" t="s">
        <v>47</v>
      </c>
      <c r="E2181" t="s">
        <v>73</v>
      </c>
      <c r="F2181" t="s">
        <v>49</v>
      </c>
      <c r="G2181" t="s">
        <v>50</v>
      </c>
      <c r="H2181" t="s">
        <v>51</v>
      </c>
      <c r="I2181">
        <v>1</v>
      </c>
      <c r="J2181" s="3">
        <v>57016.94</v>
      </c>
      <c r="K2181" s="3">
        <v>57016.94</v>
      </c>
      <c r="L2181" t="s">
        <v>25</v>
      </c>
      <c r="M2181" s="2">
        <v>45845</v>
      </c>
      <c r="N2181" s="2">
        <v>45842</v>
      </c>
      <c r="O2181" t="s">
        <v>26</v>
      </c>
      <c r="P2181" t="s">
        <v>77</v>
      </c>
      <c r="Q2181" t="s">
        <v>28</v>
      </c>
      <c r="R2181" t="s">
        <v>29</v>
      </c>
      <c r="S2181">
        <v>2025</v>
      </c>
      <c r="T2181" t="s">
        <v>2743</v>
      </c>
      <c r="U2181" t="s">
        <v>2756</v>
      </c>
      <c r="V2181" s="4">
        <v>0</v>
      </c>
      <c r="W2181" s="4">
        <v>1</v>
      </c>
    </row>
    <row r="2182" spans="1:23">
      <c r="A2182" t="s">
        <v>2315</v>
      </c>
      <c r="B2182" s="2">
        <v>46094</v>
      </c>
      <c r="C2182" t="s">
        <v>142</v>
      </c>
      <c r="D2182" t="s">
        <v>143</v>
      </c>
      <c r="E2182" t="s">
        <v>39</v>
      </c>
      <c r="F2182" t="s">
        <v>22</v>
      </c>
      <c r="G2182" t="s">
        <v>32</v>
      </c>
      <c r="H2182" t="s">
        <v>33</v>
      </c>
      <c r="I2182">
        <v>5</v>
      </c>
      <c r="J2182" s="3">
        <v>7911.45</v>
      </c>
      <c r="K2182" s="3">
        <v>39557.25</v>
      </c>
      <c r="L2182" t="s">
        <v>34</v>
      </c>
      <c r="M2182" s="2">
        <v>46107</v>
      </c>
      <c r="N2182" s="2">
        <v>46104</v>
      </c>
      <c r="O2182" t="s">
        <v>43</v>
      </c>
      <c r="P2182" t="s">
        <v>44</v>
      </c>
      <c r="Q2182" t="s">
        <v>28</v>
      </c>
      <c r="R2182" t="s">
        <v>29</v>
      </c>
      <c r="S2182">
        <v>2026</v>
      </c>
      <c r="T2182" t="s">
        <v>2747</v>
      </c>
      <c r="U2182" t="s">
        <v>2755</v>
      </c>
      <c r="V2182" s="4">
        <v>0</v>
      </c>
      <c r="W2182" s="4">
        <v>1</v>
      </c>
    </row>
    <row r="2183" spans="1:23">
      <c r="A2183" t="s">
        <v>2316</v>
      </c>
      <c r="B2183" s="2">
        <v>45815</v>
      </c>
      <c r="C2183" t="s">
        <v>46</v>
      </c>
      <c r="D2183" t="s">
        <v>47</v>
      </c>
      <c r="E2183" t="s">
        <v>21</v>
      </c>
      <c r="F2183" t="s">
        <v>49</v>
      </c>
      <c r="G2183" t="s">
        <v>50</v>
      </c>
      <c r="H2183" t="s">
        <v>51</v>
      </c>
      <c r="I2183">
        <v>3</v>
      </c>
      <c r="J2183" s="3">
        <v>55465.54</v>
      </c>
      <c r="K2183" s="3">
        <v>166396.62</v>
      </c>
      <c r="L2183" t="s">
        <v>25</v>
      </c>
      <c r="M2183" s="2">
        <v>45825</v>
      </c>
      <c r="N2183" s="2">
        <v>45823</v>
      </c>
      <c r="O2183" t="s">
        <v>60</v>
      </c>
      <c r="P2183" t="s">
        <v>27</v>
      </c>
      <c r="Q2183" t="s">
        <v>28</v>
      </c>
      <c r="R2183" t="s">
        <v>29</v>
      </c>
      <c r="S2183">
        <v>2025</v>
      </c>
      <c r="T2183" t="s">
        <v>2743</v>
      </c>
      <c r="U2183" t="s">
        <v>2756</v>
      </c>
      <c r="V2183" s="4">
        <v>0</v>
      </c>
      <c r="W2183" s="4">
        <v>1</v>
      </c>
    </row>
    <row r="2184" spans="1:23">
      <c r="A2184" t="s">
        <v>2317</v>
      </c>
      <c r="B2184" s="2">
        <v>45681</v>
      </c>
      <c r="C2184" t="s">
        <v>131</v>
      </c>
      <c r="D2184" t="s">
        <v>132</v>
      </c>
      <c r="E2184" t="s">
        <v>31</v>
      </c>
      <c r="F2184" t="s">
        <v>57</v>
      </c>
      <c r="G2184" t="s">
        <v>58</v>
      </c>
      <c r="H2184" t="s">
        <v>59</v>
      </c>
      <c r="I2184">
        <v>6</v>
      </c>
      <c r="J2184" s="3">
        <v>61424.58</v>
      </c>
      <c r="K2184" s="3">
        <v>368547.48</v>
      </c>
      <c r="L2184" t="s">
        <v>25</v>
      </c>
      <c r="M2184" s="2">
        <v>45696</v>
      </c>
      <c r="N2184" s="2">
        <v>45696</v>
      </c>
      <c r="O2184" t="s">
        <v>76</v>
      </c>
      <c r="P2184" t="s">
        <v>35</v>
      </c>
      <c r="Q2184" t="s">
        <v>28</v>
      </c>
      <c r="R2184" t="s">
        <v>29</v>
      </c>
      <c r="S2184">
        <v>2025</v>
      </c>
      <c r="T2184" t="s">
        <v>2757</v>
      </c>
      <c r="U2184" t="s">
        <v>2768</v>
      </c>
      <c r="V2184" s="4">
        <v>0</v>
      </c>
      <c r="W2184" s="4">
        <v>1</v>
      </c>
    </row>
    <row r="2185" spans="1:23">
      <c r="A2185" t="s">
        <v>2318</v>
      </c>
      <c r="B2185" s="2">
        <v>46086</v>
      </c>
      <c r="C2185" t="s">
        <v>131</v>
      </c>
      <c r="D2185" t="s">
        <v>132</v>
      </c>
      <c r="E2185" t="s">
        <v>31</v>
      </c>
      <c r="F2185" t="s">
        <v>57</v>
      </c>
      <c r="G2185" t="s">
        <v>58</v>
      </c>
      <c r="H2185" t="s">
        <v>59</v>
      </c>
      <c r="I2185">
        <v>4</v>
      </c>
      <c r="J2185" s="3">
        <v>61540.639999999999</v>
      </c>
      <c r="K2185" s="3">
        <v>246162.56</v>
      </c>
      <c r="L2185" t="s">
        <v>34</v>
      </c>
      <c r="M2185" s="2">
        <v>46099</v>
      </c>
      <c r="N2185" s="2">
        <v>46099</v>
      </c>
      <c r="O2185" t="s">
        <v>76</v>
      </c>
      <c r="P2185" t="s">
        <v>94</v>
      </c>
      <c r="Q2185" t="s">
        <v>28</v>
      </c>
      <c r="R2185" t="s">
        <v>29</v>
      </c>
      <c r="S2185">
        <v>2026</v>
      </c>
      <c r="T2185" t="s">
        <v>2747</v>
      </c>
      <c r="U2185" t="s">
        <v>2755</v>
      </c>
      <c r="V2185" s="4">
        <v>0</v>
      </c>
      <c r="W2185" s="4">
        <v>1</v>
      </c>
    </row>
    <row r="2186" spans="1:23">
      <c r="A2186" t="s">
        <v>2319</v>
      </c>
      <c r="B2186" s="2">
        <v>46056</v>
      </c>
      <c r="C2186" t="s">
        <v>142</v>
      </c>
      <c r="D2186" t="s">
        <v>143</v>
      </c>
      <c r="E2186" t="s">
        <v>112</v>
      </c>
      <c r="F2186" t="s">
        <v>22</v>
      </c>
      <c r="G2186" t="s">
        <v>32</v>
      </c>
      <c r="H2186" t="s">
        <v>33</v>
      </c>
      <c r="I2186">
        <v>15</v>
      </c>
      <c r="J2186" s="3">
        <v>8340.83</v>
      </c>
      <c r="K2186" s="3">
        <v>125112.45</v>
      </c>
      <c r="L2186" t="s">
        <v>25</v>
      </c>
      <c r="M2186" s="2">
        <v>46065</v>
      </c>
      <c r="N2186" s="2">
        <v>46062</v>
      </c>
      <c r="O2186" t="s">
        <v>26</v>
      </c>
      <c r="P2186" t="s">
        <v>115</v>
      </c>
      <c r="Q2186" t="s">
        <v>28</v>
      </c>
      <c r="R2186" t="s">
        <v>29</v>
      </c>
      <c r="S2186">
        <v>2026</v>
      </c>
      <c r="T2186" t="s">
        <v>2751</v>
      </c>
      <c r="U2186" t="s">
        <v>2765</v>
      </c>
      <c r="V2186" s="4">
        <v>0</v>
      </c>
      <c r="W2186" s="4">
        <v>1</v>
      </c>
    </row>
    <row r="2187" spans="1:23">
      <c r="A2187" t="s">
        <v>2320</v>
      </c>
      <c r="B2187" s="2">
        <v>45938</v>
      </c>
      <c r="C2187" t="s">
        <v>37</v>
      </c>
      <c r="D2187" t="s">
        <v>38</v>
      </c>
      <c r="E2187" t="s">
        <v>21</v>
      </c>
      <c r="F2187" t="s">
        <v>22</v>
      </c>
      <c r="G2187" t="s">
        <v>32</v>
      </c>
      <c r="H2187" t="s">
        <v>33</v>
      </c>
      <c r="I2187">
        <v>10</v>
      </c>
      <c r="J2187" s="3">
        <v>8393.82</v>
      </c>
      <c r="K2187" s="3">
        <v>83938.2</v>
      </c>
      <c r="L2187" t="s">
        <v>25</v>
      </c>
      <c r="M2187" s="2">
        <v>45946</v>
      </c>
      <c r="N2187" s="2">
        <v>45943</v>
      </c>
      <c r="O2187" t="s">
        <v>76</v>
      </c>
      <c r="P2187" t="s">
        <v>27</v>
      </c>
      <c r="Q2187" t="s">
        <v>28</v>
      </c>
      <c r="R2187" t="s">
        <v>29</v>
      </c>
      <c r="S2187">
        <v>2025</v>
      </c>
      <c r="T2187" t="s">
        <v>2749</v>
      </c>
      <c r="U2187" t="s">
        <v>2750</v>
      </c>
      <c r="V2187" s="4">
        <v>0</v>
      </c>
      <c r="W2187" s="4">
        <v>1</v>
      </c>
    </row>
    <row r="2188" spans="1:23">
      <c r="A2188" t="s">
        <v>2321</v>
      </c>
      <c r="B2188" s="2">
        <v>45811</v>
      </c>
      <c r="C2188" t="s">
        <v>19</v>
      </c>
      <c r="D2188" t="s">
        <v>20</v>
      </c>
      <c r="E2188" t="s">
        <v>31</v>
      </c>
      <c r="F2188" t="s">
        <v>22</v>
      </c>
      <c r="G2188" t="s">
        <v>32</v>
      </c>
      <c r="H2188" t="s">
        <v>33</v>
      </c>
      <c r="I2188">
        <v>5</v>
      </c>
      <c r="J2188" s="3">
        <v>7403.26</v>
      </c>
      <c r="K2188" s="3">
        <v>37016.300000000003</v>
      </c>
      <c r="L2188" t="s">
        <v>25</v>
      </c>
      <c r="M2188" s="2">
        <v>45822</v>
      </c>
      <c r="N2188" s="2">
        <v>45821</v>
      </c>
      <c r="O2188" t="s">
        <v>26</v>
      </c>
      <c r="P2188" t="s">
        <v>35</v>
      </c>
      <c r="Q2188" t="s">
        <v>28</v>
      </c>
      <c r="R2188" t="s">
        <v>29</v>
      </c>
      <c r="S2188">
        <v>2025</v>
      </c>
      <c r="T2188" t="s">
        <v>2743</v>
      </c>
      <c r="U2188" t="s">
        <v>2756</v>
      </c>
      <c r="V2188" s="4">
        <v>0</v>
      </c>
      <c r="W2188" s="4">
        <v>1</v>
      </c>
    </row>
    <row r="2189" spans="1:23">
      <c r="A2189" t="s">
        <v>2322</v>
      </c>
      <c r="B2189" s="2">
        <v>45895</v>
      </c>
      <c r="C2189" t="s">
        <v>142</v>
      </c>
      <c r="D2189" t="s">
        <v>143</v>
      </c>
      <c r="E2189" t="s">
        <v>31</v>
      </c>
      <c r="F2189" t="s">
        <v>22</v>
      </c>
      <c r="G2189" t="s">
        <v>160</v>
      </c>
      <c r="H2189" t="s">
        <v>161</v>
      </c>
      <c r="I2189">
        <v>14</v>
      </c>
      <c r="J2189" s="3">
        <v>3055.78</v>
      </c>
      <c r="K2189" s="3">
        <v>42780.92</v>
      </c>
      <c r="L2189" t="s">
        <v>25</v>
      </c>
      <c r="M2189" s="2">
        <v>45901</v>
      </c>
      <c r="N2189" s="2">
        <v>45898</v>
      </c>
      <c r="O2189" t="s">
        <v>26</v>
      </c>
      <c r="P2189" t="s">
        <v>35</v>
      </c>
      <c r="Q2189" t="s">
        <v>28</v>
      </c>
      <c r="R2189" t="s">
        <v>29</v>
      </c>
      <c r="S2189">
        <v>2025</v>
      </c>
      <c r="T2189" t="s">
        <v>2761</v>
      </c>
      <c r="U2189" t="s">
        <v>2762</v>
      </c>
      <c r="V2189" s="4">
        <v>0</v>
      </c>
      <c r="W2189" s="4">
        <v>1</v>
      </c>
    </row>
    <row r="2190" spans="1:23">
      <c r="A2190" t="s">
        <v>2323</v>
      </c>
      <c r="B2190" s="2">
        <v>45723</v>
      </c>
      <c r="C2190" t="s">
        <v>107</v>
      </c>
      <c r="D2190" t="s">
        <v>108</v>
      </c>
      <c r="E2190" t="s">
        <v>31</v>
      </c>
      <c r="F2190" t="s">
        <v>91</v>
      </c>
      <c r="G2190" t="s">
        <v>109</v>
      </c>
      <c r="H2190" t="s">
        <v>110</v>
      </c>
      <c r="I2190">
        <v>1</v>
      </c>
      <c r="J2190" s="3">
        <v>13719.26</v>
      </c>
      <c r="K2190" s="3">
        <v>13719.26</v>
      </c>
      <c r="L2190" t="s">
        <v>34</v>
      </c>
      <c r="M2190" s="2">
        <v>45734</v>
      </c>
      <c r="N2190" s="2">
        <v>45732</v>
      </c>
      <c r="O2190" t="s">
        <v>43</v>
      </c>
      <c r="P2190" t="s">
        <v>94</v>
      </c>
      <c r="Q2190" t="s">
        <v>28</v>
      </c>
      <c r="R2190" t="s">
        <v>29</v>
      </c>
      <c r="S2190">
        <v>2025</v>
      </c>
      <c r="T2190" t="s">
        <v>2747</v>
      </c>
      <c r="U2190" t="s">
        <v>2748</v>
      </c>
      <c r="V2190" s="4">
        <v>0</v>
      </c>
      <c r="W2190" s="4">
        <v>1</v>
      </c>
    </row>
    <row r="2191" spans="1:23">
      <c r="A2191" t="s">
        <v>2324</v>
      </c>
      <c r="B2191" s="2">
        <v>46146</v>
      </c>
      <c r="C2191" t="s">
        <v>46</v>
      </c>
      <c r="D2191" t="s">
        <v>47</v>
      </c>
      <c r="E2191" t="s">
        <v>73</v>
      </c>
      <c r="F2191" t="s">
        <v>49</v>
      </c>
      <c r="G2191" t="s">
        <v>68</v>
      </c>
      <c r="H2191" t="s">
        <v>69</v>
      </c>
      <c r="I2191">
        <v>1</v>
      </c>
      <c r="J2191" s="3">
        <v>51513.74</v>
      </c>
      <c r="K2191" s="3">
        <v>51513.74</v>
      </c>
      <c r="L2191" t="s">
        <v>25</v>
      </c>
      <c r="M2191" s="2">
        <v>46157</v>
      </c>
      <c r="N2191" s="2">
        <v>46156</v>
      </c>
      <c r="O2191" t="s">
        <v>76</v>
      </c>
      <c r="P2191" t="s">
        <v>77</v>
      </c>
      <c r="Q2191" t="s">
        <v>28</v>
      </c>
      <c r="R2191" t="s">
        <v>29</v>
      </c>
      <c r="S2191">
        <v>2026</v>
      </c>
      <c r="T2191" t="s">
        <v>2766</v>
      </c>
      <c r="U2191" t="s">
        <v>2769</v>
      </c>
      <c r="V2191" s="4">
        <v>0</v>
      </c>
      <c r="W2191" s="4">
        <v>1</v>
      </c>
    </row>
    <row r="2192" spans="1:23">
      <c r="A2192" t="s">
        <v>2325</v>
      </c>
      <c r="B2192" s="2">
        <v>46017</v>
      </c>
      <c r="C2192" t="s">
        <v>131</v>
      </c>
      <c r="D2192" t="s">
        <v>132</v>
      </c>
      <c r="E2192" t="s">
        <v>73</v>
      </c>
      <c r="F2192" t="s">
        <v>57</v>
      </c>
      <c r="G2192" t="s">
        <v>120</v>
      </c>
      <c r="H2192" t="s">
        <v>121</v>
      </c>
      <c r="I2192">
        <v>1</v>
      </c>
      <c r="J2192" s="3">
        <v>22176.85</v>
      </c>
      <c r="K2192" s="3">
        <v>22176.85</v>
      </c>
      <c r="L2192" t="s">
        <v>25</v>
      </c>
      <c r="M2192" s="2">
        <v>46022</v>
      </c>
      <c r="N2192" s="2">
        <v>46020</v>
      </c>
      <c r="O2192" t="s">
        <v>26</v>
      </c>
      <c r="P2192" t="s">
        <v>77</v>
      </c>
      <c r="Q2192" t="s">
        <v>28</v>
      </c>
      <c r="R2192" t="s">
        <v>29</v>
      </c>
      <c r="S2192">
        <v>2025</v>
      </c>
      <c r="T2192" t="s">
        <v>2745</v>
      </c>
      <c r="U2192" t="s">
        <v>2746</v>
      </c>
      <c r="V2192" s="4">
        <v>0</v>
      </c>
      <c r="W2192" s="4">
        <v>1</v>
      </c>
    </row>
    <row r="2193" spans="1:23">
      <c r="A2193" t="s">
        <v>2326</v>
      </c>
      <c r="B2193" s="2">
        <v>45879</v>
      </c>
      <c r="C2193" t="s">
        <v>104</v>
      </c>
      <c r="D2193" t="s">
        <v>105</v>
      </c>
      <c r="E2193" t="s">
        <v>48</v>
      </c>
      <c r="F2193" t="s">
        <v>49</v>
      </c>
      <c r="G2193" t="s">
        <v>68</v>
      </c>
      <c r="H2193" t="s">
        <v>69</v>
      </c>
      <c r="I2193">
        <v>3</v>
      </c>
      <c r="J2193" s="3">
        <v>49600.47</v>
      </c>
      <c r="K2193" s="3">
        <v>148801.41</v>
      </c>
      <c r="L2193" t="s">
        <v>34</v>
      </c>
      <c r="M2193" s="2">
        <v>45889</v>
      </c>
      <c r="N2193" s="2">
        <v>45889</v>
      </c>
      <c r="O2193" t="s">
        <v>43</v>
      </c>
      <c r="P2193" t="s">
        <v>53</v>
      </c>
      <c r="Q2193" t="s">
        <v>28</v>
      </c>
      <c r="R2193" t="s">
        <v>29</v>
      </c>
      <c r="S2193">
        <v>2025</v>
      </c>
      <c r="T2193" t="s">
        <v>2761</v>
      </c>
      <c r="U2193" t="s">
        <v>2762</v>
      </c>
      <c r="V2193" s="4">
        <v>0</v>
      </c>
      <c r="W2193" s="4">
        <v>1</v>
      </c>
    </row>
    <row r="2194" spans="1:23">
      <c r="A2194" t="s">
        <v>2327</v>
      </c>
      <c r="B2194" s="2">
        <v>46151</v>
      </c>
      <c r="C2194" t="s">
        <v>89</v>
      </c>
      <c r="D2194" t="s">
        <v>90</v>
      </c>
      <c r="E2194" t="s">
        <v>31</v>
      </c>
      <c r="F2194" t="s">
        <v>91</v>
      </c>
      <c r="G2194" t="s">
        <v>92</v>
      </c>
      <c r="H2194" t="s">
        <v>93</v>
      </c>
      <c r="I2194">
        <v>1</v>
      </c>
      <c r="J2194" s="3">
        <v>43554.04</v>
      </c>
      <c r="K2194" s="3">
        <v>43554.04</v>
      </c>
      <c r="L2194" t="s">
        <v>52</v>
      </c>
      <c r="M2194" s="2">
        <v>46169</v>
      </c>
      <c r="N2194" s="2">
        <v>46169</v>
      </c>
      <c r="O2194" t="s">
        <v>43</v>
      </c>
      <c r="P2194" t="s">
        <v>35</v>
      </c>
      <c r="Q2194" t="s">
        <v>28</v>
      </c>
      <c r="R2194" t="s">
        <v>29</v>
      </c>
      <c r="S2194">
        <v>2026</v>
      </c>
      <c r="T2194" t="s">
        <v>2766</v>
      </c>
      <c r="U2194" t="s">
        <v>2769</v>
      </c>
      <c r="V2194" s="4">
        <v>0</v>
      </c>
      <c r="W2194" s="4">
        <v>1</v>
      </c>
    </row>
    <row r="2195" spans="1:23">
      <c r="A2195" t="s">
        <v>2328</v>
      </c>
      <c r="B2195" s="2">
        <v>45750</v>
      </c>
      <c r="C2195" t="s">
        <v>142</v>
      </c>
      <c r="D2195" t="s">
        <v>143</v>
      </c>
      <c r="E2195" t="s">
        <v>31</v>
      </c>
      <c r="F2195" t="s">
        <v>22</v>
      </c>
      <c r="G2195" t="s">
        <v>23</v>
      </c>
      <c r="H2195" t="s">
        <v>24</v>
      </c>
      <c r="I2195">
        <v>55</v>
      </c>
      <c r="J2195" s="3">
        <v>244.05</v>
      </c>
      <c r="K2195" s="3">
        <v>13422.75</v>
      </c>
      <c r="L2195" t="s">
        <v>25</v>
      </c>
      <c r="M2195" s="2">
        <v>45766</v>
      </c>
      <c r="N2195" s="2">
        <v>45764</v>
      </c>
      <c r="O2195" t="s">
        <v>43</v>
      </c>
      <c r="P2195" t="s">
        <v>94</v>
      </c>
      <c r="Q2195" t="s">
        <v>28</v>
      </c>
      <c r="R2195" t="s">
        <v>29</v>
      </c>
      <c r="S2195">
        <v>2025</v>
      </c>
      <c r="T2195" t="s">
        <v>2741</v>
      </c>
      <c r="U2195" t="s">
        <v>2742</v>
      </c>
      <c r="V2195" s="4">
        <v>0</v>
      </c>
      <c r="W2195" s="4">
        <v>1</v>
      </c>
    </row>
    <row r="2196" spans="1:23">
      <c r="A2196" t="s">
        <v>2329</v>
      </c>
      <c r="B2196" s="2">
        <v>46079</v>
      </c>
      <c r="C2196" t="s">
        <v>37</v>
      </c>
      <c r="D2196" t="s">
        <v>38</v>
      </c>
      <c r="E2196" t="s">
        <v>39</v>
      </c>
      <c r="F2196" t="s">
        <v>40</v>
      </c>
      <c r="G2196" t="s">
        <v>62</v>
      </c>
      <c r="H2196" t="s">
        <v>63</v>
      </c>
      <c r="I2196">
        <v>1</v>
      </c>
      <c r="J2196" s="3">
        <v>19017.07</v>
      </c>
      <c r="K2196" s="3">
        <v>19017.07</v>
      </c>
      <c r="L2196" t="s">
        <v>34</v>
      </c>
      <c r="M2196" s="2">
        <v>46094</v>
      </c>
      <c r="N2196" s="2">
        <v>46093</v>
      </c>
      <c r="O2196" t="s">
        <v>26</v>
      </c>
      <c r="P2196" t="s">
        <v>64</v>
      </c>
      <c r="Q2196" t="s">
        <v>28</v>
      </c>
      <c r="R2196" t="s">
        <v>29</v>
      </c>
      <c r="S2196">
        <v>2026</v>
      </c>
      <c r="T2196" t="s">
        <v>2751</v>
      </c>
      <c r="U2196" t="s">
        <v>2765</v>
      </c>
      <c r="V2196" s="4">
        <v>0</v>
      </c>
      <c r="W2196" s="4">
        <v>1</v>
      </c>
    </row>
    <row r="2197" spans="1:23">
      <c r="A2197" t="s">
        <v>2330</v>
      </c>
      <c r="B2197" s="2">
        <v>46032</v>
      </c>
      <c r="C2197" t="s">
        <v>46</v>
      </c>
      <c r="D2197" t="s">
        <v>47</v>
      </c>
      <c r="E2197" t="s">
        <v>112</v>
      </c>
      <c r="F2197" t="s">
        <v>49</v>
      </c>
      <c r="G2197" t="s">
        <v>113</v>
      </c>
      <c r="H2197" t="s">
        <v>114</v>
      </c>
      <c r="I2197">
        <v>3</v>
      </c>
      <c r="J2197" s="3">
        <v>38972.339999999997</v>
      </c>
      <c r="K2197" s="3">
        <v>116917.02</v>
      </c>
      <c r="L2197" t="s">
        <v>25</v>
      </c>
      <c r="M2197" s="2">
        <v>46040</v>
      </c>
      <c r="N2197" s="2">
        <v>46039</v>
      </c>
      <c r="O2197" t="s">
        <v>26</v>
      </c>
      <c r="P2197" t="s">
        <v>115</v>
      </c>
      <c r="Q2197" t="s">
        <v>28</v>
      </c>
      <c r="R2197" t="s">
        <v>29</v>
      </c>
      <c r="S2197">
        <v>2026</v>
      </c>
      <c r="T2197" t="s">
        <v>2757</v>
      </c>
      <c r="U2197" t="s">
        <v>2758</v>
      </c>
      <c r="V2197" s="4">
        <v>0</v>
      </c>
      <c r="W2197" s="4">
        <v>1</v>
      </c>
    </row>
    <row r="2198" spans="1:23">
      <c r="A2198" t="s">
        <v>2331</v>
      </c>
      <c r="B2198" s="2">
        <v>46019</v>
      </c>
      <c r="C2198" t="s">
        <v>96</v>
      </c>
      <c r="D2198" t="s">
        <v>97</v>
      </c>
      <c r="E2198" t="s">
        <v>39</v>
      </c>
      <c r="F2198" t="s">
        <v>82</v>
      </c>
      <c r="G2198" t="s">
        <v>98</v>
      </c>
      <c r="H2198" t="s">
        <v>99</v>
      </c>
      <c r="I2198">
        <v>57</v>
      </c>
      <c r="J2198" s="3">
        <v>1120.49</v>
      </c>
      <c r="K2198" s="3">
        <v>63867.93</v>
      </c>
      <c r="L2198" t="s">
        <v>52</v>
      </c>
      <c r="M2198" s="2">
        <v>46027</v>
      </c>
      <c r="N2198" s="2">
        <v>46027</v>
      </c>
      <c r="O2198" t="s">
        <v>60</v>
      </c>
      <c r="P2198" t="s">
        <v>44</v>
      </c>
      <c r="Q2198" t="s">
        <v>28</v>
      </c>
      <c r="R2198" t="s">
        <v>29</v>
      </c>
      <c r="S2198">
        <v>2025</v>
      </c>
      <c r="T2198" t="s">
        <v>2745</v>
      </c>
      <c r="U2198" t="s">
        <v>2746</v>
      </c>
      <c r="V2198" s="4">
        <v>0</v>
      </c>
      <c r="W2198" s="4">
        <v>1</v>
      </c>
    </row>
    <row r="2199" spans="1:23">
      <c r="A2199" t="s">
        <v>2332</v>
      </c>
      <c r="B2199" s="2">
        <v>46029</v>
      </c>
      <c r="C2199" t="s">
        <v>142</v>
      </c>
      <c r="D2199" t="s">
        <v>143</v>
      </c>
      <c r="E2199" t="s">
        <v>21</v>
      </c>
      <c r="F2199" t="s">
        <v>22</v>
      </c>
      <c r="G2199" t="s">
        <v>32</v>
      </c>
      <c r="H2199" t="s">
        <v>33</v>
      </c>
      <c r="I2199">
        <v>7</v>
      </c>
      <c r="J2199" s="3">
        <v>7867.71</v>
      </c>
      <c r="K2199" s="3">
        <v>55073.97</v>
      </c>
      <c r="L2199" t="s">
        <v>52</v>
      </c>
      <c r="M2199" s="2">
        <v>46040</v>
      </c>
      <c r="N2199" s="2">
        <v>46039</v>
      </c>
      <c r="O2199" t="s">
        <v>26</v>
      </c>
      <c r="P2199" t="s">
        <v>27</v>
      </c>
      <c r="Q2199" t="s">
        <v>28</v>
      </c>
      <c r="R2199" t="s">
        <v>29</v>
      </c>
      <c r="S2199">
        <v>2026</v>
      </c>
      <c r="T2199" t="s">
        <v>2757</v>
      </c>
      <c r="U2199" t="s">
        <v>2758</v>
      </c>
      <c r="V2199" s="4">
        <v>0</v>
      </c>
      <c r="W2199" s="4">
        <v>1</v>
      </c>
    </row>
    <row r="2200" spans="1:23">
      <c r="A2200" t="s">
        <v>2333</v>
      </c>
      <c r="B2200" s="2">
        <v>46055</v>
      </c>
      <c r="C2200" t="s">
        <v>55</v>
      </c>
      <c r="D2200" t="s">
        <v>56</v>
      </c>
      <c r="E2200" t="s">
        <v>48</v>
      </c>
      <c r="F2200" t="s">
        <v>57</v>
      </c>
      <c r="G2200" t="s">
        <v>74</v>
      </c>
      <c r="H2200" t="s">
        <v>75</v>
      </c>
      <c r="I2200">
        <v>3</v>
      </c>
      <c r="J2200" s="3">
        <v>9810.39</v>
      </c>
      <c r="K2200" s="3">
        <v>29431.17</v>
      </c>
      <c r="L2200" t="s">
        <v>25</v>
      </c>
      <c r="M2200" s="2">
        <v>46061</v>
      </c>
      <c r="N2200" s="2">
        <v>46058</v>
      </c>
      <c r="O2200" t="s">
        <v>43</v>
      </c>
      <c r="P2200" t="s">
        <v>53</v>
      </c>
      <c r="Q2200" t="s">
        <v>28</v>
      </c>
      <c r="R2200" t="s">
        <v>29</v>
      </c>
      <c r="S2200">
        <v>2026</v>
      </c>
      <c r="T2200" t="s">
        <v>2751</v>
      </c>
      <c r="U2200" t="s">
        <v>2765</v>
      </c>
      <c r="V2200" s="4">
        <v>0</v>
      </c>
      <c r="W2200" s="4">
        <v>1</v>
      </c>
    </row>
    <row r="2201" spans="1:23">
      <c r="A2201" t="s">
        <v>2334</v>
      </c>
      <c r="B2201" s="2">
        <v>45884</v>
      </c>
      <c r="C2201" t="s">
        <v>134</v>
      </c>
      <c r="D2201" t="s">
        <v>135</v>
      </c>
      <c r="E2201" t="s">
        <v>39</v>
      </c>
      <c r="F2201" t="s">
        <v>40</v>
      </c>
      <c r="G2201" t="s">
        <v>62</v>
      </c>
      <c r="H2201" t="s">
        <v>63</v>
      </c>
      <c r="I2201">
        <v>1</v>
      </c>
      <c r="J2201" s="3">
        <v>19283.93</v>
      </c>
      <c r="K2201" s="3">
        <v>19283.93</v>
      </c>
      <c r="L2201" t="s">
        <v>25</v>
      </c>
      <c r="M2201" s="2">
        <v>45895</v>
      </c>
      <c r="N2201" s="2">
        <v>45894</v>
      </c>
      <c r="O2201" t="s">
        <v>76</v>
      </c>
      <c r="P2201" t="s">
        <v>44</v>
      </c>
      <c r="Q2201" t="s">
        <v>28</v>
      </c>
      <c r="R2201" t="s">
        <v>29</v>
      </c>
      <c r="S2201">
        <v>2025</v>
      </c>
      <c r="T2201" t="s">
        <v>2761</v>
      </c>
      <c r="U2201" t="s">
        <v>2762</v>
      </c>
      <c r="V2201" s="4">
        <v>0</v>
      </c>
      <c r="W2201" s="4">
        <v>1</v>
      </c>
    </row>
    <row r="2202" spans="1:23">
      <c r="A2202" t="s">
        <v>2335</v>
      </c>
      <c r="B2202" s="2">
        <v>46098</v>
      </c>
      <c r="C2202" t="s">
        <v>131</v>
      </c>
      <c r="D2202" t="s">
        <v>132</v>
      </c>
      <c r="E2202" t="s">
        <v>48</v>
      </c>
      <c r="F2202" t="s">
        <v>57</v>
      </c>
      <c r="G2202" t="s">
        <v>101</v>
      </c>
      <c r="H2202" t="s">
        <v>102</v>
      </c>
      <c r="I2202">
        <v>45</v>
      </c>
      <c r="J2202" s="3">
        <v>1931.06</v>
      </c>
      <c r="K2202" s="3">
        <v>86897.7</v>
      </c>
      <c r="L2202" t="s">
        <v>52</v>
      </c>
      <c r="M2202" s="2">
        <v>46104</v>
      </c>
      <c r="N2202" s="2">
        <v>46101</v>
      </c>
      <c r="O2202" t="s">
        <v>43</v>
      </c>
      <c r="P2202" t="s">
        <v>53</v>
      </c>
      <c r="Q2202" t="s">
        <v>28</v>
      </c>
      <c r="R2202" t="s">
        <v>29</v>
      </c>
      <c r="S2202">
        <v>2026</v>
      </c>
      <c r="T2202" t="s">
        <v>2747</v>
      </c>
      <c r="U2202" t="s">
        <v>2755</v>
      </c>
      <c r="V2202" s="4">
        <v>0</v>
      </c>
      <c r="W2202" s="4">
        <v>1</v>
      </c>
    </row>
    <row r="2203" spans="1:23">
      <c r="A2203" t="s">
        <v>2336</v>
      </c>
      <c r="B2203" s="2">
        <v>46025</v>
      </c>
      <c r="C2203" t="s">
        <v>19</v>
      </c>
      <c r="D2203" t="s">
        <v>20</v>
      </c>
      <c r="E2203" t="s">
        <v>39</v>
      </c>
      <c r="F2203" t="s">
        <v>22</v>
      </c>
      <c r="G2203" t="s">
        <v>23</v>
      </c>
      <c r="H2203" t="s">
        <v>24</v>
      </c>
      <c r="I2203">
        <v>55</v>
      </c>
      <c r="J2203" s="3">
        <v>236.01</v>
      </c>
      <c r="K2203" s="3">
        <v>12980.55</v>
      </c>
      <c r="L2203" t="s">
        <v>25</v>
      </c>
      <c r="M2203" s="2">
        <v>46036</v>
      </c>
      <c r="N2203" s="2">
        <v>46039</v>
      </c>
      <c r="O2203" t="s">
        <v>76</v>
      </c>
      <c r="P2203" t="s">
        <v>64</v>
      </c>
      <c r="Q2203" t="s">
        <v>28</v>
      </c>
      <c r="R2203" t="s">
        <v>129</v>
      </c>
      <c r="S2203">
        <v>2026</v>
      </c>
      <c r="T2203" t="s">
        <v>2757</v>
      </c>
      <c r="U2203" t="s">
        <v>2758</v>
      </c>
      <c r="V2203" s="4">
        <v>3</v>
      </c>
      <c r="W2203" s="4">
        <v>0</v>
      </c>
    </row>
    <row r="2204" spans="1:23">
      <c r="A2204" t="s">
        <v>2337</v>
      </c>
      <c r="B2204" s="2">
        <v>45671</v>
      </c>
      <c r="C2204" t="s">
        <v>66</v>
      </c>
      <c r="D2204" t="s">
        <v>67</v>
      </c>
      <c r="E2204" t="s">
        <v>48</v>
      </c>
      <c r="F2204" t="s">
        <v>49</v>
      </c>
      <c r="G2204" t="s">
        <v>113</v>
      </c>
      <c r="H2204" t="s">
        <v>114</v>
      </c>
      <c r="I2204">
        <v>3</v>
      </c>
      <c r="J2204" s="3">
        <v>37712.65</v>
      </c>
      <c r="K2204" s="3">
        <v>113137.95</v>
      </c>
      <c r="L2204" t="s">
        <v>25</v>
      </c>
      <c r="M2204" s="2">
        <v>45683</v>
      </c>
      <c r="N2204" s="2">
        <v>45681</v>
      </c>
      <c r="O2204" t="s">
        <v>26</v>
      </c>
      <c r="P2204" t="s">
        <v>53</v>
      </c>
      <c r="Q2204" t="s">
        <v>28</v>
      </c>
      <c r="R2204" t="s">
        <v>29</v>
      </c>
      <c r="S2204">
        <v>2025</v>
      </c>
      <c r="T2204" t="s">
        <v>2757</v>
      </c>
      <c r="U2204" t="s">
        <v>2768</v>
      </c>
      <c r="V2204" s="4">
        <v>0</v>
      </c>
      <c r="W2204" s="4">
        <v>1</v>
      </c>
    </row>
    <row r="2205" spans="1:23">
      <c r="A2205" t="s">
        <v>2338</v>
      </c>
      <c r="B2205" s="2">
        <v>46093</v>
      </c>
      <c r="C2205" t="s">
        <v>117</v>
      </c>
      <c r="D2205" t="s">
        <v>118</v>
      </c>
      <c r="E2205" t="s">
        <v>21</v>
      </c>
      <c r="F2205" t="s">
        <v>57</v>
      </c>
      <c r="G2205" t="s">
        <v>58</v>
      </c>
      <c r="H2205" t="s">
        <v>59</v>
      </c>
      <c r="I2205">
        <v>6</v>
      </c>
      <c r="J2205" s="3">
        <v>57121.01</v>
      </c>
      <c r="K2205" s="3">
        <v>342726.06</v>
      </c>
      <c r="L2205" t="s">
        <v>25</v>
      </c>
      <c r="M2205" s="2">
        <v>46111</v>
      </c>
      <c r="N2205" s="2">
        <v>46111</v>
      </c>
      <c r="O2205" t="s">
        <v>26</v>
      </c>
      <c r="P2205" t="s">
        <v>27</v>
      </c>
      <c r="Q2205" t="s">
        <v>28</v>
      </c>
      <c r="R2205" t="s">
        <v>29</v>
      </c>
      <c r="S2205">
        <v>2026</v>
      </c>
      <c r="T2205" t="s">
        <v>2747</v>
      </c>
      <c r="U2205" t="s">
        <v>2755</v>
      </c>
      <c r="V2205" s="4">
        <v>0</v>
      </c>
      <c r="W2205" s="4">
        <v>1</v>
      </c>
    </row>
    <row r="2206" spans="1:23">
      <c r="A2206" t="s">
        <v>2339</v>
      </c>
      <c r="B2206" s="2">
        <v>45926</v>
      </c>
      <c r="C2206" t="s">
        <v>71</v>
      </c>
      <c r="D2206" t="s">
        <v>72</v>
      </c>
      <c r="E2206" t="s">
        <v>73</v>
      </c>
      <c r="F2206" t="s">
        <v>57</v>
      </c>
      <c r="G2206" t="s">
        <v>86</v>
      </c>
      <c r="H2206" t="s">
        <v>87</v>
      </c>
      <c r="I2206">
        <v>6</v>
      </c>
      <c r="J2206" s="3">
        <v>10369.25</v>
      </c>
      <c r="K2206" s="3">
        <v>62215.5</v>
      </c>
      <c r="L2206" t="s">
        <v>25</v>
      </c>
      <c r="M2206" s="2">
        <v>45940</v>
      </c>
      <c r="N2206" s="2">
        <v>45937</v>
      </c>
      <c r="O2206" t="s">
        <v>76</v>
      </c>
      <c r="P2206" t="s">
        <v>77</v>
      </c>
      <c r="Q2206" t="s">
        <v>28</v>
      </c>
      <c r="R2206" t="s">
        <v>29</v>
      </c>
      <c r="S2206">
        <v>2025</v>
      </c>
      <c r="T2206" t="s">
        <v>2753</v>
      </c>
      <c r="U2206" t="s">
        <v>2754</v>
      </c>
      <c r="V2206" s="4">
        <v>0</v>
      </c>
      <c r="W2206" s="4">
        <v>1</v>
      </c>
    </row>
    <row r="2207" spans="1:23">
      <c r="A2207" t="s">
        <v>2340</v>
      </c>
      <c r="B2207" s="2">
        <v>45970</v>
      </c>
      <c r="C2207" t="s">
        <v>107</v>
      </c>
      <c r="D2207" t="s">
        <v>108</v>
      </c>
      <c r="E2207" t="s">
        <v>31</v>
      </c>
      <c r="F2207" t="s">
        <v>91</v>
      </c>
      <c r="G2207" t="s">
        <v>109</v>
      </c>
      <c r="H2207" t="s">
        <v>110</v>
      </c>
      <c r="I2207">
        <v>2</v>
      </c>
      <c r="J2207" s="3">
        <v>13762.2</v>
      </c>
      <c r="K2207" s="3">
        <v>27524.400000000001</v>
      </c>
      <c r="L2207" t="s">
        <v>34</v>
      </c>
      <c r="M2207" s="2">
        <v>45981</v>
      </c>
      <c r="N2207" s="2">
        <v>45980</v>
      </c>
      <c r="O2207" t="s">
        <v>76</v>
      </c>
      <c r="P2207" t="s">
        <v>35</v>
      </c>
      <c r="Q2207" t="s">
        <v>28</v>
      </c>
      <c r="R2207" t="s">
        <v>29</v>
      </c>
      <c r="S2207">
        <v>2025</v>
      </c>
      <c r="T2207" t="s">
        <v>2763</v>
      </c>
      <c r="U2207" t="s">
        <v>2764</v>
      </c>
      <c r="V2207" s="4">
        <v>0</v>
      </c>
      <c r="W2207" s="4">
        <v>1</v>
      </c>
    </row>
    <row r="2208" spans="1:23">
      <c r="A2208" t="s">
        <v>2341</v>
      </c>
      <c r="B2208" s="2">
        <v>46011</v>
      </c>
      <c r="C2208" t="s">
        <v>37</v>
      </c>
      <c r="D2208" t="s">
        <v>38</v>
      </c>
      <c r="E2208" t="s">
        <v>39</v>
      </c>
      <c r="F2208" t="s">
        <v>40</v>
      </c>
      <c r="G2208" t="s">
        <v>62</v>
      </c>
      <c r="H2208" t="s">
        <v>63</v>
      </c>
      <c r="I2208">
        <v>7</v>
      </c>
      <c r="J2208" s="3">
        <v>20749.849999999999</v>
      </c>
      <c r="K2208" s="3">
        <v>145248.95000000001</v>
      </c>
      <c r="L2208" t="s">
        <v>34</v>
      </c>
      <c r="M2208" s="2">
        <v>46017</v>
      </c>
      <c r="N2208" s="2">
        <v>46015</v>
      </c>
      <c r="O2208" t="s">
        <v>60</v>
      </c>
      <c r="P2208" t="s">
        <v>44</v>
      </c>
      <c r="Q2208" t="s">
        <v>28</v>
      </c>
      <c r="R2208" t="s">
        <v>29</v>
      </c>
      <c r="S2208">
        <v>2025</v>
      </c>
      <c r="T2208" t="s">
        <v>2745</v>
      </c>
      <c r="U2208" t="s">
        <v>2746</v>
      </c>
      <c r="V2208" s="4">
        <v>0</v>
      </c>
      <c r="W2208" s="4">
        <v>1</v>
      </c>
    </row>
    <row r="2209" spans="1:23">
      <c r="A2209" t="s">
        <v>2342</v>
      </c>
      <c r="B2209" s="2">
        <v>45672</v>
      </c>
      <c r="C2209" t="s">
        <v>46</v>
      </c>
      <c r="D2209" t="s">
        <v>47</v>
      </c>
      <c r="E2209" t="s">
        <v>48</v>
      </c>
      <c r="F2209" t="s">
        <v>49</v>
      </c>
      <c r="G2209" t="s">
        <v>50</v>
      </c>
      <c r="H2209" t="s">
        <v>51</v>
      </c>
      <c r="I2209">
        <v>2</v>
      </c>
      <c r="J2209" s="3">
        <v>55127.67</v>
      </c>
      <c r="K2209" s="3">
        <v>110255.34</v>
      </c>
      <c r="L2209" t="s">
        <v>25</v>
      </c>
      <c r="M2209" s="2">
        <v>45678</v>
      </c>
      <c r="N2209" s="2">
        <v>45675</v>
      </c>
      <c r="O2209" t="s">
        <v>60</v>
      </c>
      <c r="P2209" t="s">
        <v>53</v>
      </c>
      <c r="Q2209" t="s">
        <v>28</v>
      </c>
      <c r="R2209" t="s">
        <v>29</v>
      </c>
      <c r="S2209">
        <v>2025</v>
      </c>
      <c r="T2209" t="s">
        <v>2757</v>
      </c>
      <c r="U2209" t="s">
        <v>2768</v>
      </c>
      <c r="V2209" s="4">
        <v>0</v>
      </c>
      <c r="W2209" s="4">
        <v>1</v>
      </c>
    </row>
    <row r="2210" spans="1:23">
      <c r="A2210" t="s">
        <v>2343</v>
      </c>
      <c r="B2210" s="2">
        <v>45973</v>
      </c>
      <c r="C2210" t="s">
        <v>134</v>
      </c>
      <c r="D2210" t="s">
        <v>135</v>
      </c>
      <c r="E2210" t="s">
        <v>39</v>
      </c>
      <c r="F2210" t="s">
        <v>40</v>
      </c>
      <c r="G2210" t="s">
        <v>62</v>
      </c>
      <c r="H2210" t="s">
        <v>63</v>
      </c>
      <c r="I2210">
        <v>7</v>
      </c>
      <c r="J2210" s="3">
        <v>17836.54</v>
      </c>
      <c r="K2210" s="3">
        <v>124855.78</v>
      </c>
      <c r="L2210" t="s">
        <v>34</v>
      </c>
      <c r="M2210" s="2">
        <v>45983</v>
      </c>
      <c r="N2210" s="2">
        <v>45980</v>
      </c>
      <c r="O2210" t="s">
        <v>76</v>
      </c>
      <c r="P2210" t="s">
        <v>64</v>
      </c>
      <c r="Q2210" t="s">
        <v>28</v>
      </c>
      <c r="R2210" t="s">
        <v>29</v>
      </c>
      <c r="S2210">
        <v>2025</v>
      </c>
      <c r="T2210" t="s">
        <v>2763</v>
      </c>
      <c r="U2210" t="s">
        <v>2764</v>
      </c>
      <c r="V2210" s="4">
        <v>0</v>
      </c>
      <c r="W2210" s="4">
        <v>1</v>
      </c>
    </row>
    <row r="2211" spans="1:23">
      <c r="A2211" t="s">
        <v>2344</v>
      </c>
      <c r="B2211" s="2">
        <v>45819</v>
      </c>
      <c r="C2211" t="s">
        <v>104</v>
      </c>
      <c r="D2211" t="s">
        <v>105</v>
      </c>
      <c r="E2211" t="s">
        <v>73</v>
      </c>
      <c r="F2211" t="s">
        <v>49</v>
      </c>
      <c r="G2211" t="s">
        <v>50</v>
      </c>
      <c r="H2211" t="s">
        <v>51</v>
      </c>
      <c r="I2211">
        <v>1</v>
      </c>
      <c r="J2211" s="3">
        <v>53274.62</v>
      </c>
      <c r="K2211" s="3">
        <v>53274.62</v>
      </c>
      <c r="L2211" t="s">
        <v>52</v>
      </c>
      <c r="M2211" s="2">
        <v>45829</v>
      </c>
      <c r="N2211" s="2">
        <v>45828</v>
      </c>
      <c r="O2211" t="s">
        <v>76</v>
      </c>
      <c r="P2211" t="s">
        <v>77</v>
      </c>
      <c r="Q2211" t="s">
        <v>28</v>
      </c>
      <c r="R2211" t="s">
        <v>29</v>
      </c>
      <c r="S2211">
        <v>2025</v>
      </c>
      <c r="T2211" t="s">
        <v>2743</v>
      </c>
      <c r="U2211" t="s">
        <v>2756</v>
      </c>
      <c r="V2211" s="4">
        <v>0</v>
      </c>
      <c r="W2211" s="4">
        <v>1</v>
      </c>
    </row>
    <row r="2212" spans="1:23">
      <c r="A2212" t="s">
        <v>2345</v>
      </c>
      <c r="B2212" s="2">
        <v>45658</v>
      </c>
      <c r="C2212" t="s">
        <v>66</v>
      </c>
      <c r="D2212" t="s">
        <v>67</v>
      </c>
      <c r="E2212" t="s">
        <v>48</v>
      </c>
      <c r="F2212" t="s">
        <v>49</v>
      </c>
      <c r="G2212" t="s">
        <v>68</v>
      </c>
      <c r="H2212" t="s">
        <v>69</v>
      </c>
      <c r="I2212">
        <v>1</v>
      </c>
      <c r="J2212" s="3">
        <v>46594.239999999998</v>
      </c>
      <c r="K2212" s="3">
        <v>46594.239999999998</v>
      </c>
      <c r="L2212" t="s">
        <v>25</v>
      </c>
      <c r="M2212" s="2">
        <v>45668</v>
      </c>
      <c r="N2212" s="2">
        <v>45668</v>
      </c>
      <c r="O2212" t="s">
        <v>26</v>
      </c>
      <c r="P2212" t="s">
        <v>53</v>
      </c>
      <c r="Q2212" t="s">
        <v>28</v>
      </c>
      <c r="R2212" t="s">
        <v>29</v>
      </c>
      <c r="S2212">
        <v>2025</v>
      </c>
      <c r="T2212" t="s">
        <v>2757</v>
      </c>
      <c r="U2212" t="s">
        <v>2768</v>
      </c>
      <c r="V2212" s="4">
        <v>0</v>
      </c>
      <c r="W2212" s="4">
        <v>1</v>
      </c>
    </row>
    <row r="2213" spans="1:23">
      <c r="A2213" t="s">
        <v>2346</v>
      </c>
      <c r="B2213" s="2">
        <v>45891</v>
      </c>
      <c r="C2213" t="s">
        <v>117</v>
      </c>
      <c r="D2213" t="s">
        <v>118</v>
      </c>
      <c r="E2213" t="s">
        <v>48</v>
      </c>
      <c r="F2213" t="s">
        <v>57</v>
      </c>
      <c r="G2213" t="s">
        <v>120</v>
      </c>
      <c r="H2213" t="s">
        <v>121</v>
      </c>
      <c r="I2213">
        <v>7</v>
      </c>
      <c r="J2213" s="3">
        <v>21708.17</v>
      </c>
      <c r="K2213" s="3">
        <v>151957.19</v>
      </c>
      <c r="L2213" t="s">
        <v>25</v>
      </c>
      <c r="M2213" s="2">
        <v>45896</v>
      </c>
      <c r="N2213" s="2">
        <v>45895</v>
      </c>
      <c r="O2213" t="s">
        <v>26</v>
      </c>
      <c r="P2213" t="s">
        <v>53</v>
      </c>
      <c r="Q2213" t="s">
        <v>28</v>
      </c>
      <c r="R2213" t="s">
        <v>29</v>
      </c>
      <c r="S2213">
        <v>2025</v>
      </c>
      <c r="T2213" t="s">
        <v>2761</v>
      </c>
      <c r="U2213" t="s">
        <v>2762</v>
      </c>
      <c r="V2213" s="4">
        <v>0</v>
      </c>
      <c r="W2213" s="4">
        <v>1</v>
      </c>
    </row>
    <row r="2214" spans="1:23">
      <c r="A2214" t="s">
        <v>2347</v>
      </c>
      <c r="B2214" s="2">
        <v>45811</v>
      </c>
      <c r="C2214" t="s">
        <v>71</v>
      </c>
      <c r="D2214" t="s">
        <v>72</v>
      </c>
      <c r="E2214" t="s">
        <v>48</v>
      </c>
      <c r="F2214" t="s">
        <v>57</v>
      </c>
      <c r="G2214" t="s">
        <v>101</v>
      </c>
      <c r="H2214" t="s">
        <v>102</v>
      </c>
      <c r="I2214">
        <v>42</v>
      </c>
      <c r="J2214" s="3">
        <v>1749.98</v>
      </c>
      <c r="K2214" s="3">
        <v>73499.16</v>
      </c>
      <c r="L2214" t="s">
        <v>34</v>
      </c>
      <c r="M2214" s="2">
        <v>45820</v>
      </c>
      <c r="N2214" s="2">
        <v>45819</v>
      </c>
      <c r="O2214" t="s">
        <v>76</v>
      </c>
      <c r="P2214" t="s">
        <v>53</v>
      </c>
      <c r="Q2214" t="s">
        <v>28</v>
      </c>
      <c r="R2214" t="s">
        <v>29</v>
      </c>
      <c r="S2214">
        <v>2025</v>
      </c>
      <c r="T2214" t="s">
        <v>2743</v>
      </c>
      <c r="U2214" t="s">
        <v>2756</v>
      </c>
      <c r="V2214" s="4">
        <v>0</v>
      </c>
      <c r="W2214" s="4">
        <v>1</v>
      </c>
    </row>
    <row r="2215" spans="1:23">
      <c r="A2215" t="s">
        <v>2348</v>
      </c>
      <c r="B2215" s="2">
        <v>46155</v>
      </c>
      <c r="C2215" t="s">
        <v>37</v>
      </c>
      <c r="D2215" t="s">
        <v>38</v>
      </c>
      <c r="E2215" t="s">
        <v>21</v>
      </c>
      <c r="F2215" t="s">
        <v>22</v>
      </c>
      <c r="G2215" t="s">
        <v>32</v>
      </c>
      <c r="H2215" t="s">
        <v>33</v>
      </c>
      <c r="I2215">
        <v>14</v>
      </c>
      <c r="J2215" s="3">
        <v>8361.8700000000008</v>
      </c>
      <c r="K2215" s="3">
        <v>117066.18</v>
      </c>
      <c r="L2215" t="s">
        <v>34</v>
      </c>
      <c r="M2215" s="2">
        <v>46167</v>
      </c>
      <c r="N2215" s="2">
        <v>46166</v>
      </c>
      <c r="O2215" t="s">
        <v>76</v>
      </c>
      <c r="P2215" t="s">
        <v>27</v>
      </c>
      <c r="Q2215" t="s">
        <v>28</v>
      </c>
      <c r="R2215" t="s">
        <v>29</v>
      </c>
      <c r="S2215">
        <v>2026</v>
      </c>
      <c r="T2215" t="s">
        <v>2766</v>
      </c>
      <c r="U2215" t="s">
        <v>2769</v>
      </c>
      <c r="V2215" s="4">
        <v>0</v>
      </c>
      <c r="W2215" s="4">
        <v>1</v>
      </c>
    </row>
    <row r="2216" spans="1:23">
      <c r="A2216" t="s">
        <v>2349</v>
      </c>
      <c r="B2216" s="2">
        <v>45810</v>
      </c>
      <c r="C2216" t="s">
        <v>96</v>
      </c>
      <c r="D2216" t="s">
        <v>97</v>
      </c>
      <c r="E2216" t="s">
        <v>39</v>
      </c>
      <c r="F2216" t="s">
        <v>82</v>
      </c>
      <c r="G2216" t="s">
        <v>83</v>
      </c>
      <c r="H2216" t="s">
        <v>84</v>
      </c>
      <c r="I2216">
        <v>44</v>
      </c>
      <c r="J2216" s="3">
        <v>712.31</v>
      </c>
      <c r="K2216" s="3">
        <v>31341.64</v>
      </c>
      <c r="L2216" t="s">
        <v>25</v>
      </c>
      <c r="M2216" s="2">
        <v>45824</v>
      </c>
      <c r="N2216" s="2">
        <v>45824</v>
      </c>
      <c r="O2216" t="s">
        <v>43</v>
      </c>
      <c r="P2216" t="s">
        <v>64</v>
      </c>
      <c r="Q2216" t="s">
        <v>28</v>
      </c>
      <c r="R2216" t="s">
        <v>29</v>
      </c>
      <c r="S2216">
        <v>2025</v>
      </c>
      <c r="T2216" t="s">
        <v>2743</v>
      </c>
      <c r="U2216" t="s">
        <v>2756</v>
      </c>
      <c r="V2216" s="4">
        <v>0</v>
      </c>
      <c r="W2216" s="4">
        <v>1</v>
      </c>
    </row>
    <row r="2217" spans="1:23">
      <c r="A2217" t="s">
        <v>2350</v>
      </c>
      <c r="B2217" s="2">
        <v>46050</v>
      </c>
      <c r="C2217" t="s">
        <v>66</v>
      </c>
      <c r="D2217" t="s">
        <v>67</v>
      </c>
      <c r="E2217" t="s">
        <v>21</v>
      </c>
      <c r="F2217" t="s">
        <v>49</v>
      </c>
      <c r="G2217" t="s">
        <v>165</v>
      </c>
      <c r="H2217" t="s">
        <v>166</v>
      </c>
      <c r="I2217">
        <v>3</v>
      </c>
      <c r="J2217" s="3">
        <v>43944.14</v>
      </c>
      <c r="K2217" s="3">
        <v>131832.42000000001</v>
      </c>
      <c r="L2217" t="s">
        <v>34</v>
      </c>
      <c r="M2217" s="2">
        <v>46067</v>
      </c>
      <c r="N2217" s="2">
        <v>46066</v>
      </c>
      <c r="O2217" t="s">
        <v>76</v>
      </c>
      <c r="P2217" t="s">
        <v>27</v>
      </c>
      <c r="Q2217" t="s">
        <v>28</v>
      </c>
      <c r="R2217" t="s">
        <v>29</v>
      </c>
      <c r="S2217">
        <v>2026</v>
      </c>
      <c r="T2217" t="s">
        <v>2757</v>
      </c>
      <c r="U2217" t="s">
        <v>2758</v>
      </c>
      <c r="V2217" s="4">
        <v>0</v>
      </c>
      <c r="W2217" s="4">
        <v>1</v>
      </c>
    </row>
    <row r="2218" spans="1:23">
      <c r="A2218" t="s">
        <v>2351</v>
      </c>
      <c r="B2218" s="2">
        <v>46085</v>
      </c>
      <c r="C2218" t="s">
        <v>71</v>
      </c>
      <c r="D2218" t="s">
        <v>72</v>
      </c>
      <c r="E2218" t="s">
        <v>48</v>
      </c>
      <c r="F2218" t="s">
        <v>57</v>
      </c>
      <c r="G2218" t="s">
        <v>86</v>
      </c>
      <c r="H2218" t="s">
        <v>87</v>
      </c>
      <c r="I2218">
        <v>3</v>
      </c>
      <c r="J2218" s="3">
        <v>10694.39</v>
      </c>
      <c r="K2218" s="3">
        <v>32083.17</v>
      </c>
      <c r="L2218" t="s">
        <v>25</v>
      </c>
      <c r="M2218" s="2">
        <v>46095</v>
      </c>
      <c r="N2218" s="2">
        <v>46094</v>
      </c>
      <c r="O2218" t="s">
        <v>76</v>
      </c>
      <c r="P2218" t="s">
        <v>53</v>
      </c>
      <c r="Q2218" t="s">
        <v>28</v>
      </c>
      <c r="R2218" t="s">
        <v>29</v>
      </c>
      <c r="S2218">
        <v>2026</v>
      </c>
      <c r="T2218" t="s">
        <v>2747</v>
      </c>
      <c r="U2218" t="s">
        <v>2755</v>
      </c>
      <c r="V2218" s="4">
        <v>0</v>
      </c>
      <c r="W2218" s="4">
        <v>1</v>
      </c>
    </row>
    <row r="2219" spans="1:23">
      <c r="A2219" t="s">
        <v>2352</v>
      </c>
      <c r="B2219" s="2">
        <v>45992</v>
      </c>
      <c r="C2219" t="s">
        <v>46</v>
      </c>
      <c r="D2219" t="s">
        <v>47</v>
      </c>
      <c r="E2219" t="s">
        <v>112</v>
      </c>
      <c r="F2219" t="s">
        <v>49</v>
      </c>
      <c r="G2219" t="s">
        <v>50</v>
      </c>
      <c r="H2219" t="s">
        <v>51</v>
      </c>
      <c r="I2219">
        <v>1</v>
      </c>
      <c r="J2219" s="3">
        <v>54557.81</v>
      </c>
      <c r="K2219" s="3">
        <v>54557.81</v>
      </c>
      <c r="L2219" t="s">
        <v>34</v>
      </c>
      <c r="M2219" s="2">
        <v>46001</v>
      </c>
      <c r="N2219" s="2">
        <v>46000</v>
      </c>
      <c r="O2219" t="s">
        <v>26</v>
      </c>
      <c r="P2219" t="s">
        <v>115</v>
      </c>
      <c r="Q2219" t="s">
        <v>28</v>
      </c>
      <c r="R2219" t="s">
        <v>29</v>
      </c>
      <c r="S2219">
        <v>2025</v>
      </c>
      <c r="T2219" t="s">
        <v>2745</v>
      </c>
      <c r="U2219" t="s">
        <v>2746</v>
      </c>
      <c r="V2219" s="4">
        <v>0</v>
      </c>
      <c r="W2219" s="4">
        <v>1</v>
      </c>
    </row>
    <row r="2220" spans="1:23">
      <c r="A2220" t="s">
        <v>2353</v>
      </c>
      <c r="B2220" s="2">
        <v>45820</v>
      </c>
      <c r="C2220" t="s">
        <v>104</v>
      </c>
      <c r="D2220" t="s">
        <v>105</v>
      </c>
      <c r="E2220" t="s">
        <v>21</v>
      </c>
      <c r="F2220" t="s">
        <v>49</v>
      </c>
      <c r="G2220" t="s">
        <v>68</v>
      </c>
      <c r="H2220" t="s">
        <v>69</v>
      </c>
      <c r="I2220">
        <v>1</v>
      </c>
      <c r="J2220" s="3">
        <v>50033.15</v>
      </c>
      <c r="K2220" s="3">
        <v>50033.15</v>
      </c>
      <c r="L2220" t="s">
        <v>25</v>
      </c>
      <c r="M2220" s="2">
        <v>45833</v>
      </c>
      <c r="N2220" s="2">
        <v>45830</v>
      </c>
      <c r="O2220" t="s">
        <v>60</v>
      </c>
      <c r="P2220" t="s">
        <v>27</v>
      </c>
      <c r="Q2220" t="s">
        <v>28</v>
      </c>
      <c r="R2220" t="s">
        <v>29</v>
      </c>
      <c r="S2220">
        <v>2025</v>
      </c>
      <c r="T2220" t="s">
        <v>2743</v>
      </c>
      <c r="U2220" t="s">
        <v>2756</v>
      </c>
      <c r="V2220" s="4">
        <v>0</v>
      </c>
      <c r="W2220" s="4">
        <v>1</v>
      </c>
    </row>
    <row r="2221" spans="1:23">
      <c r="A2221" t="s">
        <v>2354</v>
      </c>
      <c r="B2221" s="2">
        <v>45790</v>
      </c>
      <c r="C2221" t="s">
        <v>107</v>
      </c>
      <c r="D2221" t="s">
        <v>108</v>
      </c>
      <c r="E2221" t="s">
        <v>31</v>
      </c>
      <c r="F2221" t="s">
        <v>91</v>
      </c>
      <c r="G2221" t="s">
        <v>92</v>
      </c>
      <c r="H2221" t="s">
        <v>93</v>
      </c>
      <c r="I2221">
        <v>2</v>
      </c>
      <c r="J2221" s="3">
        <v>47768.01</v>
      </c>
      <c r="K2221" s="3">
        <v>95536.02</v>
      </c>
      <c r="L2221" t="s">
        <v>25</v>
      </c>
      <c r="M2221" s="2">
        <v>45803</v>
      </c>
      <c r="N2221" s="2">
        <v>45802</v>
      </c>
      <c r="O2221" t="s">
        <v>26</v>
      </c>
      <c r="P2221" t="s">
        <v>35</v>
      </c>
      <c r="Q2221" t="s">
        <v>28</v>
      </c>
      <c r="R2221" t="s">
        <v>29</v>
      </c>
      <c r="S2221">
        <v>2025</v>
      </c>
      <c r="T2221" t="s">
        <v>2766</v>
      </c>
      <c r="U2221" t="s">
        <v>2767</v>
      </c>
      <c r="V2221" s="4">
        <v>0</v>
      </c>
      <c r="W2221" s="4">
        <v>1</v>
      </c>
    </row>
    <row r="2222" spans="1:23">
      <c r="A2222" t="s">
        <v>2355</v>
      </c>
      <c r="B2222" s="2">
        <v>45789</v>
      </c>
      <c r="C2222" t="s">
        <v>46</v>
      </c>
      <c r="D2222" t="s">
        <v>47</v>
      </c>
      <c r="E2222" t="s">
        <v>48</v>
      </c>
      <c r="F2222" t="s">
        <v>49</v>
      </c>
      <c r="G2222" t="s">
        <v>165</v>
      </c>
      <c r="H2222" t="s">
        <v>166</v>
      </c>
      <c r="I2222">
        <v>1</v>
      </c>
      <c r="J2222" s="3">
        <v>49829.86</v>
      </c>
      <c r="K2222" s="3">
        <v>49829.86</v>
      </c>
      <c r="L2222" t="s">
        <v>25</v>
      </c>
      <c r="M2222" s="2">
        <v>45806</v>
      </c>
      <c r="N2222" s="2">
        <v>45805</v>
      </c>
      <c r="O2222" t="s">
        <v>43</v>
      </c>
      <c r="P2222" t="s">
        <v>53</v>
      </c>
      <c r="Q2222" t="s">
        <v>28</v>
      </c>
      <c r="R2222" t="s">
        <v>29</v>
      </c>
      <c r="S2222">
        <v>2025</v>
      </c>
      <c r="T2222" t="s">
        <v>2766</v>
      </c>
      <c r="U2222" t="s">
        <v>2767</v>
      </c>
      <c r="V2222" s="4">
        <v>0</v>
      </c>
      <c r="W2222" s="4">
        <v>1</v>
      </c>
    </row>
    <row r="2223" spans="1:23">
      <c r="A2223" t="s">
        <v>2356</v>
      </c>
      <c r="B2223" s="2">
        <v>46054</v>
      </c>
      <c r="C2223" t="s">
        <v>134</v>
      </c>
      <c r="D2223" t="s">
        <v>135</v>
      </c>
      <c r="E2223" t="s">
        <v>112</v>
      </c>
      <c r="F2223" t="s">
        <v>40</v>
      </c>
      <c r="G2223" t="s">
        <v>149</v>
      </c>
      <c r="H2223" t="s">
        <v>150</v>
      </c>
      <c r="I2223">
        <v>29</v>
      </c>
      <c r="J2223" s="3">
        <v>1401.37</v>
      </c>
      <c r="K2223" s="3">
        <v>40639.730000000003</v>
      </c>
      <c r="L2223" t="s">
        <v>25</v>
      </c>
      <c r="M2223" s="2">
        <v>46063</v>
      </c>
      <c r="N2223" s="2">
        <v>46060</v>
      </c>
      <c r="O2223" t="s">
        <v>26</v>
      </c>
      <c r="P2223" t="s">
        <v>115</v>
      </c>
      <c r="Q2223" t="s">
        <v>28</v>
      </c>
      <c r="R2223" t="s">
        <v>29</v>
      </c>
      <c r="S2223">
        <v>2026</v>
      </c>
      <c r="T2223" t="s">
        <v>2751</v>
      </c>
      <c r="U2223" t="s">
        <v>2765</v>
      </c>
      <c r="V2223" s="4">
        <v>0</v>
      </c>
      <c r="W2223" s="4">
        <v>1</v>
      </c>
    </row>
    <row r="2224" spans="1:23">
      <c r="A2224" t="s">
        <v>2357</v>
      </c>
      <c r="B2224" s="2">
        <v>45728</v>
      </c>
      <c r="C2224" t="s">
        <v>71</v>
      </c>
      <c r="D2224" t="s">
        <v>72</v>
      </c>
      <c r="E2224" t="s">
        <v>31</v>
      </c>
      <c r="F2224" t="s">
        <v>57</v>
      </c>
      <c r="G2224" t="s">
        <v>101</v>
      </c>
      <c r="H2224" t="s">
        <v>102</v>
      </c>
      <c r="I2224">
        <v>28</v>
      </c>
      <c r="J2224" s="3">
        <v>1719.72</v>
      </c>
      <c r="K2224" s="3">
        <v>48152.160000000003</v>
      </c>
      <c r="L2224" t="s">
        <v>52</v>
      </c>
      <c r="M2224" s="2">
        <v>45736</v>
      </c>
      <c r="N2224" s="2">
        <v>45741</v>
      </c>
      <c r="O2224" t="s">
        <v>60</v>
      </c>
      <c r="P2224" t="s">
        <v>94</v>
      </c>
      <c r="Q2224" t="s">
        <v>28</v>
      </c>
      <c r="R2224" t="s">
        <v>129</v>
      </c>
      <c r="S2224">
        <v>2025</v>
      </c>
      <c r="T2224" t="s">
        <v>2747</v>
      </c>
      <c r="U2224" t="s">
        <v>2748</v>
      </c>
      <c r="V2224" s="4">
        <v>5</v>
      </c>
      <c r="W2224" s="4">
        <v>0</v>
      </c>
    </row>
    <row r="2225" spans="1:23">
      <c r="A2225" t="s">
        <v>2358</v>
      </c>
      <c r="B2225" s="2">
        <v>46136</v>
      </c>
      <c r="C2225" t="s">
        <v>142</v>
      </c>
      <c r="D2225" t="s">
        <v>143</v>
      </c>
      <c r="E2225" t="s">
        <v>39</v>
      </c>
      <c r="F2225" t="s">
        <v>22</v>
      </c>
      <c r="G2225" t="s">
        <v>32</v>
      </c>
      <c r="H2225" t="s">
        <v>33</v>
      </c>
      <c r="I2225">
        <v>4</v>
      </c>
      <c r="J2225" s="3">
        <v>7932.49</v>
      </c>
      <c r="K2225" s="3">
        <v>31729.96</v>
      </c>
      <c r="L2225" t="s">
        <v>25</v>
      </c>
      <c r="M2225" s="2">
        <v>46145</v>
      </c>
      <c r="N2225" s="2">
        <v>46142</v>
      </c>
      <c r="O2225" t="s">
        <v>76</v>
      </c>
      <c r="P2225" t="s">
        <v>44</v>
      </c>
      <c r="Q2225" t="s">
        <v>28</v>
      </c>
      <c r="R2225" t="s">
        <v>29</v>
      </c>
      <c r="S2225">
        <v>2026</v>
      </c>
      <c r="T2225" t="s">
        <v>2741</v>
      </c>
      <c r="U2225" t="s">
        <v>2770</v>
      </c>
      <c r="V2225" s="4">
        <v>0</v>
      </c>
      <c r="W2225" s="4">
        <v>1</v>
      </c>
    </row>
    <row r="2226" spans="1:23">
      <c r="A2226" t="s">
        <v>2359</v>
      </c>
      <c r="B2226" s="2">
        <v>45728</v>
      </c>
      <c r="C2226" t="s">
        <v>107</v>
      </c>
      <c r="D2226" t="s">
        <v>108</v>
      </c>
      <c r="E2226" t="s">
        <v>31</v>
      </c>
      <c r="F2226" t="s">
        <v>91</v>
      </c>
      <c r="G2226" t="s">
        <v>109</v>
      </c>
      <c r="H2226" t="s">
        <v>110</v>
      </c>
      <c r="I2226">
        <v>1</v>
      </c>
      <c r="J2226" s="3">
        <v>13266.44</v>
      </c>
      <c r="K2226" s="3">
        <v>13266.44</v>
      </c>
      <c r="L2226" t="s">
        <v>25</v>
      </c>
      <c r="M2226" s="2">
        <v>45734</v>
      </c>
      <c r="N2226" s="2">
        <v>45733</v>
      </c>
      <c r="O2226" t="s">
        <v>76</v>
      </c>
      <c r="P2226" t="s">
        <v>94</v>
      </c>
      <c r="Q2226" t="s">
        <v>28</v>
      </c>
      <c r="R2226" t="s">
        <v>29</v>
      </c>
      <c r="S2226">
        <v>2025</v>
      </c>
      <c r="T2226" t="s">
        <v>2747</v>
      </c>
      <c r="U2226" t="s">
        <v>2748</v>
      </c>
      <c r="V2226" s="4">
        <v>0</v>
      </c>
      <c r="W2226" s="4">
        <v>1</v>
      </c>
    </row>
    <row r="2227" spans="1:23">
      <c r="A2227" t="s">
        <v>2360</v>
      </c>
      <c r="B2227" s="2">
        <v>46125</v>
      </c>
      <c r="C2227" t="s">
        <v>104</v>
      </c>
      <c r="D2227" t="s">
        <v>105</v>
      </c>
      <c r="E2227" t="s">
        <v>112</v>
      </c>
      <c r="F2227" t="s">
        <v>49</v>
      </c>
      <c r="G2227" t="s">
        <v>50</v>
      </c>
      <c r="H2227" t="s">
        <v>51</v>
      </c>
      <c r="I2227">
        <v>1</v>
      </c>
      <c r="J2227" s="3">
        <v>51270.02</v>
      </c>
      <c r="K2227" s="3">
        <v>51270.02</v>
      </c>
      <c r="L2227" t="s">
        <v>25</v>
      </c>
      <c r="M2227" s="2">
        <v>46133</v>
      </c>
      <c r="N2227" s="2">
        <v>46132</v>
      </c>
      <c r="O2227" t="s">
        <v>26</v>
      </c>
      <c r="P2227" t="s">
        <v>115</v>
      </c>
      <c r="Q2227" t="s">
        <v>28</v>
      </c>
      <c r="R2227" t="s">
        <v>29</v>
      </c>
      <c r="S2227">
        <v>2026</v>
      </c>
      <c r="T2227" t="s">
        <v>2741</v>
      </c>
      <c r="U2227" t="s">
        <v>2770</v>
      </c>
      <c r="V2227" s="4">
        <v>0</v>
      </c>
      <c r="W2227" s="4">
        <v>1</v>
      </c>
    </row>
    <row r="2228" spans="1:23">
      <c r="A2228" t="s">
        <v>2361</v>
      </c>
      <c r="B2228" s="2">
        <v>45928</v>
      </c>
      <c r="C2228" t="s">
        <v>37</v>
      </c>
      <c r="D2228" t="s">
        <v>38</v>
      </c>
      <c r="E2228" t="s">
        <v>112</v>
      </c>
      <c r="F2228" t="s">
        <v>40</v>
      </c>
      <c r="G2228" t="s">
        <v>41</v>
      </c>
      <c r="H2228" t="s">
        <v>42</v>
      </c>
      <c r="I2228">
        <v>2</v>
      </c>
      <c r="J2228" s="3">
        <v>5654.39</v>
      </c>
      <c r="K2228" s="3">
        <v>11308.78</v>
      </c>
      <c r="L2228" t="s">
        <v>34</v>
      </c>
      <c r="M2228" s="2">
        <v>45937</v>
      </c>
      <c r="N2228" s="2">
        <v>45936</v>
      </c>
      <c r="O2228" t="s">
        <v>60</v>
      </c>
      <c r="P2228" t="s">
        <v>115</v>
      </c>
      <c r="Q2228" t="s">
        <v>28</v>
      </c>
      <c r="R2228" t="s">
        <v>29</v>
      </c>
      <c r="S2228">
        <v>2025</v>
      </c>
      <c r="T2228" t="s">
        <v>2753</v>
      </c>
      <c r="U2228" t="s">
        <v>2754</v>
      </c>
      <c r="V2228" s="4">
        <v>0</v>
      </c>
      <c r="W2228" s="4">
        <v>1</v>
      </c>
    </row>
    <row r="2229" spans="1:23">
      <c r="A2229" t="s">
        <v>2362</v>
      </c>
      <c r="B2229" s="2">
        <v>46128</v>
      </c>
      <c r="C2229" t="s">
        <v>134</v>
      </c>
      <c r="D2229" t="s">
        <v>135</v>
      </c>
      <c r="E2229" t="s">
        <v>112</v>
      </c>
      <c r="F2229" t="s">
        <v>40</v>
      </c>
      <c r="G2229" t="s">
        <v>41</v>
      </c>
      <c r="H2229" t="s">
        <v>42</v>
      </c>
      <c r="I2229">
        <v>7</v>
      </c>
      <c r="J2229" s="3">
        <v>5291.49</v>
      </c>
      <c r="K2229" s="3">
        <v>37040.43</v>
      </c>
      <c r="L2229" t="s">
        <v>25</v>
      </c>
      <c r="M2229" s="2">
        <v>46139</v>
      </c>
      <c r="N2229" s="2">
        <v>46137</v>
      </c>
      <c r="O2229" t="s">
        <v>43</v>
      </c>
      <c r="P2229" t="s">
        <v>115</v>
      </c>
      <c r="Q2229" t="s">
        <v>28</v>
      </c>
      <c r="R2229" t="s">
        <v>29</v>
      </c>
      <c r="S2229">
        <v>2026</v>
      </c>
      <c r="T2229" t="s">
        <v>2741</v>
      </c>
      <c r="U2229" t="s">
        <v>2770</v>
      </c>
      <c r="V2229" s="4">
        <v>0</v>
      </c>
      <c r="W2229" s="4">
        <v>1</v>
      </c>
    </row>
    <row r="2230" spans="1:23">
      <c r="A2230" t="s">
        <v>2363</v>
      </c>
      <c r="B2230" s="2">
        <v>45800</v>
      </c>
      <c r="C2230" t="s">
        <v>37</v>
      </c>
      <c r="D2230" t="s">
        <v>38</v>
      </c>
      <c r="E2230" t="s">
        <v>112</v>
      </c>
      <c r="F2230" t="s">
        <v>22</v>
      </c>
      <c r="G2230" t="s">
        <v>23</v>
      </c>
      <c r="H2230" t="s">
        <v>24</v>
      </c>
      <c r="I2230">
        <v>48</v>
      </c>
      <c r="J2230" s="3">
        <v>271.29000000000002</v>
      </c>
      <c r="K2230" s="3">
        <v>13021.92</v>
      </c>
      <c r="L2230" t="s">
        <v>34</v>
      </c>
      <c r="M2230" s="2">
        <v>45815</v>
      </c>
      <c r="N2230" s="2">
        <v>45815</v>
      </c>
      <c r="O2230" t="s">
        <v>26</v>
      </c>
      <c r="P2230" t="s">
        <v>115</v>
      </c>
      <c r="Q2230" t="s">
        <v>28</v>
      </c>
      <c r="R2230" t="s">
        <v>29</v>
      </c>
      <c r="S2230">
        <v>2025</v>
      </c>
      <c r="T2230" t="s">
        <v>2766</v>
      </c>
      <c r="U2230" t="s">
        <v>2767</v>
      </c>
      <c r="V2230" s="4">
        <v>0</v>
      </c>
      <c r="W2230" s="4">
        <v>1</v>
      </c>
    </row>
    <row r="2231" spans="1:23">
      <c r="A2231" t="s">
        <v>2364</v>
      </c>
      <c r="B2231" s="2">
        <v>45826</v>
      </c>
      <c r="C2231" t="s">
        <v>104</v>
      </c>
      <c r="D2231" t="s">
        <v>105</v>
      </c>
      <c r="E2231" t="s">
        <v>48</v>
      </c>
      <c r="F2231" t="s">
        <v>49</v>
      </c>
      <c r="G2231" t="s">
        <v>50</v>
      </c>
      <c r="H2231" t="s">
        <v>51</v>
      </c>
      <c r="I2231">
        <v>1</v>
      </c>
      <c r="J2231" s="3">
        <v>53234.91</v>
      </c>
      <c r="K2231" s="3">
        <v>53234.91</v>
      </c>
      <c r="L2231" t="s">
        <v>52</v>
      </c>
      <c r="M2231" s="2">
        <v>45840</v>
      </c>
      <c r="N2231" s="2">
        <v>45840</v>
      </c>
      <c r="O2231" t="s">
        <v>76</v>
      </c>
      <c r="P2231" t="s">
        <v>53</v>
      </c>
      <c r="Q2231" t="s">
        <v>28</v>
      </c>
      <c r="R2231" t="s">
        <v>29</v>
      </c>
      <c r="S2231">
        <v>2025</v>
      </c>
      <c r="T2231" t="s">
        <v>2743</v>
      </c>
      <c r="U2231" t="s">
        <v>2756</v>
      </c>
      <c r="V2231" s="4">
        <v>0</v>
      </c>
      <c r="W2231" s="4">
        <v>1</v>
      </c>
    </row>
    <row r="2232" spans="1:23">
      <c r="A2232" t="s">
        <v>2365</v>
      </c>
      <c r="B2232" s="2">
        <v>46064</v>
      </c>
      <c r="C2232" t="s">
        <v>104</v>
      </c>
      <c r="D2232" t="s">
        <v>105</v>
      </c>
      <c r="E2232" t="s">
        <v>21</v>
      </c>
      <c r="F2232" t="s">
        <v>49</v>
      </c>
      <c r="G2232" t="s">
        <v>50</v>
      </c>
      <c r="H2232" t="s">
        <v>51</v>
      </c>
      <c r="I2232">
        <v>1</v>
      </c>
      <c r="J2232" s="3">
        <v>50867.16</v>
      </c>
      <c r="K2232" s="3">
        <v>50867.16</v>
      </c>
      <c r="L2232" t="s">
        <v>34</v>
      </c>
      <c r="M2232" s="2">
        <v>46072</v>
      </c>
      <c r="N2232" s="2">
        <v>46070</v>
      </c>
      <c r="O2232" t="s">
        <v>43</v>
      </c>
      <c r="P2232" t="s">
        <v>27</v>
      </c>
      <c r="Q2232" t="s">
        <v>28</v>
      </c>
      <c r="R2232" t="s">
        <v>29</v>
      </c>
      <c r="S2232">
        <v>2026</v>
      </c>
      <c r="T2232" t="s">
        <v>2751</v>
      </c>
      <c r="U2232" t="s">
        <v>2765</v>
      </c>
      <c r="V2232" s="4">
        <v>0</v>
      </c>
      <c r="W2232" s="4">
        <v>1</v>
      </c>
    </row>
    <row r="2233" spans="1:23">
      <c r="A2233" t="s">
        <v>2366</v>
      </c>
      <c r="B2233" s="2">
        <v>46101</v>
      </c>
      <c r="C2233" t="s">
        <v>37</v>
      </c>
      <c r="D2233" t="s">
        <v>38</v>
      </c>
      <c r="E2233" t="s">
        <v>39</v>
      </c>
      <c r="F2233" t="s">
        <v>40</v>
      </c>
      <c r="G2233" t="s">
        <v>149</v>
      </c>
      <c r="H2233" t="s">
        <v>150</v>
      </c>
      <c r="I2233">
        <v>52</v>
      </c>
      <c r="J2233" s="3">
        <v>1500.2</v>
      </c>
      <c r="K2233" s="3">
        <v>78010.399999999994</v>
      </c>
      <c r="L2233" t="s">
        <v>25</v>
      </c>
      <c r="M2233" s="2">
        <v>46109</v>
      </c>
      <c r="N2233" s="2">
        <v>46109</v>
      </c>
      <c r="O2233" t="s">
        <v>43</v>
      </c>
      <c r="P2233" t="s">
        <v>44</v>
      </c>
      <c r="Q2233" t="s">
        <v>28</v>
      </c>
      <c r="R2233" t="s">
        <v>29</v>
      </c>
      <c r="S2233">
        <v>2026</v>
      </c>
      <c r="T2233" t="s">
        <v>2747</v>
      </c>
      <c r="U2233" t="s">
        <v>2755</v>
      </c>
      <c r="V2233" s="4">
        <v>0</v>
      </c>
      <c r="W2233" s="4">
        <v>1</v>
      </c>
    </row>
    <row r="2234" spans="1:23">
      <c r="A2234" t="s">
        <v>2367</v>
      </c>
      <c r="B2234" s="2">
        <v>45916</v>
      </c>
      <c r="C2234" t="s">
        <v>107</v>
      </c>
      <c r="D2234" t="s">
        <v>108</v>
      </c>
      <c r="E2234" t="s">
        <v>31</v>
      </c>
      <c r="F2234" t="s">
        <v>91</v>
      </c>
      <c r="G2234" t="s">
        <v>109</v>
      </c>
      <c r="H2234" t="s">
        <v>110</v>
      </c>
      <c r="I2234">
        <v>1</v>
      </c>
      <c r="J2234" s="3">
        <v>13916.99</v>
      </c>
      <c r="K2234" s="3">
        <v>13916.99</v>
      </c>
      <c r="L2234" t="s">
        <v>34</v>
      </c>
      <c r="M2234" s="2">
        <v>45932</v>
      </c>
      <c r="N2234" s="2">
        <v>45930</v>
      </c>
      <c r="O2234" t="s">
        <v>76</v>
      </c>
      <c r="P2234" t="s">
        <v>94</v>
      </c>
      <c r="Q2234" t="s">
        <v>28</v>
      </c>
      <c r="R2234" t="s">
        <v>29</v>
      </c>
      <c r="S2234">
        <v>2025</v>
      </c>
      <c r="T2234" t="s">
        <v>2753</v>
      </c>
      <c r="U2234" t="s">
        <v>2754</v>
      </c>
      <c r="V2234" s="4">
        <v>0</v>
      </c>
      <c r="W2234" s="4">
        <v>1</v>
      </c>
    </row>
    <row r="2235" spans="1:23">
      <c r="A2235" t="s">
        <v>2368</v>
      </c>
      <c r="B2235" s="2">
        <v>45733</v>
      </c>
      <c r="C2235" t="s">
        <v>89</v>
      </c>
      <c r="D2235" t="s">
        <v>90</v>
      </c>
      <c r="E2235" t="s">
        <v>31</v>
      </c>
      <c r="F2235" t="s">
        <v>91</v>
      </c>
      <c r="G2235" t="s">
        <v>92</v>
      </c>
      <c r="H2235" t="s">
        <v>93</v>
      </c>
      <c r="I2235">
        <v>1</v>
      </c>
      <c r="J2235" s="3">
        <v>43544.99</v>
      </c>
      <c r="K2235" s="3">
        <v>43544.99</v>
      </c>
      <c r="L2235" t="s">
        <v>25</v>
      </c>
      <c r="M2235" s="2">
        <v>45749</v>
      </c>
      <c r="N2235" s="2">
        <v>45746</v>
      </c>
      <c r="O2235" t="s">
        <v>60</v>
      </c>
      <c r="P2235" t="s">
        <v>35</v>
      </c>
      <c r="Q2235" t="s">
        <v>28</v>
      </c>
      <c r="R2235" t="s">
        <v>29</v>
      </c>
      <c r="S2235">
        <v>2025</v>
      </c>
      <c r="T2235" t="s">
        <v>2747</v>
      </c>
      <c r="U2235" t="s">
        <v>2748</v>
      </c>
      <c r="V2235" s="4">
        <v>0</v>
      </c>
      <c r="W2235" s="4">
        <v>1</v>
      </c>
    </row>
    <row r="2236" spans="1:23">
      <c r="A2236" t="s">
        <v>2369</v>
      </c>
      <c r="B2236" s="2">
        <v>46095</v>
      </c>
      <c r="C2236" t="s">
        <v>117</v>
      </c>
      <c r="D2236" t="s">
        <v>118</v>
      </c>
      <c r="E2236" t="s">
        <v>31</v>
      </c>
      <c r="F2236" t="s">
        <v>57</v>
      </c>
      <c r="G2236" t="s">
        <v>127</v>
      </c>
      <c r="H2236" t="s">
        <v>128</v>
      </c>
      <c r="I2236">
        <v>7</v>
      </c>
      <c r="J2236" s="3">
        <v>16973.53</v>
      </c>
      <c r="K2236" s="3">
        <v>118814.71</v>
      </c>
      <c r="L2236" t="s">
        <v>25</v>
      </c>
      <c r="M2236" s="2">
        <v>46101</v>
      </c>
      <c r="N2236" s="2">
        <v>46099</v>
      </c>
      <c r="O2236" t="s">
        <v>76</v>
      </c>
      <c r="P2236" t="s">
        <v>94</v>
      </c>
      <c r="Q2236" t="s">
        <v>28</v>
      </c>
      <c r="R2236" t="s">
        <v>29</v>
      </c>
      <c r="S2236">
        <v>2026</v>
      </c>
      <c r="T2236" t="s">
        <v>2747</v>
      </c>
      <c r="U2236" t="s">
        <v>2755</v>
      </c>
      <c r="V2236" s="4">
        <v>0</v>
      </c>
      <c r="W2236" s="4">
        <v>1</v>
      </c>
    </row>
    <row r="2237" spans="1:23">
      <c r="A2237" t="s">
        <v>2370</v>
      </c>
      <c r="B2237" s="2">
        <v>46012</v>
      </c>
      <c r="C2237" t="s">
        <v>71</v>
      </c>
      <c r="D2237" t="s">
        <v>72</v>
      </c>
      <c r="E2237" t="s">
        <v>48</v>
      </c>
      <c r="F2237" t="s">
        <v>57</v>
      </c>
      <c r="G2237" t="s">
        <v>127</v>
      </c>
      <c r="H2237" t="s">
        <v>128</v>
      </c>
      <c r="I2237">
        <v>3</v>
      </c>
      <c r="J2237" s="3">
        <v>15776.46</v>
      </c>
      <c r="K2237" s="3">
        <v>47329.38</v>
      </c>
      <c r="L2237" t="s">
        <v>25</v>
      </c>
      <c r="M2237" s="2">
        <v>46023</v>
      </c>
      <c r="N2237" s="2">
        <v>46022</v>
      </c>
      <c r="O2237" t="s">
        <v>43</v>
      </c>
      <c r="P2237" t="s">
        <v>53</v>
      </c>
      <c r="Q2237" t="s">
        <v>28</v>
      </c>
      <c r="R2237" t="s">
        <v>29</v>
      </c>
      <c r="S2237">
        <v>2025</v>
      </c>
      <c r="T2237" t="s">
        <v>2745</v>
      </c>
      <c r="U2237" t="s">
        <v>2746</v>
      </c>
      <c r="V2237" s="4">
        <v>0</v>
      </c>
      <c r="W2237" s="4">
        <v>1</v>
      </c>
    </row>
    <row r="2238" spans="1:23">
      <c r="A2238" t="s">
        <v>2371</v>
      </c>
      <c r="B2238" s="2">
        <v>46073</v>
      </c>
      <c r="C2238" t="s">
        <v>142</v>
      </c>
      <c r="D2238" t="s">
        <v>143</v>
      </c>
      <c r="E2238" t="s">
        <v>112</v>
      </c>
      <c r="F2238" t="s">
        <v>22</v>
      </c>
      <c r="G2238" t="s">
        <v>23</v>
      </c>
      <c r="H2238" t="s">
        <v>24</v>
      </c>
      <c r="I2238">
        <v>11</v>
      </c>
      <c r="J2238" s="3">
        <v>254.55</v>
      </c>
      <c r="K2238" s="3">
        <v>2800.05</v>
      </c>
      <c r="L2238" t="s">
        <v>25</v>
      </c>
      <c r="M2238" s="2">
        <v>46083</v>
      </c>
      <c r="N2238" s="2">
        <v>46083</v>
      </c>
      <c r="O2238" t="s">
        <v>26</v>
      </c>
      <c r="P2238" t="s">
        <v>115</v>
      </c>
      <c r="Q2238" t="s">
        <v>28</v>
      </c>
      <c r="R2238" t="s">
        <v>29</v>
      </c>
      <c r="S2238">
        <v>2026</v>
      </c>
      <c r="T2238" t="s">
        <v>2751</v>
      </c>
      <c r="U2238" t="s">
        <v>2765</v>
      </c>
      <c r="V2238" s="4">
        <v>0</v>
      </c>
      <c r="W2238" s="4">
        <v>1</v>
      </c>
    </row>
    <row r="2239" spans="1:23">
      <c r="A2239" t="s">
        <v>2372</v>
      </c>
      <c r="B2239" s="2">
        <v>46169</v>
      </c>
      <c r="C2239" t="s">
        <v>104</v>
      </c>
      <c r="D2239" t="s">
        <v>105</v>
      </c>
      <c r="E2239" t="s">
        <v>48</v>
      </c>
      <c r="F2239" t="s">
        <v>49</v>
      </c>
      <c r="G2239" t="s">
        <v>113</v>
      </c>
      <c r="H2239" t="s">
        <v>114</v>
      </c>
      <c r="I2239">
        <v>3</v>
      </c>
      <c r="J2239" s="3">
        <v>39434.9</v>
      </c>
      <c r="K2239" s="3">
        <v>118304.7</v>
      </c>
      <c r="L2239" t="s">
        <v>34</v>
      </c>
      <c r="M2239" s="2">
        <v>46180</v>
      </c>
      <c r="N2239" s="2">
        <v>46177</v>
      </c>
      <c r="O2239" t="s">
        <v>76</v>
      </c>
      <c r="P2239" t="s">
        <v>53</v>
      </c>
      <c r="Q2239" t="s">
        <v>28</v>
      </c>
      <c r="R2239" t="s">
        <v>29</v>
      </c>
      <c r="S2239">
        <v>2026</v>
      </c>
      <c r="T2239" t="s">
        <v>2766</v>
      </c>
      <c r="U2239" t="s">
        <v>2769</v>
      </c>
      <c r="V2239" s="4">
        <v>0</v>
      </c>
      <c r="W2239" s="4">
        <v>1</v>
      </c>
    </row>
    <row r="2240" spans="1:23">
      <c r="A2240" t="s">
        <v>2373</v>
      </c>
      <c r="B2240" s="2">
        <v>45676</v>
      </c>
      <c r="C2240" t="s">
        <v>19</v>
      </c>
      <c r="D2240" t="s">
        <v>20</v>
      </c>
      <c r="E2240" t="s">
        <v>31</v>
      </c>
      <c r="F2240" t="s">
        <v>22</v>
      </c>
      <c r="G2240" t="s">
        <v>32</v>
      </c>
      <c r="H2240" t="s">
        <v>33</v>
      </c>
      <c r="I2240">
        <v>15</v>
      </c>
      <c r="J2240" s="3">
        <v>7022.31</v>
      </c>
      <c r="K2240" s="3">
        <v>105334.65</v>
      </c>
      <c r="L2240" t="s">
        <v>25</v>
      </c>
      <c r="M2240" s="2">
        <v>45688</v>
      </c>
      <c r="N2240" s="2">
        <v>45688</v>
      </c>
      <c r="O2240" t="s">
        <v>60</v>
      </c>
      <c r="P2240" t="s">
        <v>35</v>
      </c>
      <c r="Q2240" t="s">
        <v>28</v>
      </c>
      <c r="R2240" t="s">
        <v>29</v>
      </c>
      <c r="S2240">
        <v>2025</v>
      </c>
      <c r="T2240" t="s">
        <v>2757</v>
      </c>
      <c r="U2240" t="s">
        <v>2768</v>
      </c>
      <c r="V2240" s="4">
        <v>0</v>
      </c>
      <c r="W2240" s="4">
        <v>1</v>
      </c>
    </row>
    <row r="2241" spans="1:23">
      <c r="A2241" t="s">
        <v>2374</v>
      </c>
      <c r="B2241" s="2">
        <v>45894</v>
      </c>
      <c r="C2241" t="s">
        <v>19</v>
      </c>
      <c r="D2241" t="s">
        <v>20</v>
      </c>
      <c r="E2241" t="s">
        <v>39</v>
      </c>
      <c r="F2241" t="s">
        <v>22</v>
      </c>
      <c r="G2241" t="s">
        <v>32</v>
      </c>
      <c r="H2241" t="s">
        <v>33</v>
      </c>
      <c r="I2241">
        <v>13</v>
      </c>
      <c r="J2241" s="3">
        <v>7040.99</v>
      </c>
      <c r="K2241" s="3">
        <v>91532.87</v>
      </c>
      <c r="L2241" t="s">
        <v>25</v>
      </c>
      <c r="M2241" s="2">
        <v>45901</v>
      </c>
      <c r="N2241" s="2">
        <v>45898</v>
      </c>
      <c r="O2241" t="s">
        <v>76</v>
      </c>
      <c r="P2241" t="s">
        <v>64</v>
      </c>
      <c r="Q2241" t="s">
        <v>28</v>
      </c>
      <c r="R2241" t="s">
        <v>29</v>
      </c>
      <c r="S2241">
        <v>2025</v>
      </c>
      <c r="T2241" t="s">
        <v>2761</v>
      </c>
      <c r="U2241" t="s">
        <v>2762</v>
      </c>
      <c r="V2241" s="4">
        <v>0</v>
      </c>
      <c r="W2241" s="4">
        <v>1</v>
      </c>
    </row>
    <row r="2242" spans="1:23">
      <c r="A2242" t="s">
        <v>2375</v>
      </c>
      <c r="B2242" s="2">
        <v>45835</v>
      </c>
      <c r="C2242" t="s">
        <v>71</v>
      </c>
      <c r="D2242" t="s">
        <v>72</v>
      </c>
      <c r="E2242" t="s">
        <v>31</v>
      </c>
      <c r="F2242" t="s">
        <v>57</v>
      </c>
      <c r="G2242" t="s">
        <v>127</v>
      </c>
      <c r="H2242" t="s">
        <v>128</v>
      </c>
      <c r="I2242">
        <v>5</v>
      </c>
      <c r="J2242" s="3">
        <v>16026.14</v>
      </c>
      <c r="K2242" s="3">
        <v>80130.7</v>
      </c>
      <c r="L2242" t="s">
        <v>25</v>
      </c>
      <c r="M2242" s="2">
        <v>45845</v>
      </c>
      <c r="N2242" s="2">
        <v>45842</v>
      </c>
      <c r="O2242" t="s">
        <v>76</v>
      </c>
      <c r="P2242" t="s">
        <v>35</v>
      </c>
      <c r="Q2242" t="s">
        <v>28</v>
      </c>
      <c r="R2242" t="s">
        <v>29</v>
      </c>
      <c r="S2242">
        <v>2025</v>
      </c>
      <c r="T2242" t="s">
        <v>2743</v>
      </c>
      <c r="U2242" t="s">
        <v>2756</v>
      </c>
      <c r="V2242" s="4">
        <v>0</v>
      </c>
      <c r="W2242" s="4">
        <v>1</v>
      </c>
    </row>
    <row r="2243" spans="1:23">
      <c r="A2243" t="s">
        <v>2376</v>
      </c>
      <c r="B2243" s="2">
        <v>46112</v>
      </c>
      <c r="C2243" t="s">
        <v>37</v>
      </c>
      <c r="D2243" t="s">
        <v>38</v>
      </c>
      <c r="E2243" t="s">
        <v>39</v>
      </c>
      <c r="F2243" t="s">
        <v>40</v>
      </c>
      <c r="G2243" t="s">
        <v>62</v>
      </c>
      <c r="H2243" t="s">
        <v>63</v>
      </c>
      <c r="I2243">
        <v>6</v>
      </c>
      <c r="J2243" s="3">
        <v>19209.2</v>
      </c>
      <c r="K2243" s="3">
        <v>115255.2</v>
      </c>
      <c r="L2243" t="s">
        <v>34</v>
      </c>
      <c r="M2243" s="2">
        <v>46121</v>
      </c>
      <c r="N2243" s="2">
        <v>46121</v>
      </c>
      <c r="O2243" t="s">
        <v>60</v>
      </c>
      <c r="P2243" t="s">
        <v>44</v>
      </c>
      <c r="Q2243" t="s">
        <v>28</v>
      </c>
      <c r="R2243" t="s">
        <v>29</v>
      </c>
      <c r="S2243">
        <v>2026</v>
      </c>
      <c r="T2243" t="s">
        <v>2747</v>
      </c>
      <c r="U2243" t="s">
        <v>2755</v>
      </c>
      <c r="V2243" s="4">
        <v>0</v>
      </c>
      <c r="W2243" s="4">
        <v>1</v>
      </c>
    </row>
    <row r="2244" spans="1:23">
      <c r="A2244" t="s">
        <v>2377</v>
      </c>
      <c r="B2244" s="2">
        <v>45868</v>
      </c>
      <c r="C2244" t="s">
        <v>147</v>
      </c>
      <c r="D2244" t="s">
        <v>148</v>
      </c>
      <c r="E2244" t="s">
        <v>39</v>
      </c>
      <c r="F2244" t="s">
        <v>40</v>
      </c>
      <c r="G2244" t="s">
        <v>41</v>
      </c>
      <c r="H2244" t="s">
        <v>42</v>
      </c>
      <c r="I2244">
        <v>9</v>
      </c>
      <c r="J2244" s="3">
        <v>5250.16</v>
      </c>
      <c r="K2244" s="3">
        <v>47251.44</v>
      </c>
      <c r="L2244" t="s">
        <v>34</v>
      </c>
      <c r="M2244" s="2">
        <v>45878</v>
      </c>
      <c r="N2244" s="2">
        <v>45875</v>
      </c>
      <c r="O2244" t="s">
        <v>43</v>
      </c>
      <c r="P2244" t="s">
        <v>44</v>
      </c>
      <c r="Q2244" t="s">
        <v>28</v>
      </c>
      <c r="R2244" t="s">
        <v>29</v>
      </c>
      <c r="S2244">
        <v>2025</v>
      </c>
      <c r="T2244" t="s">
        <v>2759</v>
      </c>
      <c r="U2244" t="s">
        <v>2760</v>
      </c>
      <c r="V2244" s="4">
        <v>0</v>
      </c>
      <c r="W2244" s="4">
        <v>1</v>
      </c>
    </row>
    <row r="2245" spans="1:23">
      <c r="A2245" t="s">
        <v>2378</v>
      </c>
      <c r="B2245" s="2">
        <v>46143</v>
      </c>
      <c r="C2245" t="s">
        <v>66</v>
      </c>
      <c r="D2245" t="s">
        <v>67</v>
      </c>
      <c r="E2245" t="s">
        <v>21</v>
      </c>
      <c r="F2245" t="s">
        <v>49</v>
      </c>
      <c r="G2245" t="s">
        <v>68</v>
      </c>
      <c r="H2245" t="s">
        <v>69</v>
      </c>
      <c r="I2245">
        <v>3</v>
      </c>
      <c r="J2245" s="3">
        <v>48124.75</v>
      </c>
      <c r="K2245" s="3">
        <v>144374.25</v>
      </c>
      <c r="L2245" t="s">
        <v>52</v>
      </c>
      <c r="M2245" s="2">
        <v>46152</v>
      </c>
      <c r="N2245" s="2">
        <v>46151</v>
      </c>
      <c r="O2245" t="s">
        <v>60</v>
      </c>
      <c r="P2245" t="s">
        <v>27</v>
      </c>
      <c r="Q2245" t="s">
        <v>28</v>
      </c>
      <c r="R2245" t="s">
        <v>29</v>
      </c>
      <c r="S2245">
        <v>2026</v>
      </c>
      <c r="T2245" t="s">
        <v>2766</v>
      </c>
      <c r="U2245" t="s">
        <v>2769</v>
      </c>
      <c r="V2245" s="4">
        <v>0</v>
      </c>
      <c r="W2245" s="4">
        <v>1</v>
      </c>
    </row>
    <row r="2246" spans="1:23">
      <c r="A2246" t="s">
        <v>2379</v>
      </c>
      <c r="B2246" s="2">
        <v>45710</v>
      </c>
      <c r="C2246" t="s">
        <v>147</v>
      </c>
      <c r="D2246" t="s">
        <v>148</v>
      </c>
      <c r="E2246" t="s">
        <v>39</v>
      </c>
      <c r="F2246" t="s">
        <v>40</v>
      </c>
      <c r="G2246" t="s">
        <v>62</v>
      </c>
      <c r="H2246" t="s">
        <v>63</v>
      </c>
      <c r="I2246">
        <v>6</v>
      </c>
      <c r="J2246" s="3">
        <v>18101.11</v>
      </c>
      <c r="K2246" s="3">
        <v>108606.66</v>
      </c>
      <c r="L2246" t="s">
        <v>34</v>
      </c>
      <c r="M2246" s="2">
        <v>45724</v>
      </c>
      <c r="N2246" s="2">
        <v>45722</v>
      </c>
      <c r="O2246" t="s">
        <v>60</v>
      </c>
      <c r="P2246" t="s">
        <v>44</v>
      </c>
      <c r="Q2246" t="s">
        <v>28</v>
      </c>
      <c r="R2246" t="s">
        <v>29</v>
      </c>
      <c r="S2246">
        <v>2025</v>
      </c>
      <c r="T2246" t="s">
        <v>2751</v>
      </c>
      <c r="U2246" t="s">
        <v>2752</v>
      </c>
      <c r="V2246" s="4">
        <v>0</v>
      </c>
      <c r="W2246" s="4">
        <v>1</v>
      </c>
    </row>
    <row r="2247" spans="1:23">
      <c r="A2247" t="s">
        <v>2380</v>
      </c>
      <c r="B2247" s="2">
        <v>46052</v>
      </c>
      <c r="C2247" t="s">
        <v>46</v>
      </c>
      <c r="D2247" t="s">
        <v>47</v>
      </c>
      <c r="E2247" t="s">
        <v>48</v>
      </c>
      <c r="F2247" t="s">
        <v>49</v>
      </c>
      <c r="G2247" t="s">
        <v>68</v>
      </c>
      <c r="H2247" t="s">
        <v>69</v>
      </c>
      <c r="I2247">
        <v>1</v>
      </c>
      <c r="J2247" s="3">
        <v>50442.35</v>
      </c>
      <c r="K2247" s="3">
        <v>50442.35</v>
      </c>
      <c r="L2247" t="s">
        <v>52</v>
      </c>
      <c r="M2247" s="2">
        <v>46061</v>
      </c>
      <c r="N2247" s="2">
        <v>46059</v>
      </c>
      <c r="O2247" t="s">
        <v>43</v>
      </c>
      <c r="P2247" t="s">
        <v>53</v>
      </c>
      <c r="Q2247" t="s">
        <v>28</v>
      </c>
      <c r="R2247" t="s">
        <v>29</v>
      </c>
      <c r="S2247">
        <v>2026</v>
      </c>
      <c r="T2247" t="s">
        <v>2757</v>
      </c>
      <c r="U2247" t="s">
        <v>2758</v>
      </c>
      <c r="V2247" s="4">
        <v>0</v>
      </c>
      <c r="W2247" s="4">
        <v>1</v>
      </c>
    </row>
    <row r="2248" spans="1:23">
      <c r="A2248" t="s">
        <v>2381</v>
      </c>
      <c r="B2248" s="2">
        <v>45917</v>
      </c>
      <c r="C2248" t="s">
        <v>104</v>
      </c>
      <c r="D2248" t="s">
        <v>105</v>
      </c>
      <c r="E2248" t="s">
        <v>73</v>
      </c>
      <c r="F2248" t="s">
        <v>49</v>
      </c>
      <c r="G2248" t="s">
        <v>68</v>
      </c>
      <c r="H2248" t="s">
        <v>69</v>
      </c>
      <c r="I2248">
        <v>3</v>
      </c>
      <c r="J2248" s="3">
        <v>48877</v>
      </c>
      <c r="K2248" s="3">
        <v>146631</v>
      </c>
      <c r="L2248" t="s">
        <v>25</v>
      </c>
      <c r="M2248" s="2">
        <v>45933</v>
      </c>
      <c r="N2248" s="2">
        <v>45930</v>
      </c>
      <c r="O2248" t="s">
        <v>26</v>
      </c>
      <c r="P2248" t="s">
        <v>77</v>
      </c>
      <c r="Q2248" t="s">
        <v>28</v>
      </c>
      <c r="R2248" t="s">
        <v>29</v>
      </c>
      <c r="S2248">
        <v>2025</v>
      </c>
      <c r="T2248" t="s">
        <v>2753</v>
      </c>
      <c r="U2248" t="s">
        <v>2754</v>
      </c>
      <c r="V2248" s="4">
        <v>0</v>
      </c>
      <c r="W2248" s="4">
        <v>1</v>
      </c>
    </row>
    <row r="2249" spans="1:23">
      <c r="A2249" t="s">
        <v>2382</v>
      </c>
      <c r="B2249" s="2">
        <v>45900</v>
      </c>
      <c r="C2249" t="s">
        <v>66</v>
      </c>
      <c r="D2249" t="s">
        <v>67</v>
      </c>
      <c r="E2249" t="s">
        <v>48</v>
      </c>
      <c r="F2249" t="s">
        <v>49</v>
      </c>
      <c r="G2249" t="s">
        <v>113</v>
      </c>
      <c r="H2249" t="s">
        <v>114</v>
      </c>
      <c r="I2249">
        <v>1</v>
      </c>
      <c r="J2249" s="3">
        <v>36984.720000000001</v>
      </c>
      <c r="K2249" s="3">
        <v>36984.720000000001</v>
      </c>
      <c r="L2249" t="s">
        <v>25</v>
      </c>
      <c r="M2249" s="2">
        <v>45910</v>
      </c>
      <c r="N2249" s="2">
        <v>45909</v>
      </c>
      <c r="O2249" t="s">
        <v>76</v>
      </c>
      <c r="P2249" t="s">
        <v>53</v>
      </c>
      <c r="Q2249" t="s">
        <v>28</v>
      </c>
      <c r="R2249" t="s">
        <v>29</v>
      </c>
      <c r="S2249">
        <v>2025</v>
      </c>
      <c r="T2249" t="s">
        <v>2761</v>
      </c>
      <c r="U2249" t="s">
        <v>2762</v>
      </c>
      <c r="V2249" s="4">
        <v>0</v>
      </c>
      <c r="W2249" s="4">
        <v>1</v>
      </c>
    </row>
    <row r="2250" spans="1:23">
      <c r="A2250" t="s">
        <v>2383</v>
      </c>
      <c r="B2250" s="2">
        <v>45851</v>
      </c>
      <c r="C2250" t="s">
        <v>107</v>
      </c>
      <c r="D2250" t="s">
        <v>108</v>
      </c>
      <c r="E2250" t="s">
        <v>31</v>
      </c>
      <c r="F2250" t="s">
        <v>91</v>
      </c>
      <c r="G2250" t="s">
        <v>109</v>
      </c>
      <c r="H2250" t="s">
        <v>110</v>
      </c>
      <c r="I2250">
        <v>3</v>
      </c>
      <c r="J2250" s="3">
        <v>13574.89</v>
      </c>
      <c r="K2250" s="3">
        <v>40724.67</v>
      </c>
      <c r="L2250" t="s">
        <v>34</v>
      </c>
      <c r="M2250" s="2">
        <v>45856</v>
      </c>
      <c r="N2250" s="2">
        <v>45854</v>
      </c>
      <c r="O2250" t="s">
        <v>43</v>
      </c>
      <c r="P2250" t="s">
        <v>35</v>
      </c>
      <c r="Q2250" t="s">
        <v>28</v>
      </c>
      <c r="R2250" t="s">
        <v>29</v>
      </c>
      <c r="S2250">
        <v>2025</v>
      </c>
      <c r="T2250" t="s">
        <v>2759</v>
      </c>
      <c r="U2250" t="s">
        <v>2760</v>
      </c>
      <c r="V2250" s="4">
        <v>0</v>
      </c>
      <c r="W2250" s="4">
        <v>1</v>
      </c>
    </row>
    <row r="2251" spans="1:23">
      <c r="A2251" t="s">
        <v>2384</v>
      </c>
      <c r="B2251" s="2">
        <v>45884</v>
      </c>
      <c r="C2251" t="s">
        <v>134</v>
      </c>
      <c r="D2251" t="s">
        <v>135</v>
      </c>
      <c r="E2251" t="s">
        <v>39</v>
      </c>
      <c r="F2251" t="s">
        <v>40</v>
      </c>
      <c r="G2251" t="s">
        <v>41</v>
      </c>
      <c r="H2251" t="s">
        <v>42</v>
      </c>
      <c r="I2251">
        <v>7</v>
      </c>
      <c r="J2251" s="3">
        <v>5534.75</v>
      </c>
      <c r="K2251" s="3">
        <v>38743.25</v>
      </c>
      <c r="L2251" t="s">
        <v>34</v>
      </c>
      <c r="M2251" s="2">
        <v>45892</v>
      </c>
      <c r="N2251" s="2">
        <v>45890</v>
      </c>
      <c r="O2251" t="s">
        <v>76</v>
      </c>
      <c r="P2251" t="s">
        <v>64</v>
      </c>
      <c r="Q2251" t="s">
        <v>28</v>
      </c>
      <c r="R2251" t="s">
        <v>29</v>
      </c>
      <c r="S2251">
        <v>2025</v>
      </c>
      <c r="T2251" t="s">
        <v>2761</v>
      </c>
      <c r="U2251" t="s">
        <v>2762</v>
      </c>
      <c r="V2251" s="4">
        <v>0</v>
      </c>
      <c r="W2251" s="4">
        <v>1</v>
      </c>
    </row>
    <row r="2252" spans="1:23">
      <c r="A2252" t="s">
        <v>2385</v>
      </c>
      <c r="B2252" s="2">
        <v>45802</v>
      </c>
      <c r="C2252" t="s">
        <v>19</v>
      </c>
      <c r="D2252" t="s">
        <v>20</v>
      </c>
      <c r="E2252" t="s">
        <v>31</v>
      </c>
      <c r="F2252" t="s">
        <v>22</v>
      </c>
      <c r="G2252" t="s">
        <v>160</v>
      </c>
      <c r="H2252" t="s">
        <v>161</v>
      </c>
      <c r="I2252">
        <v>4</v>
      </c>
      <c r="J2252" s="3">
        <v>2926.19</v>
      </c>
      <c r="K2252" s="3">
        <v>11704.76</v>
      </c>
      <c r="L2252" t="s">
        <v>25</v>
      </c>
      <c r="M2252" s="2">
        <v>45811</v>
      </c>
      <c r="N2252" s="2">
        <v>45808</v>
      </c>
      <c r="O2252" t="s">
        <v>60</v>
      </c>
      <c r="P2252" t="s">
        <v>35</v>
      </c>
      <c r="Q2252" t="s">
        <v>28</v>
      </c>
      <c r="R2252" t="s">
        <v>29</v>
      </c>
      <c r="S2252">
        <v>2025</v>
      </c>
      <c r="T2252" t="s">
        <v>2766</v>
      </c>
      <c r="U2252" t="s">
        <v>2767</v>
      </c>
      <c r="V2252" s="4">
        <v>0</v>
      </c>
      <c r="W2252" s="4">
        <v>1</v>
      </c>
    </row>
    <row r="2253" spans="1:23">
      <c r="A2253" t="s">
        <v>2386</v>
      </c>
      <c r="B2253" s="2">
        <v>45696</v>
      </c>
      <c r="C2253" t="s">
        <v>142</v>
      </c>
      <c r="D2253" t="s">
        <v>143</v>
      </c>
      <c r="E2253" t="s">
        <v>112</v>
      </c>
      <c r="F2253" t="s">
        <v>22</v>
      </c>
      <c r="G2253" t="s">
        <v>160</v>
      </c>
      <c r="H2253" t="s">
        <v>161</v>
      </c>
      <c r="I2253">
        <v>10</v>
      </c>
      <c r="J2253" s="3">
        <v>3440.98</v>
      </c>
      <c r="K2253" s="3">
        <v>34409.800000000003</v>
      </c>
      <c r="L2253" t="s">
        <v>34</v>
      </c>
      <c r="M2253" s="2">
        <v>45708</v>
      </c>
      <c r="N2253" s="2">
        <v>45706</v>
      </c>
      <c r="O2253" t="s">
        <v>43</v>
      </c>
      <c r="P2253" t="s">
        <v>115</v>
      </c>
      <c r="Q2253" t="s">
        <v>28</v>
      </c>
      <c r="R2253" t="s">
        <v>29</v>
      </c>
      <c r="S2253">
        <v>2025</v>
      </c>
      <c r="T2253" t="s">
        <v>2751</v>
      </c>
      <c r="U2253" t="s">
        <v>2752</v>
      </c>
      <c r="V2253" s="4">
        <v>0</v>
      </c>
      <c r="W2253" s="4">
        <v>1</v>
      </c>
    </row>
    <row r="2254" spans="1:23">
      <c r="A2254" t="s">
        <v>2387</v>
      </c>
      <c r="B2254" s="2">
        <v>45729</v>
      </c>
      <c r="C2254" t="s">
        <v>19</v>
      </c>
      <c r="D2254" t="s">
        <v>20</v>
      </c>
      <c r="E2254" t="s">
        <v>39</v>
      </c>
      <c r="F2254" t="s">
        <v>22</v>
      </c>
      <c r="G2254" t="s">
        <v>32</v>
      </c>
      <c r="H2254" t="s">
        <v>33</v>
      </c>
      <c r="I2254">
        <v>13</v>
      </c>
      <c r="J2254" s="3">
        <v>6993.17</v>
      </c>
      <c r="K2254" s="3">
        <v>90911.21</v>
      </c>
      <c r="L2254" t="s">
        <v>34</v>
      </c>
      <c r="M2254" s="2">
        <v>45742</v>
      </c>
      <c r="N2254" s="2">
        <v>45757</v>
      </c>
      <c r="O2254" t="s">
        <v>43</v>
      </c>
      <c r="P2254" t="s">
        <v>44</v>
      </c>
      <c r="Q2254" t="s">
        <v>28</v>
      </c>
      <c r="R2254" t="s">
        <v>129</v>
      </c>
      <c r="S2254">
        <v>2025</v>
      </c>
      <c r="T2254" t="s">
        <v>2747</v>
      </c>
      <c r="U2254" t="s">
        <v>2748</v>
      </c>
      <c r="V2254" s="4">
        <v>15</v>
      </c>
      <c r="W2254" s="4">
        <v>0</v>
      </c>
    </row>
    <row r="2255" spans="1:23">
      <c r="A2255" t="s">
        <v>2388</v>
      </c>
      <c r="B2255" s="2">
        <v>45926</v>
      </c>
      <c r="C2255" t="s">
        <v>71</v>
      </c>
      <c r="D2255" t="s">
        <v>72</v>
      </c>
      <c r="E2255" t="s">
        <v>73</v>
      </c>
      <c r="F2255" t="s">
        <v>57</v>
      </c>
      <c r="G2255" t="s">
        <v>120</v>
      </c>
      <c r="H2255" t="s">
        <v>121</v>
      </c>
      <c r="I2255">
        <v>4</v>
      </c>
      <c r="J2255" s="3">
        <v>20611.23</v>
      </c>
      <c r="K2255" s="3">
        <v>82444.92</v>
      </c>
      <c r="L2255" t="s">
        <v>25</v>
      </c>
      <c r="M2255" s="2">
        <v>45944</v>
      </c>
      <c r="N2255" s="2">
        <v>45941</v>
      </c>
      <c r="O2255" t="s">
        <v>76</v>
      </c>
      <c r="P2255" t="s">
        <v>77</v>
      </c>
      <c r="Q2255" t="s">
        <v>28</v>
      </c>
      <c r="R2255" t="s">
        <v>29</v>
      </c>
      <c r="S2255">
        <v>2025</v>
      </c>
      <c r="T2255" t="s">
        <v>2753</v>
      </c>
      <c r="U2255" t="s">
        <v>2754</v>
      </c>
      <c r="V2255" s="4">
        <v>0</v>
      </c>
      <c r="W2255" s="4">
        <v>1</v>
      </c>
    </row>
    <row r="2256" spans="1:23">
      <c r="A2256" t="s">
        <v>2389</v>
      </c>
      <c r="B2256" s="2">
        <v>45987</v>
      </c>
      <c r="C2256" t="s">
        <v>46</v>
      </c>
      <c r="D2256" t="s">
        <v>47</v>
      </c>
      <c r="E2256" t="s">
        <v>48</v>
      </c>
      <c r="F2256" t="s">
        <v>49</v>
      </c>
      <c r="G2256" t="s">
        <v>68</v>
      </c>
      <c r="H2256" t="s">
        <v>69</v>
      </c>
      <c r="I2256">
        <v>1</v>
      </c>
      <c r="J2256" s="3">
        <v>49808.14</v>
      </c>
      <c r="K2256" s="3">
        <v>49808.14</v>
      </c>
      <c r="L2256" t="s">
        <v>34</v>
      </c>
      <c r="M2256" s="2">
        <v>45992</v>
      </c>
      <c r="N2256" s="2">
        <v>45990</v>
      </c>
      <c r="O2256" t="s">
        <v>26</v>
      </c>
      <c r="P2256" t="s">
        <v>53</v>
      </c>
      <c r="Q2256" t="s">
        <v>28</v>
      </c>
      <c r="R2256" t="s">
        <v>29</v>
      </c>
      <c r="S2256">
        <v>2025</v>
      </c>
      <c r="T2256" t="s">
        <v>2763</v>
      </c>
      <c r="U2256" t="s">
        <v>2764</v>
      </c>
      <c r="V2256" s="4">
        <v>0</v>
      </c>
      <c r="W2256" s="4">
        <v>1</v>
      </c>
    </row>
    <row r="2257" spans="1:23">
      <c r="A2257" t="s">
        <v>2390</v>
      </c>
      <c r="B2257" s="2">
        <v>45690</v>
      </c>
      <c r="C2257" t="s">
        <v>131</v>
      </c>
      <c r="D2257" t="s">
        <v>132</v>
      </c>
      <c r="E2257" t="s">
        <v>73</v>
      </c>
      <c r="F2257" t="s">
        <v>57</v>
      </c>
      <c r="G2257" t="s">
        <v>74</v>
      </c>
      <c r="H2257" t="s">
        <v>75</v>
      </c>
      <c r="I2257">
        <v>7</v>
      </c>
      <c r="J2257" s="3">
        <v>9099.18</v>
      </c>
      <c r="K2257" s="3">
        <v>63694.26</v>
      </c>
      <c r="L2257" t="s">
        <v>25</v>
      </c>
      <c r="M2257" s="2">
        <v>45707</v>
      </c>
      <c r="N2257" s="2">
        <v>45704</v>
      </c>
      <c r="O2257" t="s">
        <v>43</v>
      </c>
      <c r="P2257" t="s">
        <v>77</v>
      </c>
      <c r="Q2257" t="s">
        <v>28</v>
      </c>
      <c r="R2257" t="s">
        <v>29</v>
      </c>
      <c r="S2257">
        <v>2025</v>
      </c>
      <c r="T2257" t="s">
        <v>2751</v>
      </c>
      <c r="U2257" t="s">
        <v>2752</v>
      </c>
      <c r="V2257" s="4">
        <v>0</v>
      </c>
      <c r="W2257" s="4">
        <v>1</v>
      </c>
    </row>
    <row r="2258" spans="1:23">
      <c r="A2258" t="s">
        <v>2391</v>
      </c>
      <c r="B2258" s="2">
        <v>45844</v>
      </c>
      <c r="C2258" t="s">
        <v>71</v>
      </c>
      <c r="D2258" t="s">
        <v>72</v>
      </c>
      <c r="E2258" t="s">
        <v>48</v>
      </c>
      <c r="F2258" t="s">
        <v>57</v>
      </c>
      <c r="G2258" t="s">
        <v>86</v>
      </c>
      <c r="H2258" t="s">
        <v>87</v>
      </c>
      <c r="I2258">
        <v>8</v>
      </c>
      <c r="J2258" s="3">
        <v>9901.16</v>
      </c>
      <c r="K2258" s="3">
        <v>79209.279999999999</v>
      </c>
      <c r="L2258" t="s">
        <v>52</v>
      </c>
      <c r="M2258" s="2">
        <v>45856</v>
      </c>
      <c r="N2258" s="2">
        <v>45854</v>
      </c>
      <c r="O2258" t="s">
        <v>43</v>
      </c>
      <c r="P2258" t="s">
        <v>53</v>
      </c>
      <c r="Q2258" t="s">
        <v>28</v>
      </c>
      <c r="R2258" t="s">
        <v>29</v>
      </c>
      <c r="S2258">
        <v>2025</v>
      </c>
      <c r="T2258" t="s">
        <v>2759</v>
      </c>
      <c r="U2258" t="s">
        <v>2760</v>
      </c>
      <c r="V2258" s="4">
        <v>0</v>
      </c>
      <c r="W2258" s="4">
        <v>1</v>
      </c>
    </row>
    <row r="2259" spans="1:23">
      <c r="A2259" t="s">
        <v>2392</v>
      </c>
      <c r="B2259" s="2">
        <v>45912</v>
      </c>
      <c r="C2259" t="s">
        <v>134</v>
      </c>
      <c r="D2259" t="s">
        <v>135</v>
      </c>
      <c r="E2259" t="s">
        <v>112</v>
      </c>
      <c r="F2259" t="s">
        <v>40</v>
      </c>
      <c r="G2259" t="s">
        <v>41</v>
      </c>
      <c r="H2259" t="s">
        <v>42</v>
      </c>
      <c r="I2259">
        <v>13</v>
      </c>
      <c r="J2259" s="3">
        <v>5521</v>
      </c>
      <c r="K2259" s="3">
        <v>71773</v>
      </c>
      <c r="L2259" t="s">
        <v>34</v>
      </c>
      <c r="M2259" s="2">
        <v>45917</v>
      </c>
      <c r="N2259" s="2">
        <v>45917</v>
      </c>
      <c r="O2259" t="s">
        <v>60</v>
      </c>
      <c r="P2259" t="s">
        <v>115</v>
      </c>
      <c r="Q2259" t="s">
        <v>28</v>
      </c>
      <c r="R2259" t="s">
        <v>29</v>
      </c>
      <c r="S2259">
        <v>2025</v>
      </c>
      <c r="T2259" t="s">
        <v>2753</v>
      </c>
      <c r="U2259" t="s">
        <v>2754</v>
      </c>
      <c r="V2259" s="4">
        <v>0</v>
      </c>
      <c r="W2259" s="4">
        <v>1</v>
      </c>
    </row>
    <row r="2260" spans="1:23">
      <c r="A2260" t="s">
        <v>2393</v>
      </c>
      <c r="B2260" s="2">
        <v>46095</v>
      </c>
      <c r="C2260" t="s">
        <v>117</v>
      </c>
      <c r="D2260" t="s">
        <v>118</v>
      </c>
      <c r="E2260" t="s">
        <v>31</v>
      </c>
      <c r="F2260" t="s">
        <v>57</v>
      </c>
      <c r="G2260" t="s">
        <v>127</v>
      </c>
      <c r="H2260" t="s">
        <v>128</v>
      </c>
      <c r="I2260">
        <v>5</v>
      </c>
      <c r="J2260" s="3">
        <v>16602.39</v>
      </c>
      <c r="K2260" s="3">
        <v>83011.95</v>
      </c>
      <c r="L2260" t="s">
        <v>25</v>
      </c>
      <c r="M2260" s="2">
        <v>46107</v>
      </c>
      <c r="N2260" s="2">
        <v>46105</v>
      </c>
      <c r="O2260" t="s">
        <v>26</v>
      </c>
      <c r="P2260" t="s">
        <v>94</v>
      </c>
      <c r="Q2260" t="s">
        <v>28</v>
      </c>
      <c r="R2260" t="s">
        <v>29</v>
      </c>
      <c r="S2260">
        <v>2026</v>
      </c>
      <c r="T2260" t="s">
        <v>2747</v>
      </c>
      <c r="U2260" t="s">
        <v>2755</v>
      </c>
      <c r="V2260" s="4">
        <v>0</v>
      </c>
      <c r="W2260" s="4">
        <v>1</v>
      </c>
    </row>
    <row r="2261" spans="1:23">
      <c r="A2261" t="s">
        <v>2394</v>
      </c>
      <c r="B2261" s="2">
        <v>45891</v>
      </c>
      <c r="C2261" t="s">
        <v>104</v>
      </c>
      <c r="D2261" t="s">
        <v>105</v>
      </c>
      <c r="E2261" t="s">
        <v>48</v>
      </c>
      <c r="F2261" t="s">
        <v>49</v>
      </c>
      <c r="G2261" t="s">
        <v>68</v>
      </c>
      <c r="H2261" t="s">
        <v>69</v>
      </c>
      <c r="I2261">
        <v>1</v>
      </c>
      <c r="J2261" s="3">
        <v>50096.29</v>
      </c>
      <c r="K2261" s="3">
        <v>50096.29</v>
      </c>
      <c r="L2261" t="s">
        <v>52</v>
      </c>
      <c r="M2261" s="2">
        <v>45906</v>
      </c>
      <c r="N2261" s="2">
        <v>45906</v>
      </c>
      <c r="O2261" t="s">
        <v>76</v>
      </c>
      <c r="P2261" t="s">
        <v>53</v>
      </c>
      <c r="Q2261" t="s">
        <v>28</v>
      </c>
      <c r="R2261" t="s">
        <v>29</v>
      </c>
      <c r="S2261">
        <v>2025</v>
      </c>
      <c r="T2261" t="s">
        <v>2761</v>
      </c>
      <c r="U2261" t="s">
        <v>2762</v>
      </c>
      <c r="V2261" s="4">
        <v>0</v>
      </c>
      <c r="W2261" s="4">
        <v>1</v>
      </c>
    </row>
    <row r="2262" spans="1:23">
      <c r="A2262" t="s">
        <v>2395</v>
      </c>
      <c r="B2262" s="2">
        <v>46148</v>
      </c>
      <c r="C2262" t="s">
        <v>142</v>
      </c>
      <c r="D2262" t="s">
        <v>143</v>
      </c>
      <c r="E2262" t="s">
        <v>39</v>
      </c>
      <c r="F2262" t="s">
        <v>22</v>
      </c>
      <c r="G2262" t="s">
        <v>23</v>
      </c>
      <c r="H2262" t="s">
        <v>24</v>
      </c>
      <c r="I2262">
        <v>60</v>
      </c>
      <c r="J2262" s="3">
        <v>245.16</v>
      </c>
      <c r="K2262" s="3">
        <v>14709.6</v>
      </c>
      <c r="L2262" t="s">
        <v>34</v>
      </c>
      <c r="M2262" s="2">
        <v>46166</v>
      </c>
      <c r="N2262" s="2">
        <v>46163</v>
      </c>
      <c r="O2262" t="s">
        <v>76</v>
      </c>
      <c r="P2262" t="s">
        <v>64</v>
      </c>
      <c r="Q2262" t="s">
        <v>28</v>
      </c>
      <c r="R2262" t="s">
        <v>29</v>
      </c>
      <c r="S2262">
        <v>2026</v>
      </c>
      <c r="T2262" t="s">
        <v>2766</v>
      </c>
      <c r="U2262" t="s">
        <v>2769</v>
      </c>
      <c r="V2262" s="4">
        <v>0</v>
      </c>
      <c r="W2262" s="4">
        <v>1</v>
      </c>
    </row>
    <row r="2263" spans="1:23">
      <c r="A2263" t="s">
        <v>2396</v>
      </c>
      <c r="B2263" s="2">
        <v>45742</v>
      </c>
      <c r="C2263" t="s">
        <v>66</v>
      </c>
      <c r="D2263" t="s">
        <v>67</v>
      </c>
      <c r="E2263" t="s">
        <v>48</v>
      </c>
      <c r="F2263" t="s">
        <v>49</v>
      </c>
      <c r="G2263" t="s">
        <v>165</v>
      </c>
      <c r="H2263" t="s">
        <v>166</v>
      </c>
      <c r="I2263">
        <v>1</v>
      </c>
      <c r="J2263" s="3">
        <v>45808.33</v>
      </c>
      <c r="K2263" s="3">
        <v>45808.33</v>
      </c>
      <c r="L2263" t="s">
        <v>52</v>
      </c>
      <c r="M2263" s="2">
        <v>45755</v>
      </c>
      <c r="N2263" s="2">
        <v>45753</v>
      </c>
      <c r="O2263" t="s">
        <v>26</v>
      </c>
      <c r="P2263" t="s">
        <v>53</v>
      </c>
      <c r="Q2263" t="s">
        <v>28</v>
      </c>
      <c r="R2263" t="s">
        <v>29</v>
      </c>
      <c r="S2263">
        <v>2025</v>
      </c>
      <c r="T2263" t="s">
        <v>2747</v>
      </c>
      <c r="U2263" t="s">
        <v>2748</v>
      </c>
      <c r="V2263" s="4">
        <v>0</v>
      </c>
      <c r="W2263" s="4">
        <v>1</v>
      </c>
    </row>
    <row r="2264" spans="1:23">
      <c r="A2264" t="s">
        <v>2397</v>
      </c>
      <c r="B2264" s="2">
        <v>45692</v>
      </c>
      <c r="C2264" t="s">
        <v>147</v>
      </c>
      <c r="D2264" t="s">
        <v>148</v>
      </c>
      <c r="E2264" t="s">
        <v>112</v>
      </c>
      <c r="F2264" t="s">
        <v>40</v>
      </c>
      <c r="G2264" t="s">
        <v>41</v>
      </c>
      <c r="H2264" t="s">
        <v>42</v>
      </c>
      <c r="I2264">
        <v>3</v>
      </c>
      <c r="J2264" s="3">
        <v>5361.48</v>
      </c>
      <c r="K2264" s="3">
        <v>16084.44</v>
      </c>
      <c r="L2264" t="s">
        <v>25</v>
      </c>
      <c r="M2264" s="2">
        <v>45703</v>
      </c>
      <c r="N2264" s="2">
        <v>45703</v>
      </c>
      <c r="O2264" t="s">
        <v>76</v>
      </c>
      <c r="P2264" t="s">
        <v>115</v>
      </c>
      <c r="Q2264" t="s">
        <v>28</v>
      </c>
      <c r="R2264" t="s">
        <v>29</v>
      </c>
      <c r="S2264">
        <v>2025</v>
      </c>
      <c r="T2264" t="s">
        <v>2751</v>
      </c>
      <c r="U2264" t="s">
        <v>2752</v>
      </c>
      <c r="V2264" s="4">
        <v>0</v>
      </c>
      <c r="W2264" s="4">
        <v>1</v>
      </c>
    </row>
    <row r="2265" spans="1:23">
      <c r="A2265" t="s">
        <v>2398</v>
      </c>
      <c r="B2265" s="2">
        <v>46069</v>
      </c>
      <c r="C2265" t="s">
        <v>80</v>
      </c>
      <c r="D2265" t="s">
        <v>81</v>
      </c>
      <c r="E2265" t="s">
        <v>39</v>
      </c>
      <c r="F2265" t="s">
        <v>82</v>
      </c>
      <c r="G2265" t="s">
        <v>83</v>
      </c>
      <c r="H2265" t="s">
        <v>84</v>
      </c>
      <c r="I2265">
        <v>30</v>
      </c>
      <c r="J2265" s="3">
        <v>678.69</v>
      </c>
      <c r="K2265" s="3">
        <v>20360.7</v>
      </c>
      <c r="L2265" t="s">
        <v>52</v>
      </c>
      <c r="M2265" s="2">
        <v>46079</v>
      </c>
      <c r="N2265" s="2">
        <v>46079</v>
      </c>
      <c r="O2265" t="s">
        <v>43</v>
      </c>
      <c r="P2265" t="s">
        <v>44</v>
      </c>
      <c r="Q2265" t="s">
        <v>28</v>
      </c>
      <c r="R2265" t="s">
        <v>29</v>
      </c>
      <c r="S2265">
        <v>2026</v>
      </c>
      <c r="T2265" t="s">
        <v>2751</v>
      </c>
      <c r="U2265" t="s">
        <v>2765</v>
      </c>
      <c r="V2265" s="4">
        <v>0</v>
      </c>
      <c r="W2265" s="4">
        <v>1</v>
      </c>
    </row>
    <row r="2266" spans="1:23">
      <c r="A2266" t="s">
        <v>2399</v>
      </c>
      <c r="B2266" s="2">
        <v>45939</v>
      </c>
      <c r="C2266" t="s">
        <v>71</v>
      </c>
      <c r="D2266" t="s">
        <v>72</v>
      </c>
      <c r="E2266" t="s">
        <v>48</v>
      </c>
      <c r="F2266" t="s">
        <v>57</v>
      </c>
      <c r="G2266" t="s">
        <v>120</v>
      </c>
      <c r="H2266" t="s">
        <v>121</v>
      </c>
      <c r="I2266">
        <v>1</v>
      </c>
      <c r="J2266" s="3">
        <v>21359.42</v>
      </c>
      <c r="K2266" s="3">
        <v>21359.42</v>
      </c>
      <c r="L2266" t="s">
        <v>34</v>
      </c>
      <c r="M2266" s="2">
        <v>45945</v>
      </c>
      <c r="N2266" s="2">
        <v>45957</v>
      </c>
      <c r="O2266" t="s">
        <v>26</v>
      </c>
      <c r="P2266" t="s">
        <v>53</v>
      </c>
      <c r="Q2266" t="s">
        <v>28</v>
      </c>
      <c r="R2266" t="s">
        <v>129</v>
      </c>
      <c r="S2266">
        <v>2025</v>
      </c>
      <c r="T2266" t="s">
        <v>2749</v>
      </c>
      <c r="U2266" t="s">
        <v>2750</v>
      </c>
      <c r="V2266" s="4">
        <v>12</v>
      </c>
      <c r="W2266" s="4">
        <v>0</v>
      </c>
    </row>
    <row r="2267" spans="1:23">
      <c r="A2267" t="s">
        <v>2400</v>
      </c>
      <c r="B2267" s="2">
        <v>45992</v>
      </c>
      <c r="C2267" t="s">
        <v>19</v>
      </c>
      <c r="D2267" t="s">
        <v>20</v>
      </c>
      <c r="E2267" t="s">
        <v>21</v>
      </c>
      <c r="F2267" t="s">
        <v>22</v>
      </c>
      <c r="G2267" t="s">
        <v>23</v>
      </c>
      <c r="H2267" t="s">
        <v>24</v>
      </c>
      <c r="I2267">
        <v>49</v>
      </c>
      <c r="J2267" s="3">
        <v>229.64</v>
      </c>
      <c r="K2267" s="3">
        <v>11252.36</v>
      </c>
      <c r="L2267" t="s">
        <v>52</v>
      </c>
      <c r="M2267" s="2">
        <v>45997</v>
      </c>
      <c r="N2267" s="2">
        <v>45994</v>
      </c>
      <c r="O2267" t="s">
        <v>26</v>
      </c>
      <c r="P2267" t="s">
        <v>27</v>
      </c>
      <c r="Q2267" t="s">
        <v>28</v>
      </c>
      <c r="R2267" t="s">
        <v>29</v>
      </c>
      <c r="S2267">
        <v>2025</v>
      </c>
      <c r="T2267" t="s">
        <v>2745</v>
      </c>
      <c r="U2267" t="s">
        <v>2746</v>
      </c>
      <c r="V2267" s="4">
        <v>0</v>
      </c>
      <c r="W2267" s="4">
        <v>1</v>
      </c>
    </row>
    <row r="2268" spans="1:23">
      <c r="A2268" t="s">
        <v>2401</v>
      </c>
      <c r="B2268" s="2">
        <v>45966</v>
      </c>
      <c r="C2268" t="s">
        <v>80</v>
      </c>
      <c r="D2268" t="s">
        <v>81</v>
      </c>
      <c r="E2268" t="s">
        <v>39</v>
      </c>
      <c r="F2268" t="s">
        <v>82</v>
      </c>
      <c r="G2268" t="s">
        <v>83</v>
      </c>
      <c r="H2268" t="s">
        <v>84</v>
      </c>
      <c r="I2268">
        <v>8</v>
      </c>
      <c r="J2268" s="3">
        <v>712.66</v>
      </c>
      <c r="K2268" s="3">
        <v>5701.28</v>
      </c>
      <c r="L2268" t="s">
        <v>34</v>
      </c>
      <c r="M2268" s="2">
        <v>45976</v>
      </c>
      <c r="N2268" s="2">
        <v>45974</v>
      </c>
      <c r="O2268" t="s">
        <v>26</v>
      </c>
      <c r="P2268" t="s">
        <v>44</v>
      </c>
      <c r="Q2268" t="s">
        <v>28</v>
      </c>
      <c r="R2268" t="s">
        <v>29</v>
      </c>
      <c r="S2268">
        <v>2025</v>
      </c>
      <c r="T2268" t="s">
        <v>2763</v>
      </c>
      <c r="U2268" t="s">
        <v>2764</v>
      </c>
      <c r="V2268" s="4">
        <v>0</v>
      </c>
      <c r="W2268" s="4">
        <v>1</v>
      </c>
    </row>
    <row r="2269" spans="1:23">
      <c r="A2269" t="s">
        <v>2402</v>
      </c>
      <c r="B2269" s="2">
        <v>46112</v>
      </c>
      <c r="C2269" t="s">
        <v>71</v>
      </c>
      <c r="D2269" t="s">
        <v>72</v>
      </c>
      <c r="E2269" t="s">
        <v>31</v>
      </c>
      <c r="F2269" t="s">
        <v>57</v>
      </c>
      <c r="G2269" t="s">
        <v>86</v>
      </c>
      <c r="H2269" t="s">
        <v>87</v>
      </c>
      <c r="I2269">
        <v>3</v>
      </c>
      <c r="J2269" s="3">
        <v>10266.290000000001</v>
      </c>
      <c r="K2269" s="3">
        <v>30798.87</v>
      </c>
      <c r="L2269" t="s">
        <v>34</v>
      </c>
      <c r="M2269" s="2">
        <v>46121</v>
      </c>
      <c r="N2269" s="2">
        <v>46119</v>
      </c>
      <c r="O2269" t="s">
        <v>76</v>
      </c>
      <c r="P2269" t="s">
        <v>94</v>
      </c>
      <c r="Q2269" t="s">
        <v>28</v>
      </c>
      <c r="R2269" t="s">
        <v>29</v>
      </c>
      <c r="S2269">
        <v>2026</v>
      </c>
      <c r="T2269" t="s">
        <v>2747</v>
      </c>
      <c r="U2269" t="s">
        <v>2755</v>
      </c>
      <c r="V2269" s="4">
        <v>0</v>
      </c>
      <c r="W2269" s="4">
        <v>1</v>
      </c>
    </row>
    <row r="2270" spans="1:23">
      <c r="A2270" t="s">
        <v>2403</v>
      </c>
      <c r="B2270" s="2">
        <v>45818</v>
      </c>
      <c r="C2270" t="s">
        <v>37</v>
      </c>
      <c r="D2270" t="s">
        <v>38</v>
      </c>
      <c r="E2270" t="s">
        <v>112</v>
      </c>
      <c r="F2270" t="s">
        <v>22</v>
      </c>
      <c r="G2270" t="s">
        <v>32</v>
      </c>
      <c r="H2270" t="s">
        <v>33</v>
      </c>
      <c r="I2270">
        <v>5</v>
      </c>
      <c r="J2270" s="3">
        <v>8840.51</v>
      </c>
      <c r="K2270" s="3">
        <v>44202.55</v>
      </c>
      <c r="L2270" t="s">
        <v>52</v>
      </c>
      <c r="M2270" s="2">
        <v>45836</v>
      </c>
      <c r="N2270" s="2">
        <v>45834</v>
      </c>
      <c r="O2270" t="s">
        <v>43</v>
      </c>
      <c r="P2270" t="s">
        <v>115</v>
      </c>
      <c r="Q2270" t="s">
        <v>28</v>
      </c>
      <c r="R2270" t="s">
        <v>29</v>
      </c>
      <c r="S2270">
        <v>2025</v>
      </c>
      <c r="T2270" t="s">
        <v>2743</v>
      </c>
      <c r="U2270" t="s">
        <v>2756</v>
      </c>
      <c r="V2270" s="4">
        <v>0</v>
      </c>
      <c r="W2270" s="4">
        <v>1</v>
      </c>
    </row>
    <row r="2271" spans="1:23">
      <c r="A2271" t="s">
        <v>2404</v>
      </c>
      <c r="B2271" s="2">
        <v>46086</v>
      </c>
      <c r="C2271" t="s">
        <v>131</v>
      </c>
      <c r="D2271" t="s">
        <v>132</v>
      </c>
      <c r="E2271" t="s">
        <v>48</v>
      </c>
      <c r="F2271" t="s">
        <v>57</v>
      </c>
      <c r="G2271" t="s">
        <v>58</v>
      </c>
      <c r="H2271" t="s">
        <v>59</v>
      </c>
      <c r="I2271">
        <v>4</v>
      </c>
      <c r="J2271" s="3">
        <v>60461.07</v>
      </c>
      <c r="K2271" s="3">
        <v>241844.28</v>
      </c>
      <c r="L2271" t="s">
        <v>34</v>
      </c>
      <c r="M2271" s="2">
        <v>46091</v>
      </c>
      <c r="N2271" s="2">
        <v>46091</v>
      </c>
      <c r="O2271" t="s">
        <v>76</v>
      </c>
      <c r="P2271" t="s">
        <v>53</v>
      </c>
      <c r="Q2271" t="s">
        <v>28</v>
      </c>
      <c r="R2271" t="s">
        <v>29</v>
      </c>
      <c r="S2271">
        <v>2026</v>
      </c>
      <c r="T2271" t="s">
        <v>2747</v>
      </c>
      <c r="U2271" t="s">
        <v>2755</v>
      </c>
      <c r="V2271" s="4">
        <v>0</v>
      </c>
      <c r="W2271" s="4">
        <v>1</v>
      </c>
    </row>
    <row r="2272" spans="1:23">
      <c r="A2272" t="s">
        <v>2405</v>
      </c>
      <c r="B2272" s="2">
        <v>46122</v>
      </c>
      <c r="C2272" t="s">
        <v>66</v>
      </c>
      <c r="D2272" t="s">
        <v>67</v>
      </c>
      <c r="E2272" t="s">
        <v>48</v>
      </c>
      <c r="F2272" t="s">
        <v>49</v>
      </c>
      <c r="G2272" t="s">
        <v>113</v>
      </c>
      <c r="H2272" t="s">
        <v>114</v>
      </c>
      <c r="I2272">
        <v>3</v>
      </c>
      <c r="J2272" s="3">
        <v>37914.15</v>
      </c>
      <c r="K2272" s="3">
        <v>113742.45</v>
      </c>
      <c r="L2272" t="s">
        <v>52</v>
      </c>
      <c r="M2272" s="2">
        <v>46135</v>
      </c>
      <c r="N2272" s="2">
        <v>46135</v>
      </c>
      <c r="O2272" t="s">
        <v>76</v>
      </c>
      <c r="P2272" t="s">
        <v>53</v>
      </c>
      <c r="Q2272" t="s">
        <v>28</v>
      </c>
      <c r="R2272" t="s">
        <v>29</v>
      </c>
      <c r="S2272">
        <v>2026</v>
      </c>
      <c r="T2272" t="s">
        <v>2741</v>
      </c>
      <c r="U2272" t="s">
        <v>2770</v>
      </c>
      <c r="V2272" s="4">
        <v>0</v>
      </c>
      <c r="W2272" s="4">
        <v>1</v>
      </c>
    </row>
    <row r="2273" spans="1:23">
      <c r="A2273" t="s">
        <v>2406</v>
      </c>
      <c r="B2273" s="2">
        <v>46180</v>
      </c>
      <c r="C2273" t="s">
        <v>46</v>
      </c>
      <c r="D2273" t="s">
        <v>47</v>
      </c>
      <c r="E2273" t="s">
        <v>48</v>
      </c>
      <c r="F2273" t="s">
        <v>49</v>
      </c>
      <c r="G2273" t="s">
        <v>68</v>
      </c>
      <c r="H2273" t="s">
        <v>69</v>
      </c>
      <c r="I2273">
        <v>1</v>
      </c>
      <c r="J2273" s="3">
        <v>49032.87</v>
      </c>
      <c r="K2273" s="3">
        <v>49032.87</v>
      </c>
      <c r="L2273" t="s">
        <v>34</v>
      </c>
      <c r="M2273" s="2">
        <v>46185</v>
      </c>
      <c r="N2273" s="2">
        <v>46182</v>
      </c>
      <c r="O2273" t="s">
        <v>76</v>
      </c>
      <c r="P2273" t="s">
        <v>53</v>
      </c>
      <c r="Q2273" t="s">
        <v>28</v>
      </c>
      <c r="R2273" t="s">
        <v>29</v>
      </c>
      <c r="S2273">
        <v>2026</v>
      </c>
      <c r="T2273" t="s">
        <v>2743</v>
      </c>
      <c r="U2273" t="s">
        <v>2744</v>
      </c>
      <c r="V2273" s="4">
        <v>0</v>
      </c>
      <c r="W2273" s="4">
        <v>1</v>
      </c>
    </row>
    <row r="2274" spans="1:23">
      <c r="A2274" t="s">
        <v>2407</v>
      </c>
      <c r="B2274" s="2">
        <v>46018</v>
      </c>
      <c r="C2274" t="s">
        <v>131</v>
      </c>
      <c r="D2274" t="s">
        <v>132</v>
      </c>
      <c r="E2274" t="s">
        <v>48</v>
      </c>
      <c r="F2274" t="s">
        <v>57</v>
      </c>
      <c r="G2274" t="s">
        <v>58</v>
      </c>
      <c r="H2274" t="s">
        <v>59</v>
      </c>
      <c r="I2274">
        <v>2</v>
      </c>
      <c r="J2274" s="3">
        <v>60012.94</v>
      </c>
      <c r="K2274" s="3">
        <v>120025.88</v>
      </c>
      <c r="L2274" t="s">
        <v>34</v>
      </c>
      <c r="M2274" s="2">
        <v>46036</v>
      </c>
      <c r="N2274" s="2">
        <v>46050</v>
      </c>
      <c r="O2274" t="s">
        <v>26</v>
      </c>
      <c r="P2274" t="s">
        <v>53</v>
      </c>
      <c r="Q2274" t="s">
        <v>28</v>
      </c>
      <c r="R2274" t="s">
        <v>129</v>
      </c>
      <c r="S2274">
        <v>2025</v>
      </c>
      <c r="T2274" t="s">
        <v>2745</v>
      </c>
      <c r="U2274" t="s">
        <v>2746</v>
      </c>
      <c r="V2274" s="4">
        <v>14</v>
      </c>
      <c r="W2274" s="4">
        <v>0</v>
      </c>
    </row>
    <row r="2275" spans="1:23">
      <c r="A2275" t="s">
        <v>2408</v>
      </c>
      <c r="B2275" s="2">
        <v>46107</v>
      </c>
      <c r="C2275" t="s">
        <v>66</v>
      </c>
      <c r="D2275" t="s">
        <v>67</v>
      </c>
      <c r="E2275" t="s">
        <v>21</v>
      </c>
      <c r="F2275" t="s">
        <v>49</v>
      </c>
      <c r="G2275" t="s">
        <v>68</v>
      </c>
      <c r="H2275" t="s">
        <v>69</v>
      </c>
      <c r="I2275">
        <v>3</v>
      </c>
      <c r="J2275" s="3">
        <v>45835.33</v>
      </c>
      <c r="K2275" s="3">
        <v>137505.99</v>
      </c>
      <c r="L2275" t="s">
        <v>52</v>
      </c>
      <c r="M2275" s="2">
        <v>46125</v>
      </c>
      <c r="N2275" s="2">
        <v>46123</v>
      </c>
      <c r="O2275" t="s">
        <v>43</v>
      </c>
      <c r="P2275" t="s">
        <v>27</v>
      </c>
      <c r="Q2275" t="s">
        <v>28</v>
      </c>
      <c r="R2275" t="s">
        <v>29</v>
      </c>
      <c r="S2275">
        <v>2026</v>
      </c>
      <c r="T2275" t="s">
        <v>2747</v>
      </c>
      <c r="U2275" t="s">
        <v>2755</v>
      </c>
      <c r="V2275" s="4">
        <v>0</v>
      </c>
      <c r="W2275" s="4">
        <v>1</v>
      </c>
    </row>
    <row r="2276" spans="1:23">
      <c r="A2276" t="s">
        <v>2409</v>
      </c>
      <c r="B2276" s="2">
        <v>45880</v>
      </c>
      <c r="C2276" t="s">
        <v>134</v>
      </c>
      <c r="D2276" t="s">
        <v>135</v>
      </c>
      <c r="E2276" t="s">
        <v>39</v>
      </c>
      <c r="F2276" t="s">
        <v>40</v>
      </c>
      <c r="G2276" t="s">
        <v>149</v>
      </c>
      <c r="H2276" t="s">
        <v>150</v>
      </c>
      <c r="I2276">
        <v>7</v>
      </c>
      <c r="J2276" s="3">
        <v>1353.1</v>
      </c>
      <c r="K2276" s="3">
        <v>9471.7000000000007</v>
      </c>
      <c r="L2276" t="s">
        <v>52</v>
      </c>
      <c r="M2276" s="2">
        <v>45885</v>
      </c>
      <c r="N2276" s="2">
        <v>45883</v>
      </c>
      <c r="O2276" t="s">
        <v>76</v>
      </c>
      <c r="P2276" t="s">
        <v>44</v>
      </c>
      <c r="Q2276" t="s">
        <v>28</v>
      </c>
      <c r="R2276" t="s">
        <v>29</v>
      </c>
      <c r="S2276">
        <v>2025</v>
      </c>
      <c r="T2276" t="s">
        <v>2761</v>
      </c>
      <c r="U2276" t="s">
        <v>2762</v>
      </c>
      <c r="V2276" s="4">
        <v>0</v>
      </c>
      <c r="W2276" s="4">
        <v>1</v>
      </c>
    </row>
    <row r="2277" spans="1:23">
      <c r="A2277" t="s">
        <v>2410</v>
      </c>
      <c r="B2277" s="2">
        <v>45975</v>
      </c>
      <c r="C2277" t="s">
        <v>66</v>
      </c>
      <c r="D2277" t="s">
        <v>67</v>
      </c>
      <c r="E2277" t="s">
        <v>48</v>
      </c>
      <c r="F2277" t="s">
        <v>49</v>
      </c>
      <c r="G2277" t="s">
        <v>165</v>
      </c>
      <c r="H2277" t="s">
        <v>166</v>
      </c>
      <c r="I2277">
        <v>1</v>
      </c>
      <c r="J2277" s="3">
        <v>45225.36</v>
      </c>
      <c r="K2277" s="3">
        <v>45225.36</v>
      </c>
      <c r="L2277" t="s">
        <v>34</v>
      </c>
      <c r="M2277" s="2">
        <v>45986</v>
      </c>
      <c r="N2277" s="2">
        <v>45985</v>
      </c>
      <c r="O2277" t="s">
        <v>76</v>
      </c>
      <c r="P2277" t="s">
        <v>53</v>
      </c>
      <c r="Q2277" t="s">
        <v>28</v>
      </c>
      <c r="R2277" t="s">
        <v>29</v>
      </c>
      <c r="S2277">
        <v>2025</v>
      </c>
      <c r="T2277" t="s">
        <v>2763</v>
      </c>
      <c r="U2277" t="s">
        <v>2764</v>
      </c>
      <c r="V2277" s="4">
        <v>0</v>
      </c>
      <c r="W2277" s="4">
        <v>1</v>
      </c>
    </row>
    <row r="2278" spans="1:23">
      <c r="A2278" t="s">
        <v>2411</v>
      </c>
      <c r="B2278" s="2">
        <v>46158</v>
      </c>
      <c r="C2278" t="s">
        <v>55</v>
      </c>
      <c r="D2278" t="s">
        <v>56</v>
      </c>
      <c r="E2278" t="s">
        <v>21</v>
      </c>
      <c r="F2278" t="s">
        <v>57</v>
      </c>
      <c r="G2278" t="s">
        <v>86</v>
      </c>
      <c r="H2278" t="s">
        <v>87</v>
      </c>
      <c r="I2278">
        <v>3</v>
      </c>
      <c r="J2278" s="3">
        <v>11644.68</v>
      </c>
      <c r="K2278" s="3">
        <v>34934.04</v>
      </c>
      <c r="L2278" t="s">
        <v>25</v>
      </c>
      <c r="M2278" s="2">
        <v>46175</v>
      </c>
      <c r="N2278" s="2">
        <v>46172</v>
      </c>
      <c r="O2278" t="s">
        <v>43</v>
      </c>
      <c r="P2278" t="s">
        <v>27</v>
      </c>
      <c r="Q2278" t="s">
        <v>28</v>
      </c>
      <c r="R2278" t="s">
        <v>29</v>
      </c>
      <c r="S2278">
        <v>2026</v>
      </c>
      <c r="T2278" t="s">
        <v>2766</v>
      </c>
      <c r="U2278" t="s">
        <v>2769</v>
      </c>
      <c r="V2278" s="4">
        <v>0</v>
      </c>
      <c r="W2278" s="4">
        <v>1</v>
      </c>
    </row>
    <row r="2279" spans="1:23">
      <c r="A2279" t="s">
        <v>2412</v>
      </c>
      <c r="B2279" s="2">
        <v>45966</v>
      </c>
      <c r="C2279" t="s">
        <v>142</v>
      </c>
      <c r="D2279" t="s">
        <v>143</v>
      </c>
      <c r="E2279" t="s">
        <v>39</v>
      </c>
      <c r="F2279" t="s">
        <v>22</v>
      </c>
      <c r="G2279" t="s">
        <v>160</v>
      </c>
      <c r="H2279" t="s">
        <v>161</v>
      </c>
      <c r="I2279">
        <v>6</v>
      </c>
      <c r="J2279" s="3">
        <v>3160.84</v>
      </c>
      <c r="K2279" s="3">
        <v>18965.04</v>
      </c>
      <c r="L2279" t="s">
        <v>34</v>
      </c>
      <c r="M2279" s="2">
        <v>45974</v>
      </c>
      <c r="N2279" s="2">
        <v>45972</v>
      </c>
      <c r="O2279" t="s">
        <v>43</v>
      </c>
      <c r="P2279" t="s">
        <v>64</v>
      </c>
      <c r="Q2279" t="s">
        <v>28</v>
      </c>
      <c r="R2279" t="s">
        <v>29</v>
      </c>
      <c r="S2279">
        <v>2025</v>
      </c>
      <c r="T2279" t="s">
        <v>2763</v>
      </c>
      <c r="U2279" t="s">
        <v>2764</v>
      </c>
      <c r="V2279" s="4">
        <v>0</v>
      </c>
      <c r="W2279" s="4">
        <v>1</v>
      </c>
    </row>
    <row r="2280" spans="1:23">
      <c r="A2280" t="s">
        <v>2413</v>
      </c>
      <c r="B2280" s="2">
        <v>45940</v>
      </c>
      <c r="C2280" t="s">
        <v>104</v>
      </c>
      <c r="D2280" t="s">
        <v>105</v>
      </c>
      <c r="E2280" t="s">
        <v>112</v>
      </c>
      <c r="F2280" t="s">
        <v>49</v>
      </c>
      <c r="G2280" t="s">
        <v>113</v>
      </c>
      <c r="H2280" t="s">
        <v>114</v>
      </c>
      <c r="I2280">
        <v>1</v>
      </c>
      <c r="J2280" s="3">
        <v>37447.58</v>
      </c>
      <c r="K2280" s="3">
        <v>37447.58</v>
      </c>
      <c r="L2280" t="s">
        <v>25</v>
      </c>
      <c r="M2280" s="2">
        <v>45950</v>
      </c>
      <c r="N2280" s="2">
        <v>45948</v>
      </c>
      <c r="O2280" t="s">
        <v>76</v>
      </c>
      <c r="P2280" t="s">
        <v>115</v>
      </c>
      <c r="Q2280" t="s">
        <v>28</v>
      </c>
      <c r="R2280" t="s">
        <v>29</v>
      </c>
      <c r="S2280">
        <v>2025</v>
      </c>
      <c r="T2280" t="s">
        <v>2749</v>
      </c>
      <c r="U2280" t="s">
        <v>2750</v>
      </c>
      <c r="V2280" s="4">
        <v>0</v>
      </c>
      <c r="W2280" s="4">
        <v>1</v>
      </c>
    </row>
    <row r="2281" spans="1:23">
      <c r="A2281" t="s">
        <v>2414</v>
      </c>
      <c r="B2281" s="2">
        <v>46103</v>
      </c>
      <c r="C2281" t="s">
        <v>37</v>
      </c>
      <c r="D2281" t="s">
        <v>38</v>
      </c>
      <c r="E2281" t="s">
        <v>112</v>
      </c>
      <c r="F2281" t="s">
        <v>40</v>
      </c>
      <c r="G2281" t="s">
        <v>149</v>
      </c>
      <c r="H2281" t="s">
        <v>150</v>
      </c>
      <c r="I2281">
        <v>47</v>
      </c>
      <c r="J2281" s="3">
        <v>1489.99</v>
      </c>
      <c r="K2281" s="3">
        <v>70029.53</v>
      </c>
      <c r="L2281" t="s">
        <v>25</v>
      </c>
      <c r="M2281" s="2">
        <v>46115</v>
      </c>
      <c r="N2281" s="2">
        <v>46112</v>
      </c>
      <c r="O2281" t="s">
        <v>43</v>
      </c>
      <c r="P2281" t="s">
        <v>115</v>
      </c>
      <c r="Q2281" t="s">
        <v>28</v>
      </c>
      <c r="R2281" t="s">
        <v>29</v>
      </c>
      <c r="S2281">
        <v>2026</v>
      </c>
      <c r="T2281" t="s">
        <v>2747</v>
      </c>
      <c r="U2281" t="s">
        <v>2755</v>
      </c>
      <c r="V2281" s="4">
        <v>0</v>
      </c>
      <c r="W2281" s="4">
        <v>1</v>
      </c>
    </row>
    <row r="2282" spans="1:23">
      <c r="A2282" t="s">
        <v>2415</v>
      </c>
      <c r="B2282" s="2">
        <v>45665</v>
      </c>
      <c r="C2282" t="s">
        <v>71</v>
      </c>
      <c r="D2282" t="s">
        <v>72</v>
      </c>
      <c r="E2282" t="s">
        <v>48</v>
      </c>
      <c r="F2282" t="s">
        <v>57</v>
      </c>
      <c r="G2282" t="s">
        <v>101</v>
      </c>
      <c r="H2282" t="s">
        <v>102</v>
      </c>
      <c r="I2282">
        <v>8</v>
      </c>
      <c r="J2282" s="3">
        <v>1731.18</v>
      </c>
      <c r="K2282" s="3">
        <v>13849.44</v>
      </c>
      <c r="L2282" t="s">
        <v>25</v>
      </c>
      <c r="M2282" s="2">
        <v>45674</v>
      </c>
      <c r="N2282" s="2">
        <v>45683</v>
      </c>
      <c r="O2282" t="s">
        <v>76</v>
      </c>
      <c r="P2282" t="s">
        <v>53</v>
      </c>
      <c r="Q2282" t="s">
        <v>28</v>
      </c>
      <c r="R2282" t="s">
        <v>129</v>
      </c>
      <c r="S2282">
        <v>2025</v>
      </c>
      <c r="T2282" t="s">
        <v>2757</v>
      </c>
      <c r="U2282" t="s">
        <v>2768</v>
      </c>
      <c r="V2282" s="4">
        <v>9</v>
      </c>
      <c r="W2282" s="4">
        <v>0</v>
      </c>
    </row>
    <row r="2283" spans="1:23">
      <c r="A2283" t="s">
        <v>2416</v>
      </c>
      <c r="B2283" s="2">
        <v>45986</v>
      </c>
      <c r="C2283" t="s">
        <v>96</v>
      </c>
      <c r="D2283" t="s">
        <v>97</v>
      </c>
      <c r="E2283" t="s">
        <v>39</v>
      </c>
      <c r="F2283" t="s">
        <v>82</v>
      </c>
      <c r="G2283" t="s">
        <v>197</v>
      </c>
      <c r="H2283" t="s">
        <v>198</v>
      </c>
      <c r="I2283">
        <v>30</v>
      </c>
      <c r="J2283" s="3">
        <v>2080.35</v>
      </c>
      <c r="K2283" s="3">
        <v>62410.5</v>
      </c>
      <c r="L2283" t="s">
        <v>34</v>
      </c>
      <c r="M2283" s="2">
        <v>45999</v>
      </c>
      <c r="N2283" s="2">
        <v>45999</v>
      </c>
      <c r="O2283" t="s">
        <v>26</v>
      </c>
      <c r="P2283" t="s">
        <v>64</v>
      </c>
      <c r="Q2283" t="s">
        <v>28</v>
      </c>
      <c r="R2283" t="s">
        <v>29</v>
      </c>
      <c r="S2283">
        <v>2025</v>
      </c>
      <c r="T2283" t="s">
        <v>2763</v>
      </c>
      <c r="U2283" t="s">
        <v>2764</v>
      </c>
      <c r="V2283" s="4">
        <v>0</v>
      </c>
      <c r="W2283" s="4">
        <v>1</v>
      </c>
    </row>
    <row r="2284" spans="1:23">
      <c r="A2284" t="s">
        <v>2417</v>
      </c>
      <c r="B2284" s="2">
        <v>46088</v>
      </c>
      <c r="C2284" t="s">
        <v>19</v>
      </c>
      <c r="D2284" t="s">
        <v>20</v>
      </c>
      <c r="E2284" t="s">
        <v>31</v>
      </c>
      <c r="F2284" t="s">
        <v>22</v>
      </c>
      <c r="G2284" t="s">
        <v>32</v>
      </c>
      <c r="H2284" t="s">
        <v>33</v>
      </c>
      <c r="I2284">
        <v>1</v>
      </c>
      <c r="J2284" s="3">
        <v>7385.74</v>
      </c>
      <c r="K2284" s="3">
        <v>7385.74</v>
      </c>
      <c r="L2284" t="s">
        <v>34</v>
      </c>
      <c r="M2284" s="2">
        <v>46094</v>
      </c>
      <c r="N2284" s="2">
        <v>46101</v>
      </c>
      <c r="O2284" t="s">
        <v>26</v>
      </c>
      <c r="P2284" t="s">
        <v>94</v>
      </c>
      <c r="Q2284" t="s">
        <v>28</v>
      </c>
      <c r="R2284" t="s">
        <v>129</v>
      </c>
      <c r="S2284">
        <v>2026</v>
      </c>
      <c r="T2284" t="s">
        <v>2747</v>
      </c>
      <c r="U2284" t="s">
        <v>2755</v>
      </c>
      <c r="V2284" s="4">
        <v>7</v>
      </c>
      <c r="W2284" s="4">
        <v>0</v>
      </c>
    </row>
    <row r="2285" spans="1:23">
      <c r="A2285" t="s">
        <v>2418</v>
      </c>
      <c r="B2285" s="2">
        <v>45753</v>
      </c>
      <c r="C2285" t="s">
        <v>117</v>
      </c>
      <c r="D2285" t="s">
        <v>118</v>
      </c>
      <c r="E2285" t="s">
        <v>48</v>
      </c>
      <c r="F2285" t="s">
        <v>57</v>
      </c>
      <c r="G2285" t="s">
        <v>101</v>
      </c>
      <c r="H2285" t="s">
        <v>102</v>
      </c>
      <c r="I2285">
        <v>7</v>
      </c>
      <c r="J2285" s="3">
        <v>1786.99</v>
      </c>
      <c r="K2285" s="3">
        <v>12508.93</v>
      </c>
      <c r="L2285" t="s">
        <v>34</v>
      </c>
      <c r="M2285" s="2">
        <v>45767</v>
      </c>
      <c r="N2285" s="2">
        <v>45766</v>
      </c>
      <c r="O2285" t="s">
        <v>60</v>
      </c>
      <c r="P2285" t="s">
        <v>53</v>
      </c>
      <c r="Q2285" t="s">
        <v>28</v>
      </c>
      <c r="R2285" t="s">
        <v>29</v>
      </c>
      <c r="S2285">
        <v>2025</v>
      </c>
      <c r="T2285" t="s">
        <v>2741</v>
      </c>
      <c r="U2285" t="s">
        <v>2742</v>
      </c>
      <c r="V2285" s="4">
        <v>0</v>
      </c>
      <c r="W2285" s="4">
        <v>1</v>
      </c>
    </row>
    <row r="2286" spans="1:23">
      <c r="A2286" t="s">
        <v>2419</v>
      </c>
      <c r="B2286" s="2">
        <v>46169</v>
      </c>
      <c r="C2286" t="s">
        <v>19</v>
      </c>
      <c r="D2286" t="s">
        <v>20</v>
      </c>
      <c r="E2286" t="s">
        <v>39</v>
      </c>
      <c r="F2286" t="s">
        <v>22</v>
      </c>
      <c r="G2286" t="s">
        <v>32</v>
      </c>
      <c r="H2286" t="s">
        <v>33</v>
      </c>
      <c r="I2286">
        <v>9</v>
      </c>
      <c r="J2286" s="3">
        <v>7118.05</v>
      </c>
      <c r="K2286" s="3">
        <v>64062.45</v>
      </c>
      <c r="L2286" t="s">
        <v>52</v>
      </c>
      <c r="M2286" s="2">
        <v>46184</v>
      </c>
      <c r="N2286" s="2">
        <v>46183</v>
      </c>
      <c r="O2286" t="s">
        <v>43</v>
      </c>
      <c r="P2286" t="s">
        <v>64</v>
      </c>
      <c r="Q2286" t="s">
        <v>28</v>
      </c>
      <c r="R2286" t="s">
        <v>29</v>
      </c>
      <c r="S2286">
        <v>2026</v>
      </c>
      <c r="T2286" t="s">
        <v>2766</v>
      </c>
      <c r="U2286" t="s">
        <v>2769</v>
      </c>
      <c r="V2286" s="4">
        <v>0</v>
      </c>
      <c r="W2286" s="4">
        <v>1</v>
      </c>
    </row>
    <row r="2287" spans="1:23">
      <c r="A2287" t="s">
        <v>2420</v>
      </c>
      <c r="B2287" s="2">
        <v>46198</v>
      </c>
      <c r="C2287" t="s">
        <v>147</v>
      </c>
      <c r="D2287" t="s">
        <v>148</v>
      </c>
      <c r="E2287" t="s">
        <v>112</v>
      </c>
      <c r="F2287" t="s">
        <v>40</v>
      </c>
      <c r="G2287" t="s">
        <v>41</v>
      </c>
      <c r="H2287" t="s">
        <v>42</v>
      </c>
      <c r="I2287">
        <v>8</v>
      </c>
      <c r="J2287" s="3">
        <v>5168.96</v>
      </c>
      <c r="K2287" s="3">
        <v>41351.68</v>
      </c>
      <c r="L2287" t="s">
        <v>34</v>
      </c>
      <c r="M2287" s="2">
        <v>46209</v>
      </c>
      <c r="N2287" s="2">
        <v>46207</v>
      </c>
      <c r="O2287" t="s">
        <v>43</v>
      </c>
      <c r="P2287" t="s">
        <v>115</v>
      </c>
      <c r="Q2287" t="s">
        <v>28</v>
      </c>
      <c r="R2287" t="s">
        <v>29</v>
      </c>
      <c r="S2287">
        <v>2026</v>
      </c>
      <c r="T2287" t="s">
        <v>2743</v>
      </c>
      <c r="U2287" t="s">
        <v>2744</v>
      </c>
      <c r="V2287" s="4">
        <v>0</v>
      </c>
      <c r="W2287" s="4">
        <v>1</v>
      </c>
    </row>
    <row r="2288" spans="1:23">
      <c r="A2288" t="s">
        <v>2421</v>
      </c>
      <c r="B2288" s="2">
        <v>45964</v>
      </c>
      <c r="C2288" t="s">
        <v>147</v>
      </c>
      <c r="D2288" t="s">
        <v>148</v>
      </c>
      <c r="E2288" t="s">
        <v>39</v>
      </c>
      <c r="F2288" t="s">
        <v>40</v>
      </c>
      <c r="G2288" t="s">
        <v>149</v>
      </c>
      <c r="H2288" t="s">
        <v>150</v>
      </c>
      <c r="I2288">
        <v>23</v>
      </c>
      <c r="J2288" s="3">
        <v>1291.3699999999999</v>
      </c>
      <c r="K2288" s="3">
        <v>29701.51</v>
      </c>
      <c r="L2288" t="s">
        <v>25</v>
      </c>
      <c r="M2288" s="2">
        <v>45976</v>
      </c>
      <c r="N2288" s="2">
        <v>45973</v>
      </c>
      <c r="O2288" t="s">
        <v>43</v>
      </c>
      <c r="P2288" t="s">
        <v>44</v>
      </c>
      <c r="Q2288" t="s">
        <v>28</v>
      </c>
      <c r="R2288" t="s">
        <v>29</v>
      </c>
      <c r="S2288">
        <v>2025</v>
      </c>
      <c r="T2288" t="s">
        <v>2763</v>
      </c>
      <c r="U2288" t="s">
        <v>2764</v>
      </c>
      <c r="V2288" s="4">
        <v>0</v>
      </c>
      <c r="W2288" s="4">
        <v>1</v>
      </c>
    </row>
    <row r="2289" spans="1:23">
      <c r="A2289" t="s">
        <v>2422</v>
      </c>
      <c r="B2289" s="2">
        <v>46102</v>
      </c>
      <c r="C2289" t="s">
        <v>71</v>
      </c>
      <c r="D2289" t="s">
        <v>72</v>
      </c>
      <c r="E2289" t="s">
        <v>73</v>
      </c>
      <c r="F2289" t="s">
        <v>57</v>
      </c>
      <c r="G2289" t="s">
        <v>58</v>
      </c>
      <c r="H2289" t="s">
        <v>59</v>
      </c>
      <c r="I2289">
        <v>8</v>
      </c>
      <c r="J2289" s="3">
        <v>54378.43</v>
      </c>
      <c r="K2289" s="3">
        <v>435027.44</v>
      </c>
      <c r="L2289" t="s">
        <v>25</v>
      </c>
      <c r="M2289" s="2">
        <v>46114</v>
      </c>
      <c r="N2289" s="2">
        <v>46112</v>
      </c>
      <c r="O2289" t="s">
        <v>26</v>
      </c>
      <c r="P2289" t="s">
        <v>77</v>
      </c>
      <c r="Q2289" t="s">
        <v>28</v>
      </c>
      <c r="R2289" t="s">
        <v>29</v>
      </c>
      <c r="S2289">
        <v>2026</v>
      </c>
      <c r="T2289" t="s">
        <v>2747</v>
      </c>
      <c r="U2289" t="s">
        <v>2755</v>
      </c>
      <c r="V2289" s="4">
        <v>0</v>
      </c>
      <c r="W2289" s="4">
        <v>1</v>
      </c>
    </row>
    <row r="2290" spans="1:23">
      <c r="A2290" t="s">
        <v>2423</v>
      </c>
      <c r="B2290" s="2">
        <v>46055</v>
      </c>
      <c r="C2290" t="s">
        <v>104</v>
      </c>
      <c r="D2290" t="s">
        <v>105</v>
      </c>
      <c r="E2290" t="s">
        <v>48</v>
      </c>
      <c r="F2290" t="s">
        <v>49</v>
      </c>
      <c r="G2290" t="s">
        <v>165</v>
      </c>
      <c r="H2290" t="s">
        <v>166</v>
      </c>
      <c r="I2290">
        <v>3</v>
      </c>
      <c r="J2290" s="3">
        <v>45669.93</v>
      </c>
      <c r="K2290" s="3">
        <v>137009.79</v>
      </c>
      <c r="L2290" t="s">
        <v>25</v>
      </c>
      <c r="M2290" s="2">
        <v>46069</v>
      </c>
      <c r="N2290" s="2">
        <v>46068</v>
      </c>
      <c r="O2290" t="s">
        <v>76</v>
      </c>
      <c r="P2290" t="s">
        <v>53</v>
      </c>
      <c r="Q2290" t="s">
        <v>28</v>
      </c>
      <c r="R2290" t="s">
        <v>29</v>
      </c>
      <c r="S2290">
        <v>2026</v>
      </c>
      <c r="T2290" t="s">
        <v>2751</v>
      </c>
      <c r="U2290" t="s">
        <v>2765</v>
      </c>
      <c r="V2290" s="4">
        <v>0</v>
      </c>
      <c r="W2290" s="4">
        <v>1</v>
      </c>
    </row>
    <row r="2291" spans="1:23">
      <c r="A2291" t="s">
        <v>2424</v>
      </c>
      <c r="B2291" s="2">
        <v>46105</v>
      </c>
      <c r="C2291" t="s">
        <v>55</v>
      </c>
      <c r="D2291" t="s">
        <v>56</v>
      </c>
      <c r="E2291" t="s">
        <v>48</v>
      </c>
      <c r="F2291" t="s">
        <v>57</v>
      </c>
      <c r="G2291" t="s">
        <v>127</v>
      </c>
      <c r="H2291" t="s">
        <v>128</v>
      </c>
      <c r="I2291">
        <v>7</v>
      </c>
      <c r="J2291" s="3">
        <v>18955.75</v>
      </c>
      <c r="K2291" s="3">
        <v>132690.25</v>
      </c>
      <c r="L2291" t="s">
        <v>34</v>
      </c>
      <c r="M2291" s="2">
        <v>46122</v>
      </c>
      <c r="N2291" s="2">
        <v>46122</v>
      </c>
      <c r="O2291" t="s">
        <v>60</v>
      </c>
      <c r="P2291" t="s">
        <v>53</v>
      </c>
      <c r="Q2291" t="s">
        <v>28</v>
      </c>
      <c r="R2291" t="s">
        <v>29</v>
      </c>
      <c r="S2291">
        <v>2026</v>
      </c>
      <c r="T2291" t="s">
        <v>2747</v>
      </c>
      <c r="U2291" t="s">
        <v>2755</v>
      </c>
      <c r="V2291" s="4">
        <v>0</v>
      </c>
      <c r="W2291" s="4">
        <v>1</v>
      </c>
    </row>
    <row r="2292" spans="1:23">
      <c r="A2292" t="s">
        <v>2425</v>
      </c>
      <c r="B2292" s="2">
        <v>46055</v>
      </c>
      <c r="C2292" t="s">
        <v>71</v>
      </c>
      <c r="D2292" t="s">
        <v>72</v>
      </c>
      <c r="E2292" t="s">
        <v>48</v>
      </c>
      <c r="F2292" t="s">
        <v>57</v>
      </c>
      <c r="G2292" t="s">
        <v>101</v>
      </c>
      <c r="H2292" t="s">
        <v>102</v>
      </c>
      <c r="I2292">
        <v>58</v>
      </c>
      <c r="J2292" s="3">
        <v>1697.64</v>
      </c>
      <c r="K2292" s="3">
        <v>98463.12</v>
      </c>
      <c r="L2292" t="s">
        <v>25</v>
      </c>
      <c r="M2292" s="2">
        <v>46062</v>
      </c>
      <c r="N2292" s="2">
        <v>46061</v>
      </c>
      <c r="O2292" t="s">
        <v>26</v>
      </c>
      <c r="P2292" t="s">
        <v>53</v>
      </c>
      <c r="Q2292" t="s">
        <v>28</v>
      </c>
      <c r="R2292" t="s">
        <v>29</v>
      </c>
      <c r="S2292">
        <v>2026</v>
      </c>
      <c r="T2292" t="s">
        <v>2751</v>
      </c>
      <c r="U2292" t="s">
        <v>2765</v>
      </c>
      <c r="V2292" s="4">
        <v>0</v>
      </c>
      <c r="W2292" s="4">
        <v>1</v>
      </c>
    </row>
    <row r="2293" spans="1:23">
      <c r="A2293" t="s">
        <v>2426</v>
      </c>
      <c r="B2293" s="2">
        <v>46050</v>
      </c>
      <c r="C2293" t="s">
        <v>142</v>
      </c>
      <c r="D2293" t="s">
        <v>143</v>
      </c>
      <c r="E2293" t="s">
        <v>39</v>
      </c>
      <c r="F2293" t="s">
        <v>22</v>
      </c>
      <c r="G2293" t="s">
        <v>23</v>
      </c>
      <c r="H2293" t="s">
        <v>24</v>
      </c>
      <c r="I2293">
        <v>50</v>
      </c>
      <c r="J2293" s="3">
        <v>240.28</v>
      </c>
      <c r="K2293" s="3">
        <v>12014</v>
      </c>
      <c r="L2293" t="s">
        <v>52</v>
      </c>
      <c r="M2293" s="2">
        <v>46063</v>
      </c>
      <c r="N2293" s="2">
        <v>46063</v>
      </c>
      <c r="O2293" t="s">
        <v>43</v>
      </c>
      <c r="P2293" t="s">
        <v>64</v>
      </c>
      <c r="Q2293" t="s">
        <v>28</v>
      </c>
      <c r="R2293" t="s">
        <v>29</v>
      </c>
      <c r="S2293">
        <v>2026</v>
      </c>
      <c r="T2293" t="s">
        <v>2757</v>
      </c>
      <c r="U2293" t="s">
        <v>2758</v>
      </c>
      <c r="V2293" s="4">
        <v>0</v>
      </c>
      <c r="W2293" s="4">
        <v>1</v>
      </c>
    </row>
    <row r="2294" spans="1:23">
      <c r="A2294" t="s">
        <v>2427</v>
      </c>
      <c r="B2294" s="2">
        <v>46185</v>
      </c>
      <c r="C2294" t="s">
        <v>104</v>
      </c>
      <c r="D2294" t="s">
        <v>105</v>
      </c>
      <c r="E2294" t="s">
        <v>112</v>
      </c>
      <c r="F2294" t="s">
        <v>49</v>
      </c>
      <c r="G2294" t="s">
        <v>165</v>
      </c>
      <c r="H2294" t="s">
        <v>166</v>
      </c>
      <c r="I2294">
        <v>1</v>
      </c>
      <c r="J2294" s="3">
        <v>44190.66</v>
      </c>
      <c r="K2294" s="3">
        <v>44190.66</v>
      </c>
      <c r="L2294" t="s">
        <v>34</v>
      </c>
      <c r="M2294" s="2">
        <v>46202</v>
      </c>
      <c r="N2294" s="2">
        <v>46199</v>
      </c>
      <c r="O2294" t="s">
        <v>76</v>
      </c>
      <c r="P2294" t="s">
        <v>115</v>
      </c>
      <c r="Q2294" t="s">
        <v>28</v>
      </c>
      <c r="R2294" t="s">
        <v>29</v>
      </c>
      <c r="S2294">
        <v>2026</v>
      </c>
      <c r="T2294" t="s">
        <v>2743</v>
      </c>
      <c r="U2294" t="s">
        <v>2744</v>
      </c>
      <c r="V2294" s="4">
        <v>0</v>
      </c>
      <c r="W2294" s="4">
        <v>1</v>
      </c>
    </row>
    <row r="2295" spans="1:23">
      <c r="A2295" t="s">
        <v>2428</v>
      </c>
      <c r="B2295" s="2">
        <v>46129</v>
      </c>
      <c r="C2295" t="s">
        <v>107</v>
      </c>
      <c r="D2295" t="s">
        <v>108</v>
      </c>
      <c r="E2295" t="s">
        <v>31</v>
      </c>
      <c r="F2295" t="s">
        <v>91</v>
      </c>
      <c r="G2295" t="s">
        <v>92</v>
      </c>
      <c r="H2295" t="s">
        <v>93</v>
      </c>
      <c r="I2295">
        <v>1</v>
      </c>
      <c r="J2295" s="3">
        <v>45754.59</v>
      </c>
      <c r="K2295" s="3">
        <v>45754.59</v>
      </c>
      <c r="L2295" t="s">
        <v>34</v>
      </c>
      <c r="M2295" s="2">
        <v>46140</v>
      </c>
      <c r="N2295" s="2">
        <v>46137</v>
      </c>
      <c r="O2295" t="s">
        <v>76</v>
      </c>
      <c r="P2295" t="s">
        <v>35</v>
      </c>
      <c r="Q2295" t="s">
        <v>28</v>
      </c>
      <c r="R2295" t="s">
        <v>29</v>
      </c>
      <c r="S2295">
        <v>2026</v>
      </c>
      <c r="T2295" t="s">
        <v>2741</v>
      </c>
      <c r="U2295" t="s">
        <v>2770</v>
      </c>
      <c r="V2295" s="4">
        <v>0</v>
      </c>
      <c r="W2295" s="4">
        <v>1</v>
      </c>
    </row>
    <row r="2296" spans="1:23">
      <c r="A2296" t="s">
        <v>2429</v>
      </c>
      <c r="B2296" s="2">
        <v>45928</v>
      </c>
      <c r="C2296" t="s">
        <v>142</v>
      </c>
      <c r="D2296" t="s">
        <v>143</v>
      </c>
      <c r="E2296" t="s">
        <v>73</v>
      </c>
      <c r="F2296" t="s">
        <v>22</v>
      </c>
      <c r="G2296" t="s">
        <v>23</v>
      </c>
      <c r="H2296" t="s">
        <v>24</v>
      </c>
      <c r="I2296">
        <v>11</v>
      </c>
      <c r="J2296" s="3">
        <v>243.31</v>
      </c>
      <c r="K2296" s="3">
        <v>2676.41</v>
      </c>
      <c r="L2296" t="s">
        <v>25</v>
      </c>
      <c r="M2296" s="2">
        <v>45937</v>
      </c>
      <c r="N2296" s="2">
        <v>45935</v>
      </c>
      <c r="O2296" t="s">
        <v>76</v>
      </c>
      <c r="P2296" t="s">
        <v>77</v>
      </c>
      <c r="Q2296" t="s">
        <v>28</v>
      </c>
      <c r="R2296" t="s">
        <v>29</v>
      </c>
      <c r="S2296">
        <v>2025</v>
      </c>
      <c r="T2296" t="s">
        <v>2753</v>
      </c>
      <c r="U2296" t="s">
        <v>2754</v>
      </c>
      <c r="V2296" s="4">
        <v>0</v>
      </c>
      <c r="W2296" s="4">
        <v>1</v>
      </c>
    </row>
    <row r="2297" spans="1:23">
      <c r="A2297" t="s">
        <v>2430</v>
      </c>
      <c r="B2297" s="2">
        <v>45839</v>
      </c>
      <c r="C2297" t="s">
        <v>19</v>
      </c>
      <c r="D2297" t="s">
        <v>20</v>
      </c>
      <c r="E2297" t="s">
        <v>21</v>
      </c>
      <c r="F2297" t="s">
        <v>22</v>
      </c>
      <c r="G2297" t="s">
        <v>32</v>
      </c>
      <c r="H2297" t="s">
        <v>33</v>
      </c>
      <c r="I2297">
        <v>8</v>
      </c>
      <c r="J2297" s="3">
        <v>7253.11</v>
      </c>
      <c r="K2297" s="3">
        <v>58024.88</v>
      </c>
      <c r="L2297" t="s">
        <v>25</v>
      </c>
      <c r="M2297" s="2">
        <v>45855</v>
      </c>
      <c r="N2297" s="2">
        <v>45862</v>
      </c>
      <c r="O2297" t="s">
        <v>26</v>
      </c>
      <c r="P2297" t="s">
        <v>27</v>
      </c>
      <c r="Q2297" t="s">
        <v>28</v>
      </c>
      <c r="R2297" t="s">
        <v>129</v>
      </c>
      <c r="S2297">
        <v>2025</v>
      </c>
      <c r="T2297" t="s">
        <v>2759</v>
      </c>
      <c r="U2297" t="s">
        <v>2760</v>
      </c>
      <c r="V2297" s="4">
        <v>7</v>
      </c>
      <c r="W2297" s="4">
        <v>0</v>
      </c>
    </row>
    <row r="2298" spans="1:23">
      <c r="A2298" t="s">
        <v>2431</v>
      </c>
      <c r="B2298" s="2">
        <v>45742</v>
      </c>
      <c r="C2298" t="s">
        <v>80</v>
      </c>
      <c r="D2298" t="s">
        <v>81</v>
      </c>
      <c r="E2298" t="s">
        <v>39</v>
      </c>
      <c r="F2298" t="s">
        <v>82</v>
      </c>
      <c r="G2298" t="s">
        <v>98</v>
      </c>
      <c r="H2298" t="s">
        <v>99</v>
      </c>
      <c r="I2298">
        <v>56</v>
      </c>
      <c r="J2298" s="3">
        <v>1113.44</v>
      </c>
      <c r="K2298" s="3">
        <v>62352.639999999999</v>
      </c>
      <c r="L2298" t="s">
        <v>25</v>
      </c>
      <c r="M2298" s="2">
        <v>45752</v>
      </c>
      <c r="N2298" s="2">
        <v>45752</v>
      </c>
      <c r="O2298" t="s">
        <v>76</v>
      </c>
      <c r="P2298" t="s">
        <v>44</v>
      </c>
      <c r="Q2298" t="s">
        <v>28</v>
      </c>
      <c r="R2298" t="s">
        <v>29</v>
      </c>
      <c r="S2298">
        <v>2025</v>
      </c>
      <c r="T2298" t="s">
        <v>2747</v>
      </c>
      <c r="U2298" t="s">
        <v>2748</v>
      </c>
      <c r="V2298" s="4">
        <v>0</v>
      </c>
      <c r="W2298" s="4">
        <v>1</v>
      </c>
    </row>
    <row r="2299" spans="1:23">
      <c r="A2299" t="s">
        <v>2432</v>
      </c>
      <c r="B2299" s="2">
        <v>45708</v>
      </c>
      <c r="C2299" t="s">
        <v>107</v>
      </c>
      <c r="D2299" t="s">
        <v>108</v>
      </c>
      <c r="E2299" t="s">
        <v>31</v>
      </c>
      <c r="F2299" t="s">
        <v>91</v>
      </c>
      <c r="G2299" t="s">
        <v>92</v>
      </c>
      <c r="H2299" t="s">
        <v>93</v>
      </c>
      <c r="I2299">
        <v>3</v>
      </c>
      <c r="J2299" s="3">
        <v>47302.400000000001</v>
      </c>
      <c r="K2299" s="3">
        <v>141907.20000000001</v>
      </c>
      <c r="L2299" t="s">
        <v>25</v>
      </c>
      <c r="M2299" s="2">
        <v>45726</v>
      </c>
      <c r="N2299" s="2">
        <v>45723</v>
      </c>
      <c r="O2299" t="s">
        <v>26</v>
      </c>
      <c r="P2299" t="s">
        <v>94</v>
      </c>
      <c r="Q2299" t="s">
        <v>28</v>
      </c>
      <c r="R2299" t="s">
        <v>29</v>
      </c>
      <c r="S2299">
        <v>2025</v>
      </c>
      <c r="T2299" t="s">
        <v>2751</v>
      </c>
      <c r="U2299" t="s">
        <v>2752</v>
      </c>
      <c r="V2299" s="4">
        <v>0</v>
      </c>
      <c r="W2299" s="4">
        <v>1</v>
      </c>
    </row>
    <row r="2300" spans="1:23">
      <c r="A2300" t="s">
        <v>2433</v>
      </c>
      <c r="B2300" s="2">
        <v>45789</v>
      </c>
      <c r="C2300" t="s">
        <v>89</v>
      </c>
      <c r="D2300" t="s">
        <v>90</v>
      </c>
      <c r="E2300" t="s">
        <v>31</v>
      </c>
      <c r="F2300" t="s">
        <v>91</v>
      </c>
      <c r="G2300" t="s">
        <v>109</v>
      </c>
      <c r="H2300" t="s">
        <v>110</v>
      </c>
      <c r="I2300">
        <v>3</v>
      </c>
      <c r="J2300" s="3">
        <v>13104.42</v>
      </c>
      <c r="K2300" s="3">
        <v>39313.26</v>
      </c>
      <c r="L2300" t="s">
        <v>25</v>
      </c>
      <c r="M2300" s="2">
        <v>45803</v>
      </c>
      <c r="N2300" s="2">
        <v>45800</v>
      </c>
      <c r="O2300" t="s">
        <v>76</v>
      </c>
      <c r="P2300" t="s">
        <v>94</v>
      </c>
      <c r="Q2300" t="s">
        <v>28</v>
      </c>
      <c r="R2300" t="s">
        <v>29</v>
      </c>
      <c r="S2300">
        <v>2025</v>
      </c>
      <c r="T2300" t="s">
        <v>2766</v>
      </c>
      <c r="U2300" t="s">
        <v>2767</v>
      </c>
      <c r="V2300" s="4">
        <v>0</v>
      </c>
      <c r="W2300" s="4">
        <v>1</v>
      </c>
    </row>
    <row r="2301" spans="1:23">
      <c r="A2301" t="s">
        <v>2434</v>
      </c>
      <c r="B2301" s="2">
        <v>45787</v>
      </c>
      <c r="C2301" t="s">
        <v>131</v>
      </c>
      <c r="D2301" t="s">
        <v>132</v>
      </c>
      <c r="E2301" t="s">
        <v>31</v>
      </c>
      <c r="F2301" t="s">
        <v>57</v>
      </c>
      <c r="G2301" t="s">
        <v>74</v>
      </c>
      <c r="H2301" t="s">
        <v>75</v>
      </c>
      <c r="I2301">
        <v>14</v>
      </c>
      <c r="J2301" s="3">
        <v>9249.4699999999993</v>
      </c>
      <c r="K2301" s="3">
        <v>129492.58</v>
      </c>
      <c r="L2301" t="s">
        <v>25</v>
      </c>
      <c r="M2301" s="2">
        <v>45796</v>
      </c>
      <c r="N2301" s="2">
        <v>45793</v>
      </c>
      <c r="O2301" t="s">
        <v>43</v>
      </c>
      <c r="P2301" t="s">
        <v>35</v>
      </c>
      <c r="Q2301" t="s">
        <v>28</v>
      </c>
      <c r="R2301" t="s">
        <v>29</v>
      </c>
      <c r="S2301">
        <v>2025</v>
      </c>
      <c r="T2301" t="s">
        <v>2766</v>
      </c>
      <c r="U2301" t="s">
        <v>2767</v>
      </c>
      <c r="V2301" s="4">
        <v>0</v>
      </c>
      <c r="W2301" s="4">
        <v>1</v>
      </c>
    </row>
    <row r="2302" spans="1:23">
      <c r="A2302" t="s">
        <v>2435</v>
      </c>
      <c r="B2302" s="2">
        <v>45793</v>
      </c>
      <c r="C2302" t="s">
        <v>104</v>
      </c>
      <c r="D2302" t="s">
        <v>105</v>
      </c>
      <c r="E2302" t="s">
        <v>48</v>
      </c>
      <c r="F2302" t="s">
        <v>49</v>
      </c>
      <c r="G2302" t="s">
        <v>68</v>
      </c>
      <c r="H2302" t="s">
        <v>69</v>
      </c>
      <c r="I2302">
        <v>1</v>
      </c>
      <c r="J2302" s="3">
        <v>46568.44</v>
      </c>
      <c r="K2302" s="3">
        <v>46568.44</v>
      </c>
      <c r="L2302" t="s">
        <v>25</v>
      </c>
      <c r="M2302" s="2">
        <v>45801</v>
      </c>
      <c r="N2302" s="2">
        <v>45800</v>
      </c>
      <c r="O2302" t="s">
        <v>43</v>
      </c>
      <c r="P2302" t="s">
        <v>53</v>
      </c>
      <c r="Q2302" t="s">
        <v>28</v>
      </c>
      <c r="R2302" t="s">
        <v>29</v>
      </c>
      <c r="S2302">
        <v>2025</v>
      </c>
      <c r="T2302" t="s">
        <v>2766</v>
      </c>
      <c r="U2302" t="s">
        <v>2767</v>
      </c>
      <c r="V2302" s="4">
        <v>0</v>
      </c>
      <c r="W2302" s="4">
        <v>1</v>
      </c>
    </row>
    <row r="2303" spans="1:23">
      <c r="A2303" t="s">
        <v>2436</v>
      </c>
      <c r="B2303" s="2">
        <v>46033</v>
      </c>
      <c r="C2303" t="s">
        <v>19</v>
      </c>
      <c r="D2303" t="s">
        <v>20</v>
      </c>
      <c r="E2303" t="s">
        <v>39</v>
      </c>
      <c r="F2303" t="s">
        <v>22</v>
      </c>
      <c r="G2303" t="s">
        <v>23</v>
      </c>
      <c r="H2303" t="s">
        <v>24</v>
      </c>
      <c r="I2303">
        <v>13</v>
      </c>
      <c r="J2303" s="3">
        <v>221.88</v>
      </c>
      <c r="K2303" s="3">
        <v>2884.44</v>
      </c>
      <c r="L2303" t="s">
        <v>25</v>
      </c>
      <c r="M2303" s="2">
        <v>46039</v>
      </c>
      <c r="N2303" s="2">
        <v>46036</v>
      </c>
      <c r="O2303" t="s">
        <v>26</v>
      </c>
      <c r="P2303" t="s">
        <v>44</v>
      </c>
      <c r="Q2303" t="s">
        <v>28</v>
      </c>
      <c r="R2303" t="s">
        <v>29</v>
      </c>
      <c r="S2303">
        <v>2026</v>
      </c>
      <c r="T2303" t="s">
        <v>2757</v>
      </c>
      <c r="U2303" t="s">
        <v>2758</v>
      </c>
      <c r="V2303" s="4">
        <v>0</v>
      </c>
      <c r="W2303" s="4">
        <v>1</v>
      </c>
    </row>
    <row r="2304" spans="1:23">
      <c r="A2304" t="s">
        <v>2437</v>
      </c>
      <c r="B2304" s="2">
        <v>45770</v>
      </c>
      <c r="C2304" t="s">
        <v>142</v>
      </c>
      <c r="D2304" t="s">
        <v>143</v>
      </c>
      <c r="E2304" t="s">
        <v>73</v>
      </c>
      <c r="F2304" t="s">
        <v>22</v>
      </c>
      <c r="G2304" t="s">
        <v>23</v>
      </c>
      <c r="H2304" t="s">
        <v>24</v>
      </c>
      <c r="I2304">
        <v>13</v>
      </c>
      <c r="J2304" s="3">
        <v>237.02</v>
      </c>
      <c r="K2304" s="3">
        <v>3081.26</v>
      </c>
      <c r="L2304" t="s">
        <v>25</v>
      </c>
      <c r="M2304" s="2">
        <v>45782</v>
      </c>
      <c r="N2304" s="2">
        <v>45782</v>
      </c>
      <c r="O2304" t="s">
        <v>60</v>
      </c>
      <c r="P2304" t="s">
        <v>77</v>
      </c>
      <c r="Q2304" t="s">
        <v>28</v>
      </c>
      <c r="R2304" t="s">
        <v>29</v>
      </c>
      <c r="S2304">
        <v>2025</v>
      </c>
      <c r="T2304" t="s">
        <v>2741</v>
      </c>
      <c r="U2304" t="s">
        <v>2742</v>
      </c>
      <c r="V2304" s="4">
        <v>0</v>
      </c>
      <c r="W2304" s="4">
        <v>1</v>
      </c>
    </row>
    <row r="2305" spans="1:23">
      <c r="A2305" t="s">
        <v>2438</v>
      </c>
      <c r="B2305" s="2">
        <v>46017</v>
      </c>
      <c r="C2305" t="s">
        <v>142</v>
      </c>
      <c r="D2305" t="s">
        <v>143</v>
      </c>
      <c r="E2305" t="s">
        <v>39</v>
      </c>
      <c r="F2305" t="s">
        <v>22</v>
      </c>
      <c r="G2305" t="s">
        <v>23</v>
      </c>
      <c r="H2305" t="s">
        <v>24</v>
      </c>
      <c r="I2305">
        <v>27</v>
      </c>
      <c r="J2305" s="3">
        <v>255.14</v>
      </c>
      <c r="K2305" s="3">
        <v>6888.78</v>
      </c>
      <c r="L2305" t="s">
        <v>34</v>
      </c>
      <c r="M2305" s="2">
        <v>46027</v>
      </c>
      <c r="N2305" s="2">
        <v>46024</v>
      </c>
      <c r="O2305" t="s">
        <v>76</v>
      </c>
      <c r="P2305" t="s">
        <v>44</v>
      </c>
      <c r="Q2305" t="s">
        <v>28</v>
      </c>
      <c r="R2305" t="s">
        <v>29</v>
      </c>
      <c r="S2305">
        <v>2025</v>
      </c>
      <c r="T2305" t="s">
        <v>2745</v>
      </c>
      <c r="U2305" t="s">
        <v>2746</v>
      </c>
      <c r="V2305" s="4">
        <v>0</v>
      </c>
      <c r="W2305" s="4">
        <v>1</v>
      </c>
    </row>
    <row r="2306" spans="1:23">
      <c r="A2306" t="s">
        <v>2439</v>
      </c>
      <c r="B2306" s="2">
        <v>45991</v>
      </c>
      <c r="C2306" t="s">
        <v>147</v>
      </c>
      <c r="D2306" t="s">
        <v>148</v>
      </c>
      <c r="E2306" t="s">
        <v>39</v>
      </c>
      <c r="F2306" t="s">
        <v>40</v>
      </c>
      <c r="G2306" t="s">
        <v>149</v>
      </c>
      <c r="H2306" t="s">
        <v>150</v>
      </c>
      <c r="I2306">
        <v>30</v>
      </c>
      <c r="J2306" s="3">
        <v>1322.83</v>
      </c>
      <c r="K2306" s="3">
        <v>39684.9</v>
      </c>
      <c r="L2306" t="s">
        <v>25</v>
      </c>
      <c r="M2306" s="2">
        <v>46006</v>
      </c>
      <c r="N2306" s="2">
        <v>46006</v>
      </c>
      <c r="O2306" t="s">
        <v>76</v>
      </c>
      <c r="P2306" t="s">
        <v>64</v>
      </c>
      <c r="Q2306" t="s">
        <v>28</v>
      </c>
      <c r="R2306" t="s">
        <v>29</v>
      </c>
      <c r="S2306">
        <v>2025</v>
      </c>
      <c r="T2306" t="s">
        <v>2763</v>
      </c>
      <c r="U2306" t="s">
        <v>2764</v>
      </c>
      <c r="V2306" s="4">
        <v>0</v>
      </c>
      <c r="W2306" s="4">
        <v>1</v>
      </c>
    </row>
    <row r="2307" spans="1:23">
      <c r="A2307" t="s">
        <v>2440</v>
      </c>
      <c r="B2307" s="2">
        <v>45665</v>
      </c>
      <c r="C2307" t="s">
        <v>46</v>
      </c>
      <c r="D2307" t="s">
        <v>47</v>
      </c>
      <c r="E2307" t="s">
        <v>112</v>
      </c>
      <c r="F2307" t="s">
        <v>49</v>
      </c>
      <c r="G2307" t="s">
        <v>68</v>
      </c>
      <c r="H2307" t="s">
        <v>69</v>
      </c>
      <c r="I2307">
        <v>3</v>
      </c>
      <c r="J2307" s="3">
        <v>49035.61</v>
      </c>
      <c r="K2307" s="3">
        <v>147106.82999999999</v>
      </c>
      <c r="L2307" t="s">
        <v>34</v>
      </c>
      <c r="M2307" s="2">
        <v>45670</v>
      </c>
      <c r="N2307" s="2">
        <v>45670</v>
      </c>
      <c r="O2307" t="s">
        <v>26</v>
      </c>
      <c r="P2307" t="s">
        <v>115</v>
      </c>
      <c r="Q2307" t="s">
        <v>28</v>
      </c>
      <c r="R2307" t="s">
        <v>29</v>
      </c>
      <c r="S2307">
        <v>2025</v>
      </c>
      <c r="T2307" t="s">
        <v>2757</v>
      </c>
      <c r="U2307" t="s">
        <v>2768</v>
      </c>
      <c r="V2307" s="4">
        <v>0</v>
      </c>
      <c r="W2307" s="4">
        <v>1</v>
      </c>
    </row>
    <row r="2308" spans="1:23">
      <c r="A2308" t="s">
        <v>2441</v>
      </c>
      <c r="B2308" s="2">
        <v>46193</v>
      </c>
      <c r="C2308" t="s">
        <v>117</v>
      </c>
      <c r="D2308" t="s">
        <v>118</v>
      </c>
      <c r="E2308" t="s">
        <v>73</v>
      </c>
      <c r="F2308" t="s">
        <v>57</v>
      </c>
      <c r="G2308" t="s">
        <v>127</v>
      </c>
      <c r="H2308" t="s">
        <v>128</v>
      </c>
      <c r="I2308">
        <v>4</v>
      </c>
      <c r="J2308" s="3">
        <v>16072.5</v>
      </c>
      <c r="K2308" s="3">
        <v>64290</v>
      </c>
      <c r="L2308" t="s">
        <v>25</v>
      </c>
      <c r="M2308" s="2">
        <v>46203</v>
      </c>
      <c r="N2308" s="2">
        <v>46202</v>
      </c>
      <c r="O2308" t="s">
        <v>26</v>
      </c>
      <c r="P2308" t="s">
        <v>77</v>
      </c>
      <c r="Q2308" t="s">
        <v>28</v>
      </c>
      <c r="R2308" t="s">
        <v>29</v>
      </c>
      <c r="S2308">
        <v>2026</v>
      </c>
      <c r="T2308" t="s">
        <v>2743</v>
      </c>
      <c r="U2308" t="s">
        <v>2744</v>
      </c>
      <c r="V2308" s="4">
        <v>0</v>
      </c>
      <c r="W2308" s="4">
        <v>1</v>
      </c>
    </row>
    <row r="2309" spans="1:23">
      <c r="A2309" t="s">
        <v>2442</v>
      </c>
      <c r="B2309" s="2">
        <v>46037</v>
      </c>
      <c r="C2309" t="s">
        <v>55</v>
      </c>
      <c r="D2309" t="s">
        <v>56</v>
      </c>
      <c r="E2309" t="s">
        <v>21</v>
      </c>
      <c r="F2309" t="s">
        <v>57</v>
      </c>
      <c r="G2309" t="s">
        <v>120</v>
      </c>
      <c r="H2309" t="s">
        <v>121</v>
      </c>
      <c r="I2309">
        <v>7</v>
      </c>
      <c r="J2309" s="3">
        <v>23507.119999999999</v>
      </c>
      <c r="K2309" s="3">
        <v>164549.84</v>
      </c>
      <c r="L2309" t="s">
        <v>52</v>
      </c>
      <c r="M2309" s="2">
        <v>46047</v>
      </c>
      <c r="N2309" s="2">
        <v>46047</v>
      </c>
      <c r="O2309" t="s">
        <v>76</v>
      </c>
      <c r="P2309" t="s">
        <v>27</v>
      </c>
      <c r="Q2309" t="s">
        <v>28</v>
      </c>
      <c r="R2309" t="s">
        <v>29</v>
      </c>
      <c r="S2309">
        <v>2026</v>
      </c>
      <c r="T2309" t="s">
        <v>2757</v>
      </c>
      <c r="U2309" t="s">
        <v>2758</v>
      </c>
      <c r="V2309" s="4">
        <v>0</v>
      </c>
      <c r="W2309" s="4">
        <v>1</v>
      </c>
    </row>
    <row r="2310" spans="1:23">
      <c r="A2310" t="s">
        <v>2443</v>
      </c>
      <c r="B2310" s="2">
        <v>46198</v>
      </c>
      <c r="C2310" t="s">
        <v>19</v>
      </c>
      <c r="D2310" t="s">
        <v>20</v>
      </c>
      <c r="E2310" t="s">
        <v>39</v>
      </c>
      <c r="F2310" t="s">
        <v>22</v>
      </c>
      <c r="G2310" t="s">
        <v>160</v>
      </c>
      <c r="H2310" t="s">
        <v>161</v>
      </c>
      <c r="I2310">
        <v>9</v>
      </c>
      <c r="J2310" s="3">
        <v>2921.02</v>
      </c>
      <c r="K2310" s="3">
        <v>26289.18</v>
      </c>
      <c r="L2310" t="s">
        <v>34</v>
      </c>
      <c r="M2310" s="2">
        <v>46215</v>
      </c>
      <c r="N2310" s="2">
        <v>46213</v>
      </c>
      <c r="O2310" t="s">
        <v>26</v>
      </c>
      <c r="P2310" t="s">
        <v>64</v>
      </c>
      <c r="Q2310" t="s">
        <v>28</v>
      </c>
      <c r="R2310" t="s">
        <v>29</v>
      </c>
      <c r="S2310">
        <v>2026</v>
      </c>
      <c r="T2310" t="s">
        <v>2743</v>
      </c>
      <c r="U2310" t="s">
        <v>2744</v>
      </c>
      <c r="V2310" s="4">
        <v>0</v>
      </c>
      <c r="W2310" s="4">
        <v>1</v>
      </c>
    </row>
    <row r="2311" spans="1:23">
      <c r="A2311" t="s">
        <v>2444</v>
      </c>
      <c r="B2311" s="2">
        <v>45969</v>
      </c>
      <c r="C2311" t="s">
        <v>71</v>
      </c>
      <c r="D2311" t="s">
        <v>72</v>
      </c>
      <c r="E2311" t="s">
        <v>48</v>
      </c>
      <c r="F2311" t="s">
        <v>57</v>
      </c>
      <c r="G2311" t="s">
        <v>58</v>
      </c>
      <c r="H2311" t="s">
        <v>59</v>
      </c>
      <c r="I2311">
        <v>1</v>
      </c>
      <c r="J2311" s="3">
        <v>53713.77</v>
      </c>
      <c r="K2311" s="3">
        <v>53713.77</v>
      </c>
      <c r="L2311" t="s">
        <v>34</v>
      </c>
      <c r="M2311" s="2">
        <v>45986</v>
      </c>
      <c r="N2311" s="2">
        <v>45986</v>
      </c>
      <c r="O2311" t="s">
        <v>26</v>
      </c>
      <c r="P2311" t="s">
        <v>53</v>
      </c>
      <c r="Q2311" t="s">
        <v>28</v>
      </c>
      <c r="R2311" t="s">
        <v>29</v>
      </c>
      <c r="S2311">
        <v>2025</v>
      </c>
      <c r="T2311" t="s">
        <v>2763</v>
      </c>
      <c r="U2311" t="s">
        <v>2764</v>
      </c>
      <c r="V2311" s="4">
        <v>0</v>
      </c>
      <c r="W2311" s="4">
        <v>1</v>
      </c>
    </row>
    <row r="2312" spans="1:23">
      <c r="A2312" t="s">
        <v>2445</v>
      </c>
      <c r="B2312" s="2">
        <v>45911</v>
      </c>
      <c r="C2312" t="s">
        <v>142</v>
      </c>
      <c r="D2312" t="s">
        <v>143</v>
      </c>
      <c r="E2312" t="s">
        <v>73</v>
      </c>
      <c r="F2312" t="s">
        <v>22</v>
      </c>
      <c r="G2312" t="s">
        <v>23</v>
      </c>
      <c r="H2312" t="s">
        <v>24</v>
      </c>
      <c r="I2312">
        <v>28</v>
      </c>
      <c r="J2312" s="3">
        <v>250.83</v>
      </c>
      <c r="K2312" s="3">
        <v>7023.24</v>
      </c>
      <c r="L2312" t="s">
        <v>34</v>
      </c>
      <c r="M2312" s="2">
        <v>45927</v>
      </c>
      <c r="N2312" s="2">
        <v>45924</v>
      </c>
      <c r="O2312" t="s">
        <v>43</v>
      </c>
      <c r="P2312" t="s">
        <v>77</v>
      </c>
      <c r="Q2312" t="s">
        <v>28</v>
      </c>
      <c r="R2312" t="s">
        <v>29</v>
      </c>
      <c r="S2312">
        <v>2025</v>
      </c>
      <c r="T2312" t="s">
        <v>2753</v>
      </c>
      <c r="U2312" t="s">
        <v>2754</v>
      </c>
      <c r="V2312" s="4">
        <v>0</v>
      </c>
      <c r="W2312" s="4">
        <v>1</v>
      </c>
    </row>
    <row r="2313" spans="1:23">
      <c r="A2313" t="s">
        <v>2446</v>
      </c>
      <c r="B2313" s="2">
        <v>45946</v>
      </c>
      <c r="C2313" t="s">
        <v>104</v>
      </c>
      <c r="D2313" t="s">
        <v>105</v>
      </c>
      <c r="E2313" t="s">
        <v>48</v>
      </c>
      <c r="F2313" t="s">
        <v>49</v>
      </c>
      <c r="G2313" t="s">
        <v>50</v>
      </c>
      <c r="H2313" t="s">
        <v>51</v>
      </c>
      <c r="I2313">
        <v>1</v>
      </c>
      <c r="J2313" s="3">
        <v>52021.2</v>
      </c>
      <c r="K2313" s="3">
        <v>52021.2</v>
      </c>
      <c r="L2313" t="s">
        <v>34</v>
      </c>
      <c r="M2313" s="2">
        <v>45952</v>
      </c>
      <c r="N2313" s="2">
        <v>45952</v>
      </c>
      <c r="O2313" t="s">
        <v>76</v>
      </c>
      <c r="P2313" t="s">
        <v>53</v>
      </c>
      <c r="Q2313" t="s">
        <v>28</v>
      </c>
      <c r="R2313" t="s">
        <v>29</v>
      </c>
      <c r="S2313">
        <v>2025</v>
      </c>
      <c r="T2313" t="s">
        <v>2749</v>
      </c>
      <c r="U2313" t="s">
        <v>2750</v>
      </c>
      <c r="V2313" s="4">
        <v>0</v>
      </c>
      <c r="W2313" s="4">
        <v>1</v>
      </c>
    </row>
    <row r="2314" spans="1:23">
      <c r="A2314" t="s">
        <v>2447</v>
      </c>
      <c r="B2314" s="2">
        <v>45720</v>
      </c>
      <c r="C2314" t="s">
        <v>80</v>
      </c>
      <c r="D2314" t="s">
        <v>81</v>
      </c>
      <c r="E2314" t="s">
        <v>39</v>
      </c>
      <c r="F2314" t="s">
        <v>82</v>
      </c>
      <c r="G2314" t="s">
        <v>197</v>
      </c>
      <c r="H2314" t="s">
        <v>198</v>
      </c>
      <c r="I2314">
        <v>48</v>
      </c>
      <c r="J2314" s="3">
        <v>1945.65</v>
      </c>
      <c r="K2314" s="3">
        <v>93391.2</v>
      </c>
      <c r="L2314" t="s">
        <v>52</v>
      </c>
      <c r="M2314" s="2">
        <v>45738</v>
      </c>
      <c r="N2314" s="2">
        <v>45737</v>
      </c>
      <c r="O2314" t="s">
        <v>60</v>
      </c>
      <c r="P2314" t="s">
        <v>64</v>
      </c>
      <c r="Q2314" t="s">
        <v>28</v>
      </c>
      <c r="R2314" t="s">
        <v>29</v>
      </c>
      <c r="S2314">
        <v>2025</v>
      </c>
      <c r="T2314" t="s">
        <v>2747</v>
      </c>
      <c r="U2314" t="s">
        <v>2748</v>
      </c>
      <c r="V2314" s="4">
        <v>0</v>
      </c>
      <c r="W2314" s="4">
        <v>1</v>
      </c>
    </row>
    <row r="2315" spans="1:23">
      <c r="A2315" t="s">
        <v>2448</v>
      </c>
      <c r="B2315" s="2">
        <v>46041</v>
      </c>
      <c r="C2315" t="s">
        <v>134</v>
      </c>
      <c r="D2315" t="s">
        <v>135</v>
      </c>
      <c r="E2315" t="s">
        <v>39</v>
      </c>
      <c r="F2315" t="s">
        <v>40</v>
      </c>
      <c r="G2315" t="s">
        <v>62</v>
      </c>
      <c r="H2315" t="s">
        <v>63</v>
      </c>
      <c r="I2315">
        <v>2</v>
      </c>
      <c r="J2315" s="3">
        <v>18350.419999999998</v>
      </c>
      <c r="K2315" s="3">
        <v>36700.839999999997</v>
      </c>
      <c r="L2315" t="s">
        <v>52</v>
      </c>
      <c r="M2315" s="2">
        <v>46053</v>
      </c>
      <c r="N2315" s="2">
        <v>46052</v>
      </c>
      <c r="O2315" t="s">
        <v>26</v>
      </c>
      <c r="P2315" t="s">
        <v>64</v>
      </c>
      <c r="Q2315" t="s">
        <v>28</v>
      </c>
      <c r="R2315" t="s">
        <v>29</v>
      </c>
      <c r="S2315">
        <v>2026</v>
      </c>
      <c r="T2315" t="s">
        <v>2757</v>
      </c>
      <c r="U2315" t="s">
        <v>2758</v>
      </c>
      <c r="V2315" s="4">
        <v>0</v>
      </c>
      <c r="W2315" s="4">
        <v>1</v>
      </c>
    </row>
    <row r="2316" spans="1:23">
      <c r="A2316" t="s">
        <v>2449</v>
      </c>
      <c r="B2316" s="2">
        <v>45743</v>
      </c>
      <c r="C2316" t="s">
        <v>142</v>
      </c>
      <c r="D2316" t="s">
        <v>143</v>
      </c>
      <c r="E2316" t="s">
        <v>31</v>
      </c>
      <c r="F2316" t="s">
        <v>22</v>
      </c>
      <c r="G2316" t="s">
        <v>23</v>
      </c>
      <c r="H2316" t="s">
        <v>24</v>
      </c>
      <c r="I2316">
        <v>36</v>
      </c>
      <c r="J2316" s="3">
        <v>249.54</v>
      </c>
      <c r="K2316" s="3">
        <v>8983.44</v>
      </c>
      <c r="L2316" t="s">
        <v>25</v>
      </c>
      <c r="M2316" s="2">
        <v>45757</v>
      </c>
      <c r="N2316" s="2">
        <v>45754</v>
      </c>
      <c r="O2316" t="s">
        <v>60</v>
      </c>
      <c r="P2316" t="s">
        <v>94</v>
      </c>
      <c r="Q2316" t="s">
        <v>28</v>
      </c>
      <c r="R2316" t="s">
        <v>29</v>
      </c>
      <c r="S2316">
        <v>2025</v>
      </c>
      <c r="T2316" t="s">
        <v>2747</v>
      </c>
      <c r="U2316" t="s">
        <v>2748</v>
      </c>
      <c r="V2316" s="4">
        <v>0</v>
      </c>
      <c r="W2316" s="4">
        <v>1</v>
      </c>
    </row>
    <row r="2317" spans="1:23">
      <c r="A2317" t="s">
        <v>2450</v>
      </c>
      <c r="B2317" s="2">
        <v>46189</v>
      </c>
      <c r="C2317" t="s">
        <v>104</v>
      </c>
      <c r="D2317" t="s">
        <v>105</v>
      </c>
      <c r="E2317" t="s">
        <v>48</v>
      </c>
      <c r="F2317" t="s">
        <v>49</v>
      </c>
      <c r="G2317" t="s">
        <v>113</v>
      </c>
      <c r="H2317" t="s">
        <v>114</v>
      </c>
      <c r="I2317">
        <v>1</v>
      </c>
      <c r="J2317" s="3">
        <v>38888.39</v>
      </c>
      <c r="K2317" s="3">
        <v>38888.39</v>
      </c>
      <c r="L2317" t="s">
        <v>25</v>
      </c>
      <c r="M2317" s="2">
        <v>46207</v>
      </c>
      <c r="N2317" s="2">
        <v>46206</v>
      </c>
      <c r="O2317" t="s">
        <v>26</v>
      </c>
      <c r="P2317" t="s">
        <v>53</v>
      </c>
      <c r="Q2317" t="s">
        <v>28</v>
      </c>
      <c r="R2317" t="s">
        <v>29</v>
      </c>
      <c r="S2317">
        <v>2026</v>
      </c>
      <c r="T2317" t="s">
        <v>2743</v>
      </c>
      <c r="U2317" t="s">
        <v>2744</v>
      </c>
      <c r="V2317" s="4">
        <v>0</v>
      </c>
      <c r="W2317" s="4">
        <v>1</v>
      </c>
    </row>
    <row r="2318" spans="1:23">
      <c r="A2318" t="s">
        <v>2451</v>
      </c>
      <c r="B2318" s="2">
        <v>46136</v>
      </c>
      <c r="C2318" t="s">
        <v>117</v>
      </c>
      <c r="D2318" t="s">
        <v>118</v>
      </c>
      <c r="E2318" t="s">
        <v>31</v>
      </c>
      <c r="F2318" t="s">
        <v>57</v>
      </c>
      <c r="G2318" t="s">
        <v>58</v>
      </c>
      <c r="H2318" t="s">
        <v>59</v>
      </c>
      <c r="I2318">
        <v>3</v>
      </c>
      <c r="J2318" s="3">
        <v>56383.27</v>
      </c>
      <c r="K2318" s="3">
        <v>169149.81</v>
      </c>
      <c r="L2318" t="s">
        <v>52</v>
      </c>
      <c r="M2318" s="2">
        <v>46154</v>
      </c>
      <c r="N2318" s="2">
        <v>46164</v>
      </c>
      <c r="O2318" t="s">
        <v>76</v>
      </c>
      <c r="P2318" t="s">
        <v>35</v>
      </c>
      <c r="Q2318" t="s">
        <v>28</v>
      </c>
      <c r="R2318" t="s">
        <v>129</v>
      </c>
      <c r="S2318">
        <v>2026</v>
      </c>
      <c r="T2318" t="s">
        <v>2741</v>
      </c>
      <c r="U2318" t="s">
        <v>2770</v>
      </c>
      <c r="V2318" s="4">
        <v>10</v>
      </c>
      <c r="W2318" s="4">
        <v>0</v>
      </c>
    </row>
    <row r="2319" spans="1:23">
      <c r="A2319" t="s">
        <v>2452</v>
      </c>
      <c r="B2319" s="2">
        <v>45844</v>
      </c>
      <c r="C2319" t="s">
        <v>89</v>
      </c>
      <c r="D2319" t="s">
        <v>90</v>
      </c>
      <c r="E2319" t="s">
        <v>31</v>
      </c>
      <c r="F2319" t="s">
        <v>91</v>
      </c>
      <c r="G2319" t="s">
        <v>109</v>
      </c>
      <c r="H2319" t="s">
        <v>110</v>
      </c>
      <c r="I2319">
        <v>2</v>
      </c>
      <c r="J2319" s="3">
        <v>12144.75</v>
      </c>
      <c r="K2319" s="3">
        <v>24289.5</v>
      </c>
      <c r="L2319" t="s">
        <v>25</v>
      </c>
      <c r="M2319" s="2">
        <v>45861</v>
      </c>
      <c r="N2319" s="2">
        <v>45861</v>
      </c>
      <c r="O2319" t="s">
        <v>60</v>
      </c>
      <c r="P2319" t="s">
        <v>94</v>
      </c>
      <c r="Q2319" t="s">
        <v>28</v>
      </c>
      <c r="R2319" t="s">
        <v>29</v>
      </c>
      <c r="S2319">
        <v>2025</v>
      </c>
      <c r="T2319" t="s">
        <v>2759</v>
      </c>
      <c r="U2319" t="s">
        <v>2760</v>
      </c>
      <c r="V2319" s="4">
        <v>0</v>
      </c>
      <c r="W2319" s="4">
        <v>1</v>
      </c>
    </row>
    <row r="2320" spans="1:23">
      <c r="A2320" t="s">
        <v>2453</v>
      </c>
      <c r="B2320" s="2">
        <v>45778</v>
      </c>
      <c r="C2320" t="s">
        <v>107</v>
      </c>
      <c r="D2320" t="s">
        <v>108</v>
      </c>
      <c r="E2320" t="s">
        <v>31</v>
      </c>
      <c r="F2320" t="s">
        <v>91</v>
      </c>
      <c r="G2320" t="s">
        <v>109</v>
      </c>
      <c r="H2320" t="s">
        <v>110</v>
      </c>
      <c r="I2320">
        <v>1</v>
      </c>
      <c r="J2320" s="3">
        <v>13927.2</v>
      </c>
      <c r="K2320" s="3">
        <v>13927.2</v>
      </c>
      <c r="L2320" t="s">
        <v>34</v>
      </c>
      <c r="M2320" s="2">
        <v>45792</v>
      </c>
      <c r="N2320" s="2">
        <v>45792</v>
      </c>
      <c r="O2320" t="s">
        <v>43</v>
      </c>
      <c r="P2320" t="s">
        <v>35</v>
      </c>
      <c r="Q2320" t="s">
        <v>28</v>
      </c>
      <c r="R2320" t="s">
        <v>29</v>
      </c>
      <c r="S2320">
        <v>2025</v>
      </c>
      <c r="T2320" t="s">
        <v>2766</v>
      </c>
      <c r="U2320" t="s">
        <v>2767</v>
      </c>
      <c r="V2320" s="4">
        <v>0</v>
      </c>
      <c r="W2320" s="4">
        <v>1</v>
      </c>
    </row>
    <row r="2321" spans="1:23">
      <c r="A2321" t="s">
        <v>2454</v>
      </c>
      <c r="B2321" s="2">
        <v>45708</v>
      </c>
      <c r="C2321" t="s">
        <v>19</v>
      </c>
      <c r="D2321" t="s">
        <v>20</v>
      </c>
      <c r="E2321" t="s">
        <v>39</v>
      </c>
      <c r="F2321" t="s">
        <v>22</v>
      </c>
      <c r="G2321" t="s">
        <v>160</v>
      </c>
      <c r="H2321" t="s">
        <v>161</v>
      </c>
      <c r="I2321">
        <v>9</v>
      </c>
      <c r="J2321" s="3">
        <v>2988.12</v>
      </c>
      <c r="K2321" s="3">
        <v>26893.08</v>
      </c>
      <c r="L2321" t="s">
        <v>25</v>
      </c>
      <c r="M2321" s="2">
        <v>45713</v>
      </c>
      <c r="N2321" s="2">
        <v>45710</v>
      </c>
      <c r="O2321" t="s">
        <v>60</v>
      </c>
      <c r="P2321" t="s">
        <v>44</v>
      </c>
      <c r="Q2321" t="s">
        <v>28</v>
      </c>
      <c r="R2321" t="s">
        <v>29</v>
      </c>
      <c r="S2321">
        <v>2025</v>
      </c>
      <c r="T2321" t="s">
        <v>2751</v>
      </c>
      <c r="U2321" t="s">
        <v>2752</v>
      </c>
      <c r="V2321" s="4">
        <v>0</v>
      </c>
      <c r="W2321" s="4">
        <v>1</v>
      </c>
    </row>
    <row r="2322" spans="1:23">
      <c r="A2322" t="s">
        <v>2455</v>
      </c>
      <c r="B2322" s="2">
        <v>45708</v>
      </c>
      <c r="C2322" t="s">
        <v>46</v>
      </c>
      <c r="D2322" t="s">
        <v>47</v>
      </c>
      <c r="E2322" t="s">
        <v>48</v>
      </c>
      <c r="F2322" t="s">
        <v>49</v>
      </c>
      <c r="G2322" t="s">
        <v>50</v>
      </c>
      <c r="H2322" t="s">
        <v>51</v>
      </c>
      <c r="I2322">
        <v>1</v>
      </c>
      <c r="J2322" s="3">
        <v>55427.95</v>
      </c>
      <c r="K2322" s="3">
        <v>55427.95</v>
      </c>
      <c r="L2322" t="s">
        <v>34</v>
      </c>
      <c r="M2322" s="2">
        <v>45714</v>
      </c>
      <c r="N2322" s="2">
        <v>45711</v>
      </c>
      <c r="O2322" t="s">
        <v>60</v>
      </c>
      <c r="P2322" t="s">
        <v>53</v>
      </c>
      <c r="Q2322" t="s">
        <v>28</v>
      </c>
      <c r="R2322" t="s">
        <v>29</v>
      </c>
      <c r="S2322">
        <v>2025</v>
      </c>
      <c r="T2322" t="s">
        <v>2751</v>
      </c>
      <c r="U2322" t="s">
        <v>2752</v>
      </c>
      <c r="V2322" s="4">
        <v>0</v>
      </c>
      <c r="W2322" s="4">
        <v>1</v>
      </c>
    </row>
    <row r="2323" spans="1:23">
      <c r="A2323" t="s">
        <v>2456</v>
      </c>
      <c r="B2323" s="2">
        <v>46102</v>
      </c>
      <c r="C2323" t="s">
        <v>107</v>
      </c>
      <c r="D2323" t="s">
        <v>108</v>
      </c>
      <c r="E2323" t="s">
        <v>31</v>
      </c>
      <c r="F2323" t="s">
        <v>91</v>
      </c>
      <c r="G2323" t="s">
        <v>109</v>
      </c>
      <c r="H2323" t="s">
        <v>110</v>
      </c>
      <c r="I2323">
        <v>3</v>
      </c>
      <c r="J2323" s="3">
        <v>13648</v>
      </c>
      <c r="K2323" s="3">
        <v>40944</v>
      </c>
      <c r="L2323" t="s">
        <v>25</v>
      </c>
      <c r="M2323" s="2">
        <v>46117</v>
      </c>
      <c r="N2323" s="2">
        <v>46116</v>
      </c>
      <c r="O2323" t="s">
        <v>76</v>
      </c>
      <c r="P2323" t="s">
        <v>94</v>
      </c>
      <c r="Q2323" t="s">
        <v>28</v>
      </c>
      <c r="R2323" t="s">
        <v>29</v>
      </c>
      <c r="S2323">
        <v>2026</v>
      </c>
      <c r="T2323" t="s">
        <v>2747</v>
      </c>
      <c r="U2323" t="s">
        <v>2755</v>
      </c>
      <c r="V2323" s="4">
        <v>0</v>
      </c>
      <c r="W2323" s="4">
        <v>1</v>
      </c>
    </row>
    <row r="2324" spans="1:23">
      <c r="A2324" t="s">
        <v>2457</v>
      </c>
      <c r="B2324" s="2">
        <v>45867</v>
      </c>
      <c r="C2324" t="s">
        <v>131</v>
      </c>
      <c r="D2324" t="s">
        <v>132</v>
      </c>
      <c r="E2324" t="s">
        <v>21</v>
      </c>
      <c r="F2324" t="s">
        <v>57</v>
      </c>
      <c r="G2324" t="s">
        <v>127</v>
      </c>
      <c r="H2324" t="s">
        <v>128</v>
      </c>
      <c r="I2324">
        <v>5</v>
      </c>
      <c r="J2324" s="3">
        <v>17472.900000000001</v>
      </c>
      <c r="K2324" s="3">
        <v>87364.5</v>
      </c>
      <c r="L2324" t="s">
        <v>25</v>
      </c>
      <c r="M2324" s="2">
        <v>45883</v>
      </c>
      <c r="N2324" s="2">
        <v>45882</v>
      </c>
      <c r="O2324" t="s">
        <v>43</v>
      </c>
      <c r="P2324" t="s">
        <v>27</v>
      </c>
      <c r="Q2324" t="s">
        <v>28</v>
      </c>
      <c r="R2324" t="s">
        <v>29</v>
      </c>
      <c r="S2324">
        <v>2025</v>
      </c>
      <c r="T2324" t="s">
        <v>2759</v>
      </c>
      <c r="U2324" t="s">
        <v>2760</v>
      </c>
      <c r="V2324" s="4">
        <v>0</v>
      </c>
      <c r="W2324" s="4">
        <v>1</v>
      </c>
    </row>
    <row r="2325" spans="1:23">
      <c r="A2325" t="s">
        <v>2458</v>
      </c>
      <c r="B2325" s="2">
        <v>46023</v>
      </c>
      <c r="C2325" t="s">
        <v>46</v>
      </c>
      <c r="D2325" t="s">
        <v>47</v>
      </c>
      <c r="E2325" t="s">
        <v>73</v>
      </c>
      <c r="F2325" t="s">
        <v>49</v>
      </c>
      <c r="G2325" t="s">
        <v>68</v>
      </c>
      <c r="H2325" t="s">
        <v>69</v>
      </c>
      <c r="I2325">
        <v>3</v>
      </c>
      <c r="J2325" s="3">
        <v>49710.89</v>
      </c>
      <c r="K2325" s="3">
        <v>149132.67000000001</v>
      </c>
      <c r="L2325" t="s">
        <v>25</v>
      </c>
      <c r="M2325" s="2">
        <v>46029</v>
      </c>
      <c r="N2325" s="2">
        <v>46029</v>
      </c>
      <c r="O2325" t="s">
        <v>60</v>
      </c>
      <c r="P2325" t="s">
        <v>77</v>
      </c>
      <c r="Q2325" t="s">
        <v>28</v>
      </c>
      <c r="R2325" t="s">
        <v>29</v>
      </c>
      <c r="S2325">
        <v>2026</v>
      </c>
      <c r="T2325" t="s">
        <v>2757</v>
      </c>
      <c r="U2325" t="s">
        <v>2758</v>
      </c>
      <c r="V2325" s="4">
        <v>0</v>
      </c>
      <c r="W2325" s="4">
        <v>1</v>
      </c>
    </row>
    <row r="2326" spans="1:23">
      <c r="A2326" t="s">
        <v>2459</v>
      </c>
      <c r="B2326" s="2">
        <v>46179</v>
      </c>
      <c r="C2326" t="s">
        <v>134</v>
      </c>
      <c r="D2326" t="s">
        <v>135</v>
      </c>
      <c r="E2326" t="s">
        <v>112</v>
      </c>
      <c r="F2326" t="s">
        <v>40</v>
      </c>
      <c r="G2326" t="s">
        <v>62</v>
      </c>
      <c r="H2326" t="s">
        <v>63</v>
      </c>
      <c r="I2326">
        <v>6</v>
      </c>
      <c r="J2326" s="3">
        <v>18382.400000000001</v>
      </c>
      <c r="K2326" s="3">
        <v>110294.39999999999</v>
      </c>
      <c r="L2326" t="s">
        <v>25</v>
      </c>
      <c r="M2326" s="2">
        <v>46194</v>
      </c>
      <c r="N2326" s="2">
        <v>46193</v>
      </c>
      <c r="O2326" t="s">
        <v>76</v>
      </c>
      <c r="P2326" t="s">
        <v>115</v>
      </c>
      <c r="Q2326" t="s">
        <v>28</v>
      </c>
      <c r="R2326" t="s">
        <v>29</v>
      </c>
      <c r="S2326">
        <v>2026</v>
      </c>
      <c r="T2326" t="s">
        <v>2743</v>
      </c>
      <c r="U2326" t="s">
        <v>2744</v>
      </c>
      <c r="V2326" s="4">
        <v>0</v>
      </c>
      <c r="W2326" s="4">
        <v>1</v>
      </c>
    </row>
    <row r="2327" spans="1:23">
      <c r="A2327" t="s">
        <v>2460</v>
      </c>
      <c r="B2327" s="2">
        <v>45839</v>
      </c>
      <c r="C2327" t="s">
        <v>117</v>
      </c>
      <c r="D2327" t="s">
        <v>118</v>
      </c>
      <c r="E2327" t="s">
        <v>48</v>
      </c>
      <c r="F2327" t="s">
        <v>57</v>
      </c>
      <c r="G2327" t="s">
        <v>127</v>
      </c>
      <c r="H2327" t="s">
        <v>128</v>
      </c>
      <c r="I2327">
        <v>5</v>
      </c>
      <c r="J2327" s="3">
        <v>16838.27</v>
      </c>
      <c r="K2327" s="3">
        <v>84191.35</v>
      </c>
      <c r="L2327" t="s">
        <v>25</v>
      </c>
      <c r="M2327" s="2">
        <v>45850</v>
      </c>
      <c r="N2327" s="2">
        <v>45850</v>
      </c>
      <c r="O2327" t="s">
        <v>60</v>
      </c>
      <c r="P2327" t="s">
        <v>53</v>
      </c>
      <c r="Q2327" t="s">
        <v>28</v>
      </c>
      <c r="R2327" t="s">
        <v>29</v>
      </c>
      <c r="S2327">
        <v>2025</v>
      </c>
      <c r="T2327" t="s">
        <v>2759</v>
      </c>
      <c r="U2327" t="s">
        <v>2760</v>
      </c>
      <c r="V2327" s="4">
        <v>0</v>
      </c>
      <c r="W2327" s="4">
        <v>1</v>
      </c>
    </row>
    <row r="2328" spans="1:23">
      <c r="A2328" t="s">
        <v>2461</v>
      </c>
      <c r="B2328" s="2">
        <v>45749</v>
      </c>
      <c r="C2328" t="s">
        <v>104</v>
      </c>
      <c r="D2328" t="s">
        <v>105</v>
      </c>
      <c r="E2328" t="s">
        <v>112</v>
      </c>
      <c r="F2328" t="s">
        <v>49</v>
      </c>
      <c r="G2328" t="s">
        <v>50</v>
      </c>
      <c r="H2328" t="s">
        <v>51</v>
      </c>
      <c r="I2328">
        <v>1</v>
      </c>
      <c r="J2328" s="3">
        <v>51038.41</v>
      </c>
      <c r="K2328" s="3">
        <v>51038.41</v>
      </c>
      <c r="L2328" t="s">
        <v>34</v>
      </c>
      <c r="M2328" s="2">
        <v>45757</v>
      </c>
      <c r="N2328" s="2">
        <v>45756</v>
      </c>
      <c r="O2328" t="s">
        <v>60</v>
      </c>
      <c r="P2328" t="s">
        <v>115</v>
      </c>
      <c r="Q2328" t="s">
        <v>28</v>
      </c>
      <c r="R2328" t="s">
        <v>29</v>
      </c>
      <c r="S2328">
        <v>2025</v>
      </c>
      <c r="T2328" t="s">
        <v>2741</v>
      </c>
      <c r="U2328" t="s">
        <v>2742</v>
      </c>
      <c r="V2328" s="4">
        <v>0</v>
      </c>
      <c r="W2328" s="4">
        <v>1</v>
      </c>
    </row>
    <row r="2329" spans="1:23">
      <c r="A2329" t="s">
        <v>2462</v>
      </c>
      <c r="B2329" s="2">
        <v>45698</v>
      </c>
      <c r="C2329" t="s">
        <v>37</v>
      </c>
      <c r="D2329" t="s">
        <v>38</v>
      </c>
      <c r="E2329" t="s">
        <v>73</v>
      </c>
      <c r="F2329" t="s">
        <v>22</v>
      </c>
      <c r="G2329" t="s">
        <v>32</v>
      </c>
      <c r="H2329" t="s">
        <v>33</v>
      </c>
      <c r="I2329">
        <v>8</v>
      </c>
      <c r="J2329" s="3">
        <v>8555.76</v>
      </c>
      <c r="K2329" s="3">
        <v>68446.080000000002</v>
      </c>
      <c r="L2329" t="s">
        <v>34</v>
      </c>
      <c r="M2329" s="2">
        <v>45708</v>
      </c>
      <c r="N2329" s="2">
        <v>45706</v>
      </c>
      <c r="O2329" t="s">
        <v>26</v>
      </c>
      <c r="P2329" t="s">
        <v>77</v>
      </c>
      <c r="Q2329" t="s">
        <v>28</v>
      </c>
      <c r="R2329" t="s">
        <v>29</v>
      </c>
      <c r="S2329">
        <v>2025</v>
      </c>
      <c r="T2329" t="s">
        <v>2751</v>
      </c>
      <c r="U2329" t="s">
        <v>2752</v>
      </c>
      <c r="V2329" s="4">
        <v>0</v>
      </c>
      <c r="W2329" s="4">
        <v>1</v>
      </c>
    </row>
    <row r="2330" spans="1:23">
      <c r="A2330" t="s">
        <v>2463</v>
      </c>
      <c r="B2330" s="2">
        <v>45833</v>
      </c>
      <c r="C2330" t="s">
        <v>131</v>
      </c>
      <c r="D2330" t="s">
        <v>132</v>
      </c>
      <c r="E2330" t="s">
        <v>31</v>
      </c>
      <c r="F2330" t="s">
        <v>57</v>
      </c>
      <c r="G2330" t="s">
        <v>127</v>
      </c>
      <c r="H2330" t="s">
        <v>128</v>
      </c>
      <c r="I2330">
        <v>2</v>
      </c>
      <c r="J2330" s="3">
        <v>16841.64</v>
      </c>
      <c r="K2330" s="3">
        <v>33683.279999999999</v>
      </c>
      <c r="L2330" t="s">
        <v>25</v>
      </c>
      <c r="M2330" s="2">
        <v>45839</v>
      </c>
      <c r="N2330" s="2">
        <v>45838</v>
      </c>
      <c r="O2330" t="s">
        <v>26</v>
      </c>
      <c r="P2330" t="s">
        <v>35</v>
      </c>
      <c r="Q2330" t="s">
        <v>28</v>
      </c>
      <c r="R2330" t="s">
        <v>29</v>
      </c>
      <c r="S2330">
        <v>2025</v>
      </c>
      <c r="T2330" t="s">
        <v>2743</v>
      </c>
      <c r="U2330" t="s">
        <v>2756</v>
      </c>
      <c r="V2330" s="4">
        <v>0</v>
      </c>
      <c r="W2330" s="4">
        <v>1</v>
      </c>
    </row>
    <row r="2331" spans="1:23">
      <c r="A2331" t="s">
        <v>2464</v>
      </c>
      <c r="B2331" s="2">
        <v>46035</v>
      </c>
      <c r="C2331" t="s">
        <v>142</v>
      </c>
      <c r="D2331" t="s">
        <v>143</v>
      </c>
      <c r="E2331" t="s">
        <v>39</v>
      </c>
      <c r="F2331" t="s">
        <v>22</v>
      </c>
      <c r="G2331" t="s">
        <v>23</v>
      </c>
      <c r="H2331" t="s">
        <v>24</v>
      </c>
      <c r="I2331">
        <v>33</v>
      </c>
      <c r="J2331" s="3">
        <v>240.07</v>
      </c>
      <c r="K2331" s="3">
        <v>7922.31</v>
      </c>
      <c r="L2331" t="s">
        <v>25</v>
      </c>
      <c r="M2331" s="2">
        <v>46050</v>
      </c>
      <c r="N2331" s="2">
        <v>46047</v>
      </c>
      <c r="O2331" t="s">
        <v>43</v>
      </c>
      <c r="P2331" t="s">
        <v>64</v>
      </c>
      <c r="Q2331" t="s">
        <v>28</v>
      </c>
      <c r="R2331" t="s">
        <v>29</v>
      </c>
      <c r="S2331">
        <v>2026</v>
      </c>
      <c r="T2331" t="s">
        <v>2757</v>
      </c>
      <c r="U2331" t="s">
        <v>2758</v>
      </c>
      <c r="V2331" s="4">
        <v>0</v>
      </c>
      <c r="W2331" s="4">
        <v>1</v>
      </c>
    </row>
    <row r="2332" spans="1:23">
      <c r="A2332" t="s">
        <v>2465</v>
      </c>
      <c r="B2332" s="2">
        <v>45941</v>
      </c>
      <c r="C2332" t="s">
        <v>66</v>
      </c>
      <c r="D2332" t="s">
        <v>67</v>
      </c>
      <c r="E2332" t="s">
        <v>48</v>
      </c>
      <c r="F2332" t="s">
        <v>49</v>
      </c>
      <c r="G2332" t="s">
        <v>165</v>
      </c>
      <c r="H2332" t="s">
        <v>166</v>
      </c>
      <c r="I2332">
        <v>1</v>
      </c>
      <c r="J2332" s="3">
        <v>44434.62</v>
      </c>
      <c r="K2332" s="3">
        <v>44434.62</v>
      </c>
      <c r="L2332" t="s">
        <v>34</v>
      </c>
      <c r="M2332" s="2">
        <v>45951</v>
      </c>
      <c r="N2332" s="2">
        <v>45948</v>
      </c>
      <c r="O2332" t="s">
        <v>60</v>
      </c>
      <c r="P2332" t="s">
        <v>53</v>
      </c>
      <c r="Q2332" t="s">
        <v>28</v>
      </c>
      <c r="R2332" t="s">
        <v>29</v>
      </c>
      <c r="S2332">
        <v>2025</v>
      </c>
      <c r="T2332" t="s">
        <v>2749</v>
      </c>
      <c r="U2332" t="s">
        <v>2750</v>
      </c>
      <c r="V2332" s="4">
        <v>0</v>
      </c>
      <c r="W2332" s="4">
        <v>1</v>
      </c>
    </row>
    <row r="2333" spans="1:23">
      <c r="A2333" t="s">
        <v>2466</v>
      </c>
      <c r="B2333" s="2">
        <v>45738</v>
      </c>
      <c r="C2333" t="s">
        <v>142</v>
      </c>
      <c r="D2333" t="s">
        <v>143</v>
      </c>
      <c r="E2333" t="s">
        <v>39</v>
      </c>
      <c r="F2333" t="s">
        <v>22</v>
      </c>
      <c r="G2333" t="s">
        <v>32</v>
      </c>
      <c r="H2333" t="s">
        <v>33</v>
      </c>
      <c r="I2333">
        <v>6</v>
      </c>
      <c r="J2333" s="3">
        <v>7699.87</v>
      </c>
      <c r="K2333" s="3">
        <v>46199.22</v>
      </c>
      <c r="L2333" t="s">
        <v>25</v>
      </c>
      <c r="M2333" s="2">
        <v>45746</v>
      </c>
      <c r="N2333" s="2">
        <v>45746</v>
      </c>
      <c r="O2333" t="s">
        <v>76</v>
      </c>
      <c r="P2333" t="s">
        <v>44</v>
      </c>
      <c r="Q2333" t="s">
        <v>28</v>
      </c>
      <c r="R2333" t="s">
        <v>29</v>
      </c>
      <c r="S2333">
        <v>2025</v>
      </c>
      <c r="T2333" t="s">
        <v>2747</v>
      </c>
      <c r="U2333" t="s">
        <v>2748</v>
      </c>
      <c r="V2333" s="4">
        <v>0</v>
      </c>
      <c r="W2333" s="4">
        <v>1</v>
      </c>
    </row>
    <row r="2334" spans="1:23">
      <c r="A2334" t="s">
        <v>2467</v>
      </c>
      <c r="B2334" s="2">
        <v>46018</v>
      </c>
      <c r="C2334" t="s">
        <v>117</v>
      </c>
      <c r="D2334" t="s">
        <v>118</v>
      </c>
      <c r="E2334" t="s">
        <v>31</v>
      </c>
      <c r="F2334" t="s">
        <v>57</v>
      </c>
      <c r="G2334" t="s">
        <v>86</v>
      </c>
      <c r="H2334" t="s">
        <v>87</v>
      </c>
      <c r="I2334">
        <v>1</v>
      </c>
      <c r="J2334" s="3">
        <v>10805.33</v>
      </c>
      <c r="K2334" s="3">
        <v>10805.33</v>
      </c>
      <c r="L2334" t="s">
        <v>34</v>
      </c>
      <c r="M2334" s="2">
        <v>46034</v>
      </c>
      <c r="N2334" s="2">
        <v>46031</v>
      </c>
      <c r="O2334" t="s">
        <v>76</v>
      </c>
      <c r="P2334" t="s">
        <v>35</v>
      </c>
      <c r="Q2334" t="s">
        <v>28</v>
      </c>
      <c r="R2334" t="s">
        <v>29</v>
      </c>
      <c r="S2334">
        <v>2025</v>
      </c>
      <c r="T2334" t="s">
        <v>2745</v>
      </c>
      <c r="U2334" t="s">
        <v>2746</v>
      </c>
      <c r="V2334" s="4">
        <v>0</v>
      </c>
      <c r="W2334" s="4">
        <v>1</v>
      </c>
    </row>
    <row r="2335" spans="1:23">
      <c r="A2335" t="s">
        <v>2468</v>
      </c>
      <c r="B2335" s="2">
        <v>45920</v>
      </c>
      <c r="C2335" t="s">
        <v>71</v>
      </c>
      <c r="D2335" t="s">
        <v>72</v>
      </c>
      <c r="E2335" t="s">
        <v>31</v>
      </c>
      <c r="F2335" t="s">
        <v>57</v>
      </c>
      <c r="G2335" t="s">
        <v>127</v>
      </c>
      <c r="H2335" t="s">
        <v>128</v>
      </c>
      <c r="I2335">
        <v>8</v>
      </c>
      <c r="J2335" s="3">
        <v>15814.07</v>
      </c>
      <c r="K2335" s="3">
        <v>126512.56</v>
      </c>
      <c r="L2335" t="s">
        <v>25</v>
      </c>
      <c r="M2335" s="2">
        <v>45925</v>
      </c>
      <c r="N2335" s="2">
        <v>45923</v>
      </c>
      <c r="O2335" t="s">
        <v>60</v>
      </c>
      <c r="P2335" t="s">
        <v>35</v>
      </c>
      <c r="Q2335" t="s">
        <v>28</v>
      </c>
      <c r="R2335" t="s">
        <v>29</v>
      </c>
      <c r="S2335">
        <v>2025</v>
      </c>
      <c r="T2335" t="s">
        <v>2753</v>
      </c>
      <c r="U2335" t="s">
        <v>2754</v>
      </c>
      <c r="V2335" s="4">
        <v>0</v>
      </c>
      <c r="W2335" s="4">
        <v>1</v>
      </c>
    </row>
    <row r="2336" spans="1:23">
      <c r="A2336" t="s">
        <v>2469</v>
      </c>
      <c r="B2336" s="2">
        <v>45937</v>
      </c>
      <c r="C2336" t="s">
        <v>96</v>
      </c>
      <c r="D2336" t="s">
        <v>97</v>
      </c>
      <c r="E2336" t="s">
        <v>39</v>
      </c>
      <c r="F2336" t="s">
        <v>82</v>
      </c>
      <c r="G2336" t="s">
        <v>83</v>
      </c>
      <c r="H2336" t="s">
        <v>84</v>
      </c>
      <c r="I2336">
        <v>36</v>
      </c>
      <c r="J2336" s="3">
        <v>707.66</v>
      </c>
      <c r="K2336" s="3">
        <v>25475.759999999998</v>
      </c>
      <c r="L2336" t="s">
        <v>25</v>
      </c>
      <c r="M2336" s="2">
        <v>45954</v>
      </c>
      <c r="N2336" s="2">
        <v>45951</v>
      </c>
      <c r="O2336" t="s">
        <v>26</v>
      </c>
      <c r="P2336" t="s">
        <v>44</v>
      </c>
      <c r="Q2336" t="s">
        <v>28</v>
      </c>
      <c r="R2336" t="s">
        <v>29</v>
      </c>
      <c r="S2336">
        <v>2025</v>
      </c>
      <c r="T2336" t="s">
        <v>2749</v>
      </c>
      <c r="U2336" t="s">
        <v>2750</v>
      </c>
      <c r="V2336" s="4">
        <v>0</v>
      </c>
      <c r="W2336" s="4">
        <v>1</v>
      </c>
    </row>
    <row r="2337" spans="1:23">
      <c r="A2337" t="s">
        <v>2470</v>
      </c>
      <c r="B2337" s="2">
        <v>45811</v>
      </c>
      <c r="C2337" t="s">
        <v>37</v>
      </c>
      <c r="D2337" t="s">
        <v>38</v>
      </c>
      <c r="E2337" t="s">
        <v>112</v>
      </c>
      <c r="F2337" t="s">
        <v>22</v>
      </c>
      <c r="G2337" t="s">
        <v>32</v>
      </c>
      <c r="H2337" t="s">
        <v>33</v>
      </c>
      <c r="I2337">
        <v>15</v>
      </c>
      <c r="J2337" s="3">
        <v>8894.92</v>
      </c>
      <c r="K2337" s="3">
        <v>133423.79999999999</v>
      </c>
      <c r="L2337" t="s">
        <v>25</v>
      </c>
      <c r="M2337" s="2">
        <v>45826</v>
      </c>
      <c r="N2337" s="2">
        <v>45826</v>
      </c>
      <c r="O2337" t="s">
        <v>26</v>
      </c>
      <c r="P2337" t="s">
        <v>115</v>
      </c>
      <c r="Q2337" t="s">
        <v>28</v>
      </c>
      <c r="R2337" t="s">
        <v>29</v>
      </c>
      <c r="S2337">
        <v>2025</v>
      </c>
      <c r="T2337" t="s">
        <v>2743</v>
      </c>
      <c r="U2337" t="s">
        <v>2756</v>
      </c>
      <c r="V2337" s="4">
        <v>0</v>
      </c>
      <c r="W2337" s="4">
        <v>1</v>
      </c>
    </row>
    <row r="2338" spans="1:23">
      <c r="A2338" t="s">
        <v>2471</v>
      </c>
      <c r="B2338" s="2">
        <v>46036</v>
      </c>
      <c r="C2338" t="s">
        <v>142</v>
      </c>
      <c r="D2338" t="s">
        <v>143</v>
      </c>
      <c r="E2338" t="s">
        <v>112</v>
      </c>
      <c r="F2338" t="s">
        <v>22</v>
      </c>
      <c r="G2338" t="s">
        <v>32</v>
      </c>
      <c r="H2338" t="s">
        <v>33</v>
      </c>
      <c r="I2338">
        <v>11</v>
      </c>
      <c r="J2338" s="3">
        <v>8311.42</v>
      </c>
      <c r="K2338" s="3">
        <v>91425.62</v>
      </c>
      <c r="L2338" t="s">
        <v>34</v>
      </c>
      <c r="M2338" s="2">
        <v>46042</v>
      </c>
      <c r="N2338" s="2">
        <v>46040</v>
      </c>
      <c r="O2338" t="s">
        <v>43</v>
      </c>
      <c r="P2338" t="s">
        <v>115</v>
      </c>
      <c r="Q2338" t="s">
        <v>28</v>
      </c>
      <c r="R2338" t="s">
        <v>29</v>
      </c>
      <c r="S2338">
        <v>2026</v>
      </c>
      <c r="T2338" t="s">
        <v>2757</v>
      </c>
      <c r="U2338" t="s">
        <v>2758</v>
      </c>
      <c r="V2338" s="4">
        <v>0</v>
      </c>
      <c r="W2338" s="4">
        <v>1</v>
      </c>
    </row>
    <row r="2339" spans="1:23">
      <c r="A2339" t="s">
        <v>2472</v>
      </c>
      <c r="B2339" s="2">
        <v>45964</v>
      </c>
      <c r="C2339" t="s">
        <v>131</v>
      </c>
      <c r="D2339" t="s">
        <v>132</v>
      </c>
      <c r="E2339" t="s">
        <v>73</v>
      </c>
      <c r="F2339" t="s">
        <v>57</v>
      </c>
      <c r="G2339" t="s">
        <v>101</v>
      </c>
      <c r="H2339" t="s">
        <v>102</v>
      </c>
      <c r="I2339">
        <v>23</v>
      </c>
      <c r="J2339" s="3">
        <v>1953.69</v>
      </c>
      <c r="K2339" s="3">
        <v>44934.87</v>
      </c>
      <c r="L2339" t="s">
        <v>25</v>
      </c>
      <c r="M2339" s="2">
        <v>45982</v>
      </c>
      <c r="N2339" s="2">
        <v>45981</v>
      </c>
      <c r="O2339" t="s">
        <v>76</v>
      </c>
      <c r="P2339" t="s">
        <v>77</v>
      </c>
      <c r="Q2339" t="s">
        <v>28</v>
      </c>
      <c r="R2339" t="s">
        <v>29</v>
      </c>
      <c r="S2339">
        <v>2025</v>
      </c>
      <c r="T2339" t="s">
        <v>2763</v>
      </c>
      <c r="U2339" t="s">
        <v>2764</v>
      </c>
      <c r="V2339" s="4">
        <v>0</v>
      </c>
      <c r="W2339" s="4">
        <v>1</v>
      </c>
    </row>
    <row r="2340" spans="1:23">
      <c r="A2340" t="s">
        <v>2473</v>
      </c>
      <c r="B2340" s="2">
        <v>45989</v>
      </c>
      <c r="C2340" t="s">
        <v>37</v>
      </c>
      <c r="D2340" t="s">
        <v>38</v>
      </c>
      <c r="E2340" t="s">
        <v>112</v>
      </c>
      <c r="F2340" t="s">
        <v>22</v>
      </c>
      <c r="G2340" t="s">
        <v>23</v>
      </c>
      <c r="H2340" t="s">
        <v>24</v>
      </c>
      <c r="I2340">
        <v>26</v>
      </c>
      <c r="J2340" s="3">
        <v>287.52999999999997</v>
      </c>
      <c r="K2340" s="3">
        <v>7475.78</v>
      </c>
      <c r="L2340" t="s">
        <v>34</v>
      </c>
      <c r="M2340" s="2">
        <v>46005</v>
      </c>
      <c r="N2340" s="2">
        <v>46002</v>
      </c>
      <c r="O2340" t="s">
        <v>26</v>
      </c>
      <c r="P2340" t="s">
        <v>115</v>
      </c>
      <c r="Q2340" t="s">
        <v>28</v>
      </c>
      <c r="R2340" t="s">
        <v>29</v>
      </c>
      <c r="S2340">
        <v>2025</v>
      </c>
      <c r="T2340" t="s">
        <v>2763</v>
      </c>
      <c r="U2340" t="s">
        <v>2764</v>
      </c>
      <c r="V2340" s="4">
        <v>0</v>
      </c>
      <c r="W2340" s="4">
        <v>1</v>
      </c>
    </row>
    <row r="2341" spans="1:23">
      <c r="A2341" t="s">
        <v>2474</v>
      </c>
      <c r="B2341" s="2">
        <v>45913</v>
      </c>
      <c r="C2341" t="s">
        <v>142</v>
      </c>
      <c r="D2341" t="s">
        <v>143</v>
      </c>
      <c r="E2341" t="s">
        <v>39</v>
      </c>
      <c r="F2341" t="s">
        <v>22</v>
      </c>
      <c r="G2341" t="s">
        <v>160</v>
      </c>
      <c r="H2341" t="s">
        <v>161</v>
      </c>
      <c r="I2341">
        <v>5</v>
      </c>
      <c r="J2341" s="3">
        <v>3107.66</v>
      </c>
      <c r="K2341" s="3">
        <v>15538.3</v>
      </c>
      <c r="L2341" t="s">
        <v>52</v>
      </c>
      <c r="M2341" s="2">
        <v>45924</v>
      </c>
      <c r="N2341" s="2">
        <v>45924</v>
      </c>
      <c r="O2341" t="s">
        <v>76</v>
      </c>
      <c r="P2341" t="s">
        <v>44</v>
      </c>
      <c r="Q2341" t="s">
        <v>28</v>
      </c>
      <c r="R2341" t="s">
        <v>29</v>
      </c>
      <c r="S2341">
        <v>2025</v>
      </c>
      <c r="T2341" t="s">
        <v>2753</v>
      </c>
      <c r="U2341" t="s">
        <v>2754</v>
      </c>
      <c r="V2341" s="4">
        <v>0</v>
      </c>
      <c r="W2341" s="4">
        <v>1</v>
      </c>
    </row>
    <row r="2342" spans="1:23">
      <c r="A2342" t="s">
        <v>2475</v>
      </c>
      <c r="B2342" s="2">
        <v>45709</v>
      </c>
      <c r="C2342" t="s">
        <v>71</v>
      </c>
      <c r="D2342" t="s">
        <v>72</v>
      </c>
      <c r="E2342" t="s">
        <v>48</v>
      </c>
      <c r="F2342" t="s">
        <v>57</v>
      </c>
      <c r="G2342" t="s">
        <v>127</v>
      </c>
      <c r="H2342" t="s">
        <v>128</v>
      </c>
      <c r="I2342">
        <v>1</v>
      </c>
      <c r="J2342" s="3">
        <v>16032.15</v>
      </c>
      <c r="K2342" s="3">
        <v>16032.15</v>
      </c>
      <c r="L2342" t="s">
        <v>25</v>
      </c>
      <c r="M2342" s="2">
        <v>45721</v>
      </c>
      <c r="N2342" s="2">
        <v>45719</v>
      </c>
      <c r="O2342" t="s">
        <v>26</v>
      </c>
      <c r="P2342" t="s">
        <v>53</v>
      </c>
      <c r="Q2342" t="s">
        <v>28</v>
      </c>
      <c r="R2342" t="s">
        <v>29</v>
      </c>
      <c r="S2342">
        <v>2025</v>
      </c>
      <c r="T2342" t="s">
        <v>2751</v>
      </c>
      <c r="U2342" t="s">
        <v>2752</v>
      </c>
      <c r="V2342" s="4">
        <v>0</v>
      </c>
      <c r="W2342" s="4">
        <v>1</v>
      </c>
    </row>
    <row r="2343" spans="1:23">
      <c r="A2343" t="s">
        <v>2476</v>
      </c>
      <c r="B2343" s="2">
        <v>45794</v>
      </c>
      <c r="C2343" t="s">
        <v>19</v>
      </c>
      <c r="D2343" t="s">
        <v>20</v>
      </c>
      <c r="E2343" t="s">
        <v>31</v>
      </c>
      <c r="F2343" t="s">
        <v>22</v>
      </c>
      <c r="G2343" t="s">
        <v>23</v>
      </c>
      <c r="H2343" t="s">
        <v>24</v>
      </c>
      <c r="I2343">
        <v>15</v>
      </c>
      <c r="J2343" s="3">
        <v>218.75</v>
      </c>
      <c r="K2343" s="3">
        <v>3281.25</v>
      </c>
      <c r="L2343" t="s">
        <v>25</v>
      </c>
      <c r="M2343" s="2">
        <v>45801</v>
      </c>
      <c r="N2343" s="2">
        <v>45801</v>
      </c>
      <c r="O2343" t="s">
        <v>60</v>
      </c>
      <c r="P2343" t="s">
        <v>94</v>
      </c>
      <c r="Q2343" t="s">
        <v>28</v>
      </c>
      <c r="R2343" t="s">
        <v>29</v>
      </c>
      <c r="S2343">
        <v>2025</v>
      </c>
      <c r="T2343" t="s">
        <v>2766</v>
      </c>
      <c r="U2343" t="s">
        <v>2767</v>
      </c>
      <c r="V2343" s="4">
        <v>0</v>
      </c>
      <c r="W2343" s="4">
        <v>1</v>
      </c>
    </row>
    <row r="2344" spans="1:23">
      <c r="A2344" t="s">
        <v>2477</v>
      </c>
      <c r="B2344" s="2">
        <v>46050</v>
      </c>
      <c r="C2344" t="s">
        <v>37</v>
      </c>
      <c r="D2344" t="s">
        <v>38</v>
      </c>
      <c r="E2344" t="s">
        <v>112</v>
      </c>
      <c r="F2344" t="s">
        <v>40</v>
      </c>
      <c r="G2344" t="s">
        <v>62</v>
      </c>
      <c r="H2344" t="s">
        <v>63</v>
      </c>
      <c r="I2344">
        <v>6</v>
      </c>
      <c r="J2344" s="3">
        <v>20481.89</v>
      </c>
      <c r="K2344" s="3">
        <v>122891.34</v>
      </c>
      <c r="L2344" t="s">
        <v>34</v>
      </c>
      <c r="M2344" s="2">
        <v>46059</v>
      </c>
      <c r="N2344" s="2">
        <v>46058</v>
      </c>
      <c r="O2344" t="s">
        <v>60</v>
      </c>
      <c r="P2344" t="s">
        <v>115</v>
      </c>
      <c r="Q2344" t="s">
        <v>28</v>
      </c>
      <c r="R2344" t="s">
        <v>29</v>
      </c>
      <c r="S2344">
        <v>2026</v>
      </c>
      <c r="T2344" t="s">
        <v>2757</v>
      </c>
      <c r="U2344" t="s">
        <v>2758</v>
      </c>
      <c r="V2344" s="4">
        <v>0</v>
      </c>
      <c r="W2344" s="4">
        <v>1</v>
      </c>
    </row>
    <row r="2345" spans="1:23">
      <c r="A2345" t="s">
        <v>2478</v>
      </c>
      <c r="B2345" s="2">
        <v>45670</v>
      </c>
      <c r="C2345" t="s">
        <v>55</v>
      </c>
      <c r="D2345" t="s">
        <v>56</v>
      </c>
      <c r="E2345" t="s">
        <v>21</v>
      </c>
      <c r="F2345" t="s">
        <v>57</v>
      </c>
      <c r="G2345" t="s">
        <v>101</v>
      </c>
      <c r="H2345" t="s">
        <v>102</v>
      </c>
      <c r="I2345">
        <v>53</v>
      </c>
      <c r="J2345" s="3">
        <v>1995.6</v>
      </c>
      <c r="K2345" s="3">
        <v>105766.8</v>
      </c>
      <c r="L2345" t="s">
        <v>34</v>
      </c>
      <c r="M2345" s="2">
        <v>45680</v>
      </c>
      <c r="N2345" s="2">
        <v>45677</v>
      </c>
      <c r="O2345" t="s">
        <v>43</v>
      </c>
      <c r="P2345" t="s">
        <v>27</v>
      </c>
      <c r="Q2345" t="s">
        <v>28</v>
      </c>
      <c r="R2345" t="s">
        <v>29</v>
      </c>
      <c r="S2345">
        <v>2025</v>
      </c>
      <c r="T2345" t="s">
        <v>2757</v>
      </c>
      <c r="U2345" t="s">
        <v>2768</v>
      </c>
      <c r="V2345" s="4">
        <v>0</v>
      </c>
      <c r="W2345" s="4">
        <v>1</v>
      </c>
    </row>
    <row r="2346" spans="1:23">
      <c r="A2346" t="s">
        <v>2479</v>
      </c>
      <c r="B2346" s="2">
        <v>46142</v>
      </c>
      <c r="C2346" t="s">
        <v>142</v>
      </c>
      <c r="D2346" t="s">
        <v>143</v>
      </c>
      <c r="E2346" t="s">
        <v>31</v>
      </c>
      <c r="F2346" t="s">
        <v>22</v>
      </c>
      <c r="G2346" t="s">
        <v>160</v>
      </c>
      <c r="H2346" t="s">
        <v>161</v>
      </c>
      <c r="I2346">
        <v>10</v>
      </c>
      <c r="J2346" s="3">
        <v>3251.65</v>
      </c>
      <c r="K2346" s="3">
        <v>32516.5</v>
      </c>
      <c r="L2346" t="s">
        <v>34</v>
      </c>
      <c r="M2346" s="2">
        <v>46149</v>
      </c>
      <c r="N2346" s="2">
        <v>46149</v>
      </c>
      <c r="O2346" t="s">
        <v>43</v>
      </c>
      <c r="P2346" t="s">
        <v>35</v>
      </c>
      <c r="Q2346" t="s">
        <v>28</v>
      </c>
      <c r="R2346" t="s">
        <v>29</v>
      </c>
      <c r="S2346">
        <v>2026</v>
      </c>
      <c r="T2346" t="s">
        <v>2741</v>
      </c>
      <c r="U2346" t="s">
        <v>2770</v>
      </c>
      <c r="V2346" s="4">
        <v>0</v>
      </c>
      <c r="W2346" s="4">
        <v>1</v>
      </c>
    </row>
    <row r="2347" spans="1:23">
      <c r="A2347" t="s">
        <v>2480</v>
      </c>
      <c r="B2347" s="2">
        <v>45821</v>
      </c>
      <c r="C2347" t="s">
        <v>37</v>
      </c>
      <c r="D2347" t="s">
        <v>38</v>
      </c>
      <c r="E2347" t="s">
        <v>112</v>
      </c>
      <c r="F2347" t="s">
        <v>40</v>
      </c>
      <c r="G2347" t="s">
        <v>41</v>
      </c>
      <c r="H2347" t="s">
        <v>42</v>
      </c>
      <c r="I2347">
        <v>13</v>
      </c>
      <c r="J2347" s="3">
        <v>5694.69</v>
      </c>
      <c r="K2347" s="3">
        <v>74030.97</v>
      </c>
      <c r="L2347" t="s">
        <v>34</v>
      </c>
      <c r="M2347" s="2">
        <v>45827</v>
      </c>
      <c r="N2347" s="2">
        <v>45825</v>
      </c>
      <c r="O2347" t="s">
        <v>60</v>
      </c>
      <c r="P2347" t="s">
        <v>115</v>
      </c>
      <c r="Q2347" t="s">
        <v>28</v>
      </c>
      <c r="R2347" t="s">
        <v>29</v>
      </c>
      <c r="S2347">
        <v>2025</v>
      </c>
      <c r="T2347" t="s">
        <v>2743</v>
      </c>
      <c r="U2347" t="s">
        <v>2756</v>
      </c>
      <c r="V2347" s="4">
        <v>0</v>
      </c>
      <c r="W2347" s="4">
        <v>1</v>
      </c>
    </row>
    <row r="2348" spans="1:23">
      <c r="A2348" t="s">
        <v>2481</v>
      </c>
      <c r="B2348" s="2">
        <v>45781</v>
      </c>
      <c r="C2348" t="s">
        <v>37</v>
      </c>
      <c r="D2348" t="s">
        <v>38</v>
      </c>
      <c r="E2348" t="s">
        <v>39</v>
      </c>
      <c r="F2348" t="s">
        <v>40</v>
      </c>
      <c r="G2348" t="s">
        <v>149</v>
      </c>
      <c r="H2348" t="s">
        <v>150</v>
      </c>
      <c r="I2348">
        <v>15</v>
      </c>
      <c r="J2348" s="3">
        <v>1402.41</v>
      </c>
      <c r="K2348" s="3">
        <v>21036.15</v>
      </c>
      <c r="L2348" t="s">
        <v>25</v>
      </c>
      <c r="M2348" s="2">
        <v>45799</v>
      </c>
      <c r="N2348" s="2">
        <v>45799</v>
      </c>
      <c r="O2348" t="s">
        <v>43</v>
      </c>
      <c r="P2348" t="s">
        <v>64</v>
      </c>
      <c r="Q2348" t="s">
        <v>28</v>
      </c>
      <c r="R2348" t="s">
        <v>29</v>
      </c>
      <c r="S2348">
        <v>2025</v>
      </c>
      <c r="T2348" t="s">
        <v>2766</v>
      </c>
      <c r="U2348" t="s">
        <v>2767</v>
      </c>
      <c r="V2348" s="4">
        <v>0</v>
      </c>
      <c r="W2348" s="4">
        <v>1</v>
      </c>
    </row>
    <row r="2349" spans="1:23">
      <c r="A2349" t="s">
        <v>2482</v>
      </c>
      <c r="B2349" s="2">
        <v>45710</v>
      </c>
      <c r="C2349" t="s">
        <v>55</v>
      </c>
      <c r="D2349" t="s">
        <v>56</v>
      </c>
      <c r="E2349" t="s">
        <v>31</v>
      </c>
      <c r="F2349" t="s">
        <v>57</v>
      </c>
      <c r="G2349" t="s">
        <v>120</v>
      </c>
      <c r="H2349" t="s">
        <v>121</v>
      </c>
      <c r="I2349">
        <v>7</v>
      </c>
      <c r="J2349" s="3">
        <v>24680.16</v>
      </c>
      <c r="K2349" s="3">
        <v>172761.12</v>
      </c>
      <c r="L2349" t="s">
        <v>25</v>
      </c>
      <c r="M2349" s="2">
        <v>45721</v>
      </c>
      <c r="N2349" s="2">
        <v>45719</v>
      </c>
      <c r="O2349" t="s">
        <v>26</v>
      </c>
      <c r="P2349" t="s">
        <v>35</v>
      </c>
      <c r="Q2349" t="s">
        <v>28</v>
      </c>
      <c r="R2349" t="s">
        <v>29</v>
      </c>
      <c r="S2349">
        <v>2025</v>
      </c>
      <c r="T2349" t="s">
        <v>2751</v>
      </c>
      <c r="U2349" t="s">
        <v>2752</v>
      </c>
      <c r="V2349" s="4">
        <v>0</v>
      </c>
      <c r="W2349" s="4">
        <v>1</v>
      </c>
    </row>
    <row r="2350" spans="1:23">
      <c r="A2350" t="s">
        <v>2483</v>
      </c>
      <c r="B2350" s="2">
        <v>45785</v>
      </c>
      <c r="C2350" t="s">
        <v>131</v>
      </c>
      <c r="D2350" t="s">
        <v>132</v>
      </c>
      <c r="E2350" t="s">
        <v>73</v>
      </c>
      <c r="F2350" t="s">
        <v>57</v>
      </c>
      <c r="G2350" t="s">
        <v>58</v>
      </c>
      <c r="H2350" t="s">
        <v>59</v>
      </c>
      <c r="I2350">
        <v>7</v>
      </c>
      <c r="J2350" s="3">
        <v>62393.83</v>
      </c>
      <c r="K2350" s="3">
        <v>436756.81</v>
      </c>
      <c r="L2350" t="s">
        <v>52</v>
      </c>
      <c r="M2350" s="2">
        <v>45794</v>
      </c>
      <c r="N2350" s="2">
        <v>45794</v>
      </c>
      <c r="O2350" t="s">
        <v>76</v>
      </c>
      <c r="P2350" t="s">
        <v>77</v>
      </c>
      <c r="Q2350" t="s">
        <v>28</v>
      </c>
      <c r="R2350" t="s">
        <v>29</v>
      </c>
      <c r="S2350">
        <v>2025</v>
      </c>
      <c r="T2350" t="s">
        <v>2766</v>
      </c>
      <c r="U2350" t="s">
        <v>2767</v>
      </c>
      <c r="V2350" s="4">
        <v>0</v>
      </c>
      <c r="W2350" s="4">
        <v>1</v>
      </c>
    </row>
    <row r="2351" spans="1:23">
      <c r="A2351" t="s">
        <v>2484</v>
      </c>
      <c r="B2351" s="2">
        <v>45758</v>
      </c>
      <c r="C2351" t="s">
        <v>89</v>
      </c>
      <c r="D2351" t="s">
        <v>90</v>
      </c>
      <c r="E2351" t="s">
        <v>31</v>
      </c>
      <c r="F2351" t="s">
        <v>91</v>
      </c>
      <c r="G2351" t="s">
        <v>92</v>
      </c>
      <c r="H2351" t="s">
        <v>93</v>
      </c>
      <c r="I2351">
        <v>3</v>
      </c>
      <c r="J2351" s="3">
        <v>41841.99</v>
      </c>
      <c r="K2351" s="3">
        <v>125525.97</v>
      </c>
      <c r="L2351" t="s">
        <v>25</v>
      </c>
      <c r="M2351" s="2">
        <v>45775</v>
      </c>
      <c r="N2351" s="2">
        <v>45774</v>
      </c>
      <c r="O2351" t="s">
        <v>76</v>
      </c>
      <c r="P2351" t="s">
        <v>94</v>
      </c>
      <c r="Q2351" t="s">
        <v>28</v>
      </c>
      <c r="R2351" t="s">
        <v>29</v>
      </c>
      <c r="S2351">
        <v>2025</v>
      </c>
      <c r="T2351" t="s">
        <v>2741</v>
      </c>
      <c r="U2351" t="s">
        <v>2742</v>
      </c>
      <c r="V2351" s="4">
        <v>0</v>
      </c>
      <c r="W2351" s="4">
        <v>1</v>
      </c>
    </row>
    <row r="2352" spans="1:23">
      <c r="A2352" t="s">
        <v>2485</v>
      </c>
      <c r="B2352" s="2">
        <v>45786</v>
      </c>
      <c r="C2352" t="s">
        <v>104</v>
      </c>
      <c r="D2352" t="s">
        <v>105</v>
      </c>
      <c r="E2352" t="s">
        <v>48</v>
      </c>
      <c r="F2352" t="s">
        <v>49</v>
      </c>
      <c r="G2352" t="s">
        <v>68</v>
      </c>
      <c r="H2352" t="s">
        <v>69</v>
      </c>
      <c r="I2352">
        <v>1</v>
      </c>
      <c r="J2352" s="3">
        <v>47778.04</v>
      </c>
      <c r="K2352" s="3">
        <v>47778.04</v>
      </c>
      <c r="L2352" t="s">
        <v>25</v>
      </c>
      <c r="M2352" s="2">
        <v>45801</v>
      </c>
      <c r="N2352" s="2">
        <v>45800</v>
      </c>
      <c r="O2352" t="s">
        <v>26</v>
      </c>
      <c r="P2352" t="s">
        <v>53</v>
      </c>
      <c r="Q2352" t="s">
        <v>28</v>
      </c>
      <c r="R2352" t="s">
        <v>29</v>
      </c>
      <c r="S2352">
        <v>2025</v>
      </c>
      <c r="T2352" t="s">
        <v>2766</v>
      </c>
      <c r="U2352" t="s">
        <v>2767</v>
      </c>
      <c r="V2352" s="4">
        <v>0</v>
      </c>
      <c r="W2352" s="4">
        <v>1</v>
      </c>
    </row>
    <row r="2353" spans="1:23">
      <c r="A2353" t="s">
        <v>2486</v>
      </c>
      <c r="B2353" s="2">
        <v>45917</v>
      </c>
      <c r="C2353" t="s">
        <v>71</v>
      </c>
      <c r="D2353" t="s">
        <v>72</v>
      </c>
      <c r="E2353" t="s">
        <v>31</v>
      </c>
      <c r="F2353" t="s">
        <v>57</v>
      </c>
      <c r="G2353" t="s">
        <v>101</v>
      </c>
      <c r="H2353" t="s">
        <v>102</v>
      </c>
      <c r="I2353">
        <v>6</v>
      </c>
      <c r="J2353" s="3">
        <v>1687.99</v>
      </c>
      <c r="K2353" s="3">
        <v>10127.94</v>
      </c>
      <c r="L2353" t="s">
        <v>34</v>
      </c>
      <c r="M2353" s="2">
        <v>45926</v>
      </c>
      <c r="N2353" s="2">
        <v>45925</v>
      </c>
      <c r="O2353" t="s">
        <v>60</v>
      </c>
      <c r="P2353" t="s">
        <v>35</v>
      </c>
      <c r="Q2353" t="s">
        <v>28</v>
      </c>
      <c r="R2353" t="s">
        <v>29</v>
      </c>
      <c r="S2353">
        <v>2025</v>
      </c>
      <c r="T2353" t="s">
        <v>2753</v>
      </c>
      <c r="U2353" t="s">
        <v>2754</v>
      </c>
      <c r="V2353" s="4">
        <v>0</v>
      </c>
      <c r="W2353" s="4">
        <v>1</v>
      </c>
    </row>
    <row r="2354" spans="1:23">
      <c r="A2354" t="s">
        <v>2487</v>
      </c>
      <c r="B2354" s="2">
        <v>45967</v>
      </c>
      <c r="C2354" t="s">
        <v>131</v>
      </c>
      <c r="D2354" t="s">
        <v>132</v>
      </c>
      <c r="E2354" t="s">
        <v>31</v>
      </c>
      <c r="F2354" t="s">
        <v>57</v>
      </c>
      <c r="G2354" t="s">
        <v>74</v>
      </c>
      <c r="H2354" t="s">
        <v>75</v>
      </c>
      <c r="I2354">
        <v>8</v>
      </c>
      <c r="J2354" s="3">
        <v>8776.19</v>
      </c>
      <c r="K2354" s="3">
        <v>70209.52</v>
      </c>
      <c r="L2354" t="s">
        <v>34</v>
      </c>
      <c r="M2354" s="2">
        <v>45982</v>
      </c>
      <c r="N2354" s="2">
        <v>45980</v>
      </c>
      <c r="O2354" t="s">
        <v>43</v>
      </c>
      <c r="P2354" t="s">
        <v>94</v>
      </c>
      <c r="Q2354" t="s">
        <v>28</v>
      </c>
      <c r="R2354" t="s">
        <v>29</v>
      </c>
      <c r="S2354">
        <v>2025</v>
      </c>
      <c r="T2354" t="s">
        <v>2763</v>
      </c>
      <c r="U2354" t="s">
        <v>2764</v>
      </c>
      <c r="V2354" s="4">
        <v>0</v>
      </c>
      <c r="W2354" s="4">
        <v>1</v>
      </c>
    </row>
    <row r="2355" spans="1:23">
      <c r="A2355" t="s">
        <v>2488</v>
      </c>
      <c r="B2355" s="2">
        <v>45806</v>
      </c>
      <c r="C2355" t="s">
        <v>142</v>
      </c>
      <c r="D2355" t="s">
        <v>143</v>
      </c>
      <c r="E2355" t="s">
        <v>73</v>
      </c>
      <c r="F2355" t="s">
        <v>22</v>
      </c>
      <c r="G2355" t="s">
        <v>160</v>
      </c>
      <c r="H2355" t="s">
        <v>161</v>
      </c>
      <c r="I2355">
        <v>5</v>
      </c>
      <c r="J2355" s="3">
        <v>3146.55</v>
      </c>
      <c r="K2355" s="3">
        <v>15732.75</v>
      </c>
      <c r="L2355" t="s">
        <v>34</v>
      </c>
      <c r="M2355" s="2">
        <v>45812</v>
      </c>
      <c r="N2355" s="2">
        <v>45811</v>
      </c>
      <c r="O2355" t="s">
        <v>60</v>
      </c>
      <c r="P2355" t="s">
        <v>77</v>
      </c>
      <c r="Q2355" t="s">
        <v>28</v>
      </c>
      <c r="R2355" t="s">
        <v>29</v>
      </c>
      <c r="S2355">
        <v>2025</v>
      </c>
      <c r="T2355" t="s">
        <v>2766</v>
      </c>
      <c r="U2355" t="s">
        <v>2767</v>
      </c>
      <c r="V2355" s="4">
        <v>0</v>
      </c>
      <c r="W2355" s="4">
        <v>1</v>
      </c>
    </row>
    <row r="2356" spans="1:23">
      <c r="A2356" t="s">
        <v>2489</v>
      </c>
      <c r="B2356" s="2">
        <v>45897</v>
      </c>
      <c r="C2356" t="s">
        <v>19</v>
      </c>
      <c r="D2356" t="s">
        <v>20</v>
      </c>
      <c r="E2356" t="s">
        <v>21</v>
      </c>
      <c r="F2356" t="s">
        <v>22</v>
      </c>
      <c r="G2356" t="s">
        <v>23</v>
      </c>
      <c r="H2356" t="s">
        <v>24</v>
      </c>
      <c r="I2356">
        <v>40</v>
      </c>
      <c r="J2356" s="3">
        <v>220.86</v>
      </c>
      <c r="K2356" s="3">
        <v>8834.4</v>
      </c>
      <c r="L2356" t="s">
        <v>52</v>
      </c>
      <c r="M2356" s="2">
        <v>45904</v>
      </c>
      <c r="N2356" s="2">
        <v>45903</v>
      </c>
      <c r="O2356" t="s">
        <v>26</v>
      </c>
      <c r="P2356" t="s">
        <v>27</v>
      </c>
      <c r="Q2356" t="s">
        <v>28</v>
      </c>
      <c r="R2356" t="s">
        <v>29</v>
      </c>
      <c r="S2356">
        <v>2025</v>
      </c>
      <c r="T2356" t="s">
        <v>2761</v>
      </c>
      <c r="U2356" t="s">
        <v>2762</v>
      </c>
      <c r="V2356" s="4">
        <v>0</v>
      </c>
      <c r="W2356" s="4">
        <v>1</v>
      </c>
    </row>
    <row r="2357" spans="1:23">
      <c r="A2357" t="s">
        <v>2490</v>
      </c>
      <c r="B2357" s="2">
        <v>46128</v>
      </c>
      <c r="C2357" t="s">
        <v>37</v>
      </c>
      <c r="D2357" t="s">
        <v>38</v>
      </c>
      <c r="E2357" t="s">
        <v>73</v>
      </c>
      <c r="F2357" t="s">
        <v>22</v>
      </c>
      <c r="G2357" t="s">
        <v>160</v>
      </c>
      <c r="H2357" t="s">
        <v>161</v>
      </c>
      <c r="I2357">
        <v>1</v>
      </c>
      <c r="J2357" s="3">
        <v>3459.43</v>
      </c>
      <c r="K2357" s="3">
        <v>3459.43</v>
      </c>
      <c r="L2357" t="s">
        <v>25</v>
      </c>
      <c r="M2357" s="2">
        <v>46137</v>
      </c>
      <c r="N2357" s="2">
        <v>46136</v>
      </c>
      <c r="O2357" t="s">
        <v>60</v>
      </c>
      <c r="P2357" t="s">
        <v>77</v>
      </c>
      <c r="Q2357" t="s">
        <v>28</v>
      </c>
      <c r="R2357" t="s">
        <v>29</v>
      </c>
      <c r="S2357">
        <v>2026</v>
      </c>
      <c r="T2357" t="s">
        <v>2741</v>
      </c>
      <c r="U2357" t="s">
        <v>2770</v>
      </c>
      <c r="V2357" s="4">
        <v>0</v>
      </c>
      <c r="W2357" s="4">
        <v>1</v>
      </c>
    </row>
    <row r="2358" spans="1:23">
      <c r="A2358" t="s">
        <v>2491</v>
      </c>
      <c r="B2358" s="2">
        <v>45738</v>
      </c>
      <c r="C2358" t="s">
        <v>142</v>
      </c>
      <c r="D2358" t="s">
        <v>143</v>
      </c>
      <c r="E2358" t="s">
        <v>31</v>
      </c>
      <c r="F2358" t="s">
        <v>22</v>
      </c>
      <c r="G2358" t="s">
        <v>23</v>
      </c>
      <c r="H2358" t="s">
        <v>24</v>
      </c>
      <c r="I2358">
        <v>32</v>
      </c>
      <c r="J2358" s="3">
        <v>236.98</v>
      </c>
      <c r="K2358" s="3">
        <v>7583.36</v>
      </c>
      <c r="L2358" t="s">
        <v>34</v>
      </c>
      <c r="M2358" s="2">
        <v>45753</v>
      </c>
      <c r="N2358" s="2">
        <v>45752</v>
      </c>
      <c r="O2358" t="s">
        <v>26</v>
      </c>
      <c r="P2358" t="s">
        <v>35</v>
      </c>
      <c r="Q2358" t="s">
        <v>28</v>
      </c>
      <c r="R2358" t="s">
        <v>29</v>
      </c>
      <c r="S2358">
        <v>2025</v>
      </c>
      <c r="T2358" t="s">
        <v>2747</v>
      </c>
      <c r="U2358" t="s">
        <v>2748</v>
      </c>
      <c r="V2358" s="4">
        <v>0</v>
      </c>
      <c r="W2358" s="4">
        <v>1</v>
      </c>
    </row>
    <row r="2359" spans="1:23">
      <c r="A2359" t="s">
        <v>2492</v>
      </c>
      <c r="B2359" s="2">
        <v>45913</v>
      </c>
      <c r="C2359" t="s">
        <v>142</v>
      </c>
      <c r="D2359" t="s">
        <v>143</v>
      </c>
      <c r="E2359" t="s">
        <v>73</v>
      </c>
      <c r="F2359" t="s">
        <v>22</v>
      </c>
      <c r="G2359" t="s">
        <v>160</v>
      </c>
      <c r="H2359" t="s">
        <v>161</v>
      </c>
      <c r="I2359">
        <v>14</v>
      </c>
      <c r="J2359" s="3">
        <v>3157.04</v>
      </c>
      <c r="K2359" s="3">
        <v>44198.559999999998</v>
      </c>
      <c r="L2359" t="s">
        <v>25</v>
      </c>
      <c r="M2359" s="2">
        <v>45928</v>
      </c>
      <c r="N2359" s="2">
        <v>45937</v>
      </c>
      <c r="O2359" t="s">
        <v>76</v>
      </c>
      <c r="P2359" t="s">
        <v>77</v>
      </c>
      <c r="Q2359" t="s">
        <v>28</v>
      </c>
      <c r="R2359" t="s">
        <v>129</v>
      </c>
      <c r="S2359">
        <v>2025</v>
      </c>
      <c r="T2359" t="s">
        <v>2753</v>
      </c>
      <c r="U2359" t="s">
        <v>2754</v>
      </c>
      <c r="V2359" s="4">
        <v>9</v>
      </c>
      <c r="W2359" s="4">
        <v>0</v>
      </c>
    </row>
    <row r="2360" spans="1:23">
      <c r="A2360" t="s">
        <v>2493</v>
      </c>
      <c r="B2360" s="2">
        <v>46067</v>
      </c>
      <c r="C2360" t="s">
        <v>46</v>
      </c>
      <c r="D2360" t="s">
        <v>47</v>
      </c>
      <c r="E2360" t="s">
        <v>21</v>
      </c>
      <c r="F2360" t="s">
        <v>49</v>
      </c>
      <c r="G2360" t="s">
        <v>68</v>
      </c>
      <c r="H2360" t="s">
        <v>69</v>
      </c>
      <c r="I2360">
        <v>1</v>
      </c>
      <c r="J2360" s="3">
        <v>50743.35</v>
      </c>
      <c r="K2360" s="3">
        <v>50743.35</v>
      </c>
      <c r="L2360" t="s">
        <v>34</v>
      </c>
      <c r="M2360" s="2">
        <v>46075</v>
      </c>
      <c r="N2360" s="2">
        <v>46075</v>
      </c>
      <c r="O2360" t="s">
        <v>76</v>
      </c>
      <c r="P2360" t="s">
        <v>27</v>
      </c>
      <c r="Q2360" t="s">
        <v>28</v>
      </c>
      <c r="R2360" t="s">
        <v>29</v>
      </c>
      <c r="S2360">
        <v>2026</v>
      </c>
      <c r="T2360" t="s">
        <v>2751</v>
      </c>
      <c r="U2360" t="s">
        <v>2765</v>
      </c>
      <c r="V2360" s="4">
        <v>0</v>
      </c>
      <c r="W2360" s="4">
        <v>1</v>
      </c>
    </row>
    <row r="2361" spans="1:23">
      <c r="A2361" t="s">
        <v>2494</v>
      </c>
      <c r="B2361" s="2">
        <v>45921</v>
      </c>
      <c r="C2361" t="s">
        <v>104</v>
      </c>
      <c r="D2361" t="s">
        <v>105</v>
      </c>
      <c r="E2361" t="s">
        <v>48</v>
      </c>
      <c r="F2361" t="s">
        <v>49</v>
      </c>
      <c r="G2361" t="s">
        <v>50</v>
      </c>
      <c r="H2361" t="s">
        <v>51</v>
      </c>
      <c r="I2361">
        <v>1</v>
      </c>
      <c r="J2361" s="3">
        <v>51655.28</v>
      </c>
      <c r="K2361" s="3">
        <v>51655.28</v>
      </c>
      <c r="L2361" t="s">
        <v>34</v>
      </c>
      <c r="M2361" s="2">
        <v>45931</v>
      </c>
      <c r="N2361" s="2">
        <v>45930</v>
      </c>
      <c r="O2361" t="s">
        <v>76</v>
      </c>
      <c r="P2361" t="s">
        <v>53</v>
      </c>
      <c r="Q2361" t="s">
        <v>28</v>
      </c>
      <c r="R2361" t="s">
        <v>29</v>
      </c>
      <c r="S2361">
        <v>2025</v>
      </c>
      <c r="T2361" t="s">
        <v>2753</v>
      </c>
      <c r="U2361" t="s">
        <v>2754</v>
      </c>
      <c r="V2361" s="4">
        <v>0</v>
      </c>
      <c r="W2361" s="4">
        <v>1</v>
      </c>
    </row>
    <row r="2362" spans="1:23">
      <c r="A2362" t="s">
        <v>2495</v>
      </c>
      <c r="B2362" s="2">
        <v>46017</v>
      </c>
      <c r="C2362" t="s">
        <v>89</v>
      </c>
      <c r="D2362" t="s">
        <v>90</v>
      </c>
      <c r="E2362" t="s">
        <v>31</v>
      </c>
      <c r="F2362" t="s">
        <v>91</v>
      </c>
      <c r="G2362" t="s">
        <v>109</v>
      </c>
      <c r="H2362" t="s">
        <v>110</v>
      </c>
      <c r="I2362">
        <v>1</v>
      </c>
      <c r="J2362" s="3">
        <v>12841.12</v>
      </c>
      <c r="K2362" s="3">
        <v>12841.12</v>
      </c>
      <c r="L2362" t="s">
        <v>25</v>
      </c>
      <c r="M2362" s="2">
        <v>46022</v>
      </c>
      <c r="N2362" s="2">
        <v>46019</v>
      </c>
      <c r="O2362" t="s">
        <v>43</v>
      </c>
      <c r="P2362" t="s">
        <v>94</v>
      </c>
      <c r="Q2362" t="s">
        <v>28</v>
      </c>
      <c r="R2362" t="s">
        <v>29</v>
      </c>
      <c r="S2362">
        <v>2025</v>
      </c>
      <c r="T2362" t="s">
        <v>2745</v>
      </c>
      <c r="U2362" t="s">
        <v>2746</v>
      </c>
      <c r="V2362" s="4">
        <v>0</v>
      </c>
      <c r="W2362" s="4">
        <v>1</v>
      </c>
    </row>
    <row r="2363" spans="1:23">
      <c r="A2363" t="s">
        <v>2496</v>
      </c>
      <c r="B2363" s="2">
        <v>46097</v>
      </c>
      <c r="C2363" t="s">
        <v>71</v>
      </c>
      <c r="D2363" t="s">
        <v>72</v>
      </c>
      <c r="E2363" t="s">
        <v>48</v>
      </c>
      <c r="F2363" t="s">
        <v>57</v>
      </c>
      <c r="G2363" t="s">
        <v>58</v>
      </c>
      <c r="H2363" t="s">
        <v>59</v>
      </c>
      <c r="I2363">
        <v>8</v>
      </c>
      <c r="J2363" s="3">
        <v>52312.05</v>
      </c>
      <c r="K2363" s="3">
        <v>418496.4</v>
      </c>
      <c r="L2363" t="s">
        <v>25</v>
      </c>
      <c r="M2363" s="2">
        <v>46105</v>
      </c>
      <c r="N2363" s="2">
        <v>46104</v>
      </c>
      <c r="O2363" t="s">
        <v>76</v>
      </c>
      <c r="P2363" t="s">
        <v>53</v>
      </c>
      <c r="Q2363" t="s">
        <v>28</v>
      </c>
      <c r="R2363" t="s">
        <v>29</v>
      </c>
      <c r="S2363">
        <v>2026</v>
      </c>
      <c r="T2363" t="s">
        <v>2747</v>
      </c>
      <c r="U2363" t="s">
        <v>2755</v>
      </c>
      <c r="V2363" s="4">
        <v>0</v>
      </c>
      <c r="W2363" s="4">
        <v>1</v>
      </c>
    </row>
    <row r="2364" spans="1:23">
      <c r="A2364" t="s">
        <v>2497</v>
      </c>
      <c r="B2364" s="2">
        <v>45834</v>
      </c>
      <c r="C2364" t="s">
        <v>71</v>
      </c>
      <c r="D2364" t="s">
        <v>72</v>
      </c>
      <c r="E2364" t="s">
        <v>48</v>
      </c>
      <c r="F2364" t="s">
        <v>57</v>
      </c>
      <c r="G2364" t="s">
        <v>86</v>
      </c>
      <c r="H2364" t="s">
        <v>87</v>
      </c>
      <c r="I2364">
        <v>4</v>
      </c>
      <c r="J2364" s="3">
        <v>10189.16</v>
      </c>
      <c r="K2364" s="3">
        <v>40756.639999999999</v>
      </c>
      <c r="L2364" t="s">
        <v>34</v>
      </c>
      <c r="M2364" s="2">
        <v>45844</v>
      </c>
      <c r="N2364" s="2">
        <v>45842</v>
      </c>
      <c r="O2364" t="s">
        <v>76</v>
      </c>
      <c r="P2364" t="s">
        <v>53</v>
      </c>
      <c r="Q2364" t="s">
        <v>28</v>
      </c>
      <c r="R2364" t="s">
        <v>29</v>
      </c>
      <c r="S2364">
        <v>2025</v>
      </c>
      <c r="T2364" t="s">
        <v>2743</v>
      </c>
      <c r="U2364" t="s">
        <v>2756</v>
      </c>
      <c r="V2364" s="4">
        <v>0</v>
      </c>
      <c r="W2364" s="4">
        <v>1</v>
      </c>
    </row>
    <row r="2365" spans="1:23">
      <c r="A2365" t="s">
        <v>2498</v>
      </c>
      <c r="B2365" s="2">
        <v>45780</v>
      </c>
      <c r="C2365" t="s">
        <v>80</v>
      </c>
      <c r="D2365" t="s">
        <v>81</v>
      </c>
      <c r="E2365" t="s">
        <v>39</v>
      </c>
      <c r="F2365" t="s">
        <v>82</v>
      </c>
      <c r="G2365" t="s">
        <v>98</v>
      </c>
      <c r="H2365" t="s">
        <v>99</v>
      </c>
      <c r="I2365">
        <v>53</v>
      </c>
      <c r="J2365" s="3">
        <v>1090.4000000000001</v>
      </c>
      <c r="K2365" s="3">
        <v>57791.199999999997</v>
      </c>
      <c r="L2365" t="s">
        <v>25</v>
      </c>
      <c r="M2365" s="2">
        <v>45798</v>
      </c>
      <c r="N2365" s="2">
        <v>45797</v>
      </c>
      <c r="O2365" t="s">
        <v>76</v>
      </c>
      <c r="P2365" t="s">
        <v>64</v>
      </c>
      <c r="Q2365" t="s">
        <v>28</v>
      </c>
      <c r="R2365" t="s">
        <v>29</v>
      </c>
      <c r="S2365">
        <v>2025</v>
      </c>
      <c r="T2365" t="s">
        <v>2766</v>
      </c>
      <c r="U2365" t="s">
        <v>2767</v>
      </c>
      <c r="V2365" s="4">
        <v>0</v>
      </c>
      <c r="W2365" s="4">
        <v>1</v>
      </c>
    </row>
    <row r="2366" spans="1:23">
      <c r="A2366" t="s">
        <v>2499</v>
      </c>
      <c r="B2366" s="2">
        <v>46173</v>
      </c>
      <c r="C2366" t="s">
        <v>19</v>
      </c>
      <c r="D2366" t="s">
        <v>20</v>
      </c>
      <c r="E2366" t="s">
        <v>112</v>
      </c>
      <c r="F2366" t="s">
        <v>22</v>
      </c>
      <c r="G2366" t="s">
        <v>160</v>
      </c>
      <c r="H2366" t="s">
        <v>161</v>
      </c>
      <c r="I2366">
        <v>10</v>
      </c>
      <c r="J2366" s="3">
        <v>3074.5</v>
      </c>
      <c r="K2366" s="3">
        <v>30745</v>
      </c>
      <c r="L2366" t="s">
        <v>25</v>
      </c>
      <c r="M2366" s="2">
        <v>46182</v>
      </c>
      <c r="N2366" s="2">
        <v>46182</v>
      </c>
      <c r="O2366" t="s">
        <v>43</v>
      </c>
      <c r="P2366" t="s">
        <v>115</v>
      </c>
      <c r="Q2366" t="s">
        <v>28</v>
      </c>
      <c r="R2366" t="s">
        <v>29</v>
      </c>
      <c r="S2366">
        <v>2026</v>
      </c>
      <c r="T2366" t="s">
        <v>2766</v>
      </c>
      <c r="U2366" t="s">
        <v>2769</v>
      </c>
      <c r="V2366" s="4">
        <v>0</v>
      </c>
      <c r="W2366" s="4">
        <v>1</v>
      </c>
    </row>
    <row r="2367" spans="1:23">
      <c r="A2367" t="s">
        <v>2500</v>
      </c>
      <c r="B2367" s="2">
        <v>45962</v>
      </c>
      <c r="C2367" t="s">
        <v>142</v>
      </c>
      <c r="D2367" t="s">
        <v>143</v>
      </c>
      <c r="E2367" t="s">
        <v>73</v>
      </c>
      <c r="F2367" t="s">
        <v>22</v>
      </c>
      <c r="G2367" t="s">
        <v>32</v>
      </c>
      <c r="H2367" t="s">
        <v>33</v>
      </c>
      <c r="I2367">
        <v>2</v>
      </c>
      <c r="J2367" s="3">
        <v>7519.26</v>
      </c>
      <c r="K2367" s="3">
        <v>15038.52</v>
      </c>
      <c r="L2367" t="s">
        <v>34</v>
      </c>
      <c r="M2367" s="2">
        <v>45975</v>
      </c>
      <c r="N2367" s="2">
        <v>45975</v>
      </c>
      <c r="O2367" t="s">
        <v>43</v>
      </c>
      <c r="P2367" t="s">
        <v>77</v>
      </c>
      <c r="Q2367" t="s">
        <v>28</v>
      </c>
      <c r="R2367" t="s">
        <v>29</v>
      </c>
      <c r="S2367">
        <v>2025</v>
      </c>
      <c r="T2367" t="s">
        <v>2763</v>
      </c>
      <c r="U2367" t="s">
        <v>2764</v>
      </c>
      <c r="V2367" s="4">
        <v>0</v>
      </c>
      <c r="W2367" s="4">
        <v>1</v>
      </c>
    </row>
    <row r="2368" spans="1:23">
      <c r="A2368" t="s">
        <v>2501</v>
      </c>
      <c r="B2368" s="2">
        <v>46116</v>
      </c>
      <c r="C2368" t="s">
        <v>71</v>
      </c>
      <c r="D2368" t="s">
        <v>72</v>
      </c>
      <c r="E2368" t="s">
        <v>31</v>
      </c>
      <c r="F2368" t="s">
        <v>57</v>
      </c>
      <c r="G2368" t="s">
        <v>101</v>
      </c>
      <c r="H2368" t="s">
        <v>102</v>
      </c>
      <c r="I2368">
        <v>39</v>
      </c>
      <c r="J2368" s="3">
        <v>1699.52</v>
      </c>
      <c r="K2368" s="3">
        <v>66281.279999999999</v>
      </c>
      <c r="L2368" t="s">
        <v>25</v>
      </c>
      <c r="M2368" s="2">
        <v>46128</v>
      </c>
      <c r="N2368" s="2">
        <v>46127</v>
      </c>
      <c r="O2368" t="s">
        <v>43</v>
      </c>
      <c r="P2368" t="s">
        <v>35</v>
      </c>
      <c r="Q2368" t="s">
        <v>28</v>
      </c>
      <c r="R2368" t="s">
        <v>29</v>
      </c>
      <c r="S2368">
        <v>2026</v>
      </c>
      <c r="T2368" t="s">
        <v>2741</v>
      </c>
      <c r="U2368" t="s">
        <v>2770</v>
      </c>
      <c r="V2368" s="4">
        <v>0</v>
      </c>
      <c r="W2368" s="4">
        <v>1</v>
      </c>
    </row>
    <row r="2369" spans="1:23">
      <c r="A2369" t="s">
        <v>2502</v>
      </c>
      <c r="B2369" s="2">
        <v>45669</v>
      </c>
      <c r="C2369" t="s">
        <v>142</v>
      </c>
      <c r="D2369" t="s">
        <v>143</v>
      </c>
      <c r="E2369" t="s">
        <v>39</v>
      </c>
      <c r="F2369" t="s">
        <v>22</v>
      </c>
      <c r="G2369" t="s">
        <v>160</v>
      </c>
      <c r="H2369" t="s">
        <v>161</v>
      </c>
      <c r="I2369">
        <v>8</v>
      </c>
      <c r="J2369" s="3">
        <v>3112.28</v>
      </c>
      <c r="K2369" s="3">
        <v>24898.240000000002</v>
      </c>
      <c r="L2369" t="s">
        <v>25</v>
      </c>
      <c r="M2369" s="2">
        <v>45678</v>
      </c>
      <c r="N2369" s="2">
        <v>45677</v>
      </c>
      <c r="O2369" t="s">
        <v>26</v>
      </c>
      <c r="P2369" t="s">
        <v>64</v>
      </c>
      <c r="Q2369" t="s">
        <v>28</v>
      </c>
      <c r="R2369" t="s">
        <v>29</v>
      </c>
      <c r="S2369">
        <v>2025</v>
      </c>
      <c r="T2369" t="s">
        <v>2757</v>
      </c>
      <c r="U2369" t="s">
        <v>2768</v>
      </c>
      <c r="V2369" s="4">
        <v>0</v>
      </c>
      <c r="W2369" s="4">
        <v>1</v>
      </c>
    </row>
    <row r="2370" spans="1:23">
      <c r="A2370" t="s">
        <v>2503</v>
      </c>
      <c r="B2370" s="2">
        <v>45702</v>
      </c>
      <c r="C2370" t="s">
        <v>142</v>
      </c>
      <c r="D2370" t="s">
        <v>143</v>
      </c>
      <c r="E2370" t="s">
        <v>39</v>
      </c>
      <c r="F2370" t="s">
        <v>22</v>
      </c>
      <c r="G2370" t="s">
        <v>23</v>
      </c>
      <c r="H2370" t="s">
        <v>24</v>
      </c>
      <c r="I2370">
        <v>9</v>
      </c>
      <c r="J2370" s="3">
        <v>243.91</v>
      </c>
      <c r="K2370" s="3">
        <v>2195.19</v>
      </c>
      <c r="L2370" t="s">
        <v>25</v>
      </c>
      <c r="M2370" s="2">
        <v>45707</v>
      </c>
      <c r="N2370" s="2">
        <v>45707</v>
      </c>
      <c r="O2370" t="s">
        <v>26</v>
      </c>
      <c r="P2370" t="s">
        <v>44</v>
      </c>
      <c r="Q2370" t="s">
        <v>28</v>
      </c>
      <c r="R2370" t="s">
        <v>29</v>
      </c>
      <c r="S2370">
        <v>2025</v>
      </c>
      <c r="T2370" t="s">
        <v>2751</v>
      </c>
      <c r="U2370" t="s">
        <v>2752</v>
      </c>
      <c r="V2370" s="4">
        <v>0</v>
      </c>
      <c r="W2370" s="4">
        <v>1</v>
      </c>
    </row>
    <row r="2371" spans="1:23">
      <c r="A2371" t="s">
        <v>2504</v>
      </c>
      <c r="B2371" s="2">
        <v>46033</v>
      </c>
      <c r="C2371" t="s">
        <v>104</v>
      </c>
      <c r="D2371" t="s">
        <v>105</v>
      </c>
      <c r="E2371" t="s">
        <v>48</v>
      </c>
      <c r="F2371" t="s">
        <v>49</v>
      </c>
      <c r="G2371" t="s">
        <v>50</v>
      </c>
      <c r="H2371" t="s">
        <v>51</v>
      </c>
      <c r="I2371">
        <v>1</v>
      </c>
      <c r="J2371" s="3">
        <v>52130.64</v>
      </c>
      <c r="K2371" s="3">
        <v>52130.64</v>
      </c>
      <c r="L2371" t="s">
        <v>34</v>
      </c>
      <c r="M2371" s="2">
        <v>46048</v>
      </c>
      <c r="N2371" s="2">
        <v>46047</v>
      </c>
      <c r="O2371" t="s">
        <v>76</v>
      </c>
      <c r="P2371" t="s">
        <v>53</v>
      </c>
      <c r="Q2371" t="s">
        <v>28</v>
      </c>
      <c r="R2371" t="s">
        <v>29</v>
      </c>
      <c r="S2371">
        <v>2026</v>
      </c>
      <c r="T2371" t="s">
        <v>2757</v>
      </c>
      <c r="U2371" t="s">
        <v>2758</v>
      </c>
      <c r="V2371" s="4">
        <v>0</v>
      </c>
      <c r="W2371" s="4">
        <v>1</v>
      </c>
    </row>
    <row r="2372" spans="1:23">
      <c r="A2372" t="s">
        <v>2505</v>
      </c>
      <c r="B2372" s="2">
        <v>46133</v>
      </c>
      <c r="C2372" t="s">
        <v>147</v>
      </c>
      <c r="D2372" t="s">
        <v>148</v>
      </c>
      <c r="E2372" t="s">
        <v>39</v>
      </c>
      <c r="F2372" t="s">
        <v>40</v>
      </c>
      <c r="G2372" t="s">
        <v>41</v>
      </c>
      <c r="H2372" t="s">
        <v>42</v>
      </c>
      <c r="I2372">
        <v>10</v>
      </c>
      <c r="J2372" s="3">
        <v>5350.23</v>
      </c>
      <c r="K2372" s="3">
        <v>53502.3</v>
      </c>
      <c r="L2372" t="s">
        <v>34</v>
      </c>
      <c r="M2372" s="2">
        <v>46150</v>
      </c>
      <c r="N2372" s="2">
        <v>46147</v>
      </c>
      <c r="O2372" t="s">
        <v>60</v>
      </c>
      <c r="P2372" t="s">
        <v>44</v>
      </c>
      <c r="Q2372" t="s">
        <v>28</v>
      </c>
      <c r="R2372" t="s">
        <v>29</v>
      </c>
      <c r="S2372">
        <v>2026</v>
      </c>
      <c r="T2372" t="s">
        <v>2741</v>
      </c>
      <c r="U2372" t="s">
        <v>2770</v>
      </c>
      <c r="V2372" s="4">
        <v>0</v>
      </c>
      <c r="W2372" s="4">
        <v>1</v>
      </c>
    </row>
    <row r="2373" spans="1:23">
      <c r="A2373" t="s">
        <v>2506</v>
      </c>
      <c r="B2373" s="2">
        <v>46091</v>
      </c>
      <c r="C2373" t="s">
        <v>104</v>
      </c>
      <c r="D2373" t="s">
        <v>105</v>
      </c>
      <c r="E2373" t="s">
        <v>73</v>
      </c>
      <c r="F2373" t="s">
        <v>49</v>
      </c>
      <c r="G2373" t="s">
        <v>113</v>
      </c>
      <c r="H2373" t="s">
        <v>114</v>
      </c>
      <c r="I2373">
        <v>1</v>
      </c>
      <c r="J2373" s="3">
        <v>38122.910000000003</v>
      </c>
      <c r="K2373" s="3">
        <v>38122.910000000003</v>
      </c>
      <c r="L2373" t="s">
        <v>25</v>
      </c>
      <c r="M2373" s="2">
        <v>46098</v>
      </c>
      <c r="N2373" s="2">
        <v>46098</v>
      </c>
      <c r="O2373" t="s">
        <v>26</v>
      </c>
      <c r="P2373" t="s">
        <v>77</v>
      </c>
      <c r="Q2373" t="s">
        <v>28</v>
      </c>
      <c r="R2373" t="s">
        <v>29</v>
      </c>
      <c r="S2373">
        <v>2026</v>
      </c>
      <c r="T2373" t="s">
        <v>2747</v>
      </c>
      <c r="U2373" t="s">
        <v>2755</v>
      </c>
      <c r="V2373" s="4">
        <v>0</v>
      </c>
      <c r="W2373" s="4">
        <v>1</v>
      </c>
    </row>
    <row r="2374" spans="1:23">
      <c r="A2374" t="s">
        <v>2507</v>
      </c>
      <c r="B2374" s="2">
        <v>45822</v>
      </c>
      <c r="C2374" t="s">
        <v>89</v>
      </c>
      <c r="D2374" t="s">
        <v>90</v>
      </c>
      <c r="E2374" t="s">
        <v>31</v>
      </c>
      <c r="F2374" t="s">
        <v>91</v>
      </c>
      <c r="G2374" t="s">
        <v>92</v>
      </c>
      <c r="H2374" t="s">
        <v>93</v>
      </c>
      <c r="I2374">
        <v>1</v>
      </c>
      <c r="J2374" s="3">
        <v>40761.919999999998</v>
      </c>
      <c r="K2374" s="3">
        <v>40761.919999999998</v>
      </c>
      <c r="L2374" t="s">
        <v>52</v>
      </c>
      <c r="M2374" s="2">
        <v>45832</v>
      </c>
      <c r="N2374" s="2">
        <v>45829</v>
      </c>
      <c r="O2374" t="s">
        <v>43</v>
      </c>
      <c r="P2374" t="s">
        <v>35</v>
      </c>
      <c r="Q2374" t="s">
        <v>28</v>
      </c>
      <c r="R2374" t="s">
        <v>29</v>
      </c>
      <c r="S2374">
        <v>2025</v>
      </c>
      <c r="T2374" t="s">
        <v>2743</v>
      </c>
      <c r="U2374" t="s">
        <v>2756</v>
      </c>
      <c r="V2374" s="4">
        <v>0</v>
      </c>
      <c r="W2374" s="4">
        <v>1</v>
      </c>
    </row>
    <row r="2375" spans="1:23">
      <c r="A2375" t="s">
        <v>2508</v>
      </c>
      <c r="B2375" s="2">
        <v>45886</v>
      </c>
      <c r="C2375" t="s">
        <v>19</v>
      </c>
      <c r="D2375" t="s">
        <v>20</v>
      </c>
      <c r="E2375" t="s">
        <v>31</v>
      </c>
      <c r="F2375" t="s">
        <v>22</v>
      </c>
      <c r="G2375" t="s">
        <v>23</v>
      </c>
      <c r="H2375" t="s">
        <v>24</v>
      </c>
      <c r="I2375">
        <v>47</v>
      </c>
      <c r="J2375" s="3">
        <v>238.72</v>
      </c>
      <c r="K2375" s="3">
        <v>11219.84</v>
      </c>
      <c r="L2375" t="s">
        <v>25</v>
      </c>
      <c r="M2375" s="2">
        <v>45897</v>
      </c>
      <c r="N2375" s="2">
        <v>45897</v>
      </c>
      <c r="O2375" t="s">
        <v>43</v>
      </c>
      <c r="P2375" t="s">
        <v>35</v>
      </c>
      <c r="Q2375" t="s">
        <v>28</v>
      </c>
      <c r="R2375" t="s">
        <v>29</v>
      </c>
      <c r="S2375">
        <v>2025</v>
      </c>
      <c r="T2375" t="s">
        <v>2761</v>
      </c>
      <c r="U2375" t="s">
        <v>2762</v>
      </c>
      <c r="V2375" s="4">
        <v>0</v>
      </c>
      <c r="W2375" s="4">
        <v>1</v>
      </c>
    </row>
    <row r="2376" spans="1:23">
      <c r="A2376" t="s">
        <v>2509</v>
      </c>
      <c r="B2376" s="2">
        <v>46180</v>
      </c>
      <c r="C2376" t="s">
        <v>80</v>
      </c>
      <c r="D2376" t="s">
        <v>81</v>
      </c>
      <c r="E2376" t="s">
        <v>39</v>
      </c>
      <c r="F2376" t="s">
        <v>82</v>
      </c>
      <c r="G2376" t="s">
        <v>83</v>
      </c>
      <c r="H2376" t="s">
        <v>84</v>
      </c>
      <c r="I2376">
        <v>25</v>
      </c>
      <c r="J2376" s="3">
        <v>689.84</v>
      </c>
      <c r="K2376" s="3">
        <v>17246</v>
      </c>
      <c r="L2376" t="s">
        <v>25</v>
      </c>
      <c r="M2376" s="2">
        <v>46188</v>
      </c>
      <c r="N2376" s="2">
        <v>46187</v>
      </c>
      <c r="O2376" t="s">
        <v>76</v>
      </c>
      <c r="P2376" t="s">
        <v>44</v>
      </c>
      <c r="Q2376" t="s">
        <v>28</v>
      </c>
      <c r="R2376" t="s">
        <v>29</v>
      </c>
      <c r="S2376">
        <v>2026</v>
      </c>
      <c r="T2376" t="s">
        <v>2743</v>
      </c>
      <c r="U2376" t="s">
        <v>2744</v>
      </c>
      <c r="V2376" s="4">
        <v>0</v>
      </c>
      <c r="W2376" s="4">
        <v>1</v>
      </c>
    </row>
    <row r="2377" spans="1:23">
      <c r="A2377" t="s">
        <v>2510</v>
      </c>
      <c r="B2377" s="2">
        <v>45845</v>
      </c>
      <c r="C2377" t="s">
        <v>104</v>
      </c>
      <c r="D2377" t="s">
        <v>105</v>
      </c>
      <c r="E2377" t="s">
        <v>48</v>
      </c>
      <c r="F2377" t="s">
        <v>49</v>
      </c>
      <c r="G2377" t="s">
        <v>165</v>
      </c>
      <c r="H2377" t="s">
        <v>166</v>
      </c>
      <c r="I2377">
        <v>3</v>
      </c>
      <c r="J2377" s="3">
        <v>44862.84</v>
      </c>
      <c r="K2377" s="3">
        <v>134588.51999999999</v>
      </c>
      <c r="L2377" t="s">
        <v>25</v>
      </c>
      <c r="M2377" s="2">
        <v>45855</v>
      </c>
      <c r="N2377" s="2">
        <v>45852</v>
      </c>
      <c r="O2377" t="s">
        <v>43</v>
      </c>
      <c r="P2377" t="s">
        <v>53</v>
      </c>
      <c r="Q2377" t="s">
        <v>28</v>
      </c>
      <c r="R2377" t="s">
        <v>29</v>
      </c>
      <c r="S2377">
        <v>2025</v>
      </c>
      <c r="T2377" t="s">
        <v>2759</v>
      </c>
      <c r="U2377" t="s">
        <v>2760</v>
      </c>
      <c r="V2377" s="4">
        <v>0</v>
      </c>
      <c r="W2377" s="4">
        <v>1</v>
      </c>
    </row>
    <row r="2378" spans="1:23">
      <c r="A2378" t="s">
        <v>2511</v>
      </c>
      <c r="B2378" s="2">
        <v>45734</v>
      </c>
      <c r="C2378" t="s">
        <v>96</v>
      </c>
      <c r="D2378" t="s">
        <v>97</v>
      </c>
      <c r="E2378" t="s">
        <v>39</v>
      </c>
      <c r="F2378" t="s">
        <v>82</v>
      </c>
      <c r="G2378" t="s">
        <v>197</v>
      </c>
      <c r="H2378" t="s">
        <v>198</v>
      </c>
      <c r="I2378">
        <v>27</v>
      </c>
      <c r="J2378" s="3">
        <v>2046.69</v>
      </c>
      <c r="K2378" s="3">
        <v>55260.63</v>
      </c>
      <c r="L2378" t="s">
        <v>34</v>
      </c>
      <c r="M2378" s="2">
        <v>45744</v>
      </c>
      <c r="N2378" s="2">
        <v>45742</v>
      </c>
      <c r="O2378" t="s">
        <v>26</v>
      </c>
      <c r="P2378" t="s">
        <v>44</v>
      </c>
      <c r="Q2378" t="s">
        <v>28</v>
      </c>
      <c r="R2378" t="s">
        <v>29</v>
      </c>
      <c r="S2378">
        <v>2025</v>
      </c>
      <c r="T2378" t="s">
        <v>2747</v>
      </c>
      <c r="U2378" t="s">
        <v>2748</v>
      </c>
      <c r="V2378" s="4">
        <v>0</v>
      </c>
      <c r="W2378" s="4">
        <v>1</v>
      </c>
    </row>
    <row r="2379" spans="1:23">
      <c r="A2379" t="s">
        <v>2512</v>
      </c>
      <c r="B2379" s="2">
        <v>45931</v>
      </c>
      <c r="C2379" t="s">
        <v>71</v>
      </c>
      <c r="D2379" t="s">
        <v>72</v>
      </c>
      <c r="E2379" t="s">
        <v>48</v>
      </c>
      <c r="F2379" t="s">
        <v>57</v>
      </c>
      <c r="G2379" t="s">
        <v>74</v>
      </c>
      <c r="H2379" t="s">
        <v>75</v>
      </c>
      <c r="I2379">
        <v>12</v>
      </c>
      <c r="J2379" s="3">
        <v>8444.4699999999993</v>
      </c>
      <c r="K2379" s="3">
        <v>101333.64</v>
      </c>
      <c r="L2379" t="s">
        <v>25</v>
      </c>
      <c r="M2379" s="2">
        <v>45945</v>
      </c>
      <c r="N2379" s="2">
        <v>45942</v>
      </c>
      <c r="O2379" t="s">
        <v>26</v>
      </c>
      <c r="P2379" t="s">
        <v>53</v>
      </c>
      <c r="Q2379" t="s">
        <v>28</v>
      </c>
      <c r="R2379" t="s">
        <v>29</v>
      </c>
      <c r="S2379">
        <v>2025</v>
      </c>
      <c r="T2379" t="s">
        <v>2749</v>
      </c>
      <c r="U2379" t="s">
        <v>2750</v>
      </c>
      <c r="V2379" s="4">
        <v>0</v>
      </c>
      <c r="W2379" s="4">
        <v>1</v>
      </c>
    </row>
    <row r="2380" spans="1:23">
      <c r="A2380" t="s">
        <v>2513</v>
      </c>
      <c r="B2380" s="2">
        <v>45975</v>
      </c>
      <c r="C2380" t="s">
        <v>142</v>
      </c>
      <c r="D2380" t="s">
        <v>143</v>
      </c>
      <c r="E2380" t="s">
        <v>112</v>
      </c>
      <c r="F2380" t="s">
        <v>22</v>
      </c>
      <c r="G2380" t="s">
        <v>23</v>
      </c>
      <c r="H2380" t="s">
        <v>24</v>
      </c>
      <c r="I2380">
        <v>33</v>
      </c>
      <c r="J2380" s="3">
        <v>251.78</v>
      </c>
      <c r="K2380" s="3">
        <v>8308.74</v>
      </c>
      <c r="L2380" t="s">
        <v>52</v>
      </c>
      <c r="M2380" s="2">
        <v>45985</v>
      </c>
      <c r="N2380" s="2">
        <v>45985</v>
      </c>
      <c r="O2380" t="s">
        <v>76</v>
      </c>
      <c r="P2380" t="s">
        <v>115</v>
      </c>
      <c r="Q2380" t="s">
        <v>28</v>
      </c>
      <c r="R2380" t="s">
        <v>29</v>
      </c>
      <c r="S2380">
        <v>2025</v>
      </c>
      <c r="T2380" t="s">
        <v>2763</v>
      </c>
      <c r="U2380" t="s">
        <v>2764</v>
      </c>
      <c r="V2380" s="4">
        <v>0</v>
      </c>
      <c r="W2380" s="4">
        <v>1</v>
      </c>
    </row>
    <row r="2381" spans="1:23">
      <c r="A2381" t="s">
        <v>2514</v>
      </c>
      <c r="B2381" s="2">
        <v>45976</v>
      </c>
      <c r="C2381" t="s">
        <v>142</v>
      </c>
      <c r="D2381" t="s">
        <v>143</v>
      </c>
      <c r="E2381" t="s">
        <v>73</v>
      </c>
      <c r="F2381" t="s">
        <v>22</v>
      </c>
      <c r="G2381" t="s">
        <v>32</v>
      </c>
      <c r="H2381" t="s">
        <v>33</v>
      </c>
      <c r="I2381">
        <v>3</v>
      </c>
      <c r="J2381" s="3">
        <v>8155.63</v>
      </c>
      <c r="K2381" s="3">
        <v>24466.89</v>
      </c>
      <c r="L2381" t="s">
        <v>25</v>
      </c>
      <c r="M2381" s="2">
        <v>45987</v>
      </c>
      <c r="N2381" s="2">
        <v>45985</v>
      </c>
      <c r="O2381" t="s">
        <v>60</v>
      </c>
      <c r="P2381" t="s">
        <v>77</v>
      </c>
      <c r="Q2381" t="s">
        <v>28</v>
      </c>
      <c r="R2381" t="s">
        <v>29</v>
      </c>
      <c r="S2381">
        <v>2025</v>
      </c>
      <c r="T2381" t="s">
        <v>2763</v>
      </c>
      <c r="U2381" t="s">
        <v>2764</v>
      </c>
      <c r="V2381" s="4">
        <v>0</v>
      </c>
      <c r="W2381" s="4">
        <v>1</v>
      </c>
    </row>
    <row r="2382" spans="1:23">
      <c r="A2382" t="s">
        <v>2515</v>
      </c>
      <c r="B2382" s="2">
        <v>45922</v>
      </c>
      <c r="C2382" t="s">
        <v>37</v>
      </c>
      <c r="D2382" t="s">
        <v>38</v>
      </c>
      <c r="E2382" t="s">
        <v>73</v>
      </c>
      <c r="F2382" t="s">
        <v>22</v>
      </c>
      <c r="G2382" t="s">
        <v>23</v>
      </c>
      <c r="H2382" t="s">
        <v>24</v>
      </c>
      <c r="I2382">
        <v>37</v>
      </c>
      <c r="J2382" s="3">
        <v>274.77999999999997</v>
      </c>
      <c r="K2382" s="3">
        <v>10166.86</v>
      </c>
      <c r="L2382" t="s">
        <v>25</v>
      </c>
      <c r="M2382" s="2">
        <v>45934</v>
      </c>
      <c r="N2382" s="2">
        <v>45934</v>
      </c>
      <c r="O2382" t="s">
        <v>26</v>
      </c>
      <c r="P2382" t="s">
        <v>77</v>
      </c>
      <c r="Q2382" t="s">
        <v>28</v>
      </c>
      <c r="R2382" t="s">
        <v>29</v>
      </c>
      <c r="S2382">
        <v>2025</v>
      </c>
      <c r="T2382" t="s">
        <v>2753</v>
      </c>
      <c r="U2382" t="s">
        <v>2754</v>
      </c>
      <c r="V2382" s="4">
        <v>0</v>
      </c>
      <c r="W2382" s="4">
        <v>1</v>
      </c>
    </row>
    <row r="2383" spans="1:23">
      <c r="A2383" t="s">
        <v>2516</v>
      </c>
      <c r="B2383" s="2">
        <v>45950</v>
      </c>
      <c r="C2383" t="s">
        <v>142</v>
      </c>
      <c r="D2383" t="s">
        <v>143</v>
      </c>
      <c r="E2383" t="s">
        <v>39</v>
      </c>
      <c r="F2383" t="s">
        <v>22</v>
      </c>
      <c r="G2383" t="s">
        <v>160</v>
      </c>
      <c r="H2383" t="s">
        <v>161</v>
      </c>
      <c r="I2383">
        <v>7</v>
      </c>
      <c r="J2383" s="3">
        <v>3111.31</v>
      </c>
      <c r="K2383" s="3">
        <v>21779.17</v>
      </c>
      <c r="L2383" t="s">
        <v>34</v>
      </c>
      <c r="M2383" s="2">
        <v>45965</v>
      </c>
      <c r="N2383" s="2">
        <v>45962</v>
      </c>
      <c r="O2383" t="s">
        <v>76</v>
      </c>
      <c r="P2383" t="s">
        <v>64</v>
      </c>
      <c r="Q2383" t="s">
        <v>28</v>
      </c>
      <c r="R2383" t="s">
        <v>29</v>
      </c>
      <c r="S2383">
        <v>2025</v>
      </c>
      <c r="T2383" t="s">
        <v>2749</v>
      </c>
      <c r="U2383" t="s">
        <v>2750</v>
      </c>
      <c r="V2383" s="4">
        <v>0</v>
      </c>
      <c r="W2383" s="4">
        <v>1</v>
      </c>
    </row>
    <row r="2384" spans="1:23">
      <c r="A2384" t="s">
        <v>2517</v>
      </c>
      <c r="B2384" s="2">
        <v>45876</v>
      </c>
      <c r="C2384" t="s">
        <v>37</v>
      </c>
      <c r="D2384" t="s">
        <v>38</v>
      </c>
      <c r="E2384" t="s">
        <v>39</v>
      </c>
      <c r="F2384" t="s">
        <v>22</v>
      </c>
      <c r="G2384" t="s">
        <v>32</v>
      </c>
      <c r="H2384" t="s">
        <v>33</v>
      </c>
      <c r="I2384">
        <v>8</v>
      </c>
      <c r="J2384" s="3">
        <v>8615.17</v>
      </c>
      <c r="K2384" s="3">
        <v>68921.36</v>
      </c>
      <c r="L2384" t="s">
        <v>25</v>
      </c>
      <c r="M2384" s="2">
        <v>45890</v>
      </c>
      <c r="N2384" s="2">
        <v>45889</v>
      </c>
      <c r="O2384" t="s">
        <v>26</v>
      </c>
      <c r="P2384" t="s">
        <v>44</v>
      </c>
      <c r="Q2384" t="s">
        <v>28</v>
      </c>
      <c r="R2384" t="s">
        <v>29</v>
      </c>
      <c r="S2384">
        <v>2025</v>
      </c>
      <c r="T2384" t="s">
        <v>2761</v>
      </c>
      <c r="U2384" t="s">
        <v>2762</v>
      </c>
      <c r="V2384" s="4">
        <v>0</v>
      </c>
      <c r="W2384" s="4">
        <v>1</v>
      </c>
    </row>
    <row r="2385" spans="1:23">
      <c r="A2385" t="s">
        <v>2518</v>
      </c>
      <c r="B2385" s="2">
        <v>46136</v>
      </c>
      <c r="C2385" t="s">
        <v>37</v>
      </c>
      <c r="D2385" t="s">
        <v>38</v>
      </c>
      <c r="E2385" t="s">
        <v>112</v>
      </c>
      <c r="F2385" t="s">
        <v>22</v>
      </c>
      <c r="G2385" t="s">
        <v>23</v>
      </c>
      <c r="H2385" t="s">
        <v>24</v>
      </c>
      <c r="I2385">
        <v>8</v>
      </c>
      <c r="J2385" s="3">
        <v>283.77</v>
      </c>
      <c r="K2385" s="3">
        <v>2270.16</v>
      </c>
      <c r="L2385" t="s">
        <v>25</v>
      </c>
      <c r="M2385" s="2">
        <v>46142</v>
      </c>
      <c r="N2385" s="2">
        <v>46140</v>
      </c>
      <c r="O2385" t="s">
        <v>26</v>
      </c>
      <c r="P2385" t="s">
        <v>115</v>
      </c>
      <c r="Q2385" t="s">
        <v>28</v>
      </c>
      <c r="R2385" t="s">
        <v>29</v>
      </c>
      <c r="S2385">
        <v>2026</v>
      </c>
      <c r="T2385" t="s">
        <v>2741</v>
      </c>
      <c r="U2385" t="s">
        <v>2770</v>
      </c>
      <c r="V2385" s="4">
        <v>0</v>
      </c>
      <c r="W2385" s="4">
        <v>1</v>
      </c>
    </row>
    <row r="2386" spans="1:23">
      <c r="A2386" t="s">
        <v>2519</v>
      </c>
      <c r="B2386" s="2">
        <v>45757</v>
      </c>
      <c r="C2386" t="s">
        <v>134</v>
      </c>
      <c r="D2386" t="s">
        <v>135</v>
      </c>
      <c r="E2386" t="s">
        <v>39</v>
      </c>
      <c r="F2386" t="s">
        <v>40</v>
      </c>
      <c r="G2386" t="s">
        <v>136</v>
      </c>
      <c r="H2386" t="s">
        <v>137</v>
      </c>
      <c r="I2386">
        <v>35</v>
      </c>
      <c r="J2386" s="3">
        <v>1717.28</v>
      </c>
      <c r="K2386" s="3">
        <v>60104.800000000003</v>
      </c>
      <c r="L2386" t="s">
        <v>25</v>
      </c>
      <c r="M2386" s="2">
        <v>45762</v>
      </c>
      <c r="N2386" s="2">
        <v>45768</v>
      </c>
      <c r="O2386" t="s">
        <v>60</v>
      </c>
      <c r="P2386" t="s">
        <v>44</v>
      </c>
      <c r="Q2386" t="s">
        <v>28</v>
      </c>
      <c r="R2386" t="s">
        <v>129</v>
      </c>
      <c r="S2386">
        <v>2025</v>
      </c>
      <c r="T2386" t="s">
        <v>2741</v>
      </c>
      <c r="U2386" t="s">
        <v>2742</v>
      </c>
      <c r="V2386" s="4">
        <v>6</v>
      </c>
      <c r="W2386" s="4">
        <v>0</v>
      </c>
    </row>
    <row r="2387" spans="1:23">
      <c r="A2387" t="s">
        <v>2520</v>
      </c>
      <c r="B2387" s="2">
        <v>45816</v>
      </c>
      <c r="C2387" t="s">
        <v>55</v>
      </c>
      <c r="D2387" t="s">
        <v>56</v>
      </c>
      <c r="E2387" t="s">
        <v>73</v>
      </c>
      <c r="F2387" t="s">
        <v>57</v>
      </c>
      <c r="G2387" t="s">
        <v>74</v>
      </c>
      <c r="H2387" t="s">
        <v>75</v>
      </c>
      <c r="I2387">
        <v>13</v>
      </c>
      <c r="J2387" s="3">
        <v>10068.81</v>
      </c>
      <c r="K2387" s="3">
        <v>130894.53</v>
      </c>
      <c r="L2387" t="s">
        <v>25</v>
      </c>
      <c r="M2387" s="2">
        <v>45833</v>
      </c>
      <c r="N2387" s="2">
        <v>45832</v>
      </c>
      <c r="O2387" t="s">
        <v>76</v>
      </c>
      <c r="P2387" t="s">
        <v>77</v>
      </c>
      <c r="Q2387" t="s">
        <v>28</v>
      </c>
      <c r="R2387" t="s">
        <v>29</v>
      </c>
      <c r="S2387">
        <v>2025</v>
      </c>
      <c r="T2387" t="s">
        <v>2743</v>
      </c>
      <c r="U2387" t="s">
        <v>2756</v>
      </c>
      <c r="V2387" s="4">
        <v>0</v>
      </c>
      <c r="W2387" s="4">
        <v>1</v>
      </c>
    </row>
    <row r="2388" spans="1:23">
      <c r="A2388" t="s">
        <v>2521</v>
      </c>
      <c r="B2388" s="2">
        <v>45816</v>
      </c>
      <c r="C2388" t="s">
        <v>37</v>
      </c>
      <c r="D2388" t="s">
        <v>38</v>
      </c>
      <c r="E2388" t="s">
        <v>39</v>
      </c>
      <c r="F2388" t="s">
        <v>40</v>
      </c>
      <c r="G2388" t="s">
        <v>136</v>
      </c>
      <c r="H2388" t="s">
        <v>137</v>
      </c>
      <c r="I2388">
        <v>42</v>
      </c>
      <c r="J2388" s="3">
        <v>1705.44</v>
      </c>
      <c r="K2388" s="3">
        <v>71628.479999999996</v>
      </c>
      <c r="L2388" t="s">
        <v>34</v>
      </c>
      <c r="M2388" s="2">
        <v>45834</v>
      </c>
      <c r="N2388" s="2">
        <v>45834</v>
      </c>
      <c r="O2388" t="s">
        <v>43</v>
      </c>
      <c r="P2388" t="s">
        <v>44</v>
      </c>
      <c r="Q2388" t="s">
        <v>28</v>
      </c>
      <c r="R2388" t="s">
        <v>29</v>
      </c>
      <c r="S2388">
        <v>2025</v>
      </c>
      <c r="T2388" t="s">
        <v>2743</v>
      </c>
      <c r="U2388" t="s">
        <v>2756</v>
      </c>
      <c r="V2388" s="4">
        <v>0</v>
      </c>
      <c r="W2388" s="4">
        <v>1</v>
      </c>
    </row>
    <row r="2389" spans="1:23">
      <c r="A2389" t="s">
        <v>2522</v>
      </c>
      <c r="B2389" s="2">
        <v>45669</v>
      </c>
      <c r="C2389" t="s">
        <v>104</v>
      </c>
      <c r="D2389" t="s">
        <v>105</v>
      </c>
      <c r="E2389" t="s">
        <v>21</v>
      </c>
      <c r="F2389" t="s">
        <v>49</v>
      </c>
      <c r="G2389" t="s">
        <v>50</v>
      </c>
      <c r="H2389" t="s">
        <v>51</v>
      </c>
      <c r="I2389">
        <v>1</v>
      </c>
      <c r="J2389" s="3">
        <v>50074.67</v>
      </c>
      <c r="K2389" s="3">
        <v>50074.67</v>
      </c>
      <c r="L2389" t="s">
        <v>25</v>
      </c>
      <c r="M2389" s="2">
        <v>45676</v>
      </c>
      <c r="N2389" s="2">
        <v>45674</v>
      </c>
      <c r="O2389" t="s">
        <v>60</v>
      </c>
      <c r="P2389" t="s">
        <v>27</v>
      </c>
      <c r="Q2389" t="s">
        <v>28</v>
      </c>
      <c r="R2389" t="s">
        <v>29</v>
      </c>
      <c r="S2389">
        <v>2025</v>
      </c>
      <c r="T2389" t="s">
        <v>2757</v>
      </c>
      <c r="U2389" t="s">
        <v>2768</v>
      </c>
      <c r="V2389" s="4">
        <v>0</v>
      </c>
      <c r="W2389" s="4">
        <v>1</v>
      </c>
    </row>
    <row r="2390" spans="1:23">
      <c r="A2390" t="s">
        <v>2523</v>
      </c>
      <c r="B2390" s="2">
        <v>45981</v>
      </c>
      <c r="C2390" t="s">
        <v>147</v>
      </c>
      <c r="D2390" t="s">
        <v>148</v>
      </c>
      <c r="E2390" t="s">
        <v>39</v>
      </c>
      <c r="F2390" t="s">
        <v>40</v>
      </c>
      <c r="G2390" t="s">
        <v>41</v>
      </c>
      <c r="H2390" t="s">
        <v>42</v>
      </c>
      <c r="I2390">
        <v>13</v>
      </c>
      <c r="J2390" s="3">
        <v>5122.5200000000004</v>
      </c>
      <c r="K2390" s="3">
        <v>66592.759999999995</v>
      </c>
      <c r="L2390" t="s">
        <v>25</v>
      </c>
      <c r="M2390" s="2">
        <v>45995</v>
      </c>
      <c r="N2390" s="2">
        <v>45993</v>
      </c>
      <c r="O2390" t="s">
        <v>26</v>
      </c>
      <c r="P2390" t="s">
        <v>44</v>
      </c>
      <c r="Q2390" t="s">
        <v>28</v>
      </c>
      <c r="R2390" t="s">
        <v>29</v>
      </c>
      <c r="S2390">
        <v>2025</v>
      </c>
      <c r="T2390" t="s">
        <v>2763</v>
      </c>
      <c r="U2390" t="s">
        <v>2764</v>
      </c>
      <c r="V2390" s="4">
        <v>0</v>
      </c>
      <c r="W2390" s="4">
        <v>1</v>
      </c>
    </row>
    <row r="2391" spans="1:23">
      <c r="A2391" t="s">
        <v>2524</v>
      </c>
      <c r="B2391" s="2">
        <v>45745</v>
      </c>
      <c r="C2391" t="s">
        <v>37</v>
      </c>
      <c r="D2391" t="s">
        <v>38</v>
      </c>
      <c r="E2391" t="s">
        <v>112</v>
      </c>
      <c r="F2391" t="s">
        <v>40</v>
      </c>
      <c r="G2391" t="s">
        <v>136</v>
      </c>
      <c r="H2391" t="s">
        <v>137</v>
      </c>
      <c r="I2391">
        <v>25</v>
      </c>
      <c r="J2391" s="3">
        <v>1816.15</v>
      </c>
      <c r="K2391" s="3">
        <v>45403.75</v>
      </c>
      <c r="L2391" t="s">
        <v>25</v>
      </c>
      <c r="M2391" s="2">
        <v>45758</v>
      </c>
      <c r="N2391" s="2">
        <v>45755</v>
      </c>
      <c r="O2391" t="s">
        <v>76</v>
      </c>
      <c r="P2391" t="s">
        <v>115</v>
      </c>
      <c r="Q2391" t="s">
        <v>28</v>
      </c>
      <c r="R2391" t="s">
        <v>29</v>
      </c>
      <c r="S2391">
        <v>2025</v>
      </c>
      <c r="T2391" t="s">
        <v>2747</v>
      </c>
      <c r="U2391" t="s">
        <v>2748</v>
      </c>
      <c r="V2391" s="4">
        <v>0</v>
      </c>
      <c r="W2391" s="4">
        <v>1</v>
      </c>
    </row>
    <row r="2392" spans="1:23">
      <c r="A2392" t="s">
        <v>2525</v>
      </c>
      <c r="B2392" s="2">
        <v>45767</v>
      </c>
      <c r="C2392" t="s">
        <v>37</v>
      </c>
      <c r="D2392" t="s">
        <v>38</v>
      </c>
      <c r="E2392" t="s">
        <v>31</v>
      </c>
      <c r="F2392" t="s">
        <v>22</v>
      </c>
      <c r="G2392" t="s">
        <v>160</v>
      </c>
      <c r="H2392" t="s">
        <v>161</v>
      </c>
      <c r="I2392">
        <v>4</v>
      </c>
      <c r="J2392" s="3">
        <v>3291.18</v>
      </c>
      <c r="K2392" s="3">
        <v>13164.72</v>
      </c>
      <c r="L2392" t="s">
        <v>34</v>
      </c>
      <c r="M2392" s="2">
        <v>45774</v>
      </c>
      <c r="N2392" s="2">
        <v>45772</v>
      </c>
      <c r="O2392" t="s">
        <v>76</v>
      </c>
      <c r="P2392" t="s">
        <v>94</v>
      </c>
      <c r="Q2392" t="s">
        <v>28</v>
      </c>
      <c r="R2392" t="s">
        <v>29</v>
      </c>
      <c r="S2392">
        <v>2025</v>
      </c>
      <c r="T2392" t="s">
        <v>2741</v>
      </c>
      <c r="U2392" t="s">
        <v>2742</v>
      </c>
      <c r="V2392" s="4">
        <v>0</v>
      </c>
      <c r="W2392" s="4">
        <v>1</v>
      </c>
    </row>
    <row r="2393" spans="1:23">
      <c r="A2393" t="s">
        <v>2526</v>
      </c>
      <c r="B2393" s="2">
        <v>45833</v>
      </c>
      <c r="C2393" t="s">
        <v>142</v>
      </c>
      <c r="D2393" t="s">
        <v>143</v>
      </c>
      <c r="E2393" t="s">
        <v>39</v>
      </c>
      <c r="F2393" t="s">
        <v>22</v>
      </c>
      <c r="G2393" t="s">
        <v>160</v>
      </c>
      <c r="H2393" t="s">
        <v>161</v>
      </c>
      <c r="I2393">
        <v>12</v>
      </c>
      <c r="J2393" s="3">
        <v>3271.46</v>
      </c>
      <c r="K2393" s="3">
        <v>39257.519999999997</v>
      </c>
      <c r="L2393" t="s">
        <v>34</v>
      </c>
      <c r="M2393" s="2">
        <v>45848</v>
      </c>
      <c r="N2393" s="2">
        <v>45845</v>
      </c>
      <c r="O2393" t="s">
        <v>76</v>
      </c>
      <c r="P2393" t="s">
        <v>44</v>
      </c>
      <c r="Q2393" t="s">
        <v>28</v>
      </c>
      <c r="R2393" t="s">
        <v>29</v>
      </c>
      <c r="S2393">
        <v>2025</v>
      </c>
      <c r="T2393" t="s">
        <v>2743</v>
      </c>
      <c r="U2393" t="s">
        <v>2756</v>
      </c>
      <c r="V2393" s="4">
        <v>0</v>
      </c>
      <c r="W2393" s="4">
        <v>1</v>
      </c>
    </row>
    <row r="2394" spans="1:23">
      <c r="A2394" t="s">
        <v>2527</v>
      </c>
      <c r="B2394" s="2">
        <v>46024</v>
      </c>
      <c r="C2394" t="s">
        <v>104</v>
      </c>
      <c r="D2394" t="s">
        <v>105</v>
      </c>
      <c r="E2394" t="s">
        <v>48</v>
      </c>
      <c r="F2394" t="s">
        <v>49</v>
      </c>
      <c r="G2394" t="s">
        <v>68</v>
      </c>
      <c r="H2394" t="s">
        <v>69</v>
      </c>
      <c r="I2394">
        <v>1</v>
      </c>
      <c r="J2394" s="3">
        <v>47173.440000000002</v>
      </c>
      <c r="K2394" s="3">
        <v>47173.440000000002</v>
      </c>
      <c r="L2394" t="s">
        <v>25</v>
      </c>
      <c r="M2394" s="2">
        <v>46038</v>
      </c>
      <c r="N2394" s="2">
        <v>46037</v>
      </c>
      <c r="O2394" t="s">
        <v>60</v>
      </c>
      <c r="P2394" t="s">
        <v>53</v>
      </c>
      <c r="Q2394" t="s">
        <v>28</v>
      </c>
      <c r="R2394" t="s">
        <v>29</v>
      </c>
      <c r="S2394">
        <v>2026</v>
      </c>
      <c r="T2394" t="s">
        <v>2757</v>
      </c>
      <c r="U2394" t="s">
        <v>2758</v>
      </c>
      <c r="V2394" s="4">
        <v>0</v>
      </c>
      <c r="W2394" s="4">
        <v>1</v>
      </c>
    </row>
    <row r="2395" spans="1:23">
      <c r="A2395" t="s">
        <v>2528</v>
      </c>
      <c r="B2395" s="2">
        <v>45712</v>
      </c>
      <c r="C2395" t="s">
        <v>80</v>
      </c>
      <c r="D2395" t="s">
        <v>81</v>
      </c>
      <c r="E2395" t="s">
        <v>39</v>
      </c>
      <c r="F2395" t="s">
        <v>82</v>
      </c>
      <c r="G2395" t="s">
        <v>197</v>
      </c>
      <c r="H2395" t="s">
        <v>198</v>
      </c>
      <c r="I2395">
        <v>29</v>
      </c>
      <c r="J2395" s="3">
        <v>2081.09</v>
      </c>
      <c r="K2395" s="3">
        <v>60351.61</v>
      </c>
      <c r="L2395" t="s">
        <v>52</v>
      </c>
      <c r="M2395" s="2">
        <v>45721</v>
      </c>
      <c r="N2395" s="2">
        <v>45720</v>
      </c>
      <c r="O2395" t="s">
        <v>60</v>
      </c>
      <c r="P2395" t="s">
        <v>44</v>
      </c>
      <c r="Q2395" t="s">
        <v>28</v>
      </c>
      <c r="R2395" t="s">
        <v>29</v>
      </c>
      <c r="S2395">
        <v>2025</v>
      </c>
      <c r="T2395" t="s">
        <v>2751</v>
      </c>
      <c r="U2395" t="s">
        <v>2752</v>
      </c>
      <c r="V2395" s="4">
        <v>0</v>
      </c>
      <c r="W2395" s="4">
        <v>1</v>
      </c>
    </row>
    <row r="2396" spans="1:23">
      <c r="A2396" t="s">
        <v>2529</v>
      </c>
      <c r="B2396" s="2">
        <v>46166</v>
      </c>
      <c r="C2396" t="s">
        <v>80</v>
      </c>
      <c r="D2396" t="s">
        <v>81</v>
      </c>
      <c r="E2396" t="s">
        <v>39</v>
      </c>
      <c r="F2396" t="s">
        <v>82</v>
      </c>
      <c r="G2396" t="s">
        <v>98</v>
      </c>
      <c r="H2396" t="s">
        <v>99</v>
      </c>
      <c r="I2396">
        <v>46</v>
      </c>
      <c r="J2396" s="3">
        <v>1133.8800000000001</v>
      </c>
      <c r="K2396" s="3">
        <v>52158.48</v>
      </c>
      <c r="L2396" t="s">
        <v>25</v>
      </c>
      <c r="M2396" s="2">
        <v>46183</v>
      </c>
      <c r="N2396" s="2">
        <v>46183</v>
      </c>
      <c r="O2396" t="s">
        <v>43</v>
      </c>
      <c r="P2396" t="s">
        <v>44</v>
      </c>
      <c r="Q2396" t="s">
        <v>28</v>
      </c>
      <c r="R2396" t="s">
        <v>29</v>
      </c>
      <c r="S2396">
        <v>2026</v>
      </c>
      <c r="T2396" t="s">
        <v>2766</v>
      </c>
      <c r="U2396" t="s">
        <v>2769</v>
      </c>
      <c r="V2396" s="4">
        <v>0</v>
      </c>
      <c r="W2396" s="4">
        <v>1</v>
      </c>
    </row>
    <row r="2397" spans="1:23">
      <c r="A2397" t="s">
        <v>2530</v>
      </c>
      <c r="B2397" s="2">
        <v>45682</v>
      </c>
      <c r="C2397" t="s">
        <v>147</v>
      </c>
      <c r="D2397" t="s">
        <v>148</v>
      </c>
      <c r="E2397" t="s">
        <v>112</v>
      </c>
      <c r="F2397" t="s">
        <v>40</v>
      </c>
      <c r="G2397" t="s">
        <v>136</v>
      </c>
      <c r="H2397" t="s">
        <v>137</v>
      </c>
      <c r="I2397">
        <v>7</v>
      </c>
      <c r="J2397" s="3">
        <v>1606.61</v>
      </c>
      <c r="K2397" s="3">
        <v>11246.27</v>
      </c>
      <c r="L2397" t="s">
        <v>34</v>
      </c>
      <c r="M2397" s="2">
        <v>45688</v>
      </c>
      <c r="N2397" s="2">
        <v>45688</v>
      </c>
      <c r="O2397" t="s">
        <v>26</v>
      </c>
      <c r="P2397" t="s">
        <v>115</v>
      </c>
      <c r="Q2397" t="s">
        <v>28</v>
      </c>
      <c r="R2397" t="s">
        <v>29</v>
      </c>
      <c r="S2397">
        <v>2025</v>
      </c>
      <c r="T2397" t="s">
        <v>2757</v>
      </c>
      <c r="U2397" t="s">
        <v>2768</v>
      </c>
      <c r="V2397" s="4">
        <v>0</v>
      </c>
      <c r="W2397" s="4">
        <v>1</v>
      </c>
    </row>
    <row r="2398" spans="1:23">
      <c r="A2398" t="s">
        <v>2531</v>
      </c>
      <c r="B2398" s="2">
        <v>45916</v>
      </c>
      <c r="C2398" t="s">
        <v>37</v>
      </c>
      <c r="D2398" t="s">
        <v>38</v>
      </c>
      <c r="E2398" t="s">
        <v>73</v>
      </c>
      <c r="F2398" t="s">
        <v>22</v>
      </c>
      <c r="G2398" t="s">
        <v>160</v>
      </c>
      <c r="H2398" t="s">
        <v>161</v>
      </c>
      <c r="I2398">
        <v>15</v>
      </c>
      <c r="J2398" s="3">
        <v>3345.06</v>
      </c>
      <c r="K2398" s="3">
        <v>50175.9</v>
      </c>
      <c r="L2398" t="s">
        <v>25</v>
      </c>
      <c r="M2398" s="2">
        <v>45933</v>
      </c>
      <c r="N2398" s="2">
        <v>45930</v>
      </c>
      <c r="O2398" t="s">
        <v>43</v>
      </c>
      <c r="P2398" t="s">
        <v>77</v>
      </c>
      <c r="Q2398" t="s">
        <v>28</v>
      </c>
      <c r="R2398" t="s">
        <v>29</v>
      </c>
      <c r="S2398">
        <v>2025</v>
      </c>
      <c r="T2398" t="s">
        <v>2753</v>
      </c>
      <c r="U2398" t="s">
        <v>2754</v>
      </c>
      <c r="V2398" s="4">
        <v>0</v>
      </c>
      <c r="W2398" s="4">
        <v>1</v>
      </c>
    </row>
    <row r="2399" spans="1:23">
      <c r="A2399" t="s">
        <v>2532</v>
      </c>
      <c r="B2399" s="2">
        <v>45716</v>
      </c>
      <c r="C2399" t="s">
        <v>71</v>
      </c>
      <c r="D2399" t="s">
        <v>72</v>
      </c>
      <c r="E2399" t="s">
        <v>73</v>
      </c>
      <c r="F2399" t="s">
        <v>57</v>
      </c>
      <c r="G2399" t="s">
        <v>86</v>
      </c>
      <c r="H2399" t="s">
        <v>87</v>
      </c>
      <c r="I2399">
        <v>5</v>
      </c>
      <c r="J2399" s="3">
        <v>10681.91</v>
      </c>
      <c r="K2399" s="3">
        <v>53409.55</v>
      </c>
      <c r="L2399" t="s">
        <v>52</v>
      </c>
      <c r="M2399" s="2">
        <v>45724</v>
      </c>
      <c r="N2399" s="2">
        <v>45722</v>
      </c>
      <c r="O2399" t="s">
        <v>26</v>
      </c>
      <c r="P2399" t="s">
        <v>77</v>
      </c>
      <c r="Q2399" t="s">
        <v>28</v>
      </c>
      <c r="R2399" t="s">
        <v>29</v>
      </c>
      <c r="S2399">
        <v>2025</v>
      </c>
      <c r="T2399" t="s">
        <v>2751</v>
      </c>
      <c r="U2399" t="s">
        <v>2752</v>
      </c>
      <c r="V2399" s="4">
        <v>0</v>
      </c>
      <c r="W2399" s="4">
        <v>1</v>
      </c>
    </row>
    <row r="2400" spans="1:23">
      <c r="A2400" t="s">
        <v>2533</v>
      </c>
      <c r="B2400" s="2">
        <v>46024</v>
      </c>
      <c r="C2400" t="s">
        <v>147</v>
      </c>
      <c r="D2400" t="s">
        <v>148</v>
      </c>
      <c r="E2400" t="s">
        <v>112</v>
      </c>
      <c r="F2400" t="s">
        <v>40</v>
      </c>
      <c r="G2400" t="s">
        <v>41</v>
      </c>
      <c r="H2400" t="s">
        <v>42</v>
      </c>
      <c r="I2400">
        <v>15</v>
      </c>
      <c r="J2400" s="3">
        <v>5209.63</v>
      </c>
      <c r="K2400" s="3">
        <v>78144.45</v>
      </c>
      <c r="L2400" t="s">
        <v>25</v>
      </c>
      <c r="M2400" s="2">
        <v>46033</v>
      </c>
      <c r="N2400" s="2">
        <v>46031</v>
      </c>
      <c r="O2400" t="s">
        <v>76</v>
      </c>
      <c r="P2400" t="s">
        <v>115</v>
      </c>
      <c r="Q2400" t="s">
        <v>28</v>
      </c>
      <c r="R2400" t="s">
        <v>29</v>
      </c>
      <c r="S2400">
        <v>2026</v>
      </c>
      <c r="T2400" t="s">
        <v>2757</v>
      </c>
      <c r="U2400" t="s">
        <v>2758</v>
      </c>
      <c r="V2400" s="4">
        <v>0</v>
      </c>
      <c r="W2400" s="4">
        <v>1</v>
      </c>
    </row>
    <row r="2401" spans="1:23">
      <c r="A2401" t="s">
        <v>2534</v>
      </c>
      <c r="B2401" s="2">
        <v>45835</v>
      </c>
      <c r="C2401" t="s">
        <v>19</v>
      </c>
      <c r="D2401" t="s">
        <v>20</v>
      </c>
      <c r="E2401" t="s">
        <v>39</v>
      </c>
      <c r="F2401" t="s">
        <v>22</v>
      </c>
      <c r="G2401" t="s">
        <v>160</v>
      </c>
      <c r="H2401" t="s">
        <v>161</v>
      </c>
      <c r="I2401">
        <v>12</v>
      </c>
      <c r="J2401" s="3">
        <v>2888.23</v>
      </c>
      <c r="K2401" s="3">
        <v>34658.76</v>
      </c>
      <c r="L2401" t="s">
        <v>25</v>
      </c>
      <c r="M2401" s="2">
        <v>45853</v>
      </c>
      <c r="N2401" s="2">
        <v>45852</v>
      </c>
      <c r="O2401" t="s">
        <v>43</v>
      </c>
      <c r="P2401" t="s">
        <v>64</v>
      </c>
      <c r="Q2401" t="s">
        <v>28</v>
      </c>
      <c r="R2401" t="s">
        <v>29</v>
      </c>
      <c r="S2401">
        <v>2025</v>
      </c>
      <c r="T2401" t="s">
        <v>2743</v>
      </c>
      <c r="U2401" t="s">
        <v>2756</v>
      </c>
      <c r="V2401" s="4">
        <v>0</v>
      </c>
      <c r="W2401" s="4">
        <v>1</v>
      </c>
    </row>
    <row r="2402" spans="1:23">
      <c r="A2402" t="s">
        <v>2535</v>
      </c>
      <c r="B2402" s="2">
        <v>45823</v>
      </c>
      <c r="C2402" t="s">
        <v>134</v>
      </c>
      <c r="D2402" t="s">
        <v>135</v>
      </c>
      <c r="E2402" t="s">
        <v>112</v>
      </c>
      <c r="F2402" t="s">
        <v>40</v>
      </c>
      <c r="G2402" t="s">
        <v>149</v>
      </c>
      <c r="H2402" t="s">
        <v>150</v>
      </c>
      <c r="I2402">
        <v>31</v>
      </c>
      <c r="J2402" s="3">
        <v>1308.44</v>
      </c>
      <c r="K2402" s="3">
        <v>40561.64</v>
      </c>
      <c r="L2402" t="s">
        <v>34</v>
      </c>
      <c r="M2402" s="2">
        <v>45841</v>
      </c>
      <c r="N2402" s="2">
        <v>45841</v>
      </c>
      <c r="O2402" t="s">
        <v>76</v>
      </c>
      <c r="P2402" t="s">
        <v>115</v>
      </c>
      <c r="Q2402" t="s">
        <v>28</v>
      </c>
      <c r="R2402" t="s">
        <v>29</v>
      </c>
      <c r="S2402">
        <v>2025</v>
      </c>
      <c r="T2402" t="s">
        <v>2743</v>
      </c>
      <c r="U2402" t="s">
        <v>2756</v>
      </c>
      <c r="V2402" s="4">
        <v>0</v>
      </c>
      <c r="W2402" s="4">
        <v>1</v>
      </c>
    </row>
    <row r="2403" spans="1:23">
      <c r="A2403" t="s">
        <v>2536</v>
      </c>
      <c r="B2403" s="2">
        <v>45942</v>
      </c>
      <c r="C2403" t="s">
        <v>117</v>
      </c>
      <c r="D2403" t="s">
        <v>118</v>
      </c>
      <c r="E2403" t="s">
        <v>73</v>
      </c>
      <c r="F2403" t="s">
        <v>57</v>
      </c>
      <c r="G2403" t="s">
        <v>58</v>
      </c>
      <c r="H2403" t="s">
        <v>59</v>
      </c>
      <c r="I2403">
        <v>7</v>
      </c>
      <c r="J2403" s="3">
        <v>55879.74</v>
      </c>
      <c r="K2403" s="3">
        <v>391158.18</v>
      </c>
      <c r="L2403" t="s">
        <v>52</v>
      </c>
      <c r="M2403" s="2">
        <v>45950</v>
      </c>
      <c r="N2403" s="2">
        <v>45950</v>
      </c>
      <c r="O2403" t="s">
        <v>76</v>
      </c>
      <c r="P2403" t="s">
        <v>77</v>
      </c>
      <c r="Q2403" t="s">
        <v>28</v>
      </c>
      <c r="R2403" t="s">
        <v>29</v>
      </c>
      <c r="S2403">
        <v>2025</v>
      </c>
      <c r="T2403" t="s">
        <v>2749</v>
      </c>
      <c r="U2403" t="s">
        <v>2750</v>
      </c>
      <c r="V2403" s="4">
        <v>0</v>
      </c>
      <c r="W2403" s="4">
        <v>1</v>
      </c>
    </row>
    <row r="2404" spans="1:23">
      <c r="A2404" t="s">
        <v>2537</v>
      </c>
      <c r="B2404" s="2">
        <v>45792</v>
      </c>
      <c r="C2404" t="s">
        <v>107</v>
      </c>
      <c r="D2404" t="s">
        <v>108</v>
      </c>
      <c r="E2404" t="s">
        <v>31</v>
      </c>
      <c r="F2404" t="s">
        <v>91</v>
      </c>
      <c r="G2404" t="s">
        <v>109</v>
      </c>
      <c r="H2404" t="s">
        <v>110</v>
      </c>
      <c r="I2404">
        <v>1</v>
      </c>
      <c r="J2404" s="3">
        <v>13561.29</v>
      </c>
      <c r="K2404" s="3">
        <v>13561.29</v>
      </c>
      <c r="L2404" t="s">
        <v>25</v>
      </c>
      <c r="M2404" s="2">
        <v>45806</v>
      </c>
      <c r="N2404" s="2">
        <v>45805</v>
      </c>
      <c r="O2404" t="s">
        <v>60</v>
      </c>
      <c r="P2404" t="s">
        <v>35</v>
      </c>
      <c r="Q2404" t="s">
        <v>28</v>
      </c>
      <c r="R2404" t="s">
        <v>29</v>
      </c>
      <c r="S2404">
        <v>2025</v>
      </c>
      <c r="T2404" t="s">
        <v>2766</v>
      </c>
      <c r="U2404" t="s">
        <v>2767</v>
      </c>
      <c r="V2404" s="4">
        <v>0</v>
      </c>
      <c r="W2404" s="4">
        <v>1</v>
      </c>
    </row>
    <row r="2405" spans="1:23">
      <c r="A2405" t="s">
        <v>2538</v>
      </c>
      <c r="B2405" s="2">
        <v>45844</v>
      </c>
      <c r="C2405" t="s">
        <v>96</v>
      </c>
      <c r="D2405" t="s">
        <v>97</v>
      </c>
      <c r="E2405" t="s">
        <v>39</v>
      </c>
      <c r="F2405" t="s">
        <v>82</v>
      </c>
      <c r="G2405" t="s">
        <v>98</v>
      </c>
      <c r="H2405" t="s">
        <v>99</v>
      </c>
      <c r="I2405">
        <v>57</v>
      </c>
      <c r="J2405" s="3">
        <v>1193.6500000000001</v>
      </c>
      <c r="K2405" s="3">
        <v>68038.05</v>
      </c>
      <c r="L2405" t="s">
        <v>25</v>
      </c>
      <c r="M2405" s="2">
        <v>45859</v>
      </c>
      <c r="N2405" s="2">
        <v>45856</v>
      </c>
      <c r="O2405" t="s">
        <v>26</v>
      </c>
      <c r="P2405" t="s">
        <v>44</v>
      </c>
      <c r="Q2405" t="s">
        <v>28</v>
      </c>
      <c r="R2405" t="s">
        <v>29</v>
      </c>
      <c r="S2405">
        <v>2025</v>
      </c>
      <c r="T2405" t="s">
        <v>2759</v>
      </c>
      <c r="U2405" t="s">
        <v>2760</v>
      </c>
      <c r="V2405" s="4">
        <v>0</v>
      </c>
      <c r="W2405" s="4">
        <v>1</v>
      </c>
    </row>
    <row r="2406" spans="1:23">
      <c r="A2406" t="s">
        <v>2539</v>
      </c>
      <c r="B2406" s="2">
        <v>46086</v>
      </c>
      <c r="C2406" t="s">
        <v>89</v>
      </c>
      <c r="D2406" t="s">
        <v>90</v>
      </c>
      <c r="E2406" t="s">
        <v>31</v>
      </c>
      <c r="F2406" t="s">
        <v>91</v>
      </c>
      <c r="G2406" t="s">
        <v>109</v>
      </c>
      <c r="H2406" t="s">
        <v>110</v>
      </c>
      <c r="I2406">
        <v>2</v>
      </c>
      <c r="J2406" s="3">
        <v>12013.41</v>
      </c>
      <c r="K2406" s="3">
        <v>24026.82</v>
      </c>
      <c r="L2406" t="s">
        <v>25</v>
      </c>
      <c r="M2406" s="2">
        <v>46091</v>
      </c>
      <c r="N2406" s="2">
        <v>46090</v>
      </c>
      <c r="O2406" t="s">
        <v>26</v>
      </c>
      <c r="P2406" t="s">
        <v>35</v>
      </c>
      <c r="Q2406" t="s">
        <v>28</v>
      </c>
      <c r="R2406" t="s">
        <v>29</v>
      </c>
      <c r="S2406">
        <v>2026</v>
      </c>
      <c r="T2406" t="s">
        <v>2747</v>
      </c>
      <c r="U2406" t="s">
        <v>2755</v>
      </c>
      <c r="V2406" s="4">
        <v>0</v>
      </c>
      <c r="W2406" s="4">
        <v>1</v>
      </c>
    </row>
    <row r="2407" spans="1:23">
      <c r="A2407" t="s">
        <v>2540</v>
      </c>
      <c r="B2407" s="2">
        <v>46192</v>
      </c>
      <c r="C2407" t="s">
        <v>66</v>
      </c>
      <c r="D2407" t="s">
        <v>67</v>
      </c>
      <c r="E2407" t="s">
        <v>112</v>
      </c>
      <c r="F2407" t="s">
        <v>49</v>
      </c>
      <c r="G2407" t="s">
        <v>68</v>
      </c>
      <c r="H2407" t="s">
        <v>69</v>
      </c>
      <c r="I2407">
        <v>1</v>
      </c>
      <c r="J2407" s="3">
        <v>48579.77</v>
      </c>
      <c r="K2407" s="3">
        <v>48579.77</v>
      </c>
      <c r="L2407" t="s">
        <v>25</v>
      </c>
      <c r="M2407" s="2">
        <v>46200</v>
      </c>
      <c r="N2407" s="2">
        <v>46200</v>
      </c>
      <c r="O2407" t="s">
        <v>26</v>
      </c>
      <c r="P2407" t="s">
        <v>115</v>
      </c>
      <c r="Q2407" t="s">
        <v>28</v>
      </c>
      <c r="R2407" t="s">
        <v>29</v>
      </c>
      <c r="S2407">
        <v>2026</v>
      </c>
      <c r="T2407" t="s">
        <v>2743</v>
      </c>
      <c r="U2407" t="s">
        <v>2744</v>
      </c>
      <c r="V2407" s="4">
        <v>0</v>
      </c>
      <c r="W2407" s="4">
        <v>1</v>
      </c>
    </row>
    <row r="2408" spans="1:23">
      <c r="A2408" t="s">
        <v>2541</v>
      </c>
      <c r="B2408" s="2">
        <v>45684</v>
      </c>
      <c r="C2408" t="s">
        <v>96</v>
      </c>
      <c r="D2408" t="s">
        <v>97</v>
      </c>
      <c r="E2408" t="s">
        <v>39</v>
      </c>
      <c r="F2408" t="s">
        <v>82</v>
      </c>
      <c r="G2408" t="s">
        <v>197</v>
      </c>
      <c r="H2408" t="s">
        <v>198</v>
      </c>
      <c r="I2408">
        <v>19</v>
      </c>
      <c r="J2408" s="3">
        <v>2142.3200000000002</v>
      </c>
      <c r="K2408" s="3">
        <v>40704.080000000002</v>
      </c>
      <c r="L2408" t="s">
        <v>25</v>
      </c>
      <c r="M2408" s="2">
        <v>45689</v>
      </c>
      <c r="N2408" s="2">
        <v>45687</v>
      </c>
      <c r="O2408" t="s">
        <v>26</v>
      </c>
      <c r="P2408" t="s">
        <v>64</v>
      </c>
      <c r="Q2408" t="s">
        <v>28</v>
      </c>
      <c r="R2408" t="s">
        <v>29</v>
      </c>
      <c r="S2408">
        <v>2025</v>
      </c>
      <c r="T2408" t="s">
        <v>2757</v>
      </c>
      <c r="U2408" t="s">
        <v>2768</v>
      </c>
      <c r="V2408" s="4">
        <v>0</v>
      </c>
      <c r="W2408" s="4">
        <v>1</v>
      </c>
    </row>
    <row r="2409" spans="1:23">
      <c r="A2409" t="s">
        <v>2542</v>
      </c>
      <c r="B2409" s="2">
        <v>46136</v>
      </c>
      <c r="C2409" t="s">
        <v>131</v>
      </c>
      <c r="D2409" t="s">
        <v>132</v>
      </c>
      <c r="E2409" t="s">
        <v>48</v>
      </c>
      <c r="F2409" t="s">
        <v>57</v>
      </c>
      <c r="G2409" t="s">
        <v>101</v>
      </c>
      <c r="H2409" t="s">
        <v>102</v>
      </c>
      <c r="I2409">
        <v>17</v>
      </c>
      <c r="J2409" s="3">
        <v>1915.51</v>
      </c>
      <c r="K2409" s="3">
        <v>32563.67</v>
      </c>
      <c r="L2409" t="s">
        <v>25</v>
      </c>
      <c r="M2409" s="2">
        <v>46145</v>
      </c>
      <c r="N2409" s="2">
        <v>46143</v>
      </c>
      <c r="O2409" t="s">
        <v>43</v>
      </c>
      <c r="P2409" t="s">
        <v>53</v>
      </c>
      <c r="Q2409" t="s">
        <v>28</v>
      </c>
      <c r="R2409" t="s">
        <v>29</v>
      </c>
      <c r="S2409">
        <v>2026</v>
      </c>
      <c r="T2409" t="s">
        <v>2741</v>
      </c>
      <c r="U2409" t="s">
        <v>2770</v>
      </c>
      <c r="V2409" s="4">
        <v>0</v>
      </c>
      <c r="W2409" s="4">
        <v>1</v>
      </c>
    </row>
    <row r="2410" spans="1:23">
      <c r="A2410" t="s">
        <v>2543</v>
      </c>
      <c r="B2410" s="2">
        <v>46040</v>
      </c>
      <c r="C2410" t="s">
        <v>117</v>
      </c>
      <c r="D2410" t="s">
        <v>118</v>
      </c>
      <c r="E2410" t="s">
        <v>48</v>
      </c>
      <c r="F2410" t="s">
        <v>57</v>
      </c>
      <c r="G2410" t="s">
        <v>127</v>
      </c>
      <c r="H2410" t="s">
        <v>128</v>
      </c>
      <c r="I2410">
        <v>1</v>
      </c>
      <c r="J2410" s="3">
        <v>16611.68</v>
      </c>
      <c r="K2410" s="3">
        <v>16611.68</v>
      </c>
      <c r="L2410" t="s">
        <v>25</v>
      </c>
      <c r="M2410" s="2">
        <v>46045</v>
      </c>
      <c r="N2410" s="2">
        <v>46042</v>
      </c>
      <c r="O2410" t="s">
        <v>43</v>
      </c>
      <c r="P2410" t="s">
        <v>53</v>
      </c>
      <c r="Q2410" t="s">
        <v>28</v>
      </c>
      <c r="R2410" t="s">
        <v>29</v>
      </c>
      <c r="S2410">
        <v>2026</v>
      </c>
      <c r="T2410" t="s">
        <v>2757</v>
      </c>
      <c r="U2410" t="s">
        <v>2758</v>
      </c>
      <c r="V2410" s="4">
        <v>0</v>
      </c>
      <c r="W2410" s="4">
        <v>1</v>
      </c>
    </row>
    <row r="2411" spans="1:23">
      <c r="A2411" t="s">
        <v>2544</v>
      </c>
      <c r="B2411" s="2">
        <v>45782</v>
      </c>
      <c r="C2411" t="s">
        <v>104</v>
      </c>
      <c r="D2411" t="s">
        <v>105</v>
      </c>
      <c r="E2411" t="s">
        <v>48</v>
      </c>
      <c r="F2411" t="s">
        <v>49</v>
      </c>
      <c r="G2411" t="s">
        <v>165</v>
      </c>
      <c r="H2411" t="s">
        <v>166</v>
      </c>
      <c r="I2411">
        <v>1</v>
      </c>
      <c r="J2411" s="3">
        <v>45614.65</v>
      </c>
      <c r="K2411" s="3">
        <v>45614.65</v>
      </c>
      <c r="L2411" t="s">
        <v>25</v>
      </c>
      <c r="M2411" s="2">
        <v>45796</v>
      </c>
      <c r="N2411" s="2">
        <v>45796</v>
      </c>
      <c r="O2411" t="s">
        <v>26</v>
      </c>
      <c r="P2411" t="s">
        <v>53</v>
      </c>
      <c r="Q2411" t="s">
        <v>28</v>
      </c>
      <c r="R2411" t="s">
        <v>29</v>
      </c>
      <c r="S2411">
        <v>2025</v>
      </c>
      <c r="T2411" t="s">
        <v>2766</v>
      </c>
      <c r="U2411" t="s">
        <v>2767</v>
      </c>
      <c r="V2411" s="4">
        <v>0</v>
      </c>
      <c r="W2411" s="4">
        <v>1</v>
      </c>
    </row>
    <row r="2412" spans="1:23">
      <c r="A2412" t="s">
        <v>2545</v>
      </c>
      <c r="B2412" s="2">
        <v>46017</v>
      </c>
      <c r="C2412" t="s">
        <v>117</v>
      </c>
      <c r="D2412" t="s">
        <v>118</v>
      </c>
      <c r="E2412" t="s">
        <v>73</v>
      </c>
      <c r="F2412" t="s">
        <v>57</v>
      </c>
      <c r="G2412" t="s">
        <v>101</v>
      </c>
      <c r="H2412" t="s">
        <v>102</v>
      </c>
      <c r="I2412">
        <v>57</v>
      </c>
      <c r="J2412" s="3">
        <v>1772.56</v>
      </c>
      <c r="K2412" s="3">
        <v>101035.92</v>
      </c>
      <c r="L2412" t="s">
        <v>34</v>
      </c>
      <c r="M2412" s="2">
        <v>46030</v>
      </c>
      <c r="N2412" s="2">
        <v>46030</v>
      </c>
      <c r="O2412" t="s">
        <v>43</v>
      </c>
      <c r="P2412" t="s">
        <v>77</v>
      </c>
      <c r="Q2412" t="s">
        <v>28</v>
      </c>
      <c r="R2412" t="s">
        <v>29</v>
      </c>
      <c r="S2412">
        <v>2025</v>
      </c>
      <c r="T2412" t="s">
        <v>2745</v>
      </c>
      <c r="U2412" t="s">
        <v>2746</v>
      </c>
      <c r="V2412" s="4">
        <v>0</v>
      </c>
      <c r="W2412" s="4">
        <v>1</v>
      </c>
    </row>
    <row r="2413" spans="1:23">
      <c r="A2413" t="s">
        <v>2546</v>
      </c>
      <c r="B2413" s="2">
        <v>45726</v>
      </c>
      <c r="C2413" t="s">
        <v>96</v>
      </c>
      <c r="D2413" t="s">
        <v>97</v>
      </c>
      <c r="E2413" t="s">
        <v>39</v>
      </c>
      <c r="F2413" t="s">
        <v>82</v>
      </c>
      <c r="G2413" t="s">
        <v>98</v>
      </c>
      <c r="H2413" t="s">
        <v>99</v>
      </c>
      <c r="I2413">
        <v>6</v>
      </c>
      <c r="J2413" s="3">
        <v>1138.1500000000001</v>
      </c>
      <c r="K2413" s="3">
        <v>6828.9</v>
      </c>
      <c r="L2413" t="s">
        <v>25</v>
      </c>
      <c r="M2413" s="2">
        <v>45731</v>
      </c>
      <c r="N2413" s="2">
        <v>45728</v>
      </c>
      <c r="O2413" t="s">
        <v>76</v>
      </c>
      <c r="P2413" t="s">
        <v>44</v>
      </c>
      <c r="Q2413" t="s">
        <v>28</v>
      </c>
      <c r="R2413" t="s">
        <v>29</v>
      </c>
      <c r="S2413">
        <v>2025</v>
      </c>
      <c r="T2413" t="s">
        <v>2747</v>
      </c>
      <c r="U2413" t="s">
        <v>2748</v>
      </c>
      <c r="V2413" s="4">
        <v>0</v>
      </c>
      <c r="W2413" s="4">
        <v>1</v>
      </c>
    </row>
    <row r="2414" spans="1:23">
      <c r="A2414" t="s">
        <v>2547</v>
      </c>
      <c r="B2414" s="2">
        <v>45990</v>
      </c>
      <c r="C2414" t="s">
        <v>107</v>
      </c>
      <c r="D2414" t="s">
        <v>108</v>
      </c>
      <c r="E2414" t="s">
        <v>31</v>
      </c>
      <c r="F2414" t="s">
        <v>91</v>
      </c>
      <c r="G2414" t="s">
        <v>109</v>
      </c>
      <c r="H2414" t="s">
        <v>110</v>
      </c>
      <c r="I2414">
        <v>1</v>
      </c>
      <c r="J2414" s="3">
        <v>13320</v>
      </c>
      <c r="K2414" s="3">
        <v>13320</v>
      </c>
      <c r="L2414" t="s">
        <v>25</v>
      </c>
      <c r="M2414" s="2">
        <v>45995</v>
      </c>
      <c r="N2414" s="2">
        <v>45992</v>
      </c>
      <c r="O2414" t="s">
        <v>26</v>
      </c>
      <c r="P2414" t="s">
        <v>35</v>
      </c>
      <c r="Q2414" t="s">
        <v>28</v>
      </c>
      <c r="R2414" t="s">
        <v>29</v>
      </c>
      <c r="S2414">
        <v>2025</v>
      </c>
      <c r="T2414" t="s">
        <v>2763</v>
      </c>
      <c r="U2414" t="s">
        <v>2764</v>
      </c>
      <c r="V2414" s="4">
        <v>0</v>
      </c>
      <c r="W2414" s="4">
        <v>1</v>
      </c>
    </row>
    <row r="2415" spans="1:23">
      <c r="A2415" t="s">
        <v>2548</v>
      </c>
      <c r="B2415" s="2">
        <v>46080</v>
      </c>
      <c r="C2415" t="s">
        <v>117</v>
      </c>
      <c r="D2415" t="s">
        <v>118</v>
      </c>
      <c r="E2415" t="s">
        <v>48</v>
      </c>
      <c r="F2415" t="s">
        <v>57</v>
      </c>
      <c r="G2415" t="s">
        <v>74</v>
      </c>
      <c r="H2415" t="s">
        <v>75</v>
      </c>
      <c r="I2415">
        <v>6</v>
      </c>
      <c r="J2415" s="3">
        <v>8710.07</v>
      </c>
      <c r="K2415" s="3">
        <v>52260.42</v>
      </c>
      <c r="L2415" t="s">
        <v>25</v>
      </c>
      <c r="M2415" s="2">
        <v>46086</v>
      </c>
      <c r="N2415" s="2">
        <v>46086</v>
      </c>
      <c r="O2415" t="s">
        <v>26</v>
      </c>
      <c r="P2415" t="s">
        <v>53</v>
      </c>
      <c r="Q2415" t="s">
        <v>28</v>
      </c>
      <c r="R2415" t="s">
        <v>29</v>
      </c>
      <c r="S2415">
        <v>2026</v>
      </c>
      <c r="T2415" t="s">
        <v>2751</v>
      </c>
      <c r="U2415" t="s">
        <v>2765</v>
      </c>
      <c r="V2415" s="4">
        <v>0</v>
      </c>
      <c r="W2415" s="4">
        <v>1</v>
      </c>
    </row>
    <row r="2416" spans="1:23">
      <c r="A2416" t="s">
        <v>2549</v>
      </c>
      <c r="B2416" s="2">
        <v>45973</v>
      </c>
      <c r="C2416" t="s">
        <v>66</v>
      </c>
      <c r="D2416" t="s">
        <v>67</v>
      </c>
      <c r="E2416" t="s">
        <v>112</v>
      </c>
      <c r="F2416" t="s">
        <v>49</v>
      </c>
      <c r="G2416" t="s">
        <v>165</v>
      </c>
      <c r="H2416" t="s">
        <v>166</v>
      </c>
      <c r="I2416">
        <v>1</v>
      </c>
      <c r="J2416" s="3">
        <v>43176.65</v>
      </c>
      <c r="K2416" s="3">
        <v>43176.65</v>
      </c>
      <c r="L2416" t="s">
        <v>52</v>
      </c>
      <c r="M2416" s="2">
        <v>45988</v>
      </c>
      <c r="N2416" s="2">
        <v>45986</v>
      </c>
      <c r="O2416" t="s">
        <v>26</v>
      </c>
      <c r="P2416" t="s">
        <v>115</v>
      </c>
      <c r="Q2416" t="s">
        <v>28</v>
      </c>
      <c r="R2416" t="s">
        <v>29</v>
      </c>
      <c r="S2416">
        <v>2025</v>
      </c>
      <c r="T2416" t="s">
        <v>2763</v>
      </c>
      <c r="U2416" t="s">
        <v>2764</v>
      </c>
      <c r="V2416" s="4">
        <v>0</v>
      </c>
      <c r="W2416" s="4">
        <v>1</v>
      </c>
    </row>
    <row r="2417" spans="1:23">
      <c r="A2417" t="s">
        <v>2550</v>
      </c>
      <c r="B2417" s="2">
        <v>45960</v>
      </c>
      <c r="C2417" t="s">
        <v>96</v>
      </c>
      <c r="D2417" t="s">
        <v>97</v>
      </c>
      <c r="E2417" t="s">
        <v>39</v>
      </c>
      <c r="F2417" t="s">
        <v>82</v>
      </c>
      <c r="G2417" t="s">
        <v>98</v>
      </c>
      <c r="H2417" t="s">
        <v>99</v>
      </c>
      <c r="I2417">
        <v>50</v>
      </c>
      <c r="J2417" s="3">
        <v>1197.01</v>
      </c>
      <c r="K2417" s="3">
        <v>59850.5</v>
      </c>
      <c r="L2417" t="s">
        <v>25</v>
      </c>
      <c r="M2417" s="2">
        <v>45977</v>
      </c>
      <c r="N2417" s="2">
        <v>45974</v>
      </c>
      <c r="O2417" t="s">
        <v>43</v>
      </c>
      <c r="P2417" t="s">
        <v>44</v>
      </c>
      <c r="Q2417" t="s">
        <v>28</v>
      </c>
      <c r="R2417" t="s">
        <v>29</v>
      </c>
      <c r="S2417">
        <v>2025</v>
      </c>
      <c r="T2417" t="s">
        <v>2749</v>
      </c>
      <c r="U2417" t="s">
        <v>2750</v>
      </c>
      <c r="V2417" s="4">
        <v>0</v>
      </c>
      <c r="W2417" s="4">
        <v>1</v>
      </c>
    </row>
    <row r="2418" spans="1:23">
      <c r="A2418" t="s">
        <v>2551</v>
      </c>
      <c r="B2418" s="2">
        <v>46087</v>
      </c>
      <c r="C2418" t="s">
        <v>104</v>
      </c>
      <c r="D2418" t="s">
        <v>105</v>
      </c>
      <c r="E2418" t="s">
        <v>48</v>
      </c>
      <c r="F2418" t="s">
        <v>49</v>
      </c>
      <c r="G2418" t="s">
        <v>165</v>
      </c>
      <c r="H2418" t="s">
        <v>166</v>
      </c>
      <c r="I2418">
        <v>1</v>
      </c>
      <c r="J2418" s="3">
        <v>45713.41</v>
      </c>
      <c r="K2418" s="3">
        <v>45713.41</v>
      </c>
      <c r="L2418" t="s">
        <v>25</v>
      </c>
      <c r="M2418" s="2">
        <v>46092</v>
      </c>
      <c r="N2418" s="2">
        <v>46089</v>
      </c>
      <c r="O2418" t="s">
        <v>26</v>
      </c>
      <c r="P2418" t="s">
        <v>53</v>
      </c>
      <c r="Q2418" t="s">
        <v>28</v>
      </c>
      <c r="R2418" t="s">
        <v>29</v>
      </c>
      <c r="S2418">
        <v>2026</v>
      </c>
      <c r="T2418" t="s">
        <v>2747</v>
      </c>
      <c r="U2418" t="s">
        <v>2755</v>
      </c>
      <c r="V2418" s="4">
        <v>0</v>
      </c>
      <c r="W2418" s="4">
        <v>1</v>
      </c>
    </row>
    <row r="2419" spans="1:23">
      <c r="A2419" t="s">
        <v>2552</v>
      </c>
      <c r="B2419" s="2">
        <v>46174</v>
      </c>
      <c r="C2419" t="s">
        <v>80</v>
      </c>
      <c r="D2419" t="s">
        <v>81</v>
      </c>
      <c r="E2419" t="s">
        <v>39</v>
      </c>
      <c r="F2419" t="s">
        <v>82</v>
      </c>
      <c r="G2419" t="s">
        <v>98</v>
      </c>
      <c r="H2419" t="s">
        <v>99</v>
      </c>
      <c r="I2419">
        <v>18</v>
      </c>
      <c r="J2419" s="3">
        <v>1136.58</v>
      </c>
      <c r="K2419" s="3">
        <v>20458.439999999999</v>
      </c>
      <c r="L2419" t="s">
        <v>52</v>
      </c>
      <c r="M2419" s="2">
        <v>46186</v>
      </c>
      <c r="N2419" s="2">
        <v>46186</v>
      </c>
      <c r="O2419" t="s">
        <v>76</v>
      </c>
      <c r="P2419" t="s">
        <v>64</v>
      </c>
      <c r="Q2419" t="s">
        <v>28</v>
      </c>
      <c r="R2419" t="s">
        <v>29</v>
      </c>
      <c r="S2419">
        <v>2026</v>
      </c>
      <c r="T2419" t="s">
        <v>2743</v>
      </c>
      <c r="U2419" t="s">
        <v>2744</v>
      </c>
      <c r="V2419" s="4">
        <v>0</v>
      </c>
      <c r="W2419" s="4">
        <v>1</v>
      </c>
    </row>
    <row r="2420" spans="1:23">
      <c r="A2420" t="s">
        <v>2553</v>
      </c>
      <c r="B2420" s="2">
        <v>45770</v>
      </c>
      <c r="C2420" t="s">
        <v>71</v>
      </c>
      <c r="D2420" t="s">
        <v>72</v>
      </c>
      <c r="E2420" t="s">
        <v>21</v>
      </c>
      <c r="F2420" t="s">
        <v>57</v>
      </c>
      <c r="G2420" t="s">
        <v>120</v>
      </c>
      <c r="H2420" t="s">
        <v>121</v>
      </c>
      <c r="I2420">
        <v>5</v>
      </c>
      <c r="J2420" s="3">
        <v>21495.7</v>
      </c>
      <c r="K2420" s="3">
        <v>107478.5</v>
      </c>
      <c r="L2420" t="s">
        <v>25</v>
      </c>
      <c r="M2420" s="2">
        <v>45778</v>
      </c>
      <c r="N2420" s="2">
        <v>45775</v>
      </c>
      <c r="O2420" t="s">
        <v>76</v>
      </c>
      <c r="P2420" t="s">
        <v>27</v>
      </c>
      <c r="Q2420" t="s">
        <v>28</v>
      </c>
      <c r="R2420" t="s">
        <v>29</v>
      </c>
      <c r="S2420">
        <v>2025</v>
      </c>
      <c r="T2420" t="s">
        <v>2741</v>
      </c>
      <c r="U2420" t="s">
        <v>2742</v>
      </c>
      <c r="V2420" s="4">
        <v>0</v>
      </c>
      <c r="W2420" s="4">
        <v>1</v>
      </c>
    </row>
    <row r="2421" spans="1:23">
      <c r="A2421" t="s">
        <v>2554</v>
      </c>
      <c r="B2421" s="2">
        <v>45660</v>
      </c>
      <c r="C2421" t="s">
        <v>142</v>
      </c>
      <c r="D2421" t="s">
        <v>143</v>
      </c>
      <c r="E2421" t="s">
        <v>31</v>
      </c>
      <c r="F2421" t="s">
        <v>22</v>
      </c>
      <c r="G2421" t="s">
        <v>23</v>
      </c>
      <c r="H2421" t="s">
        <v>24</v>
      </c>
      <c r="I2421">
        <v>37</v>
      </c>
      <c r="J2421" s="3">
        <v>236.71</v>
      </c>
      <c r="K2421" s="3">
        <v>8758.27</v>
      </c>
      <c r="L2421" t="s">
        <v>34</v>
      </c>
      <c r="M2421" s="2">
        <v>45678</v>
      </c>
      <c r="N2421" s="2">
        <v>45675</v>
      </c>
      <c r="O2421" t="s">
        <v>26</v>
      </c>
      <c r="P2421" t="s">
        <v>35</v>
      </c>
      <c r="Q2421" t="s">
        <v>28</v>
      </c>
      <c r="R2421" t="s">
        <v>29</v>
      </c>
      <c r="S2421">
        <v>2025</v>
      </c>
      <c r="T2421" t="s">
        <v>2757</v>
      </c>
      <c r="U2421" t="s">
        <v>2768</v>
      </c>
      <c r="V2421" s="4">
        <v>0</v>
      </c>
      <c r="W2421" s="4">
        <v>1</v>
      </c>
    </row>
    <row r="2422" spans="1:23">
      <c r="A2422" t="s">
        <v>2555</v>
      </c>
      <c r="B2422" s="2">
        <v>45820</v>
      </c>
      <c r="C2422" t="s">
        <v>37</v>
      </c>
      <c r="D2422" t="s">
        <v>38</v>
      </c>
      <c r="E2422" t="s">
        <v>39</v>
      </c>
      <c r="F2422" t="s">
        <v>40</v>
      </c>
      <c r="G2422" t="s">
        <v>62</v>
      </c>
      <c r="H2422" t="s">
        <v>63</v>
      </c>
      <c r="I2422">
        <v>8</v>
      </c>
      <c r="J2422" s="3">
        <v>19652.05</v>
      </c>
      <c r="K2422" s="3">
        <v>157216.4</v>
      </c>
      <c r="L2422" t="s">
        <v>52</v>
      </c>
      <c r="M2422" s="2">
        <v>45827</v>
      </c>
      <c r="N2422" s="2">
        <v>45826</v>
      </c>
      <c r="O2422" t="s">
        <v>43</v>
      </c>
      <c r="P2422" t="s">
        <v>64</v>
      </c>
      <c r="Q2422" t="s">
        <v>28</v>
      </c>
      <c r="R2422" t="s">
        <v>29</v>
      </c>
      <c r="S2422">
        <v>2025</v>
      </c>
      <c r="T2422" t="s">
        <v>2743</v>
      </c>
      <c r="U2422" t="s">
        <v>2756</v>
      </c>
      <c r="V2422" s="4">
        <v>0</v>
      </c>
      <c r="W2422" s="4">
        <v>1</v>
      </c>
    </row>
    <row r="2423" spans="1:23">
      <c r="A2423" t="s">
        <v>2556</v>
      </c>
      <c r="B2423" s="2">
        <v>46007</v>
      </c>
      <c r="C2423" t="s">
        <v>37</v>
      </c>
      <c r="D2423" t="s">
        <v>38</v>
      </c>
      <c r="E2423" t="s">
        <v>31</v>
      </c>
      <c r="F2423" t="s">
        <v>22</v>
      </c>
      <c r="G2423" t="s">
        <v>160</v>
      </c>
      <c r="H2423" t="s">
        <v>161</v>
      </c>
      <c r="I2423">
        <v>4</v>
      </c>
      <c r="J2423" s="3">
        <v>3270.61</v>
      </c>
      <c r="K2423" s="3">
        <v>13082.44</v>
      </c>
      <c r="L2423" t="s">
        <v>25</v>
      </c>
      <c r="M2423" s="2">
        <v>46014</v>
      </c>
      <c r="N2423" s="2">
        <v>46013</v>
      </c>
      <c r="O2423" t="s">
        <v>60</v>
      </c>
      <c r="P2423" t="s">
        <v>35</v>
      </c>
      <c r="Q2423" t="s">
        <v>28</v>
      </c>
      <c r="R2423" t="s">
        <v>29</v>
      </c>
      <c r="S2423">
        <v>2025</v>
      </c>
      <c r="T2423" t="s">
        <v>2745</v>
      </c>
      <c r="U2423" t="s">
        <v>2746</v>
      </c>
      <c r="V2423" s="4">
        <v>0</v>
      </c>
      <c r="W2423" s="4">
        <v>1</v>
      </c>
    </row>
    <row r="2424" spans="1:23">
      <c r="A2424" t="s">
        <v>2557</v>
      </c>
      <c r="B2424" s="2">
        <v>45678</v>
      </c>
      <c r="C2424" t="s">
        <v>37</v>
      </c>
      <c r="D2424" t="s">
        <v>38</v>
      </c>
      <c r="E2424" t="s">
        <v>31</v>
      </c>
      <c r="F2424" t="s">
        <v>22</v>
      </c>
      <c r="G2424" t="s">
        <v>23</v>
      </c>
      <c r="H2424" t="s">
        <v>24</v>
      </c>
      <c r="I2424">
        <v>36</v>
      </c>
      <c r="J2424" s="3">
        <v>259.54000000000002</v>
      </c>
      <c r="K2424" s="3">
        <v>9343.44</v>
      </c>
      <c r="L2424" t="s">
        <v>34</v>
      </c>
      <c r="M2424" s="2">
        <v>45695</v>
      </c>
      <c r="N2424" s="2">
        <v>45692</v>
      </c>
      <c r="O2424" t="s">
        <v>43</v>
      </c>
      <c r="P2424" t="s">
        <v>94</v>
      </c>
      <c r="Q2424" t="s">
        <v>28</v>
      </c>
      <c r="R2424" t="s">
        <v>29</v>
      </c>
      <c r="S2424">
        <v>2025</v>
      </c>
      <c r="T2424" t="s">
        <v>2757</v>
      </c>
      <c r="U2424" t="s">
        <v>2768</v>
      </c>
      <c r="V2424" s="4">
        <v>0</v>
      </c>
      <c r="W2424" s="4">
        <v>1</v>
      </c>
    </row>
    <row r="2425" spans="1:23">
      <c r="A2425" t="s">
        <v>2558</v>
      </c>
      <c r="B2425" s="2">
        <v>45689</v>
      </c>
      <c r="C2425" t="s">
        <v>37</v>
      </c>
      <c r="D2425" t="s">
        <v>38</v>
      </c>
      <c r="E2425" t="s">
        <v>112</v>
      </c>
      <c r="F2425" t="s">
        <v>22</v>
      </c>
      <c r="G2425" t="s">
        <v>23</v>
      </c>
      <c r="H2425" t="s">
        <v>24</v>
      </c>
      <c r="I2425">
        <v>46</v>
      </c>
      <c r="J2425" s="3">
        <v>276.91000000000003</v>
      </c>
      <c r="K2425" s="3">
        <v>12737.86</v>
      </c>
      <c r="L2425" t="s">
        <v>25</v>
      </c>
      <c r="M2425" s="2">
        <v>45697</v>
      </c>
      <c r="N2425" s="2">
        <v>45695</v>
      </c>
      <c r="O2425" t="s">
        <v>76</v>
      </c>
      <c r="P2425" t="s">
        <v>115</v>
      </c>
      <c r="Q2425" t="s">
        <v>28</v>
      </c>
      <c r="R2425" t="s">
        <v>29</v>
      </c>
      <c r="S2425">
        <v>2025</v>
      </c>
      <c r="T2425" t="s">
        <v>2751</v>
      </c>
      <c r="U2425" t="s">
        <v>2752</v>
      </c>
      <c r="V2425" s="4">
        <v>0</v>
      </c>
      <c r="W2425" s="4">
        <v>1</v>
      </c>
    </row>
    <row r="2426" spans="1:23">
      <c r="A2426" t="s">
        <v>2559</v>
      </c>
      <c r="B2426" s="2">
        <v>46109</v>
      </c>
      <c r="C2426" t="s">
        <v>134</v>
      </c>
      <c r="D2426" t="s">
        <v>135</v>
      </c>
      <c r="E2426" t="s">
        <v>39</v>
      </c>
      <c r="F2426" t="s">
        <v>40</v>
      </c>
      <c r="G2426" t="s">
        <v>41</v>
      </c>
      <c r="H2426" t="s">
        <v>42</v>
      </c>
      <c r="I2426">
        <v>5</v>
      </c>
      <c r="J2426" s="3">
        <v>5196.1000000000004</v>
      </c>
      <c r="K2426" s="3">
        <v>25980.5</v>
      </c>
      <c r="L2426" t="s">
        <v>34</v>
      </c>
      <c r="M2426" s="2">
        <v>46120</v>
      </c>
      <c r="N2426" s="2">
        <v>46118</v>
      </c>
      <c r="O2426" t="s">
        <v>26</v>
      </c>
      <c r="P2426" t="s">
        <v>44</v>
      </c>
      <c r="Q2426" t="s">
        <v>28</v>
      </c>
      <c r="R2426" t="s">
        <v>29</v>
      </c>
      <c r="S2426">
        <v>2026</v>
      </c>
      <c r="T2426" t="s">
        <v>2747</v>
      </c>
      <c r="U2426" t="s">
        <v>2755</v>
      </c>
      <c r="V2426" s="4">
        <v>0</v>
      </c>
      <c r="W2426" s="4">
        <v>1</v>
      </c>
    </row>
    <row r="2427" spans="1:23">
      <c r="A2427" t="s">
        <v>2560</v>
      </c>
      <c r="B2427" s="2">
        <v>45942</v>
      </c>
      <c r="C2427" t="s">
        <v>80</v>
      </c>
      <c r="D2427" t="s">
        <v>81</v>
      </c>
      <c r="E2427" t="s">
        <v>39</v>
      </c>
      <c r="F2427" t="s">
        <v>82</v>
      </c>
      <c r="G2427" t="s">
        <v>98</v>
      </c>
      <c r="H2427" t="s">
        <v>99</v>
      </c>
      <c r="I2427">
        <v>23</v>
      </c>
      <c r="J2427" s="3">
        <v>1136.48</v>
      </c>
      <c r="K2427" s="3">
        <v>26139.040000000001</v>
      </c>
      <c r="L2427" t="s">
        <v>25</v>
      </c>
      <c r="M2427" s="2">
        <v>45950</v>
      </c>
      <c r="N2427" s="2">
        <v>45947</v>
      </c>
      <c r="O2427" t="s">
        <v>60</v>
      </c>
      <c r="P2427" t="s">
        <v>64</v>
      </c>
      <c r="Q2427" t="s">
        <v>28</v>
      </c>
      <c r="R2427" t="s">
        <v>29</v>
      </c>
      <c r="S2427">
        <v>2025</v>
      </c>
      <c r="T2427" t="s">
        <v>2749</v>
      </c>
      <c r="U2427" t="s">
        <v>2750</v>
      </c>
      <c r="V2427" s="4">
        <v>0</v>
      </c>
      <c r="W2427" s="4">
        <v>1</v>
      </c>
    </row>
    <row r="2428" spans="1:23">
      <c r="A2428" t="s">
        <v>2561</v>
      </c>
      <c r="B2428" s="2">
        <v>46127</v>
      </c>
      <c r="C2428" t="s">
        <v>147</v>
      </c>
      <c r="D2428" t="s">
        <v>148</v>
      </c>
      <c r="E2428" t="s">
        <v>112</v>
      </c>
      <c r="F2428" t="s">
        <v>40</v>
      </c>
      <c r="G2428" t="s">
        <v>62</v>
      </c>
      <c r="H2428" t="s">
        <v>63</v>
      </c>
      <c r="I2428">
        <v>1</v>
      </c>
      <c r="J2428" s="3">
        <v>18328.310000000001</v>
      </c>
      <c r="K2428" s="3">
        <v>18328.310000000001</v>
      </c>
      <c r="L2428" t="s">
        <v>34</v>
      </c>
      <c r="M2428" s="2">
        <v>46143</v>
      </c>
      <c r="N2428" s="2">
        <v>46141</v>
      </c>
      <c r="O2428" t="s">
        <v>60</v>
      </c>
      <c r="P2428" t="s">
        <v>115</v>
      </c>
      <c r="Q2428" t="s">
        <v>28</v>
      </c>
      <c r="R2428" t="s">
        <v>29</v>
      </c>
      <c r="S2428">
        <v>2026</v>
      </c>
      <c r="T2428" t="s">
        <v>2741</v>
      </c>
      <c r="U2428" t="s">
        <v>2770</v>
      </c>
      <c r="V2428" s="4">
        <v>0</v>
      </c>
      <c r="W2428" s="4">
        <v>1</v>
      </c>
    </row>
    <row r="2429" spans="1:23">
      <c r="A2429" t="s">
        <v>2562</v>
      </c>
      <c r="B2429" s="2">
        <v>45782</v>
      </c>
      <c r="C2429" t="s">
        <v>71</v>
      </c>
      <c r="D2429" t="s">
        <v>72</v>
      </c>
      <c r="E2429" t="s">
        <v>21</v>
      </c>
      <c r="F2429" t="s">
        <v>57</v>
      </c>
      <c r="G2429" t="s">
        <v>120</v>
      </c>
      <c r="H2429" t="s">
        <v>121</v>
      </c>
      <c r="I2429">
        <v>3</v>
      </c>
      <c r="J2429" s="3">
        <v>19779.59</v>
      </c>
      <c r="K2429" s="3">
        <v>59338.77</v>
      </c>
      <c r="L2429" t="s">
        <v>34</v>
      </c>
      <c r="M2429" s="2">
        <v>45794</v>
      </c>
      <c r="N2429" s="2">
        <v>45793</v>
      </c>
      <c r="O2429" t="s">
        <v>76</v>
      </c>
      <c r="P2429" t="s">
        <v>27</v>
      </c>
      <c r="Q2429" t="s">
        <v>28</v>
      </c>
      <c r="R2429" t="s">
        <v>29</v>
      </c>
      <c r="S2429">
        <v>2025</v>
      </c>
      <c r="T2429" t="s">
        <v>2766</v>
      </c>
      <c r="U2429" t="s">
        <v>2767</v>
      </c>
      <c r="V2429" s="4">
        <v>0</v>
      </c>
      <c r="W2429" s="4">
        <v>1</v>
      </c>
    </row>
    <row r="2430" spans="1:23">
      <c r="A2430" t="s">
        <v>2563</v>
      </c>
      <c r="B2430" s="2">
        <v>46173</v>
      </c>
      <c r="C2430" t="s">
        <v>142</v>
      </c>
      <c r="D2430" t="s">
        <v>143</v>
      </c>
      <c r="E2430" t="s">
        <v>39</v>
      </c>
      <c r="F2430" t="s">
        <v>22</v>
      </c>
      <c r="G2430" t="s">
        <v>32</v>
      </c>
      <c r="H2430" t="s">
        <v>33</v>
      </c>
      <c r="I2430">
        <v>2</v>
      </c>
      <c r="J2430" s="3">
        <v>7889.51</v>
      </c>
      <c r="K2430" s="3">
        <v>15779.02</v>
      </c>
      <c r="L2430" t="s">
        <v>34</v>
      </c>
      <c r="M2430" s="2">
        <v>46188</v>
      </c>
      <c r="N2430" s="2">
        <v>46187</v>
      </c>
      <c r="O2430" t="s">
        <v>26</v>
      </c>
      <c r="P2430" t="s">
        <v>64</v>
      </c>
      <c r="Q2430" t="s">
        <v>28</v>
      </c>
      <c r="R2430" t="s">
        <v>29</v>
      </c>
      <c r="S2430">
        <v>2026</v>
      </c>
      <c r="T2430" t="s">
        <v>2766</v>
      </c>
      <c r="U2430" t="s">
        <v>2769</v>
      </c>
      <c r="V2430" s="4">
        <v>0</v>
      </c>
      <c r="W2430" s="4">
        <v>1</v>
      </c>
    </row>
    <row r="2431" spans="1:23">
      <c r="A2431" t="s">
        <v>2564</v>
      </c>
      <c r="B2431" s="2">
        <v>45979</v>
      </c>
      <c r="C2431" t="s">
        <v>37</v>
      </c>
      <c r="D2431" t="s">
        <v>38</v>
      </c>
      <c r="E2431" t="s">
        <v>39</v>
      </c>
      <c r="F2431" t="s">
        <v>40</v>
      </c>
      <c r="G2431" t="s">
        <v>41</v>
      </c>
      <c r="H2431" t="s">
        <v>42</v>
      </c>
      <c r="I2431">
        <v>11</v>
      </c>
      <c r="J2431" s="3">
        <v>6051.22</v>
      </c>
      <c r="K2431" s="3">
        <v>66563.42</v>
      </c>
      <c r="L2431" t="s">
        <v>25</v>
      </c>
      <c r="M2431" s="2">
        <v>45995</v>
      </c>
      <c r="N2431" s="2">
        <v>46008</v>
      </c>
      <c r="O2431" t="s">
        <v>76</v>
      </c>
      <c r="P2431" t="s">
        <v>44</v>
      </c>
      <c r="Q2431" t="s">
        <v>28</v>
      </c>
      <c r="R2431" t="s">
        <v>129</v>
      </c>
      <c r="S2431">
        <v>2025</v>
      </c>
      <c r="T2431" t="s">
        <v>2763</v>
      </c>
      <c r="U2431" t="s">
        <v>2764</v>
      </c>
      <c r="V2431" s="4">
        <v>13</v>
      </c>
      <c r="W2431" s="4">
        <v>0</v>
      </c>
    </row>
    <row r="2432" spans="1:23">
      <c r="A2432" t="s">
        <v>2565</v>
      </c>
      <c r="B2432" s="2">
        <v>46087</v>
      </c>
      <c r="C2432" t="s">
        <v>71</v>
      </c>
      <c r="D2432" t="s">
        <v>72</v>
      </c>
      <c r="E2432" t="s">
        <v>48</v>
      </c>
      <c r="F2432" t="s">
        <v>57</v>
      </c>
      <c r="G2432" t="s">
        <v>58</v>
      </c>
      <c r="H2432" t="s">
        <v>59</v>
      </c>
      <c r="I2432">
        <v>2</v>
      </c>
      <c r="J2432" s="3">
        <v>54300.12</v>
      </c>
      <c r="K2432" s="3">
        <v>108600.24</v>
      </c>
      <c r="L2432" t="s">
        <v>25</v>
      </c>
      <c r="M2432" s="2">
        <v>46103</v>
      </c>
      <c r="N2432" s="2">
        <v>46100</v>
      </c>
      <c r="O2432" t="s">
        <v>76</v>
      </c>
      <c r="P2432" t="s">
        <v>53</v>
      </c>
      <c r="Q2432" t="s">
        <v>28</v>
      </c>
      <c r="R2432" t="s">
        <v>29</v>
      </c>
      <c r="S2432">
        <v>2026</v>
      </c>
      <c r="T2432" t="s">
        <v>2747</v>
      </c>
      <c r="U2432" t="s">
        <v>2755</v>
      </c>
      <c r="V2432" s="4">
        <v>0</v>
      </c>
      <c r="W2432" s="4">
        <v>1</v>
      </c>
    </row>
    <row r="2433" spans="1:23">
      <c r="A2433" t="s">
        <v>2566</v>
      </c>
      <c r="B2433" s="2">
        <v>46085</v>
      </c>
      <c r="C2433" t="s">
        <v>71</v>
      </c>
      <c r="D2433" t="s">
        <v>72</v>
      </c>
      <c r="E2433" t="s">
        <v>48</v>
      </c>
      <c r="F2433" t="s">
        <v>57</v>
      </c>
      <c r="G2433" t="s">
        <v>101</v>
      </c>
      <c r="H2433" t="s">
        <v>102</v>
      </c>
      <c r="I2433">
        <v>24</v>
      </c>
      <c r="J2433" s="3">
        <v>1740.22</v>
      </c>
      <c r="K2433" s="3">
        <v>41765.279999999999</v>
      </c>
      <c r="L2433" t="s">
        <v>25</v>
      </c>
      <c r="M2433" s="2">
        <v>46095</v>
      </c>
      <c r="N2433" s="2">
        <v>46092</v>
      </c>
      <c r="O2433" t="s">
        <v>60</v>
      </c>
      <c r="P2433" t="s">
        <v>53</v>
      </c>
      <c r="Q2433" t="s">
        <v>28</v>
      </c>
      <c r="R2433" t="s">
        <v>29</v>
      </c>
      <c r="S2433">
        <v>2026</v>
      </c>
      <c r="T2433" t="s">
        <v>2747</v>
      </c>
      <c r="U2433" t="s">
        <v>2755</v>
      </c>
      <c r="V2433" s="4">
        <v>0</v>
      </c>
      <c r="W2433" s="4">
        <v>1</v>
      </c>
    </row>
    <row r="2434" spans="1:23">
      <c r="A2434" t="s">
        <v>2567</v>
      </c>
      <c r="B2434" s="2">
        <v>46101</v>
      </c>
      <c r="C2434" t="s">
        <v>37</v>
      </c>
      <c r="D2434" t="s">
        <v>38</v>
      </c>
      <c r="E2434" t="s">
        <v>112</v>
      </c>
      <c r="F2434" t="s">
        <v>40</v>
      </c>
      <c r="G2434" t="s">
        <v>62</v>
      </c>
      <c r="H2434" t="s">
        <v>63</v>
      </c>
      <c r="I2434">
        <v>1</v>
      </c>
      <c r="J2434" s="3">
        <v>19631.71</v>
      </c>
      <c r="K2434" s="3">
        <v>19631.71</v>
      </c>
      <c r="L2434" t="s">
        <v>34</v>
      </c>
      <c r="M2434" s="2">
        <v>46114</v>
      </c>
      <c r="N2434" s="2">
        <v>46112</v>
      </c>
      <c r="O2434" t="s">
        <v>26</v>
      </c>
      <c r="P2434" t="s">
        <v>115</v>
      </c>
      <c r="Q2434" t="s">
        <v>28</v>
      </c>
      <c r="R2434" t="s">
        <v>29</v>
      </c>
      <c r="S2434">
        <v>2026</v>
      </c>
      <c r="T2434" t="s">
        <v>2747</v>
      </c>
      <c r="U2434" t="s">
        <v>2755</v>
      </c>
      <c r="V2434" s="4">
        <v>0</v>
      </c>
      <c r="W2434" s="4">
        <v>1</v>
      </c>
    </row>
    <row r="2435" spans="1:23">
      <c r="A2435" t="s">
        <v>2568</v>
      </c>
      <c r="B2435" s="2">
        <v>45976</v>
      </c>
      <c r="C2435" t="s">
        <v>19</v>
      </c>
      <c r="D2435" t="s">
        <v>20</v>
      </c>
      <c r="E2435" t="s">
        <v>21</v>
      </c>
      <c r="F2435" t="s">
        <v>22</v>
      </c>
      <c r="G2435" t="s">
        <v>23</v>
      </c>
      <c r="H2435" t="s">
        <v>24</v>
      </c>
      <c r="I2435">
        <v>41</v>
      </c>
      <c r="J2435" s="3">
        <v>220.01</v>
      </c>
      <c r="K2435" s="3">
        <v>9020.41</v>
      </c>
      <c r="L2435" t="s">
        <v>25</v>
      </c>
      <c r="M2435" s="2">
        <v>45990</v>
      </c>
      <c r="N2435" s="2">
        <v>45987</v>
      </c>
      <c r="O2435" t="s">
        <v>60</v>
      </c>
      <c r="P2435" t="s">
        <v>27</v>
      </c>
      <c r="Q2435" t="s">
        <v>28</v>
      </c>
      <c r="R2435" t="s">
        <v>29</v>
      </c>
      <c r="S2435">
        <v>2025</v>
      </c>
      <c r="T2435" t="s">
        <v>2763</v>
      </c>
      <c r="U2435" t="s">
        <v>2764</v>
      </c>
      <c r="V2435" s="4">
        <v>0</v>
      </c>
      <c r="W2435" s="4">
        <v>1</v>
      </c>
    </row>
    <row r="2436" spans="1:23">
      <c r="A2436" t="s">
        <v>2569</v>
      </c>
      <c r="B2436" s="2">
        <v>46137</v>
      </c>
      <c r="C2436" t="s">
        <v>117</v>
      </c>
      <c r="D2436" t="s">
        <v>118</v>
      </c>
      <c r="E2436" t="s">
        <v>48</v>
      </c>
      <c r="F2436" t="s">
        <v>57</v>
      </c>
      <c r="G2436" t="s">
        <v>86</v>
      </c>
      <c r="H2436" t="s">
        <v>87</v>
      </c>
      <c r="I2436">
        <v>6</v>
      </c>
      <c r="J2436" s="3">
        <v>10613.03</v>
      </c>
      <c r="K2436" s="3">
        <v>63678.18</v>
      </c>
      <c r="L2436" t="s">
        <v>25</v>
      </c>
      <c r="M2436" s="2">
        <v>46153</v>
      </c>
      <c r="N2436" s="2">
        <v>46164</v>
      </c>
      <c r="O2436" t="s">
        <v>60</v>
      </c>
      <c r="P2436" t="s">
        <v>53</v>
      </c>
      <c r="Q2436" t="s">
        <v>28</v>
      </c>
      <c r="R2436" t="s">
        <v>129</v>
      </c>
      <c r="S2436">
        <v>2026</v>
      </c>
      <c r="T2436" t="s">
        <v>2741</v>
      </c>
      <c r="U2436" t="s">
        <v>2770</v>
      </c>
      <c r="V2436" s="4">
        <v>11</v>
      </c>
      <c r="W2436" s="4">
        <v>0</v>
      </c>
    </row>
    <row r="2437" spans="1:23">
      <c r="A2437" t="s">
        <v>2570</v>
      </c>
      <c r="B2437" s="2">
        <v>46196</v>
      </c>
      <c r="C2437" t="s">
        <v>71</v>
      </c>
      <c r="D2437" t="s">
        <v>72</v>
      </c>
      <c r="E2437" t="s">
        <v>48</v>
      </c>
      <c r="F2437" t="s">
        <v>57</v>
      </c>
      <c r="G2437" t="s">
        <v>101</v>
      </c>
      <c r="H2437" t="s">
        <v>102</v>
      </c>
      <c r="I2437">
        <v>24</v>
      </c>
      <c r="J2437" s="3">
        <v>1688.73</v>
      </c>
      <c r="K2437" s="3">
        <v>40529.519999999997</v>
      </c>
      <c r="L2437" t="s">
        <v>25</v>
      </c>
      <c r="M2437" s="2">
        <v>46207</v>
      </c>
      <c r="N2437" s="2"/>
      <c r="O2437" t="s">
        <v>26</v>
      </c>
      <c r="P2437" t="s">
        <v>53</v>
      </c>
      <c r="Q2437" t="s">
        <v>167</v>
      </c>
      <c r="R2437" t="s">
        <v>167</v>
      </c>
      <c r="S2437">
        <v>2026</v>
      </c>
      <c r="T2437" t="s">
        <v>2743</v>
      </c>
      <c r="U2437" t="s">
        <v>2744</v>
      </c>
      <c r="V2437" s="4"/>
      <c r="W2437" s="4"/>
    </row>
    <row r="2438" spans="1:23">
      <c r="A2438" t="s">
        <v>2571</v>
      </c>
      <c r="B2438" s="2">
        <v>45921</v>
      </c>
      <c r="C2438" t="s">
        <v>96</v>
      </c>
      <c r="D2438" t="s">
        <v>97</v>
      </c>
      <c r="E2438" t="s">
        <v>39</v>
      </c>
      <c r="F2438" t="s">
        <v>82</v>
      </c>
      <c r="G2438" t="s">
        <v>197</v>
      </c>
      <c r="H2438" t="s">
        <v>198</v>
      </c>
      <c r="I2438">
        <v>20</v>
      </c>
      <c r="J2438" s="3">
        <v>2144.33</v>
      </c>
      <c r="K2438" s="3">
        <v>42886.6</v>
      </c>
      <c r="L2438" t="s">
        <v>25</v>
      </c>
      <c r="M2438" s="2">
        <v>45929</v>
      </c>
      <c r="N2438" s="2">
        <v>45929</v>
      </c>
      <c r="O2438" t="s">
        <v>43</v>
      </c>
      <c r="P2438" t="s">
        <v>44</v>
      </c>
      <c r="Q2438" t="s">
        <v>28</v>
      </c>
      <c r="R2438" t="s">
        <v>29</v>
      </c>
      <c r="S2438">
        <v>2025</v>
      </c>
      <c r="T2438" t="s">
        <v>2753</v>
      </c>
      <c r="U2438" t="s">
        <v>2754</v>
      </c>
      <c r="V2438" s="4">
        <v>0</v>
      </c>
      <c r="W2438" s="4">
        <v>1</v>
      </c>
    </row>
    <row r="2439" spans="1:23">
      <c r="A2439" t="s">
        <v>2572</v>
      </c>
      <c r="B2439" s="2">
        <v>45679</v>
      </c>
      <c r="C2439" t="s">
        <v>55</v>
      </c>
      <c r="D2439" t="s">
        <v>56</v>
      </c>
      <c r="E2439" t="s">
        <v>21</v>
      </c>
      <c r="F2439" t="s">
        <v>57</v>
      </c>
      <c r="G2439" t="s">
        <v>58</v>
      </c>
      <c r="H2439" t="s">
        <v>59</v>
      </c>
      <c r="I2439">
        <v>6</v>
      </c>
      <c r="J2439" s="3">
        <v>63485.4</v>
      </c>
      <c r="K2439" s="3">
        <v>380912.4</v>
      </c>
      <c r="L2439" t="s">
        <v>25</v>
      </c>
      <c r="M2439" s="2">
        <v>45686</v>
      </c>
      <c r="N2439" s="2">
        <v>45684</v>
      </c>
      <c r="O2439" t="s">
        <v>60</v>
      </c>
      <c r="P2439" t="s">
        <v>27</v>
      </c>
      <c r="Q2439" t="s">
        <v>28</v>
      </c>
      <c r="R2439" t="s">
        <v>29</v>
      </c>
      <c r="S2439">
        <v>2025</v>
      </c>
      <c r="T2439" t="s">
        <v>2757</v>
      </c>
      <c r="U2439" t="s">
        <v>2768</v>
      </c>
      <c r="V2439" s="4">
        <v>0</v>
      </c>
      <c r="W2439" s="4">
        <v>1</v>
      </c>
    </row>
    <row r="2440" spans="1:23">
      <c r="A2440" t="s">
        <v>2573</v>
      </c>
      <c r="B2440" s="2">
        <v>46009</v>
      </c>
      <c r="C2440" t="s">
        <v>80</v>
      </c>
      <c r="D2440" t="s">
        <v>81</v>
      </c>
      <c r="E2440" t="s">
        <v>39</v>
      </c>
      <c r="F2440" t="s">
        <v>82</v>
      </c>
      <c r="G2440" t="s">
        <v>98</v>
      </c>
      <c r="H2440" t="s">
        <v>99</v>
      </c>
      <c r="I2440">
        <v>50</v>
      </c>
      <c r="J2440" s="3">
        <v>1082.8599999999999</v>
      </c>
      <c r="K2440" s="3">
        <v>54143</v>
      </c>
      <c r="L2440" t="s">
        <v>52</v>
      </c>
      <c r="M2440" s="2">
        <v>46022</v>
      </c>
      <c r="N2440" s="2">
        <v>46022</v>
      </c>
      <c r="O2440" t="s">
        <v>26</v>
      </c>
      <c r="P2440" t="s">
        <v>44</v>
      </c>
      <c r="Q2440" t="s">
        <v>28</v>
      </c>
      <c r="R2440" t="s">
        <v>29</v>
      </c>
      <c r="S2440">
        <v>2025</v>
      </c>
      <c r="T2440" t="s">
        <v>2745</v>
      </c>
      <c r="U2440" t="s">
        <v>2746</v>
      </c>
      <c r="V2440" s="4">
        <v>0</v>
      </c>
      <c r="W2440" s="4">
        <v>1</v>
      </c>
    </row>
    <row r="2441" spans="1:23">
      <c r="A2441" t="s">
        <v>2574</v>
      </c>
      <c r="B2441" s="2">
        <v>45994</v>
      </c>
      <c r="C2441" t="s">
        <v>66</v>
      </c>
      <c r="D2441" t="s">
        <v>67</v>
      </c>
      <c r="E2441" t="s">
        <v>73</v>
      </c>
      <c r="F2441" t="s">
        <v>49</v>
      </c>
      <c r="G2441" t="s">
        <v>68</v>
      </c>
      <c r="H2441" t="s">
        <v>69</v>
      </c>
      <c r="I2441">
        <v>1</v>
      </c>
      <c r="J2441" s="3">
        <v>45734.48</v>
      </c>
      <c r="K2441" s="3">
        <v>45734.48</v>
      </c>
      <c r="L2441" t="s">
        <v>34</v>
      </c>
      <c r="M2441" s="2">
        <v>46011</v>
      </c>
      <c r="N2441" s="2">
        <v>46009</v>
      </c>
      <c r="O2441" t="s">
        <v>60</v>
      </c>
      <c r="P2441" t="s">
        <v>77</v>
      </c>
      <c r="Q2441" t="s">
        <v>28</v>
      </c>
      <c r="R2441" t="s">
        <v>29</v>
      </c>
      <c r="S2441">
        <v>2025</v>
      </c>
      <c r="T2441" t="s">
        <v>2745</v>
      </c>
      <c r="U2441" t="s">
        <v>2746</v>
      </c>
      <c r="V2441" s="4">
        <v>0</v>
      </c>
      <c r="W2441" s="4">
        <v>1</v>
      </c>
    </row>
    <row r="2442" spans="1:23">
      <c r="A2442" t="s">
        <v>2575</v>
      </c>
      <c r="B2442" s="2">
        <v>45727</v>
      </c>
      <c r="C2442" t="s">
        <v>107</v>
      </c>
      <c r="D2442" t="s">
        <v>108</v>
      </c>
      <c r="E2442" t="s">
        <v>31</v>
      </c>
      <c r="F2442" t="s">
        <v>91</v>
      </c>
      <c r="G2442" t="s">
        <v>109</v>
      </c>
      <c r="H2442" t="s">
        <v>110</v>
      </c>
      <c r="I2442">
        <v>1</v>
      </c>
      <c r="J2442" s="3">
        <v>13679</v>
      </c>
      <c r="K2442" s="3">
        <v>13679</v>
      </c>
      <c r="L2442" t="s">
        <v>34</v>
      </c>
      <c r="M2442" s="2">
        <v>45743</v>
      </c>
      <c r="N2442" s="2">
        <v>45743</v>
      </c>
      <c r="O2442" t="s">
        <v>60</v>
      </c>
      <c r="P2442" t="s">
        <v>94</v>
      </c>
      <c r="Q2442" t="s">
        <v>28</v>
      </c>
      <c r="R2442" t="s">
        <v>29</v>
      </c>
      <c r="S2442">
        <v>2025</v>
      </c>
      <c r="T2442" t="s">
        <v>2747</v>
      </c>
      <c r="U2442" t="s">
        <v>2748</v>
      </c>
      <c r="V2442" s="4">
        <v>0</v>
      </c>
      <c r="W2442" s="4">
        <v>1</v>
      </c>
    </row>
    <row r="2443" spans="1:23">
      <c r="A2443" t="s">
        <v>2576</v>
      </c>
      <c r="B2443" s="2">
        <v>45971</v>
      </c>
      <c r="C2443" t="s">
        <v>142</v>
      </c>
      <c r="D2443" t="s">
        <v>143</v>
      </c>
      <c r="E2443" t="s">
        <v>73</v>
      </c>
      <c r="F2443" t="s">
        <v>22</v>
      </c>
      <c r="G2443" t="s">
        <v>32</v>
      </c>
      <c r="H2443" t="s">
        <v>33</v>
      </c>
      <c r="I2443">
        <v>11</v>
      </c>
      <c r="J2443" s="3">
        <v>8050.8</v>
      </c>
      <c r="K2443" s="3">
        <v>88558.8</v>
      </c>
      <c r="L2443" t="s">
        <v>25</v>
      </c>
      <c r="M2443" s="2">
        <v>45984</v>
      </c>
      <c r="N2443" s="2">
        <v>45981</v>
      </c>
      <c r="O2443" t="s">
        <v>76</v>
      </c>
      <c r="P2443" t="s">
        <v>77</v>
      </c>
      <c r="Q2443" t="s">
        <v>28</v>
      </c>
      <c r="R2443" t="s">
        <v>29</v>
      </c>
      <c r="S2443">
        <v>2025</v>
      </c>
      <c r="T2443" t="s">
        <v>2763</v>
      </c>
      <c r="U2443" t="s">
        <v>2764</v>
      </c>
      <c r="V2443" s="4">
        <v>0</v>
      </c>
      <c r="W2443" s="4">
        <v>1</v>
      </c>
    </row>
    <row r="2444" spans="1:23">
      <c r="A2444" t="s">
        <v>2577</v>
      </c>
      <c r="B2444" s="2">
        <v>46126</v>
      </c>
      <c r="C2444" t="s">
        <v>37</v>
      </c>
      <c r="D2444" t="s">
        <v>38</v>
      </c>
      <c r="E2444" t="s">
        <v>31</v>
      </c>
      <c r="F2444" t="s">
        <v>22</v>
      </c>
      <c r="G2444" t="s">
        <v>32</v>
      </c>
      <c r="H2444" t="s">
        <v>33</v>
      </c>
      <c r="I2444">
        <v>14</v>
      </c>
      <c r="J2444" s="3">
        <v>8048.67</v>
      </c>
      <c r="K2444" s="3">
        <v>112681.38</v>
      </c>
      <c r="L2444" t="s">
        <v>34</v>
      </c>
      <c r="M2444" s="2">
        <v>46131</v>
      </c>
      <c r="N2444" s="2">
        <v>46128</v>
      </c>
      <c r="O2444" t="s">
        <v>43</v>
      </c>
      <c r="P2444" t="s">
        <v>35</v>
      </c>
      <c r="Q2444" t="s">
        <v>28</v>
      </c>
      <c r="R2444" t="s">
        <v>29</v>
      </c>
      <c r="S2444">
        <v>2026</v>
      </c>
      <c r="T2444" t="s">
        <v>2741</v>
      </c>
      <c r="U2444" t="s">
        <v>2770</v>
      </c>
      <c r="V2444" s="4">
        <v>0</v>
      </c>
      <c r="W2444" s="4">
        <v>1</v>
      </c>
    </row>
    <row r="2445" spans="1:23">
      <c r="A2445" t="s">
        <v>2578</v>
      </c>
      <c r="B2445" s="2">
        <v>45850</v>
      </c>
      <c r="C2445" t="s">
        <v>131</v>
      </c>
      <c r="D2445" t="s">
        <v>132</v>
      </c>
      <c r="E2445" t="s">
        <v>48</v>
      </c>
      <c r="F2445" t="s">
        <v>57</v>
      </c>
      <c r="G2445" t="s">
        <v>101</v>
      </c>
      <c r="H2445" t="s">
        <v>102</v>
      </c>
      <c r="I2445">
        <v>60</v>
      </c>
      <c r="J2445" s="3">
        <v>1832.61</v>
      </c>
      <c r="K2445" s="3">
        <v>109956.6</v>
      </c>
      <c r="L2445" t="s">
        <v>34</v>
      </c>
      <c r="M2445" s="2">
        <v>45867</v>
      </c>
      <c r="N2445" s="2">
        <v>45867</v>
      </c>
      <c r="O2445" t="s">
        <v>76</v>
      </c>
      <c r="P2445" t="s">
        <v>53</v>
      </c>
      <c r="Q2445" t="s">
        <v>28</v>
      </c>
      <c r="R2445" t="s">
        <v>29</v>
      </c>
      <c r="S2445">
        <v>2025</v>
      </c>
      <c r="T2445" t="s">
        <v>2759</v>
      </c>
      <c r="U2445" t="s">
        <v>2760</v>
      </c>
      <c r="V2445" s="4">
        <v>0</v>
      </c>
      <c r="W2445" s="4">
        <v>1</v>
      </c>
    </row>
    <row r="2446" spans="1:23">
      <c r="A2446" t="s">
        <v>2579</v>
      </c>
      <c r="B2446" s="2">
        <v>46049</v>
      </c>
      <c r="C2446" t="s">
        <v>71</v>
      </c>
      <c r="D2446" t="s">
        <v>72</v>
      </c>
      <c r="E2446" t="s">
        <v>21</v>
      </c>
      <c r="F2446" t="s">
        <v>57</v>
      </c>
      <c r="G2446" t="s">
        <v>58</v>
      </c>
      <c r="H2446" t="s">
        <v>59</v>
      </c>
      <c r="I2446">
        <v>1</v>
      </c>
      <c r="J2446" s="3">
        <v>51981.77</v>
      </c>
      <c r="K2446" s="3">
        <v>51981.77</v>
      </c>
      <c r="L2446" t="s">
        <v>25</v>
      </c>
      <c r="M2446" s="2">
        <v>46055</v>
      </c>
      <c r="N2446" s="2">
        <v>46052</v>
      </c>
      <c r="O2446" t="s">
        <v>26</v>
      </c>
      <c r="P2446" t="s">
        <v>27</v>
      </c>
      <c r="Q2446" t="s">
        <v>28</v>
      </c>
      <c r="R2446" t="s">
        <v>29</v>
      </c>
      <c r="S2446">
        <v>2026</v>
      </c>
      <c r="T2446" t="s">
        <v>2757</v>
      </c>
      <c r="U2446" t="s">
        <v>2758</v>
      </c>
      <c r="V2446" s="4">
        <v>0</v>
      </c>
      <c r="W2446" s="4">
        <v>1</v>
      </c>
    </row>
    <row r="2447" spans="1:23">
      <c r="A2447" t="s">
        <v>2580</v>
      </c>
      <c r="B2447" s="2">
        <v>46019</v>
      </c>
      <c r="C2447" t="s">
        <v>142</v>
      </c>
      <c r="D2447" t="s">
        <v>143</v>
      </c>
      <c r="E2447" t="s">
        <v>39</v>
      </c>
      <c r="F2447" t="s">
        <v>22</v>
      </c>
      <c r="G2447" t="s">
        <v>32</v>
      </c>
      <c r="H2447" t="s">
        <v>33</v>
      </c>
      <c r="I2447">
        <v>4</v>
      </c>
      <c r="J2447" s="3">
        <v>7578.02</v>
      </c>
      <c r="K2447" s="3">
        <v>30312.080000000002</v>
      </c>
      <c r="L2447" t="s">
        <v>25</v>
      </c>
      <c r="M2447" s="2">
        <v>46034</v>
      </c>
      <c r="N2447" s="2">
        <v>46032</v>
      </c>
      <c r="O2447" t="s">
        <v>43</v>
      </c>
      <c r="P2447" t="s">
        <v>44</v>
      </c>
      <c r="Q2447" t="s">
        <v>28</v>
      </c>
      <c r="R2447" t="s">
        <v>29</v>
      </c>
      <c r="S2447">
        <v>2025</v>
      </c>
      <c r="T2447" t="s">
        <v>2745</v>
      </c>
      <c r="U2447" t="s">
        <v>2746</v>
      </c>
      <c r="V2447" s="4">
        <v>0</v>
      </c>
      <c r="W2447" s="4">
        <v>1</v>
      </c>
    </row>
    <row r="2448" spans="1:23">
      <c r="A2448" t="s">
        <v>2581</v>
      </c>
      <c r="B2448" s="2">
        <v>45979</v>
      </c>
      <c r="C2448" t="s">
        <v>104</v>
      </c>
      <c r="D2448" t="s">
        <v>105</v>
      </c>
      <c r="E2448" t="s">
        <v>112</v>
      </c>
      <c r="F2448" t="s">
        <v>49</v>
      </c>
      <c r="G2448" t="s">
        <v>165</v>
      </c>
      <c r="H2448" t="s">
        <v>166</v>
      </c>
      <c r="I2448">
        <v>1</v>
      </c>
      <c r="J2448" s="3">
        <v>44308.3</v>
      </c>
      <c r="K2448" s="3">
        <v>44308.3</v>
      </c>
      <c r="L2448" t="s">
        <v>25</v>
      </c>
      <c r="M2448" s="2">
        <v>45984</v>
      </c>
      <c r="N2448" s="2">
        <v>45982</v>
      </c>
      <c r="O2448" t="s">
        <v>26</v>
      </c>
      <c r="P2448" t="s">
        <v>115</v>
      </c>
      <c r="Q2448" t="s">
        <v>28</v>
      </c>
      <c r="R2448" t="s">
        <v>29</v>
      </c>
      <c r="S2448">
        <v>2025</v>
      </c>
      <c r="T2448" t="s">
        <v>2763</v>
      </c>
      <c r="U2448" t="s">
        <v>2764</v>
      </c>
      <c r="V2448" s="4">
        <v>0</v>
      </c>
      <c r="W2448" s="4">
        <v>1</v>
      </c>
    </row>
    <row r="2449" spans="1:23">
      <c r="A2449" t="s">
        <v>2582</v>
      </c>
      <c r="B2449" s="2">
        <v>45708</v>
      </c>
      <c r="C2449" t="s">
        <v>117</v>
      </c>
      <c r="D2449" t="s">
        <v>118</v>
      </c>
      <c r="E2449" t="s">
        <v>73</v>
      </c>
      <c r="F2449" t="s">
        <v>57</v>
      </c>
      <c r="G2449" t="s">
        <v>127</v>
      </c>
      <c r="H2449" t="s">
        <v>128</v>
      </c>
      <c r="I2449">
        <v>3</v>
      </c>
      <c r="J2449" s="3">
        <v>17090.3</v>
      </c>
      <c r="K2449" s="3">
        <v>51270.9</v>
      </c>
      <c r="L2449" t="s">
        <v>34</v>
      </c>
      <c r="M2449" s="2">
        <v>45721</v>
      </c>
      <c r="N2449" s="2">
        <v>45732</v>
      </c>
      <c r="O2449" t="s">
        <v>60</v>
      </c>
      <c r="P2449" t="s">
        <v>77</v>
      </c>
      <c r="Q2449" t="s">
        <v>28</v>
      </c>
      <c r="R2449" t="s">
        <v>129</v>
      </c>
      <c r="S2449">
        <v>2025</v>
      </c>
      <c r="T2449" t="s">
        <v>2751</v>
      </c>
      <c r="U2449" t="s">
        <v>2752</v>
      </c>
      <c r="V2449" s="4">
        <v>11</v>
      </c>
      <c r="W2449" s="4">
        <v>0</v>
      </c>
    </row>
    <row r="2450" spans="1:23">
      <c r="A2450" t="s">
        <v>2583</v>
      </c>
      <c r="B2450" s="2">
        <v>45801</v>
      </c>
      <c r="C2450" t="s">
        <v>142</v>
      </c>
      <c r="D2450" t="s">
        <v>143</v>
      </c>
      <c r="E2450" t="s">
        <v>39</v>
      </c>
      <c r="F2450" t="s">
        <v>22</v>
      </c>
      <c r="G2450" t="s">
        <v>23</v>
      </c>
      <c r="H2450" t="s">
        <v>24</v>
      </c>
      <c r="I2450">
        <v>34</v>
      </c>
      <c r="J2450" s="3">
        <v>248.87</v>
      </c>
      <c r="K2450" s="3">
        <v>8461.58</v>
      </c>
      <c r="L2450" t="s">
        <v>25</v>
      </c>
      <c r="M2450" s="2">
        <v>45813</v>
      </c>
      <c r="N2450" s="2">
        <v>45812</v>
      </c>
      <c r="O2450" t="s">
        <v>76</v>
      </c>
      <c r="P2450" t="s">
        <v>64</v>
      </c>
      <c r="Q2450" t="s">
        <v>28</v>
      </c>
      <c r="R2450" t="s">
        <v>29</v>
      </c>
      <c r="S2450">
        <v>2025</v>
      </c>
      <c r="T2450" t="s">
        <v>2766</v>
      </c>
      <c r="U2450" t="s">
        <v>2767</v>
      </c>
      <c r="V2450" s="4">
        <v>0</v>
      </c>
      <c r="W2450" s="4">
        <v>1</v>
      </c>
    </row>
    <row r="2451" spans="1:23">
      <c r="A2451" t="s">
        <v>2584</v>
      </c>
      <c r="B2451" s="2">
        <v>46158</v>
      </c>
      <c r="C2451" t="s">
        <v>55</v>
      </c>
      <c r="D2451" t="s">
        <v>56</v>
      </c>
      <c r="E2451" t="s">
        <v>31</v>
      </c>
      <c r="F2451" t="s">
        <v>57</v>
      </c>
      <c r="G2451" t="s">
        <v>74</v>
      </c>
      <c r="H2451" t="s">
        <v>75</v>
      </c>
      <c r="I2451">
        <v>7</v>
      </c>
      <c r="J2451" s="3">
        <v>9450.07</v>
      </c>
      <c r="K2451" s="3">
        <v>66150.490000000005</v>
      </c>
      <c r="L2451" t="s">
        <v>25</v>
      </c>
      <c r="M2451" s="2">
        <v>46164</v>
      </c>
      <c r="N2451" s="2">
        <v>46161</v>
      </c>
      <c r="O2451" t="s">
        <v>26</v>
      </c>
      <c r="P2451" t="s">
        <v>35</v>
      </c>
      <c r="Q2451" t="s">
        <v>28</v>
      </c>
      <c r="R2451" t="s">
        <v>29</v>
      </c>
      <c r="S2451">
        <v>2026</v>
      </c>
      <c r="T2451" t="s">
        <v>2766</v>
      </c>
      <c r="U2451" t="s">
        <v>2769</v>
      </c>
      <c r="V2451" s="4">
        <v>0</v>
      </c>
      <c r="W2451" s="4">
        <v>1</v>
      </c>
    </row>
    <row r="2452" spans="1:23">
      <c r="A2452" t="s">
        <v>2585</v>
      </c>
      <c r="B2452" s="2">
        <v>45986</v>
      </c>
      <c r="C2452" t="s">
        <v>147</v>
      </c>
      <c r="D2452" t="s">
        <v>148</v>
      </c>
      <c r="E2452" t="s">
        <v>112</v>
      </c>
      <c r="F2452" t="s">
        <v>40</v>
      </c>
      <c r="G2452" t="s">
        <v>62</v>
      </c>
      <c r="H2452" t="s">
        <v>63</v>
      </c>
      <c r="I2452">
        <v>7</v>
      </c>
      <c r="J2452" s="3">
        <v>17336.87</v>
      </c>
      <c r="K2452" s="3">
        <v>121358.09</v>
      </c>
      <c r="L2452" t="s">
        <v>52</v>
      </c>
      <c r="M2452" s="2">
        <v>45997</v>
      </c>
      <c r="N2452" s="2">
        <v>45995</v>
      </c>
      <c r="O2452" t="s">
        <v>26</v>
      </c>
      <c r="P2452" t="s">
        <v>115</v>
      </c>
      <c r="Q2452" t="s">
        <v>28</v>
      </c>
      <c r="R2452" t="s">
        <v>29</v>
      </c>
      <c r="S2452">
        <v>2025</v>
      </c>
      <c r="T2452" t="s">
        <v>2763</v>
      </c>
      <c r="U2452" t="s">
        <v>2764</v>
      </c>
      <c r="V2452" s="4">
        <v>0</v>
      </c>
      <c r="W2452" s="4">
        <v>1</v>
      </c>
    </row>
    <row r="2453" spans="1:23">
      <c r="A2453" t="s">
        <v>2586</v>
      </c>
      <c r="B2453" s="2">
        <v>45788</v>
      </c>
      <c r="C2453" t="s">
        <v>80</v>
      </c>
      <c r="D2453" t="s">
        <v>81</v>
      </c>
      <c r="E2453" t="s">
        <v>39</v>
      </c>
      <c r="F2453" t="s">
        <v>82</v>
      </c>
      <c r="G2453" t="s">
        <v>83</v>
      </c>
      <c r="H2453" t="s">
        <v>84</v>
      </c>
      <c r="I2453">
        <v>27</v>
      </c>
      <c r="J2453" s="3">
        <v>715.84</v>
      </c>
      <c r="K2453" s="3">
        <v>19327.68</v>
      </c>
      <c r="L2453" t="s">
        <v>25</v>
      </c>
      <c r="M2453" s="2">
        <v>45793</v>
      </c>
      <c r="N2453" s="2">
        <v>45793</v>
      </c>
      <c r="O2453" t="s">
        <v>76</v>
      </c>
      <c r="P2453" t="s">
        <v>64</v>
      </c>
      <c r="Q2453" t="s">
        <v>28</v>
      </c>
      <c r="R2453" t="s">
        <v>29</v>
      </c>
      <c r="S2453">
        <v>2025</v>
      </c>
      <c r="T2453" t="s">
        <v>2766</v>
      </c>
      <c r="U2453" t="s">
        <v>2767</v>
      </c>
      <c r="V2453" s="4">
        <v>0</v>
      </c>
      <c r="W2453" s="4">
        <v>1</v>
      </c>
    </row>
    <row r="2454" spans="1:23">
      <c r="A2454" t="s">
        <v>2587</v>
      </c>
      <c r="B2454" s="2">
        <v>45913</v>
      </c>
      <c r="C2454" t="s">
        <v>46</v>
      </c>
      <c r="D2454" t="s">
        <v>47</v>
      </c>
      <c r="E2454" t="s">
        <v>73</v>
      </c>
      <c r="F2454" t="s">
        <v>49</v>
      </c>
      <c r="G2454" t="s">
        <v>165</v>
      </c>
      <c r="H2454" t="s">
        <v>166</v>
      </c>
      <c r="I2454">
        <v>2</v>
      </c>
      <c r="J2454" s="3">
        <v>49619.8</v>
      </c>
      <c r="K2454" s="3">
        <v>99239.6</v>
      </c>
      <c r="L2454" t="s">
        <v>34</v>
      </c>
      <c r="M2454" s="2">
        <v>45925</v>
      </c>
      <c r="N2454" s="2">
        <v>45925</v>
      </c>
      <c r="O2454" t="s">
        <v>43</v>
      </c>
      <c r="P2454" t="s">
        <v>77</v>
      </c>
      <c r="Q2454" t="s">
        <v>28</v>
      </c>
      <c r="R2454" t="s">
        <v>29</v>
      </c>
      <c r="S2454">
        <v>2025</v>
      </c>
      <c r="T2454" t="s">
        <v>2753</v>
      </c>
      <c r="U2454" t="s">
        <v>2754</v>
      </c>
      <c r="V2454" s="4">
        <v>0</v>
      </c>
      <c r="W2454" s="4">
        <v>1</v>
      </c>
    </row>
    <row r="2455" spans="1:23">
      <c r="A2455" t="s">
        <v>2588</v>
      </c>
      <c r="B2455" s="2">
        <v>45770</v>
      </c>
      <c r="C2455" t="s">
        <v>71</v>
      </c>
      <c r="D2455" t="s">
        <v>72</v>
      </c>
      <c r="E2455" t="s">
        <v>73</v>
      </c>
      <c r="F2455" t="s">
        <v>57</v>
      </c>
      <c r="G2455" t="s">
        <v>86</v>
      </c>
      <c r="H2455" t="s">
        <v>87</v>
      </c>
      <c r="I2455">
        <v>6</v>
      </c>
      <c r="J2455" s="3">
        <v>10506.69</v>
      </c>
      <c r="K2455" s="3">
        <v>63040.14</v>
      </c>
      <c r="L2455" t="s">
        <v>52</v>
      </c>
      <c r="M2455" s="2">
        <v>45782</v>
      </c>
      <c r="N2455" s="2">
        <v>45782</v>
      </c>
      <c r="O2455" t="s">
        <v>26</v>
      </c>
      <c r="P2455" t="s">
        <v>77</v>
      </c>
      <c r="Q2455" t="s">
        <v>28</v>
      </c>
      <c r="R2455" t="s">
        <v>29</v>
      </c>
      <c r="S2455">
        <v>2025</v>
      </c>
      <c r="T2455" t="s">
        <v>2741</v>
      </c>
      <c r="U2455" t="s">
        <v>2742</v>
      </c>
      <c r="V2455" s="4">
        <v>0</v>
      </c>
      <c r="W2455" s="4">
        <v>1</v>
      </c>
    </row>
    <row r="2456" spans="1:23">
      <c r="A2456" t="s">
        <v>2589</v>
      </c>
      <c r="B2456" s="2">
        <v>45749</v>
      </c>
      <c r="C2456" t="s">
        <v>71</v>
      </c>
      <c r="D2456" t="s">
        <v>72</v>
      </c>
      <c r="E2456" t="s">
        <v>48</v>
      </c>
      <c r="F2456" t="s">
        <v>57</v>
      </c>
      <c r="G2456" t="s">
        <v>101</v>
      </c>
      <c r="H2456" t="s">
        <v>102</v>
      </c>
      <c r="I2456">
        <v>59</v>
      </c>
      <c r="J2456" s="3">
        <v>1723.16</v>
      </c>
      <c r="K2456" s="3">
        <v>101666.44</v>
      </c>
      <c r="L2456" t="s">
        <v>34</v>
      </c>
      <c r="M2456" s="2">
        <v>45764</v>
      </c>
      <c r="N2456" s="2">
        <v>45762</v>
      </c>
      <c r="O2456" t="s">
        <v>43</v>
      </c>
      <c r="P2456" t="s">
        <v>53</v>
      </c>
      <c r="Q2456" t="s">
        <v>28</v>
      </c>
      <c r="R2456" t="s">
        <v>29</v>
      </c>
      <c r="S2456">
        <v>2025</v>
      </c>
      <c r="T2456" t="s">
        <v>2741</v>
      </c>
      <c r="U2456" t="s">
        <v>2742</v>
      </c>
      <c r="V2456" s="4">
        <v>0</v>
      </c>
      <c r="W2456" s="4">
        <v>1</v>
      </c>
    </row>
    <row r="2457" spans="1:23">
      <c r="A2457" t="s">
        <v>2590</v>
      </c>
      <c r="B2457" s="2">
        <v>45852</v>
      </c>
      <c r="C2457" t="s">
        <v>37</v>
      </c>
      <c r="D2457" t="s">
        <v>38</v>
      </c>
      <c r="E2457" t="s">
        <v>112</v>
      </c>
      <c r="F2457" t="s">
        <v>40</v>
      </c>
      <c r="G2457" t="s">
        <v>136</v>
      </c>
      <c r="H2457" t="s">
        <v>137</v>
      </c>
      <c r="I2457">
        <v>15</v>
      </c>
      <c r="J2457" s="3">
        <v>1728.29</v>
      </c>
      <c r="K2457" s="3">
        <v>25924.35</v>
      </c>
      <c r="L2457" t="s">
        <v>34</v>
      </c>
      <c r="M2457" s="2">
        <v>45868</v>
      </c>
      <c r="N2457" s="2">
        <v>45865</v>
      </c>
      <c r="O2457" t="s">
        <v>76</v>
      </c>
      <c r="P2457" t="s">
        <v>115</v>
      </c>
      <c r="Q2457" t="s">
        <v>28</v>
      </c>
      <c r="R2457" t="s">
        <v>29</v>
      </c>
      <c r="S2457">
        <v>2025</v>
      </c>
      <c r="T2457" t="s">
        <v>2759</v>
      </c>
      <c r="U2457" t="s">
        <v>2760</v>
      </c>
      <c r="V2457" s="4">
        <v>0</v>
      </c>
      <c r="W2457" s="4">
        <v>1</v>
      </c>
    </row>
    <row r="2458" spans="1:23">
      <c r="A2458" t="s">
        <v>2591</v>
      </c>
      <c r="B2458" s="2">
        <v>45665</v>
      </c>
      <c r="C2458" t="s">
        <v>37</v>
      </c>
      <c r="D2458" t="s">
        <v>38</v>
      </c>
      <c r="E2458" t="s">
        <v>73</v>
      </c>
      <c r="F2458" t="s">
        <v>22</v>
      </c>
      <c r="G2458" t="s">
        <v>23</v>
      </c>
      <c r="H2458" t="s">
        <v>24</v>
      </c>
      <c r="I2458">
        <v>30</v>
      </c>
      <c r="J2458" s="3">
        <v>274.26</v>
      </c>
      <c r="K2458" s="3">
        <v>8227.7999999999993</v>
      </c>
      <c r="L2458" t="s">
        <v>25</v>
      </c>
      <c r="M2458" s="2">
        <v>45681</v>
      </c>
      <c r="N2458" s="2">
        <v>45679</v>
      </c>
      <c r="O2458" t="s">
        <v>43</v>
      </c>
      <c r="P2458" t="s">
        <v>77</v>
      </c>
      <c r="Q2458" t="s">
        <v>28</v>
      </c>
      <c r="R2458" t="s">
        <v>29</v>
      </c>
      <c r="S2458">
        <v>2025</v>
      </c>
      <c r="T2458" t="s">
        <v>2757</v>
      </c>
      <c r="U2458" t="s">
        <v>2768</v>
      </c>
      <c r="V2458" s="4">
        <v>0</v>
      </c>
      <c r="W2458" s="4">
        <v>1</v>
      </c>
    </row>
    <row r="2459" spans="1:23">
      <c r="A2459" t="s">
        <v>2592</v>
      </c>
      <c r="B2459" s="2">
        <v>45985</v>
      </c>
      <c r="C2459" t="s">
        <v>96</v>
      </c>
      <c r="D2459" t="s">
        <v>97</v>
      </c>
      <c r="E2459" t="s">
        <v>39</v>
      </c>
      <c r="F2459" t="s">
        <v>82</v>
      </c>
      <c r="G2459" t="s">
        <v>83</v>
      </c>
      <c r="H2459" t="s">
        <v>84</v>
      </c>
      <c r="I2459">
        <v>18</v>
      </c>
      <c r="J2459" s="3">
        <v>747.24</v>
      </c>
      <c r="K2459" s="3">
        <v>13450.32</v>
      </c>
      <c r="L2459" t="s">
        <v>25</v>
      </c>
      <c r="M2459" s="2">
        <v>45990</v>
      </c>
      <c r="N2459" s="2">
        <v>46001</v>
      </c>
      <c r="O2459" t="s">
        <v>43</v>
      </c>
      <c r="P2459" t="s">
        <v>44</v>
      </c>
      <c r="Q2459" t="s">
        <v>28</v>
      </c>
      <c r="R2459" t="s">
        <v>129</v>
      </c>
      <c r="S2459">
        <v>2025</v>
      </c>
      <c r="T2459" t="s">
        <v>2763</v>
      </c>
      <c r="U2459" t="s">
        <v>2764</v>
      </c>
      <c r="V2459" s="4">
        <v>11</v>
      </c>
      <c r="W2459" s="4">
        <v>0</v>
      </c>
    </row>
    <row r="2460" spans="1:23">
      <c r="A2460" t="s">
        <v>2593</v>
      </c>
      <c r="B2460" s="2">
        <v>45874</v>
      </c>
      <c r="C2460" t="s">
        <v>80</v>
      </c>
      <c r="D2460" t="s">
        <v>81</v>
      </c>
      <c r="E2460" t="s">
        <v>39</v>
      </c>
      <c r="F2460" t="s">
        <v>82</v>
      </c>
      <c r="G2460" t="s">
        <v>197</v>
      </c>
      <c r="H2460" t="s">
        <v>198</v>
      </c>
      <c r="I2460">
        <v>35</v>
      </c>
      <c r="J2460" s="3">
        <v>2031.08</v>
      </c>
      <c r="K2460" s="3">
        <v>71087.8</v>
      </c>
      <c r="L2460" t="s">
        <v>25</v>
      </c>
      <c r="M2460" s="2">
        <v>45886</v>
      </c>
      <c r="N2460" s="2">
        <v>45884</v>
      </c>
      <c r="O2460" t="s">
        <v>60</v>
      </c>
      <c r="P2460" t="s">
        <v>64</v>
      </c>
      <c r="Q2460" t="s">
        <v>28</v>
      </c>
      <c r="R2460" t="s">
        <v>29</v>
      </c>
      <c r="S2460">
        <v>2025</v>
      </c>
      <c r="T2460" t="s">
        <v>2761</v>
      </c>
      <c r="U2460" t="s">
        <v>2762</v>
      </c>
      <c r="V2460" s="4">
        <v>0</v>
      </c>
      <c r="W2460" s="4">
        <v>1</v>
      </c>
    </row>
    <row r="2461" spans="1:23">
      <c r="A2461" t="s">
        <v>2594</v>
      </c>
      <c r="B2461" s="2">
        <v>46148</v>
      </c>
      <c r="C2461" t="s">
        <v>104</v>
      </c>
      <c r="D2461" t="s">
        <v>105</v>
      </c>
      <c r="E2461" t="s">
        <v>48</v>
      </c>
      <c r="F2461" t="s">
        <v>49</v>
      </c>
      <c r="G2461" t="s">
        <v>113</v>
      </c>
      <c r="H2461" t="s">
        <v>114</v>
      </c>
      <c r="I2461">
        <v>2</v>
      </c>
      <c r="J2461" s="3">
        <v>37417.82</v>
      </c>
      <c r="K2461" s="3">
        <v>74835.64</v>
      </c>
      <c r="L2461" t="s">
        <v>34</v>
      </c>
      <c r="M2461" s="2">
        <v>46163</v>
      </c>
      <c r="N2461" s="2">
        <v>46162</v>
      </c>
      <c r="O2461" t="s">
        <v>60</v>
      </c>
      <c r="P2461" t="s">
        <v>53</v>
      </c>
      <c r="Q2461" t="s">
        <v>28</v>
      </c>
      <c r="R2461" t="s">
        <v>29</v>
      </c>
      <c r="S2461">
        <v>2026</v>
      </c>
      <c r="T2461" t="s">
        <v>2766</v>
      </c>
      <c r="U2461" t="s">
        <v>2769</v>
      </c>
      <c r="V2461" s="4">
        <v>0</v>
      </c>
      <c r="W2461" s="4">
        <v>1</v>
      </c>
    </row>
    <row r="2462" spans="1:23">
      <c r="A2462" t="s">
        <v>2595</v>
      </c>
      <c r="B2462" s="2">
        <v>46199</v>
      </c>
      <c r="C2462" t="s">
        <v>55</v>
      </c>
      <c r="D2462" t="s">
        <v>56</v>
      </c>
      <c r="E2462" t="s">
        <v>48</v>
      </c>
      <c r="F2462" t="s">
        <v>57</v>
      </c>
      <c r="G2462" t="s">
        <v>58</v>
      </c>
      <c r="H2462" t="s">
        <v>59</v>
      </c>
      <c r="I2462">
        <v>4</v>
      </c>
      <c r="J2462" s="3">
        <v>62988.800000000003</v>
      </c>
      <c r="K2462" s="3">
        <v>251955.20000000001</v>
      </c>
      <c r="L2462" t="s">
        <v>25</v>
      </c>
      <c r="M2462" s="2">
        <v>46209</v>
      </c>
      <c r="N2462" s="2">
        <v>46207</v>
      </c>
      <c r="O2462" t="s">
        <v>43</v>
      </c>
      <c r="P2462" t="s">
        <v>53</v>
      </c>
      <c r="Q2462" t="s">
        <v>28</v>
      </c>
      <c r="R2462" t="s">
        <v>29</v>
      </c>
      <c r="S2462">
        <v>2026</v>
      </c>
      <c r="T2462" t="s">
        <v>2743</v>
      </c>
      <c r="U2462" t="s">
        <v>2744</v>
      </c>
      <c r="V2462" s="4">
        <v>0</v>
      </c>
      <c r="W2462" s="4">
        <v>1</v>
      </c>
    </row>
    <row r="2463" spans="1:23">
      <c r="A2463" t="s">
        <v>2596</v>
      </c>
      <c r="B2463" s="2">
        <v>46169</v>
      </c>
      <c r="C2463" t="s">
        <v>66</v>
      </c>
      <c r="D2463" t="s">
        <v>67</v>
      </c>
      <c r="E2463" t="s">
        <v>48</v>
      </c>
      <c r="F2463" t="s">
        <v>49</v>
      </c>
      <c r="G2463" t="s">
        <v>165</v>
      </c>
      <c r="H2463" t="s">
        <v>166</v>
      </c>
      <c r="I2463">
        <v>2</v>
      </c>
      <c r="J2463" s="3">
        <v>43508.35</v>
      </c>
      <c r="K2463" s="3">
        <v>87016.7</v>
      </c>
      <c r="L2463" t="s">
        <v>52</v>
      </c>
      <c r="M2463" s="2">
        <v>46174</v>
      </c>
      <c r="N2463" s="2">
        <v>46186</v>
      </c>
      <c r="O2463" t="s">
        <v>26</v>
      </c>
      <c r="P2463" t="s">
        <v>53</v>
      </c>
      <c r="Q2463" t="s">
        <v>28</v>
      </c>
      <c r="R2463" t="s">
        <v>129</v>
      </c>
      <c r="S2463">
        <v>2026</v>
      </c>
      <c r="T2463" t="s">
        <v>2766</v>
      </c>
      <c r="U2463" t="s">
        <v>2769</v>
      </c>
      <c r="V2463" s="4">
        <v>12</v>
      </c>
      <c r="W2463" s="4">
        <v>0</v>
      </c>
    </row>
    <row r="2464" spans="1:23">
      <c r="A2464" t="s">
        <v>2597</v>
      </c>
      <c r="B2464" s="2">
        <v>45815</v>
      </c>
      <c r="C2464" t="s">
        <v>46</v>
      </c>
      <c r="D2464" t="s">
        <v>47</v>
      </c>
      <c r="E2464" t="s">
        <v>48</v>
      </c>
      <c r="F2464" t="s">
        <v>49</v>
      </c>
      <c r="G2464" t="s">
        <v>165</v>
      </c>
      <c r="H2464" t="s">
        <v>166</v>
      </c>
      <c r="I2464">
        <v>3</v>
      </c>
      <c r="J2464" s="3">
        <v>46170.97</v>
      </c>
      <c r="K2464" s="3">
        <v>138512.91</v>
      </c>
      <c r="L2464" t="s">
        <v>25</v>
      </c>
      <c r="M2464" s="2">
        <v>45822</v>
      </c>
      <c r="N2464" s="2">
        <v>45821</v>
      </c>
      <c r="O2464" t="s">
        <v>76</v>
      </c>
      <c r="P2464" t="s">
        <v>53</v>
      </c>
      <c r="Q2464" t="s">
        <v>28</v>
      </c>
      <c r="R2464" t="s">
        <v>29</v>
      </c>
      <c r="S2464">
        <v>2025</v>
      </c>
      <c r="T2464" t="s">
        <v>2743</v>
      </c>
      <c r="U2464" t="s">
        <v>2756</v>
      </c>
      <c r="V2464" s="4">
        <v>0</v>
      </c>
      <c r="W2464" s="4">
        <v>1</v>
      </c>
    </row>
    <row r="2465" spans="1:23">
      <c r="A2465" t="s">
        <v>2598</v>
      </c>
      <c r="B2465" s="2">
        <v>46019</v>
      </c>
      <c r="C2465" t="s">
        <v>117</v>
      </c>
      <c r="D2465" t="s">
        <v>118</v>
      </c>
      <c r="E2465" t="s">
        <v>31</v>
      </c>
      <c r="F2465" t="s">
        <v>57</v>
      </c>
      <c r="G2465" t="s">
        <v>120</v>
      </c>
      <c r="H2465" t="s">
        <v>121</v>
      </c>
      <c r="I2465">
        <v>4</v>
      </c>
      <c r="J2465" s="3">
        <v>22440.41</v>
      </c>
      <c r="K2465" s="3">
        <v>89761.64</v>
      </c>
      <c r="L2465" t="s">
        <v>25</v>
      </c>
      <c r="M2465" s="2">
        <v>46031</v>
      </c>
      <c r="N2465" s="2">
        <v>46031</v>
      </c>
      <c r="O2465" t="s">
        <v>76</v>
      </c>
      <c r="P2465" t="s">
        <v>94</v>
      </c>
      <c r="Q2465" t="s">
        <v>28</v>
      </c>
      <c r="R2465" t="s">
        <v>29</v>
      </c>
      <c r="S2465">
        <v>2025</v>
      </c>
      <c r="T2465" t="s">
        <v>2745</v>
      </c>
      <c r="U2465" t="s">
        <v>2746</v>
      </c>
      <c r="V2465" s="4">
        <v>0</v>
      </c>
      <c r="W2465" s="4">
        <v>1</v>
      </c>
    </row>
    <row r="2466" spans="1:23">
      <c r="A2466" t="s">
        <v>2599</v>
      </c>
      <c r="B2466" s="2">
        <v>46097</v>
      </c>
      <c r="C2466" t="s">
        <v>96</v>
      </c>
      <c r="D2466" t="s">
        <v>97</v>
      </c>
      <c r="E2466" t="s">
        <v>39</v>
      </c>
      <c r="F2466" t="s">
        <v>82</v>
      </c>
      <c r="G2466" t="s">
        <v>98</v>
      </c>
      <c r="H2466" t="s">
        <v>99</v>
      </c>
      <c r="I2466">
        <v>55</v>
      </c>
      <c r="J2466" s="3">
        <v>1123.1400000000001</v>
      </c>
      <c r="K2466" s="3">
        <v>61772.7</v>
      </c>
      <c r="L2466" t="s">
        <v>25</v>
      </c>
      <c r="M2466" s="2">
        <v>46109</v>
      </c>
      <c r="N2466" s="2">
        <v>46108</v>
      </c>
      <c r="O2466" t="s">
        <v>26</v>
      </c>
      <c r="P2466" t="s">
        <v>44</v>
      </c>
      <c r="Q2466" t="s">
        <v>28</v>
      </c>
      <c r="R2466" t="s">
        <v>29</v>
      </c>
      <c r="S2466">
        <v>2026</v>
      </c>
      <c r="T2466" t="s">
        <v>2747</v>
      </c>
      <c r="U2466" t="s">
        <v>2755</v>
      </c>
      <c r="V2466" s="4">
        <v>0</v>
      </c>
      <c r="W2466" s="4">
        <v>1</v>
      </c>
    </row>
    <row r="2467" spans="1:23">
      <c r="A2467" t="s">
        <v>2600</v>
      </c>
      <c r="B2467" s="2">
        <v>45810</v>
      </c>
      <c r="C2467" t="s">
        <v>142</v>
      </c>
      <c r="D2467" t="s">
        <v>143</v>
      </c>
      <c r="E2467" t="s">
        <v>112</v>
      </c>
      <c r="F2467" t="s">
        <v>22</v>
      </c>
      <c r="G2467" t="s">
        <v>32</v>
      </c>
      <c r="H2467" t="s">
        <v>33</v>
      </c>
      <c r="I2467">
        <v>6</v>
      </c>
      <c r="J2467" s="3">
        <v>8389.23</v>
      </c>
      <c r="K2467" s="3">
        <v>50335.38</v>
      </c>
      <c r="L2467" t="s">
        <v>34</v>
      </c>
      <c r="M2467" s="2">
        <v>45815</v>
      </c>
      <c r="N2467" s="2">
        <v>45813</v>
      </c>
      <c r="O2467" t="s">
        <v>26</v>
      </c>
      <c r="P2467" t="s">
        <v>115</v>
      </c>
      <c r="Q2467" t="s">
        <v>28</v>
      </c>
      <c r="R2467" t="s">
        <v>29</v>
      </c>
      <c r="S2467">
        <v>2025</v>
      </c>
      <c r="T2467" t="s">
        <v>2743</v>
      </c>
      <c r="U2467" t="s">
        <v>2756</v>
      </c>
      <c r="V2467" s="4">
        <v>0</v>
      </c>
      <c r="W2467" s="4">
        <v>1</v>
      </c>
    </row>
    <row r="2468" spans="1:23">
      <c r="A2468" t="s">
        <v>2601</v>
      </c>
      <c r="B2468" s="2">
        <v>45684</v>
      </c>
      <c r="C2468" t="s">
        <v>71</v>
      </c>
      <c r="D2468" t="s">
        <v>72</v>
      </c>
      <c r="E2468" t="s">
        <v>73</v>
      </c>
      <c r="F2468" t="s">
        <v>57</v>
      </c>
      <c r="G2468" t="s">
        <v>120</v>
      </c>
      <c r="H2468" t="s">
        <v>121</v>
      </c>
      <c r="I2468">
        <v>1</v>
      </c>
      <c r="J2468" s="3">
        <v>20261.2</v>
      </c>
      <c r="K2468" s="3">
        <v>20261.2</v>
      </c>
      <c r="L2468" t="s">
        <v>34</v>
      </c>
      <c r="M2468" s="2">
        <v>45697</v>
      </c>
      <c r="N2468" s="2">
        <v>45696</v>
      </c>
      <c r="O2468" t="s">
        <v>76</v>
      </c>
      <c r="P2468" t="s">
        <v>77</v>
      </c>
      <c r="Q2468" t="s">
        <v>28</v>
      </c>
      <c r="R2468" t="s">
        <v>29</v>
      </c>
      <c r="S2468">
        <v>2025</v>
      </c>
      <c r="T2468" t="s">
        <v>2757</v>
      </c>
      <c r="U2468" t="s">
        <v>2768</v>
      </c>
      <c r="V2468" s="4">
        <v>0</v>
      </c>
      <c r="W2468" s="4">
        <v>1</v>
      </c>
    </row>
    <row r="2469" spans="1:23">
      <c r="A2469" t="s">
        <v>2602</v>
      </c>
      <c r="B2469" s="2">
        <v>46070</v>
      </c>
      <c r="C2469" t="s">
        <v>107</v>
      </c>
      <c r="D2469" t="s">
        <v>108</v>
      </c>
      <c r="E2469" t="s">
        <v>31</v>
      </c>
      <c r="F2469" t="s">
        <v>91</v>
      </c>
      <c r="G2469" t="s">
        <v>109</v>
      </c>
      <c r="H2469" t="s">
        <v>110</v>
      </c>
      <c r="I2469">
        <v>2</v>
      </c>
      <c r="J2469" s="3">
        <v>13584.5</v>
      </c>
      <c r="K2469" s="3">
        <v>27169</v>
      </c>
      <c r="L2469" t="s">
        <v>34</v>
      </c>
      <c r="M2469" s="2">
        <v>46081</v>
      </c>
      <c r="N2469" s="2">
        <v>46078</v>
      </c>
      <c r="O2469" t="s">
        <v>26</v>
      </c>
      <c r="P2469" t="s">
        <v>35</v>
      </c>
      <c r="Q2469" t="s">
        <v>28</v>
      </c>
      <c r="R2469" t="s">
        <v>29</v>
      </c>
      <c r="S2469">
        <v>2026</v>
      </c>
      <c r="T2469" t="s">
        <v>2751</v>
      </c>
      <c r="U2469" t="s">
        <v>2765</v>
      </c>
      <c r="V2469" s="4">
        <v>0</v>
      </c>
      <c r="W2469" s="4">
        <v>1</v>
      </c>
    </row>
    <row r="2470" spans="1:23">
      <c r="A2470" t="s">
        <v>2603</v>
      </c>
      <c r="B2470" s="2">
        <v>45974</v>
      </c>
      <c r="C2470" t="s">
        <v>19</v>
      </c>
      <c r="D2470" t="s">
        <v>20</v>
      </c>
      <c r="E2470" t="s">
        <v>73</v>
      </c>
      <c r="F2470" t="s">
        <v>22</v>
      </c>
      <c r="G2470" t="s">
        <v>32</v>
      </c>
      <c r="H2470" t="s">
        <v>33</v>
      </c>
      <c r="I2470">
        <v>1</v>
      </c>
      <c r="J2470" s="3">
        <v>7554.95</v>
      </c>
      <c r="K2470" s="3">
        <v>7554.95</v>
      </c>
      <c r="L2470" t="s">
        <v>25</v>
      </c>
      <c r="M2470" s="2">
        <v>45987</v>
      </c>
      <c r="N2470" s="2">
        <v>45986</v>
      </c>
      <c r="O2470" t="s">
        <v>60</v>
      </c>
      <c r="P2470" t="s">
        <v>77</v>
      </c>
      <c r="Q2470" t="s">
        <v>28</v>
      </c>
      <c r="R2470" t="s">
        <v>29</v>
      </c>
      <c r="S2470">
        <v>2025</v>
      </c>
      <c r="T2470" t="s">
        <v>2763</v>
      </c>
      <c r="U2470" t="s">
        <v>2764</v>
      </c>
      <c r="V2470" s="4">
        <v>0</v>
      </c>
      <c r="W2470" s="4">
        <v>1</v>
      </c>
    </row>
    <row r="2471" spans="1:23">
      <c r="A2471" t="s">
        <v>2604</v>
      </c>
      <c r="B2471" s="2">
        <v>46044</v>
      </c>
      <c r="C2471" t="s">
        <v>71</v>
      </c>
      <c r="D2471" t="s">
        <v>72</v>
      </c>
      <c r="E2471" t="s">
        <v>48</v>
      </c>
      <c r="F2471" t="s">
        <v>57</v>
      </c>
      <c r="G2471" t="s">
        <v>86</v>
      </c>
      <c r="H2471" t="s">
        <v>87</v>
      </c>
      <c r="I2471">
        <v>6</v>
      </c>
      <c r="J2471" s="3">
        <v>10498.02</v>
      </c>
      <c r="K2471" s="3">
        <v>62988.12</v>
      </c>
      <c r="L2471" t="s">
        <v>25</v>
      </c>
      <c r="M2471" s="2">
        <v>46056</v>
      </c>
      <c r="N2471" s="2">
        <v>46055</v>
      </c>
      <c r="O2471" t="s">
        <v>76</v>
      </c>
      <c r="P2471" t="s">
        <v>53</v>
      </c>
      <c r="Q2471" t="s">
        <v>28</v>
      </c>
      <c r="R2471" t="s">
        <v>29</v>
      </c>
      <c r="S2471">
        <v>2026</v>
      </c>
      <c r="T2471" t="s">
        <v>2757</v>
      </c>
      <c r="U2471" t="s">
        <v>2758</v>
      </c>
      <c r="V2471" s="4">
        <v>0</v>
      </c>
      <c r="W2471" s="4">
        <v>1</v>
      </c>
    </row>
    <row r="2472" spans="1:23">
      <c r="A2472" t="s">
        <v>2605</v>
      </c>
      <c r="B2472" s="2">
        <v>45827</v>
      </c>
      <c r="C2472" t="s">
        <v>96</v>
      </c>
      <c r="D2472" t="s">
        <v>97</v>
      </c>
      <c r="E2472" t="s">
        <v>39</v>
      </c>
      <c r="F2472" t="s">
        <v>82</v>
      </c>
      <c r="G2472" t="s">
        <v>98</v>
      </c>
      <c r="H2472" t="s">
        <v>99</v>
      </c>
      <c r="I2472">
        <v>48</v>
      </c>
      <c r="J2472" s="3">
        <v>1135.1600000000001</v>
      </c>
      <c r="K2472" s="3">
        <v>54487.68</v>
      </c>
      <c r="L2472" t="s">
        <v>52</v>
      </c>
      <c r="M2472" s="2">
        <v>45842</v>
      </c>
      <c r="N2472" s="2">
        <v>45840</v>
      </c>
      <c r="O2472" t="s">
        <v>60</v>
      </c>
      <c r="P2472" t="s">
        <v>44</v>
      </c>
      <c r="Q2472" t="s">
        <v>28</v>
      </c>
      <c r="R2472" t="s">
        <v>29</v>
      </c>
      <c r="S2472">
        <v>2025</v>
      </c>
      <c r="T2472" t="s">
        <v>2743</v>
      </c>
      <c r="U2472" t="s">
        <v>2756</v>
      </c>
      <c r="V2472" s="4">
        <v>0</v>
      </c>
      <c r="W2472" s="4">
        <v>1</v>
      </c>
    </row>
    <row r="2473" spans="1:23">
      <c r="A2473" t="s">
        <v>2606</v>
      </c>
      <c r="B2473" s="2">
        <v>46065</v>
      </c>
      <c r="C2473" t="s">
        <v>104</v>
      </c>
      <c r="D2473" t="s">
        <v>105</v>
      </c>
      <c r="E2473" t="s">
        <v>21</v>
      </c>
      <c r="F2473" t="s">
        <v>49</v>
      </c>
      <c r="G2473" t="s">
        <v>68</v>
      </c>
      <c r="H2473" t="s">
        <v>69</v>
      </c>
      <c r="I2473">
        <v>2</v>
      </c>
      <c r="J2473" s="3">
        <v>46288.21</v>
      </c>
      <c r="K2473" s="3">
        <v>92576.42</v>
      </c>
      <c r="L2473" t="s">
        <v>25</v>
      </c>
      <c r="M2473" s="2">
        <v>46083</v>
      </c>
      <c r="N2473" s="2">
        <v>46082</v>
      </c>
      <c r="O2473" t="s">
        <v>60</v>
      </c>
      <c r="P2473" t="s">
        <v>27</v>
      </c>
      <c r="Q2473" t="s">
        <v>28</v>
      </c>
      <c r="R2473" t="s">
        <v>29</v>
      </c>
      <c r="S2473">
        <v>2026</v>
      </c>
      <c r="T2473" t="s">
        <v>2751</v>
      </c>
      <c r="U2473" t="s">
        <v>2765</v>
      </c>
      <c r="V2473" s="4">
        <v>0</v>
      </c>
      <c r="W2473" s="4">
        <v>1</v>
      </c>
    </row>
    <row r="2474" spans="1:23">
      <c r="A2474" t="s">
        <v>2607</v>
      </c>
      <c r="B2474" s="2">
        <v>45831</v>
      </c>
      <c r="C2474" t="s">
        <v>66</v>
      </c>
      <c r="D2474" t="s">
        <v>67</v>
      </c>
      <c r="E2474" t="s">
        <v>21</v>
      </c>
      <c r="F2474" t="s">
        <v>49</v>
      </c>
      <c r="G2474" t="s">
        <v>113</v>
      </c>
      <c r="H2474" t="s">
        <v>114</v>
      </c>
      <c r="I2474">
        <v>3</v>
      </c>
      <c r="J2474" s="3">
        <v>37642.03</v>
      </c>
      <c r="K2474" s="3">
        <v>112926.09</v>
      </c>
      <c r="L2474" t="s">
        <v>34</v>
      </c>
      <c r="M2474" s="2">
        <v>45841</v>
      </c>
      <c r="N2474" s="2">
        <v>45849</v>
      </c>
      <c r="O2474" t="s">
        <v>76</v>
      </c>
      <c r="P2474" t="s">
        <v>27</v>
      </c>
      <c r="Q2474" t="s">
        <v>28</v>
      </c>
      <c r="R2474" t="s">
        <v>129</v>
      </c>
      <c r="S2474">
        <v>2025</v>
      </c>
      <c r="T2474" t="s">
        <v>2743</v>
      </c>
      <c r="U2474" t="s">
        <v>2756</v>
      </c>
      <c r="V2474" s="4">
        <v>8</v>
      </c>
      <c r="W2474" s="4">
        <v>0</v>
      </c>
    </row>
    <row r="2475" spans="1:23">
      <c r="A2475" t="s">
        <v>2608</v>
      </c>
      <c r="B2475" s="2">
        <v>45746</v>
      </c>
      <c r="C2475" t="s">
        <v>37</v>
      </c>
      <c r="D2475" t="s">
        <v>38</v>
      </c>
      <c r="E2475" t="s">
        <v>21</v>
      </c>
      <c r="F2475" t="s">
        <v>22</v>
      </c>
      <c r="G2475" t="s">
        <v>32</v>
      </c>
      <c r="H2475" t="s">
        <v>33</v>
      </c>
      <c r="I2475">
        <v>11</v>
      </c>
      <c r="J2475" s="3">
        <v>8183.31</v>
      </c>
      <c r="K2475" s="3">
        <v>90016.41</v>
      </c>
      <c r="L2475" t="s">
        <v>25</v>
      </c>
      <c r="M2475" s="2">
        <v>45754</v>
      </c>
      <c r="N2475" s="2">
        <v>45753</v>
      </c>
      <c r="O2475" t="s">
        <v>43</v>
      </c>
      <c r="P2475" t="s">
        <v>27</v>
      </c>
      <c r="Q2475" t="s">
        <v>28</v>
      </c>
      <c r="R2475" t="s">
        <v>29</v>
      </c>
      <c r="S2475">
        <v>2025</v>
      </c>
      <c r="T2475" t="s">
        <v>2747</v>
      </c>
      <c r="U2475" t="s">
        <v>2748</v>
      </c>
      <c r="V2475" s="4">
        <v>0</v>
      </c>
      <c r="W2475" s="4">
        <v>1</v>
      </c>
    </row>
    <row r="2476" spans="1:23">
      <c r="A2476" t="s">
        <v>2609</v>
      </c>
      <c r="B2476" s="2">
        <v>45853</v>
      </c>
      <c r="C2476" t="s">
        <v>19</v>
      </c>
      <c r="D2476" t="s">
        <v>20</v>
      </c>
      <c r="E2476" t="s">
        <v>73</v>
      </c>
      <c r="F2476" t="s">
        <v>22</v>
      </c>
      <c r="G2476" t="s">
        <v>23</v>
      </c>
      <c r="H2476" t="s">
        <v>24</v>
      </c>
      <c r="I2476">
        <v>18</v>
      </c>
      <c r="J2476" s="3">
        <v>234.94</v>
      </c>
      <c r="K2476" s="3">
        <v>4228.92</v>
      </c>
      <c r="L2476" t="s">
        <v>34</v>
      </c>
      <c r="M2476" s="2">
        <v>45865</v>
      </c>
      <c r="N2476" s="2">
        <v>45864</v>
      </c>
      <c r="O2476" t="s">
        <v>43</v>
      </c>
      <c r="P2476" t="s">
        <v>77</v>
      </c>
      <c r="Q2476" t="s">
        <v>28</v>
      </c>
      <c r="R2476" t="s">
        <v>29</v>
      </c>
      <c r="S2476">
        <v>2025</v>
      </c>
      <c r="T2476" t="s">
        <v>2759</v>
      </c>
      <c r="U2476" t="s">
        <v>2760</v>
      </c>
      <c r="V2476" s="4">
        <v>0</v>
      </c>
      <c r="W2476" s="4">
        <v>1</v>
      </c>
    </row>
    <row r="2477" spans="1:23">
      <c r="A2477" t="s">
        <v>2610</v>
      </c>
      <c r="B2477" s="2">
        <v>45819</v>
      </c>
      <c r="C2477" t="s">
        <v>117</v>
      </c>
      <c r="D2477" t="s">
        <v>118</v>
      </c>
      <c r="E2477" t="s">
        <v>48</v>
      </c>
      <c r="F2477" t="s">
        <v>57</v>
      </c>
      <c r="G2477" t="s">
        <v>74</v>
      </c>
      <c r="H2477" t="s">
        <v>75</v>
      </c>
      <c r="I2477">
        <v>6</v>
      </c>
      <c r="J2477" s="3">
        <v>8766.5300000000007</v>
      </c>
      <c r="K2477" s="3">
        <v>52599.18</v>
      </c>
      <c r="L2477" t="s">
        <v>25</v>
      </c>
      <c r="M2477" s="2">
        <v>45826</v>
      </c>
      <c r="N2477" s="2">
        <v>45838</v>
      </c>
      <c r="O2477" t="s">
        <v>43</v>
      </c>
      <c r="P2477" t="s">
        <v>53</v>
      </c>
      <c r="Q2477" t="s">
        <v>28</v>
      </c>
      <c r="R2477" t="s">
        <v>129</v>
      </c>
      <c r="S2477">
        <v>2025</v>
      </c>
      <c r="T2477" t="s">
        <v>2743</v>
      </c>
      <c r="U2477" t="s">
        <v>2756</v>
      </c>
      <c r="V2477" s="4">
        <v>12</v>
      </c>
      <c r="W2477" s="4">
        <v>0</v>
      </c>
    </row>
    <row r="2478" spans="1:23">
      <c r="A2478" t="s">
        <v>2611</v>
      </c>
      <c r="B2478" s="2">
        <v>45813</v>
      </c>
      <c r="C2478" t="s">
        <v>19</v>
      </c>
      <c r="D2478" t="s">
        <v>20</v>
      </c>
      <c r="E2478" t="s">
        <v>112</v>
      </c>
      <c r="F2478" t="s">
        <v>22</v>
      </c>
      <c r="G2478" t="s">
        <v>160</v>
      </c>
      <c r="H2478" t="s">
        <v>161</v>
      </c>
      <c r="I2478">
        <v>11</v>
      </c>
      <c r="J2478" s="3">
        <v>3172.7</v>
      </c>
      <c r="K2478" s="3">
        <v>34899.699999999997</v>
      </c>
      <c r="L2478" t="s">
        <v>34</v>
      </c>
      <c r="M2478" s="2">
        <v>45819</v>
      </c>
      <c r="N2478" s="2">
        <v>45819</v>
      </c>
      <c r="O2478" t="s">
        <v>26</v>
      </c>
      <c r="P2478" t="s">
        <v>115</v>
      </c>
      <c r="Q2478" t="s">
        <v>28</v>
      </c>
      <c r="R2478" t="s">
        <v>29</v>
      </c>
      <c r="S2478">
        <v>2025</v>
      </c>
      <c r="T2478" t="s">
        <v>2743</v>
      </c>
      <c r="U2478" t="s">
        <v>2756</v>
      </c>
      <c r="V2478" s="4">
        <v>0</v>
      </c>
      <c r="W2478" s="4">
        <v>1</v>
      </c>
    </row>
    <row r="2479" spans="1:23">
      <c r="A2479" t="s">
        <v>2612</v>
      </c>
      <c r="B2479" s="2">
        <v>45829</v>
      </c>
      <c r="C2479" t="s">
        <v>19</v>
      </c>
      <c r="D2479" t="s">
        <v>20</v>
      </c>
      <c r="E2479" t="s">
        <v>39</v>
      </c>
      <c r="F2479" t="s">
        <v>22</v>
      </c>
      <c r="G2479" t="s">
        <v>32</v>
      </c>
      <c r="H2479" t="s">
        <v>33</v>
      </c>
      <c r="I2479">
        <v>3</v>
      </c>
      <c r="J2479" s="3">
        <v>7242.25</v>
      </c>
      <c r="K2479" s="3">
        <v>21726.75</v>
      </c>
      <c r="L2479" t="s">
        <v>34</v>
      </c>
      <c r="M2479" s="2">
        <v>45834</v>
      </c>
      <c r="N2479" s="2">
        <v>45833</v>
      </c>
      <c r="O2479" t="s">
        <v>43</v>
      </c>
      <c r="P2479" t="s">
        <v>64</v>
      </c>
      <c r="Q2479" t="s">
        <v>28</v>
      </c>
      <c r="R2479" t="s">
        <v>29</v>
      </c>
      <c r="S2479">
        <v>2025</v>
      </c>
      <c r="T2479" t="s">
        <v>2743</v>
      </c>
      <c r="U2479" t="s">
        <v>2756</v>
      </c>
      <c r="V2479" s="4">
        <v>0</v>
      </c>
      <c r="W2479" s="4">
        <v>1</v>
      </c>
    </row>
    <row r="2480" spans="1:23">
      <c r="A2480" t="s">
        <v>2613</v>
      </c>
      <c r="B2480" s="2">
        <v>46125</v>
      </c>
      <c r="C2480" t="s">
        <v>71</v>
      </c>
      <c r="D2480" t="s">
        <v>72</v>
      </c>
      <c r="E2480" t="s">
        <v>21</v>
      </c>
      <c r="F2480" t="s">
        <v>57</v>
      </c>
      <c r="G2480" t="s">
        <v>120</v>
      </c>
      <c r="H2480" t="s">
        <v>121</v>
      </c>
      <c r="I2480">
        <v>1</v>
      </c>
      <c r="J2480" s="3">
        <v>19670.38</v>
      </c>
      <c r="K2480" s="3">
        <v>19670.38</v>
      </c>
      <c r="L2480" t="s">
        <v>34</v>
      </c>
      <c r="M2480" s="2">
        <v>46141</v>
      </c>
      <c r="N2480" s="2">
        <v>46152</v>
      </c>
      <c r="O2480" t="s">
        <v>43</v>
      </c>
      <c r="P2480" t="s">
        <v>27</v>
      </c>
      <c r="Q2480" t="s">
        <v>28</v>
      </c>
      <c r="R2480" t="s">
        <v>129</v>
      </c>
      <c r="S2480">
        <v>2026</v>
      </c>
      <c r="T2480" t="s">
        <v>2741</v>
      </c>
      <c r="U2480" t="s">
        <v>2770</v>
      </c>
      <c r="V2480" s="4">
        <v>11</v>
      </c>
      <c r="W2480" s="4">
        <v>0</v>
      </c>
    </row>
    <row r="2481" spans="1:23">
      <c r="A2481" t="s">
        <v>2614</v>
      </c>
      <c r="B2481" s="2">
        <v>45974</v>
      </c>
      <c r="C2481" t="s">
        <v>37</v>
      </c>
      <c r="D2481" t="s">
        <v>38</v>
      </c>
      <c r="E2481" t="s">
        <v>21</v>
      </c>
      <c r="F2481" t="s">
        <v>22</v>
      </c>
      <c r="G2481" t="s">
        <v>32</v>
      </c>
      <c r="H2481" t="s">
        <v>33</v>
      </c>
      <c r="I2481">
        <v>6</v>
      </c>
      <c r="J2481" s="3">
        <v>8373.43</v>
      </c>
      <c r="K2481" s="3">
        <v>50240.58</v>
      </c>
      <c r="L2481" t="s">
        <v>25</v>
      </c>
      <c r="M2481" s="2">
        <v>45980</v>
      </c>
      <c r="N2481" s="2">
        <v>45977</v>
      </c>
      <c r="O2481" t="s">
        <v>43</v>
      </c>
      <c r="P2481" t="s">
        <v>27</v>
      </c>
      <c r="Q2481" t="s">
        <v>28</v>
      </c>
      <c r="R2481" t="s">
        <v>29</v>
      </c>
      <c r="S2481">
        <v>2025</v>
      </c>
      <c r="T2481" t="s">
        <v>2763</v>
      </c>
      <c r="U2481" t="s">
        <v>2764</v>
      </c>
      <c r="V2481" s="4">
        <v>0</v>
      </c>
      <c r="W2481" s="4">
        <v>1</v>
      </c>
    </row>
    <row r="2482" spans="1:23">
      <c r="A2482" t="s">
        <v>2615</v>
      </c>
      <c r="B2482" s="2">
        <v>46121</v>
      </c>
      <c r="C2482" t="s">
        <v>37</v>
      </c>
      <c r="D2482" t="s">
        <v>38</v>
      </c>
      <c r="E2482" t="s">
        <v>31</v>
      </c>
      <c r="F2482" t="s">
        <v>22</v>
      </c>
      <c r="G2482" t="s">
        <v>23</v>
      </c>
      <c r="H2482" t="s">
        <v>24</v>
      </c>
      <c r="I2482">
        <v>8</v>
      </c>
      <c r="J2482" s="3">
        <v>271.57</v>
      </c>
      <c r="K2482" s="3">
        <v>2172.56</v>
      </c>
      <c r="L2482" t="s">
        <v>52</v>
      </c>
      <c r="M2482" s="2">
        <v>46126</v>
      </c>
      <c r="N2482" s="2">
        <v>46126</v>
      </c>
      <c r="O2482" t="s">
        <v>26</v>
      </c>
      <c r="P2482" t="s">
        <v>35</v>
      </c>
      <c r="Q2482" t="s">
        <v>28</v>
      </c>
      <c r="R2482" t="s">
        <v>29</v>
      </c>
      <c r="S2482">
        <v>2026</v>
      </c>
      <c r="T2482" t="s">
        <v>2741</v>
      </c>
      <c r="U2482" t="s">
        <v>2770</v>
      </c>
      <c r="V2482" s="4">
        <v>0</v>
      </c>
      <c r="W2482" s="4">
        <v>1</v>
      </c>
    </row>
    <row r="2483" spans="1:23">
      <c r="A2483" t="s">
        <v>2616</v>
      </c>
      <c r="B2483" s="2">
        <v>45774</v>
      </c>
      <c r="C2483" t="s">
        <v>19</v>
      </c>
      <c r="D2483" t="s">
        <v>20</v>
      </c>
      <c r="E2483" t="s">
        <v>39</v>
      </c>
      <c r="F2483" t="s">
        <v>22</v>
      </c>
      <c r="G2483" t="s">
        <v>160</v>
      </c>
      <c r="H2483" t="s">
        <v>161</v>
      </c>
      <c r="I2483">
        <v>6</v>
      </c>
      <c r="J2483" s="3">
        <v>2815.65</v>
      </c>
      <c r="K2483" s="3">
        <v>16893.900000000001</v>
      </c>
      <c r="L2483" t="s">
        <v>25</v>
      </c>
      <c r="M2483" s="2">
        <v>45792</v>
      </c>
      <c r="N2483" s="2">
        <v>45791</v>
      </c>
      <c r="O2483" t="s">
        <v>43</v>
      </c>
      <c r="P2483" t="s">
        <v>64</v>
      </c>
      <c r="Q2483" t="s">
        <v>28</v>
      </c>
      <c r="R2483" t="s">
        <v>29</v>
      </c>
      <c r="S2483">
        <v>2025</v>
      </c>
      <c r="T2483" t="s">
        <v>2741</v>
      </c>
      <c r="U2483" t="s">
        <v>2742</v>
      </c>
      <c r="V2483" s="4">
        <v>0</v>
      </c>
      <c r="W2483" s="4">
        <v>1</v>
      </c>
    </row>
    <row r="2484" spans="1:23">
      <c r="A2484" t="s">
        <v>2617</v>
      </c>
      <c r="B2484" s="2">
        <v>46016</v>
      </c>
      <c r="C2484" t="s">
        <v>142</v>
      </c>
      <c r="D2484" t="s">
        <v>143</v>
      </c>
      <c r="E2484" t="s">
        <v>73</v>
      </c>
      <c r="F2484" t="s">
        <v>22</v>
      </c>
      <c r="G2484" t="s">
        <v>160</v>
      </c>
      <c r="H2484" t="s">
        <v>161</v>
      </c>
      <c r="I2484">
        <v>15</v>
      </c>
      <c r="J2484" s="3">
        <v>3270.35</v>
      </c>
      <c r="K2484" s="3">
        <v>49055.25</v>
      </c>
      <c r="L2484" t="s">
        <v>25</v>
      </c>
      <c r="M2484" s="2">
        <v>46023</v>
      </c>
      <c r="N2484" s="2">
        <v>46023</v>
      </c>
      <c r="O2484" t="s">
        <v>60</v>
      </c>
      <c r="P2484" t="s">
        <v>77</v>
      </c>
      <c r="Q2484" t="s">
        <v>28</v>
      </c>
      <c r="R2484" t="s">
        <v>29</v>
      </c>
      <c r="S2484">
        <v>2025</v>
      </c>
      <c r="T2484" t="s">
        <v>2745</v>
      </c>
      <c r="U2484" t="s">
        <v>2746</v>
      </c>
      <c r="V2484" s="4">
        <v>0</v>
      </c>
      <c r="W2484" s="4">
        <v>1</v>
      </c>
    </row>
    <row r="2485" spans="1:23">
      <c r="A2485" t="s">
        <v>2618</v>
      </c>
      <c r="B2485" s="2">
        <v>45955</v>
      </c>
      <c r="C2485" t="s">
        <v>104</v>
      </c>
      <c r="D2485" t="s">
        <v>105</v>
      </c>
      <c r="E2485" t="s">
        <v>112</v>
      </c>
      <c r="F2485" t="s">
        <v>49</v>
      </c>
      <c r="G2485" t="s">
        <v>50</v>
      </c>
      <c r="H2485" t="s">
        <v>51</v>
      </c>
      <c r="I2485">
        <v>1</v>
      </c>
      <c r="J2485" s="3">
        <v>51727.79</v>
      </c>
      <c r="K2485" s="3">
        <v>51727.79</v>
      </c>
      <c r="L2485" t="s">
        <v>25</v>
      </c>
      <c r="M2485" s="2">
        <v>45961</v>
      </c>
      <c r="N2485" s="2">
        <v>45961</v>
      </c>
      <c r="O2485" t="s">
        <v>43</v>
      </c>
      <c r="P2485" t="s">
        <v>115</v>
      </c>
      <c r="Q2485" t="s">
        <v>28</v>
      </c>
      <c r="R2485" t="s">
        <v>29</v>
      </c>
      <c r="S2485">
        <v>2025</v>
      </c>
      <c r="T2485" t="s">
        <v>2749</v>
      </c>
      <c r="U2485" t="s">
        <v>2750</v>
      </c>
      <c r="V2485" s="4">
        <v>0</v>
      </c>
      <c r="W2485" s="4">
        <v>1</v>
      </c>
    </row>
    <row r="2486" spans="1:23">
      <c r="A2486" t="s">
        <v>2619</v>
      </c>
      <c r="B2486" s="2">
        <v>45665</v>
      </c>
      <c r="C2486" t="s">
        <v>142</v>
      </c>
      <c r="D2486" t="s">
        <v>143</v>
      </c>
      <c r="E2486" t="s">
        <v>39</v>
      </c>
      <c r="F2486" t="s">
        <v>22</v>
      </c>
      <c r="G2486" t="s">
        <v>32</v>
      </c>
      <c r="H2486" t="s">
        <v>33</v>
      </c>
      <c r="I2486">
        <v>3</v>
      </c>
      <c r="J2486" s="3">
        <v>7668.13</v>
      </c>
      <c r="K2486" s="3">
        <v>23004.39</v>
      </c>
      <c r="L2486" t="s">
        <v>25</v>
      </c>
      <c r="M2486" s="2">
        <v>45676</v>
      </c>
      <c r="N2486" s="2">
        <v>45676</v>
      </c>
      <c r="O2486" t="s">
        <v>43</v>
      </c>
      <c r="P2486" t="s">
        <v>44</v>
      </c>
      <c r="Q2486" t="s">
        <v>28</v>
      </c>
      <c r="R2486" t="s">
        <v>29</v>
      </c>
      <c r="S2486">
        <v>2025</v>
      </c>
      <c r="T2486" t="s">
        <v>2757</v>
      </c>
      <c r="U2486" t="s">
        <v>2768</v>
      </c>
      <c r="V2486" s="4">
        <v>0</v>
      </c>
      <c r="W2486" s="4">
        <v>1</v>
      </c>
    </row>
    <row r="2487" spans="1:23">
      <c r="A2487" t="s">
        <v>2620</v>
      </c>
      <c r="B2487" s="2">
        <v>45743</v>
      </c>
      <c r="C2487" t="s">
        <v>46</v>
      </c>
      <c r="D2487" t="s">
        <v>47</v>
      </c>
      <c r="E2487" t="s">
        <v>48</v>
      </c>
      <c r="F2487" t="s">
        <v>49</v>
      </c>
      <c r="G2487" t="s">
        <v>50</v>
      </c>
      <c r="H2487" t="s">
        <v>51</v>
      </c>
      <c r="I2487">
        <v>1</v>
      </c>
      <c r="J2487" s="3">
        <v>53030.07</v>
      </c>
      <c r="K2487" s="3">
        <v>53030.07</v>
      </c>
      <c r="L2487" t="s">
        <v>34</v>
      </c>
      <c r="M2487" s="2">
        <v>45753</v>
      </c>
      <c r="N2487" s="2">
        <v>45753</v>
      </c>
      <c r="O2487" t="s">
        <v>76</v>
      </c>
      <c r="P2487" t="s">
        <v>53</v>
      </c>
      <c r="Q2487" t="s">
        <v>28</v>
      </c>
      <c r="R2487" t="s">
        <v>29</v>
      </c>
      <c r="S2487">
        <v>2025</v>
      </c>
      <c r="T2487" t="s">
        <v>2747</v>
      </c>
      <c r="U2487" t="s">
        <v>2748</v>
      </c>
      <c r="V2487" s="4">
        <v>0</v>
      </c>
      <c r="W2487" s="4">
        <v>1</v>
      </c>
    </row>
    <row r="2488" spans="1:23">
      <c r="A2488" t="s">
        <v>2621</v>
      </c>
      <c r="B2488" s="2">
        <v>45720</v>
      </c>
      <c r="C2488" t="s">
        <v>37</v>
      </c>
      <c r="D2488" t="s">
        <v>38</v>
      </c>
      <c r="E2488" t="s">
        <v>39</v>
      </c>
      <c r="F2488" t="s">
        <v>40</v>
      </c>
      <c r="G2488" t="s">
        <v>136</v>
      </c>
      <c r="H2488" t="s">
        <v>137</v>
      </c>
      <c r="I2488">
        <v>25</v>
      </c>
      <c r="J2488" s="3">
        <v>1736.11</v>
      </c>
      <c r="K2488" s="3">
        <v>43402.75</v>
      </c>
      <c r="L2488" t="s">
        <v>52</v>
      </c>
      <c r="M2488" s="2">
        <v>45727</v>
      </c>
      <c r="N2488" s="2">
        <v>45724</v>
      </c>
      <c r="O2488" t="s">
        <v>60</v>
      </c>
      <c r="P2488" t="s">
        <v>64</v>
      </c>
      <c r="Q2488" t="s">
        <v>28</v>
      </c>
      <c r="R2488" t="s">
        <v>29</v>
      </c>
      <c r="S2488">
        <v>2025</v>
      </c>
      <c r="T2488" t="s">
        <v>2747</v>
      </c>
      <c r="U2488" t="s">
        <v>2748</v>
      </c>
      <c r="V2488" s="4">
        <v>0</v>
      </c>
      <c r="W2488" s="4">
        <v>1</v>
      </c>
    </row>
    <row r="2489" spans="1:23">
      <c r="A2489" t="s">
        <v>2622</v>
      </c>
      <c r="B2489" s="2">
        <v>46174</v>
      </c>
      <c r="C2489" t="s">
        <v>46</v>
      </c>
      <c r="D2489" t="s">
        <v>47</v>
      </c>
      <c r="E2489" t="s">
        <v>73</v>
      </c>
      <c r="F2489" t="s">
        <v>49</v>
      </c>
      <c r="G2489" t="s">
        <v>113</v>
      </c>
      <c r="H2489" t="s">
        <v>114</v>
      </c>
      <c r="I2489">
        <v>1</v>
      </c>
      <c r="J2489" s="3">
        <v>40695.769999999997</v>
      </c>
      <c r="K2489" s="3">
        <v>40695.769999999997</v>
      </c>
      <c r="L2489" t="s">
        <v>25</v>
      </c>
      <c r="M2489" s="2">
        <v>46179</v>
      </c>
      <c r="N2489" s="2">
        <v>46176</v>
      </c>
      <c r="O2489" t="s">
        <v>76</v>
      </c>
      <c r="P2489" t="s">
        <v>77</v>
      </c>
      <c r="Q2489" t="s">
        <v>28</v>
      </c>
      <c r="R2489" t="s">
        <v>29</v>
      </c>
      <c r="S2489">
        <v>2026</v>
      </c>
      <c r="T2489" t="s">
        <v>2743</v>
      </c>
      <c r="U2489" t="s">
        <v>2744</v>
      </c>
      <c r="V2489" s="4">
        <v>0</v>
      </c>
      <c r="W2489" s="4">
        <v>1</v>
      </c>
    </row>
    <row r="2490" spans="1:23">
      <c r="A2490" t="s">
        <v>2623</v>
      </c>
      <c r="B2490" s="2">
        <v>45895</v>
      </c>
      <c r="C2490" t="s">
        <v>71</v>
      </c>
      <c r="D2490" t="s">
        <v>72</v>
      </c>
      <c r="E2490" t="s">
        <v>48</v>
      </c>
      <c r="F2490" t="s">
        <v>57</v>
      </c>
      <c r="G2490" t="s">
        <v>101</v>
      </c>
      <c r="H2490" t="s">
        <v>102</v>
      </c>
      <c r="I2490">
        <v>15</v>
      </c>
      <c r="J2490" s="3">
        <v>1640.92</v>
      </c>
      <c r="K2490" s="3">
        <v>24613.8</v>
      </c>
      <c r="L2490" t="s">
        <v>25</v>
      </c>
      <c r="M2490" s="2">
        <v>45907</v>
      </c>
      <c r="N2490" s="2">
        <v>45904</v>
      </c>
      <c r="O2490" t="s">
        <v>26</v>
      </c>
      <c r="P2490" t="s">
        <v>53</v>
      </c>
      <c r="Q2490" t="s">
        <v>28</v>
      </c>
      <c r="R2490" t="s">
        <v>29</v>
      </c>
      <c r="S2490">
        <v>2025</v>
      </c>
      <c r="T2490" t="s">
        <v>2761</v>
      </c>
      <c r="U2490" t="s">
        <v>2762</v>
      </c>
      <c r="V2490" s="4">
        <v>0</v>
      </c>
      <c r="W2490" s="4">
        <v>1</v>
      </c>
    </row>
    <row r="2491" spans="1:23">
      <c r="A2491" t="s">
        <v>2624</v>
      </c>
      <c r="B2491" s="2">
        <v>45684</v>
      </c>
      <c r="C2491" t="s">
        <v>117</v>
      </c>
      <c r="D2491" t="s">
        <v>118</v>
      </c>
      <c r="E2491" t="s">
        <v>48</v>
      </c>
      <c r="F2491" t="s">
        <v>57</v>
      </c>
      <c r="G2491" t="s">
        <v>86</v>
      </c>
      <c r="H2491" t="s">
        <v>87</v>
      </c>
      <c r="I2491">
        <v>3</v>
      </c>
      <c r="J2491" s="3">
        <v>10643.59</v>
      </c>
      <c r="K2491" s="3">
        <v>31930.77</v>
      </c>
      <c r="L2491" t="s">
        <v>25</v>
      </c>
      <c r="M2491" s="2">
        <v>45690</v>
      </c>
      <c r="N2491" s="2">
        <v>45688</v>
      </c>
      <c r="O2491" t="s">
        <v>26</v>
      </c>
      <c r="P2491" t="s">
        <v>53</v>
      </c>
      <c r="Q2491" t="s">
        <v>28</v>
      </c>
      <c r="R2491" t="s">
        <v>29</v>
      </c>
      <c r="S2491">
        <v>2025</v>
      </c>
      <c r="T2491" t="s">
        <v>2757</v>
      </c>
      <c r="U2491" t="s">
        <v>2768</v>
      </c>
      <c r="V2491" s="4">
        <v>0</v>
      </c>
      <c r="W2491" s="4">
        <v>1</v>
      </c>
    </row>
    <row r="2492" spans="1:23">
      <c r="A2492" t="s">
        <v>2625</v>
      </c>
      <c r="B2492" s="2">
        <v>45689</v>
      </c>
      <c r="C2492" t="s">
        <v>89</v>
      </c>
      <c r="D2492" t="s">
        <v>90</v>
      </c>
      <c r="E2492" t="s">
        <v>31</v>
      </c>
      <c r="F2492" t="s">
        <v>91</v>
      </c>
      <c r="G2492" t="s">
        <v>109</v>
      </c>
      <c r="H2492" t="s">
        <v>110</v>
      </c>
      <c r="I2492">
        <v>2</v>
      </c>
      <c r="J2492" s="3">
        <v>12340.7</v>
      </c>
      <c r="K2492" s="3">
        <v>24681.4</v>
      </c>
      <c r="L2492" t="s">
        <v>25</v>
      </c>
      <c r="M2492" s="2">
        <v>45699</v>
      </c>
      <c r="N2492" s="2">
        <v>45711</v>
      </c>
      <c r="O2492" t="s">
        <v>76</v>
      </c>
      <c r="P2492" t="s">
        <v>35</v>
      </c>
      <c r="Q2492" t="s">
        <v>28</v>
      </c>
      <c r="R2492" t="s">
        <v>129</v>
      </c>
      <c r="S2492">
        <v>2025</v>
      </c>
      <c r="T2492" t="s">
        <v>2751</v>
      </c>
      <c r="U2492" t="s">
        <v>2752</v>
      </c>
      <c r="V2492" s="4">
        <v>12</v>
      </c>
      <c r="W2492" s="4">
        <v>0</v>
      </c>
    </row>
    <row r="2493" spans="1:23">
      <c r="A2493" t="s">
        <v>2626</v>
      </c>
      <c r="B2493" s="2">
        <v>45737</v>
      </c>
      <c r="C2493" t="s">
        <v>55</v>
      </c>
      <c r="D2493" t="s">
        <v>56</v>
      </c>
      <c r="E2493" t="s">
        <v>73</v>
      </c>
      <c r="F2493" t="s">
        <v>57</v>
      </c>
      <c r="G2493" t="s">
        <v>74</v>
      </c>
      <c r="H2493" t="s">
        <v>75</v>
      </c>
      <c r="I2493">
        <v>13</v>
      </c>
      <c r="J2493" s="3">
        <v>9531.7199999999993</v>
      </c>
      <c r="K2493" s="3">
        <v>123912.36</v>
      </c>
      <c r="L2493" t="s">
        <v>52</v>
      </c>
      <c r="M2493" s="2">
        <v>45755</v>
      </c>
      <c r="N2493" s="2">
        <v>45752</v>
      </c>
      <c r="O2493" t="s">
        <v>60</v>
      </c>
      <c r="P2493" t="s">
        <v>77</v>
      </c>
      <c r="Q2493" t="s">
        <v>28</v>
      </c>
      <c r="R2493" t="s">
        <v>29</v>
      </c>
      <c r="S2493">
        <v>2025</v>
      </c>
      <c r="T2493" t="s">
        <v>2747</v>
      </c>
      <c r="U2493" t="s">
        <v>2748</v>
      </c>
      <c r="V2493" s="4">
        <v>0</v>
      </c>
      <c r="W2493" s="4">
        <v>1</v>
      </c>
    </row>
    <row r="2494" spans="1:23">
      <c r="A2494" t="s">
        <v>2627</v>
      </c>
      <c r="B2494" s="2">
        <v>45749</v>
      </c>
      <c r="C2494" t="s">
        <v>134</v>
      </c>
      <c r="D2494" t="s">
        <v>135</v>
      </c>
      <c r="E2494" t="s">
        <v>112</v>
      </c>
      <c r="F2494" t="s">
        <v>40</v>
      </c>
      <c r="G2494" t="s">
        <v>41</v>
      </c>
      <c r="H2494" t="s">
        <v>42</v>
      </c>
      <c r="I2494">
        <v>1</v>
      </c>
      <c r="J2494" s="3">
        <v>5504.88</v>
      </c>
      <c r="K2494" s="3">
        <v>5504.88</v>
      </c>
      <c r="L2494" t="s">
        <v>52</v>
      </c>
      <c r="M2494" s="2">
        <v>45758</v>
      </c>
      <c r="N2494" s="2">
        <v>45758</v>
      </c>
      <c r="O2494" t="s">
        <v>43</v>
      </c>
      <c r="P2494" t="s">
        <v>115</v>
      </c>
      <c r="Q2494" t="s">
        <v>28</v>
      </c>
      <c r="R2494" t="s">
        <v>29</v>
      </c>
      <c r="S2494">
        <v>2025</v>
      </c>
      <c r="T2494" t="s">
        <v>2741</v>
      </c>
      <c r="U2494" t="s">
        <v>2742</v>
      </c>
      <c r="V2494" s="4">
        <v>0</v>
      </c>
      <c r="W2494" s="4">
        <v>1</v>
      </c>
    </row>
    <row r="2495" spans="1:23">
      <c r="A2495" t="s">
        <v>2628</v>
      </c>
      <c r="B2495" s="2">
        <v>45785</v>
      </c>
      <c r="C2495" t="s">
        <v>46</v>
      </c>
      <c r="D2495" t="s">
        <v>47</v>
      </c>
      <c r="E2495" t="s">
        <v>48</v>
      </c>
      <c r="F2495" t="s">
        <v>49</v>
      </c>
      <c r="G2495" t="s">
        <v>165</v>
      </c>
      <c r="H2495" t="s">
        <v>166</v>
      </c>
      <c r="I2495">
        <v>2</v>
      </c>
      <c r="J2495" s="3">
        <v>47937.85</v>
      </c>
      <c r="K2495" s="3">
        <v>95875.7</v>
      </c>
      <c r="L2495" t="s">
        <v>34</v>
      </c>
      <c r="M2495" s="2">
        <v>45797</v>
      </c>
      <c r="N2495" s="2">
        <v>45797</v>
      </c>
      <c r="O2495" t="s">
        <v>76</v>
      </c>
      <c r="P2495" t="s">
        <v>53</v>
      </c>
      <c r="Q2495" t="s">
        <v>28</v>
      </c>
      <c r="R2495" t="s">
        <v>29</v>
      </c>
      <c r="S2495">
        <v>2025</v>
      </c>
      <c r="T2495" t="s">
        <v>2766</v>
      </c>
      <c r="U2495" t="s">
        <v>2767</v>
      </c>
      <c r="V2495" s="4">
        <v>0</v>
      </c>
      <c r="W2495" s="4">
        <v>1</v>
      </c>
    </row>
    <row r="2496" spans="1:23">
      <c r="A2496" t="s">
        <v>2629</v>
      </c>
      <c r="B2496" s="2">
        <v>45932</v>
      </c>
      <c r="C2496" t="s">
        <v>117</v>
      </c>
      <c r="D2496" t="s">
        <v>118</v>
      </c>
      <c r="E2496" t="s">
        <v>48</v>
      </c>
      <c r="F2496" t="s">
        <v>57</v>
      </c>
      <c r="G2496" t="s">
        <v>74</v>
      </c>
      <c r="H2496" t="s">
        <v>75</v>
      </c>
      <c r="I2496">
        <v>2</v>
      </c>
      <c r="J2496" s="3">
        <v>8493.44</v>
      </c>
      <c r="K2496" s="3">
        <v>16986.88</v>
      </c>
      <c r="L2496" t="s">
        <v>25</v>
      </c>
      <c r="M2496" s="2">
        <v>45944</v>
      </c>
      <c r="N2496" s="2">
        <v>45942</v>
      </c>
      <c r="O2496" t="s">
        <v>60</v>
      </c>
      <c r="P2496" t="s">
        <v>53</v>
      </c>
      <c r="Q2496" t="s">
        <v>28</v>
      </c>
      <c r="R2496" t="s">
        <v>29</v>
      </c>
      <c r="S2496">
        <v>2025</v>
      </c>
      <c r="T2496" t="s">
        <v>2749</v>
      </c>
      <c r="U2496" t="s">
        <v>2750</v>
      </c>
      <c r="V2496" s="4">
        <v>0</v>
      </c>
      <c r="W2496" s="4">
        <v>1</v>
      </c>
    </row>
    <row r="2497" spans="1:23">
      <c r="A2497" t="s">
        <v>2630</v>
      </c>
      <c r="B2497" s="2">
        <v>45699</v>
      </c>
      <c r="C2497" t="s">
        <v>142</v>
      </c>
      <c r="D2497" t="s">
        <v>143</v>
      </c>
      <c r="E2497" t="s">
        <v>39</v>
      </c>
      <c r="F2497" t="s">
        <v>22</v>
      </c>
      <c r="G2497" t="s">
        <v>32</v>
      </c>
      <c r="H2497" t="s">
        <v>33</v>
      </c>
      <c r="I2497">
        <v>6</v>
      </c>
      <c r="J2497" s="3">
        <v>7982.19</v>
      </c>
      <c r="K2497" s="3">
        <v>47893.14</v>
      </c>
      <c r="L2497" t="s">
        <v>25</v>
      </c>
      <c r="M2497" s="2">
        <v>45707</v>
      </c>
      <c r="N2497" s="2">
        <v>45706</v>
      </c>
      <c r="O2497" t="s">
        <v>26</v>
      </c>
      <c r="P2497" t="s">
        <v>44</v>
      </c>
      <c r="Q2497" t="s">
        <v>28</v>
      </c>
      <c r="R2497" t="s">
        <v>29</v>
      </c>
      <c r="S2497">
        <v>2025</v>
      </c>
      <c r="T2497" t="s">
        <v>2751</v>
      </c>
      <c r="U2497" t="s">
        <v>2752</v>
      </c>
      <c r="V2497" s="4">
        <v>0</v>
      </c>
      <c r="W2497" s="4">
        <v>1</v>
      </c>
    </row>
    <row r="2498" spans="1:23">
      <c r="A2498" t="s">
        <v>2631</v>
      </c>
      <c r="B2498" s="2">
        <v>45718</v>
      </c>
      <c r="C2498" t="s">
        <v>71</v>
      </c>
      <c r="D2498" t="s">
        <v>72</v>
      </c>
      <c r="E2498" t="s">
        <v>21</v>
      </c>
      <c r="F2498" t="s">
        <v>57</v>
      </c>
      <c r="G2498" t="s">
        <v>120</v>
      </c>
      <c r="H2498" t="s">
        <v>121</v>
      </c>
      <c r="I2498">
        <v>8</v>
      </c>
      <c r="J2498" s="3">
        <v>20636.560000000001</v>
      </c>
      <c r="K2498" s="3">
        <v>165092.48000000001</v>
      </c>
      <c r="L2498" t="s">
        <v>25</v>
      </c>
      <c r="M2498" s="2">
        <v>45735</v>
      </c>
      <c r="N2498" s="2">
        <v>45748</v>
      </c>
      <c r="O2498" t="s">
        <v>26</v>
      </c>
      <c r="P2498" t="s">
        <v>27</v>
      </c>
      <c r="Q2498" t="s">
        <v>28</v>
      </c>
      <c r="R2498" t="s">
        <v>129</v>
      </c>
      <c r="S2498">
        <v>2025</v>
      </c>
      <c r="T2498" t="s">
        <v>2747</v>
      </c>
      <c r="U2498" t="s">
        <v>2748</v>
      </c>
      <c r="V2498" s="4">
        <v>13</v>
      </c>
      <c r="W2498" s="4">
        <v>0</v>
      </c>
    </row>
    <row r="2499" spans="1:23">
      <c r="A2499" t="s">
        <v>2632</v>
      </c>
      <c r="B2499" s="2">
        <v>45833</v>
      </c>
      <c r="C2499" t="s">
        <v>19</v>
      </c>
      <c r="D2499" t="s">
        <v>20</v>
      </c>
      <c r="E2499" t="s">
        <v>112</v>
      </c>
      <c r="F2499" t="s">
        <v>22</v>
      </c>
      <c r="G2499" t="s">
        <v>23</v>
      </c>
      <c r="H2499" t="s">
        <v>24</v>
      </c>
      <c r="I2499">
        <v>35</v>
      </c>
      <c r="J2499" s="3">
        <v>239.24</v>
      </c>
      <c r="K2499" s="3">
        <v>8373.4</v>
      </c>
      <c r="L2499" t="s">
        <v>34</v>
      </c>
      <c r="M2499" s="2">
        <v>45848</v>
      </c>
      <c r="N2499" s="2">
        <v>45847</v>
      </c>
      <c r="O2499" t="s">
        <v>76</v>
      </c>
      <c r="P2499" t="s">
        <v>115</v>
      </c>
      <c r="Q2499" t="s">
        <v>28</v>
      </c>
      <c r="R2499" t="s">
        <v>29</v>
      </c>
      <c r="S2499">
        <v>2025</v>
      </c>
      <c r="T2499" t="s">
        <v>2743</v>
      </c>
      <c r="U2499" t="s">
        <v>2756</v>
      </c>
      <c r="V2499" s="4">
        <v>0</v>
      </c>
      <c r="W2499" s="4">
        <v>1</v>
      </c>
    </row>
    <row r="2500" spans="1:23">
      <c r="A2500" t="s">
        <v>2633</v>
      </c>
      <c r="B2500" s="2">
        <v>45906</v>
      </c>
      <c r="C2500" t="s">
        <v>46</v>
      </c>
      <c r="D2500" t="s">
        <v>47</v>
      </c>
      <c r="E2500" t="s">
        <v>73</v>
      </c>
      <c r="F2500" t="s">
        <v>49</v>
      </c>
      <c r="G2500" t="s">
        <v>50</v>
      </c>
      <c r="H2500" t="s">
        <v>51</v>
      </c>
      <c r="I2500">
        <v>1</v>
      </c>
      <c r="J2500" s="3">
        <v>56883.39</v>
      </c>
      <c r="K2500" s="3">
        <v>56883.39</v>
      </c>
      <c r="L2500" t="s">
        <v>25</v>
      </c>
      <c r="M2500" s="2">
        <v>45923</v>
      </c>
      <c r="N2500" s="2">
        <v>45921</v>
      </c>
      <c r="O2500" t="s">
        <v>60</v>
      </c>
      <c r="P2500" t="s">
        <v>77</v>
      </c>
      <c r="Q2500" t="s">
        <v>28</v>
      </c>
      <c r="R2500" t="s">
        <v>29</v>
      </c>
      <c r="S2500">
        <v>2025</v>
      </c>
      <c r="T2500" t="s">
        <v>2753</v>
      </c>
      <c r="U2500" t="s">
        <v>2754</v>
      </c>
      <c r="V2500" s="4">
        <v>0</v>
      </c>
      <c r="W2500" s="4">
        <v>1</v>
      </c>
    </row>
    <row r="2501" spans="1:23">
      <c r="A2501" t="s">
        <v>2634</v>
      </c>
      <c r="B2501" s="2">
        <v>45896</v>
      </c>
      <c r="C2501" t="s">
        <v>46</v>
      </c>
      <c r="D2501" t="s">
        <v>47</v>
      </c>
      <c r="E2501" t="s">
        <v>48</v>
      </c>
      <c r="F2501" t="s">
        <v>49</v>
      </c>
      <c r="G2501" t="s">
        <v>50</v>
      </c>
      <c r="H2501" t="s">
        <v>51</v>
      </c>
      <c r="I2501">
        <v>3</v>
      </c>
      <c r="J2501" s="3">
        <v>55905.62</v>
      </c>
      <c r="K2501" s="3">
        <v>167716.85999999999</v>
      </c>
      <c r="L2501" t="s">
        <v>25</v>
      </c>
      <c r="M2501" s="2">
        <v>45912</v>
      </c>
      <c r="N2501" s="2">
        <v>45909</v>
      </c>
      <c r="O2501" t="s">
        <v>26</v>
      </c>
      <c r="P2501" t="s">
        <v>53</v>
      </c>
      <c r="Q2501" t="s">
        <v>28</v>
      </c>
      <c r="R2501" t="s">
        <v>29</v>
      </c>
      <c r="S2501">
        <v>2025</v>
      </c>
      <c r="T2501" t="s">
        <v>2761</v>
      </c>
      <c r="U2501" t="s">
        <v>2762</v>
      </c>
      <c r="V2501" s="4">
        <v>0</v>
      </c>
      <c r="W2501" s="4">
        <v>1</v>
      </c>
    </row>
    <row r="2502" spans="1:23">
      <c r="A2502" t="s">
        <v>2635</v>
      </c>
      <c r="B2502" s="2">
        <v>45912</v>
      </c>
      <c r="C2502" t="s">
        <v>37</v>
      </c>
      <c r="D2502" t="s">
        <v>38</v>
      </c>
      <c r="E2502" t="s">
        <v>112</v>
      </c>
      <c r="F2502" t="s">
        <v>22</v>
      </c>
      <c r="G2502" t="s">
        <v>23</v>
      </c>
      <c r="H2502" t="s">
        <v>24</v>
      </c>
      <c r="I2502">
        <v>29</v>
      </c>
      <c r="J2502" s="3">
        <v>289.14999999999998</v>
      </c>
      <c r="K2502" s="3">
        <v>8385.35</v>
      </c>
      <c r="L2502" t="s">
        <v>25</v>
      </c>
      <c r="M2502" s="2">
        <v>45927</v>
      </c>
      <c r="N2502" s="2">
        <v>45927</v>
      </c>
      <c r="O2502" t="s">
        <v>26</v>
      </c>
      <c r="P2502" t="s">
        <v>115</v>
      </c>
      <c r="Q2502" t="s">
        <v>28</v>
      </c>
      <c r="R2502" t="s">
        <v>29</v>
      </c>
      <c r="S2502">
        <v>2025</v>
      </c>
      <c r="T2502" t="s">
        <v>2753</v>
      </c>
      <c r="U2502" t="s">
        <v>2754</v>
      </c>
      <c r="V2502" s="4">
        <v>0</v>
      </c>
      <c r="W2502" s="4">
        <v>1</v>
      </c>
    </row>
    <row r="2503" spans="1:23">
      <c r="A2503" t="s">
        <v>2636</v>
      </c>
      <c r="B2503" s="2">
        <v>45934</v>
      </c>
      <c r="C2503" t="s">
        <v>96</v>
      </c>
      <c r="D2503" t="s">
        <v>97</v>
      </c>
      <c r="E2503" t="s">
        <v>39</v>
      </c>
      <c r="F2503" t="s">
        <v>82</v>
      </c>
      <c r="G2503" t="s">
        <v>83</v>
      </c>
      <c r="H2503" t="s">
        <v>84</v>
      </c>
      <c r="I2503">
        <v>17</v>
      </c>
      <c r="J2503" s="3">
        <v>724.18</v>
      </c>
      <c r="K2503" s="3">
        <v>12311.06</v>
      </c>
      <c r="L2503" t="s">
        <v>25</v>
      </c>
      <c r="M2503" s="2">
        <v>45943</v>
      </c>
      <c r="N2503" s="2">
        <v>45941</v>
      </c>
      <c r="O2503" t="s">
        <v>60</v>
      </c>
      <c r="P2503" t="s">
        <v>64</v>
      </c>
      <c r="Q2503" t="s">
        <v>28</v>
      </c>
      <c r="R2503" t="s">
        <v>29</v>
      </c>
      <c r="S2503">
        <v>2025</v>
      </c>
      <c r="T2503" t="s">
        <v>2749</v>
      </c>
      <c r="U2503" t="s">
        <v>2750</v>
      </c>
      <c r="V2503" s="4">
        <v>0</v>
      </c>
      <c r="W2503" s="4">
        <v>1</v>
      </c>
    </row>
    <row r="2504" spans="1:23">
      <c r="A2504" t="s">
        <v>2637</v>
      </c>
      <c r="B2504" s="2">
        <v>46068</v>
      </c>
      <c r="C2504" t="s">
        <v>104</v>
      </c>
      <c r="D2504" t="s">
        <v>105</v>
      </c>
      <c r="E2504" t="s">
        <v>112</v>
      </c>
      <c r="F2504" t="s">
        <v>49</v>
      </c>
      <c r="G2504" t="s">
        <v>68</v>
      </c>
      <c r="H2504" t="s">
        <v>69</v>
      </c>
      <c r="I2504">
        <v>1</v>
      </c>
      <c r="J2504" s="3">
        <v>47018.080000000002</v>
      </c>
      <c r="K2504" s="3">
        <v>47018.080000000002</v>
      </c>
      <c r="L2504" t="s">
        <v>25</v>
      </c>
      <c r="M2504" s="2">
        <v>46080</v>
      </c>
      <c r="N2504" s="2">
        <v>46086</v>
      </c>
      <c r="O2504" t="s">
        <v>76</v>
      </c>
      <c r="P2504" t="s">
        <v>115</v>
      </c>
      <c r="Q2504" t="s">
        <v>28</v>
      </c>
      <c r="R2504" t="s">
        <v>129</v>
      </c>
      <c r="S2504">
        <v>2026</v>
      </c>
      <c r="T2504" t="s">
        <v>2751</v>
      </c>
      <c r="U2504" t="s">
        <v>2765</v>
      </c>
      <c r="V2504" s="4">
        <v>6</v>
      </c>
      <c r="W2504" s="4">
        <v>0</v>
      </c>
    </row>
    <row r="2505" spans="1:23">
      <c r="A2505" t="s">
        <v>2638</v>
      </c>
      <c r="B2505" s="2">
        <v>45971</v>
      </c>
      <c r="C2505" t="s">
        <v>142</v>
      </c>
      <c r="D2505" t="s">
        <v>143</v>
      </c>
      <c r="E2505" t="s">
        <v>112</v>
      </c>
      <c r="F2505" t="s">
        <v>22</v>
      </c>
      <c r="G2505" t="s">
        <v>23</v>
      </c>
      <c r="H2505" t="s">
        <v>24</v>
      </c>
      <c r="I2505">
        <v>21</v>
      </c>
      <c r="J2505" s="3">
        <v>260.23</v>
      </c>
      <c r="K2505" s="3">
        <v>5464.83</v>
      </c>
      <c r="L2505" t="s">
        <v>25</v>
      </c>
      <c r="M2505" s="2">
        <v>45985</v>
      </c>
      <c r="N2505" s="2">
        <v>45983</v>
      </c>
      <c r="O2505" t="s">
        <v>76</v>
      </c>
      <c r="P2505" t="s">
        <v>115</v>
      </c>
      <c r="Q2505" t="s">
        <v>28</v>
      </c>
      <c r="R2505" t="s">
        <v>29</v>
      </c>
      <c r="S2505">
        <v>2025</v>
      </c>
      <c r="T2505" t="s">
        <v>2763</v>
      </c>
      <c r="U2505" t="s">
        <v>2764</v>
      </c>
      <c r="V2505" s="4">
        <v>0</v>
      </c>
      <c r="W2505" s="4">
        <v>1</v>
      </c>
    </row>
    <row r="2506" spans="1:23">
      <c r="A2506" t="s">
        <v>2639</v>
      </c>
      <c r="B2506" s="2">
        <v>45740</v>
      </c>
      <c r="C2506" t="s">
        <v>131</v>
      </c>
      <c r="D2506" t="s">
        <v>132</v>
      </c>
      <c r="E2506" t="s">
        <v>31</v>
      </c>
      <c r="F2506" t="s">
        <v>57</v>
      </c>
      <c r="G2506" t="s">
        <v>86</v>
      </c>
      <c r="H2506" t="s">
        <v>87</v>
      </c>
      <c r="I2506">
        <v>7</v>
      </c>
      <c r="J2506" s="3">
        <v>11756.95</v>
      </c>
      <c r="K2506" s="3">
        <v>82298.649999999994</v>
      </c>
      <c r="L2506" t="s">
        <v>25</v>
      </c>
      <c r="M2506" s="2">
        <v>45748</v>
      </c>
      <c r="N2506" s="2">
        <v>45746</v>
      </c>
      <c r="O2506" t="s">
        <v>43</v>
      </c>
      <c r="P2506" t="s">
        <v>94</v>
      </c>
      <c r="Q2506" t="s">
        <v>28</v>
      </c>
      <c r="R2506" t="s">
        <v>29</v>
      </c>
      <c r="S2506">
        <v>2025</v>
      </c>
      <c r="T2506" t="s">
        <v>2747</v>
      </c>
      <c r="U2506" t="s">
        <v>2748</v>
      </c>
      <c r="V2506" s="4">
        <v>0</v>
      </c>
      <c r="W2506" s="4">
        <v>1</v>
      </c>
    </row>
    <row r="2507" spans="1:23">
      <c r="A2507" t="s">
        <v>2640</v>
      </c>
      <c r="B2507" s="2">
        <v>46075</v>
      </c>
      <c r="C2507" t="s">
        <v>37</v>
      </c>
      <c r="D2507" t="s">
        <v>38</v>
      </c>
      <c r="E2507" t="s">
        <v>31</v>
      </c>
      <c r="F2507" t="s">
        <v>22</v>
      </c>
      <c r="G2507" t="s">
        <v>23</v>
      </c>
      <c r="H2507" t="s">
        <v>24</v>
      </c>
      <c r="I2507">
        <v>23</v>
      </c>
      <c r="J2507" s="3">
        <v>267.25</v>
      </c>
      <c r="K2507" s="3">
        <v>6146.75</v>
      </c>
      <c r="L2507" t="s">
        <v>25</v>
      </c>
      <c r="M2507" s="2">
        <v>46082</v>
      </c>
      <c r="N2507" s="2">
        <v>46079</v>
      </c>
      <c r="O2507" t="s">
        <v>60</v>
      </c>
      <c r="P2507" t="s">
        <v>94</v>
      </c>
      <c r="Q2507" t="s">
        <v>28</v>
      </c>
      <c r="R2507" t="s">
        <v>29</v>
      </c>
      <c r="S2507">
        <v>2026</v>
      </c>
      <c r="T2507" t="s">
        <v>2751</v>
      </c>
      <c r="U2507" t="s">
        <v>2765</v>
      </c>
      <c r="V2507" s="4">
        <v>0</v>
      </c>
      <c r="W2507" s="4">
        <v>1</v>
      </c>
    </row>
    <row r="2508" spans="1:23">
      <c r="A2508" t="s">
        <v>2641</v>
      </c>
      <c r="B2508" s="2">
        <v>45988</v>
      </c>
      <c r="C2508" t="s">
        <v>104</v>
      </c>
      <c r="D2508" t="s">
        <v>105</v>
      </c>
      <c r="E2508" t="s">
        <v>112</v>
      </c>
      <c r="F2508" t="s">
        <v>49</v>
      </c>
      <c r="G2508" t="s">
        <v>68</v>
      </c>
      <c r="H2508" t="s">
        <v>69</v>
      </c>
      <c r="I2508">
        <v>1</v>
      </c>
      <c r="J2508" s="3">
        <v>48867.040000000001</v>
      </c>
      <c r="K2508" s="3">
        <v>48867.040000000001</v>
      </c>
      <c r="L2508" t="s">
        <v>25</v>
      </c>
      <c r="M2508" s="2">
        <v>45998</v>
      </c>
      <c r="N2508" s="2">
        <v>45998</v>
      </c>
      <c r="O2508" t="s">
        <v>76</v>
      </c>
      <c r="P2508" t="s">
        <v>115</v>
      </c>
      <c r="Q2508" t="s">
        <v>28</v>
      </c>
      <c r="R2508" t="s">
        <v>29</v>
      </c>
      <c r="S2508">
        <v>2025</v>
      </c>
      <c r="T2508" t="s">
        <v>2763</v>
      </c>
      <c r="U2508" t="s">
        <v>2764</v>
      </c>
      <c r="V2508" s="4">
        <v>0</v>
      </c>
      <c r="W2508" s="4">
        <v>1</v>
      </c>
    </row>
    <row r="2509" spans="1:23">
      <c r="A2509" t="s">
        <v>2642</v>
      </c>
      <c r="B2509" s="2">
        <v>45925</v>
      </c>
      <c r="C2509" t="s">
        <v>142</v>
      </c>
      <c r="D2509" t="s">
        <v>143</v>
      </c>
      <c r="E2509" t="s">
        <v>112</v>
      </c>
      <c r="F2509" t="s">
        <v>22</v>
      </c>
      <c r="G2509" t="s">
        <v>32</v>
      </c>
      <c r="H2509" t="s">
        <v>33</v>
      </c>
      <c r="I2509">
        <v>15</v>
      </c>
      <c r="J2509" s="3">
        <v>8144.11</v>
      </c>
      <c r="K2509" s="3">
        <v>122161.65</v>
      </c>
      <c r="L2509" t="s">
        <v>25</v>
      </c>
      <c r="M2509" s="2">
        <v>45939</v>
      </c>
      <c r="N2509" s="2">
        <v>45938</v>
      </c>
      <c r="O2509" t="s">
        <v>60</v>
      </c>
      <c r="P2509" t="s">
        <v>115</v>
      </c>
      <c r="Q2509" t="s">
        <v>28</v>
      </c>
      <c r="R2509" t="s">
        <v>29</v>
      </c>
      <c r="S2509">
        <v>2025</v>
      </c>
      <c r="T2509" t="s">
        <v>2753</v>
      </c>
      <c r="U2509" t="s">
        <v>2754</v>
      </c>
      <c r="V2509" s="4">
        <v>0</v>
      </c>
      <c r="W2509" s="4">
        <v>1</v>
      </c>
    </row>
    <row r="2510" spans="1:23">
      <c r="A2510" t="s">
        <v>2643</v>
      </c>
      <c r="B2510" s="2">
        <v>45924</v>
      </c>
      <c r="C2510" t="s">
        <v>19</v>
      </c>
      <c r="D2510" t="s">
        <v>20</v>
      </c>
      <c r="E2510" t="s">
        <v>39</v>
      </c>
      <c r="F2510" t="s">
        <v>22</v>
      </c>
      <c r="G2510" t="s">
        <v>23</v>
      </c>
      <c r="H2510" t="s">
        <v>24</v>
      </c>
      <c r="I2510">
        <v>21</v>
      </c>
      <c r="J2510" s="3">
        <v>220.62</v>
      </c>
      <c r="K2510" s="3">
        <v>4633.0200000000004</v>
      </c>
      <c r="L2510" t="s">
        <v>34</v>
      </c>
      <c r="M2510" s="2">
        <v>45935</v>
      </c>
      <c r="N2510" s="2">
        <v>45934</v>
      </c>
      <c r="O2510" t="s">
        <v>60</v>
      </c>
      <c r="P2510" t="s">
        <v>64</v>
      </c>
      <c r="Q2510" t="s">
        <v>28</v>
      </c>
      <c r="R2510" t="s">
        <v>29</v>
      </c>
      <c r="S2510">
        <v>2025</v>
      </c>
      <c r="T2510" t="s">
        <v>2753</v>
      </c>
      <c r="U2510" t="s">
        <v>2754</v>
      </c>
      <c r="V2510" s="4">
        <v>0</v>
      </c>
      <c r="W2510" s="4">
        <v>1</v>
      </c>
    </row>
    <row r="2511" spans="1:23">
      <c r="A2511" t="s">
        <v>2644</v>
      </c>
      <c r="B2511" s="2">
        <v>45973</v>
      </c>
      <c r="C2511" t="s">
        <v>80</v>
      </c>
      <c r="D2511" t="s">
        <v>81</v>
      </c>
      <c r="E2511" t="s">
        <v>39</v>
      </c>
      <c r="F2511" t="s">
        <v>82</v>
      </c>
      <c r="G2511" t="s">
        <v>83</v>
      </c>
      <c r="H2511" t="s">
        <v>84</v>
      </c>
      <c r="I2511">
        <v>5</v>
      </c>
      <c r="J2511" s="3">
        <v>695.54</v>
      </c>
      <c r="K2511" s="3">
        <v>3477.7</v>
      </c>
      <c r="L2511" t="s">
        <v>25</v>
      </c>
      <c r="M2511" s="2">
        <v>45984</v>
      </c>
      <c r="N2511" s="2">
        <v>45981</v>
      </c>
      <c r="O2511" t="s">
        <v>43</v>
      </c>
      <c r="P2511" t="s">
        <v>44</v>
      </c>
      <c r="Q2511" t="s">
        <v>28</v>
      </c>
      <c r="R2511" t="s">
        <v>29</v>
      </c>
      <c r="S2511">
        <v>2025</v>
      </c>
      <c r="T2511" t="s">
        <v>2763</v>
      </c>
      <c r="U2511" t="s">
        <v>2764</v>
      </c>
      <c r="V2511" s="4">
        <v>0</v>
      </c>
      <c r="W2511" s="4">
        <v>1</v>
      </c>
    </row>
    <row r="2512" spans="1:23">
      <c r="A2512" t="s">
        <v>2645</v>
      </c>
      <c r="B2512" s="2">
        <v>46081</v>
      </c>
      <c r="C2512" t="s">
        <v>66</v>
      </c>
      <c r="D2512" t="s">
        <v>67</v>
      </c>
      <c r="E2512" t="s">
        <v>73</v>
      </c>
      <c r="F2512" t="s">
        <v>49</v>
      </c>
      <c r="G2512" t="s">
        <v>113</v>
      </c>
      <c r="H2512" t="s">
        <v>114</v>
      </c>
      <c r="I2512">
        <v>1</v>
      </c>
      <c r="J2512" s="3">
        <v>35873.370000000003</v>
      </c>
      <c r="K2512" s="3">
        <v>35873.370000000003</v>
      </c>
      <c r="L2512" t="s">
        <v>25</v>
      </c>
      <c r="M2512" s="2">
        <v>46094</v>
      </c>
      <c r="N2512" s="2">
        <v>46094</v>
      </c>
      <c r="O2512" t="s">
        <v>43</v>
      </c>
      <c r="P2512" t="s">
        <v>77</v>
      </c>
      <c r="Q2512" t="s">
        <v>28</v>
      </c>
      <c r="R2512" t="s">
        <v>29</v>
      </c>
      <c r="S2512">
        <v>2026</v>
      </c>
      <c r="T2512" t="s">
        <v>2751</v>
      </c>
      <c r="U2512" t="s">
        <v>2765</v>
      </c>
      <c r="V2512" s="4">
        <v>0</v>
      </c>
      <c r="W2512" s="4">
        <v>1</v>
      </c>
    </row>
    <row r="2513" spans="1:23">
      <c r="A2513" t="s">
        <v>2646</v>
      </c>
      <c r="B2513" s="2">
        <v>45930</v>
      </c>
      <c r="C2513" t="s">
        <v>142</v>
      </c>
      <c r="D2513" t="s">
        <v>143</v>
      </c>
      <c r="E2513" t="s">
        <v>21</v>
      </c>
      <c r="F2513" t="s">
        <v>22</v>
      </c>
      <c r="G2513" t="s">
        <v>23</v>
      </c>
      <c r="H2513" t="s">
        <v>24</v>
      </c>
      <c r="I2513">
        <v>5</v>
      </c>
      <c r="J2513" s="3">
        <v>238.83</v>
      </c>
      <c r="K2513" s="3">
        <v>1194.1500000000001</v>
      </c>
      <c r="L2513" t="s">
        <v>25</v>
      </c>
      <c r="M2513" s="2">
        <v>45937</v>
      </c>
      <c r="N2513" s="2">
        <v>45936</v>
      </c>
      <c r="O2513" t="s">
        <v>43</v>
      </c>
      <c r="P2513" t="s">
        <v>27</v>
      </c>
      <c r="Q2513" t="s">
        <v>28</v>
      </c>
      <c r="R2513" t="s">
        <v>29</v>
      </c>
      <c r="S2513">
        <v>2025</v>
      </c>
      <c r="T2513" t="s">
        <v>2753</v>
      </c>
      <c r="U2513" t="s">
        <v>2754</v>
      </c>
      <c r="V2513" s="4">
        <v>0</v>
      </c>
      <c r="W2513" s="4">
        <v>1</v>
      </c>
    </row>
    <row r="2514" spans="1:23">
      <c r="A2514" t="s">
        <v>2647</v>
      </c>
      <c r="B2514" s="2">
        <v>46150</v>
      </c>
      <c r="C2514" t="s">
        <v>66</v>
      </c>
      <c r="D2514" t="s">
        <v>67</v>
      </c>
      <c r="E2514" t="s">
        <v>112</v>
      </c>
      <c r="F2514" t="s">
        <v>49</v>
      </c>
      <c r="G2514" t="s">
        <v>68</v>
      </c>
      <c r="H2514" t="s">
        <v>69</v>
      </c>
      <c r="I2514">
        <v>3</v>
      </c>
      <c r="J2514" s="3">
        <v>48729.77</v>
      </c>
      <c r="K2514" s="3">
        <v>146189.31</v>
      </c>
      <c r="L2514" t="s">
        <v>52</v>
      </c>
      <c r="M2514" s="2">
        <v>46158</v>
      </c>
      <c r="N2514" s="2">
        <v>46158</v>
      </c>
      <c r="O2514" t="s">
        <v>43</v>
      </c>
      <c r="P2514" t="s">
        <v>115</v>
      </c>
      <c r="Q2514" t="s">
        <v>28</v>
      </c>
      <c r="R2514" t="s">
        <v>29</v>
      </c>
      <c r="S2514">
        <v>2026</v>
      </c>
      <c r="T2514" t="s">
        <v>2766</v>
      </c>
      <c r="U2514" t="s">
        <v>2769</v>
      </c>
      <c r="V2514" s="4">
        <v>0</v>
      </c>
      <c r="W2514" s="4">
        <v>1</v>
      </c>
    </row>
    <row r="2515" spans="1:23">
      <c r="A2515" t="s">
        <v>2648</v>
      </c>
      <c r="B2515" s="2">
        <v>45739</v>
      </c>
      <c r="C2515" t="s">
        <v>104</v>
      </c>
      <c r="D2515" t="s">
        <v>105</v>
      </c>
      <c r="E2515" t="s">
        <v>48</v>
      </c>
      <c r="F2515" t="s">
        <v>49</v>
      </c>
      <c r="G2515" t="s">
        <v>50</v>
      </c>
      <c r="H2515" t="s">
        <v>51</v>
      </c>
      <c r="I2515">
        <v>3</v>
      </c>
      <c r="J2515" s="3">
        <v>53900.19</v>
      </c>
      <c r="K2515" s="3">
        <v>161700.57</v>
      </c>
      <c r="L2515" t="s">
        <v>25</v>
      </c>
      <c r="M2515" s="2">
        <v>45750</v>
      </c>
      <c r="N2515" s="2">
        <v>45747</v>
      </c>
      <c r="O2515" t="s">
        <v>76</v>
      </c>
      <c r="P2515" t="s">
        <v>53</v>
      </c>
      <c r="Q2515" t="s">
        <v>28</v>
      </c>
      <c r="R2515" t="s">
        <v>29</v>
      </c>
      <c r="S2515">
        <v>2025</v>
      </c>
      <c r="T2515" t="s">
        <v>2747</v>
      </c>
      <c r="U2515" t="s">
        <v>2748</v>
      </c>
      <c r="V2515" s="4">
        <v>0</v>
      </c>
      <c r="W2515" s="4">
        <v>1</v>
      </c>
    </row>
    <row r="2516" spans="1:23">
      <c r="A2516" t="s">
        <v>2649</v>
      </c>
      <c r="B2516" s="2">
        <v>45727</v>
      </c>
      <c r="C2516" t="s">
        <v>104</v>
      </c>
      <c r="D2516" t="s">
        <v>105</v>
      </c>
      <c r="E2516" t="s">
        <v>21</v>
      </c>
      <c r="F2516" t="s">
        <v>49</v>
      </c>
      <c r="G2516" t="s">
        <v>50</v>
      </c>
      <c r="H2516" t="s">
        <v>51</v>
      </c>
      <c r="I2516">
        <v>2</v>
      </c>
      <c r="J2516" s="3">
        <v>49984.77</v>
      </c>
      <c r="K2516" s="3">
        <v>99969.54</v>
      </c>
      <c r="L2516" t="s">
        <v>25</v>
      </c>
      <c r="M2516" s="2">
        <v>45735</v>
      </c>
      <c r="N2516" s="2">
        <v>45734</v>
      </c>
      <c r="O2516" t="s">
        <v>60</v>
      </c>
      <c r="P2516" t="s">
        <v>27</v>
      </c>
      <c r="Q2516" t="s">
        <v>28</v>
      </c>
      <c r="R2516" t="s">
        <v>29</v>
      </c>
      <c r="S2516">
        <v>2025</v>
      </c>
      <c r="T2516" t="s">
        <v>2747</v>
      </c>
      <c r="U2516" t="s">
        <v>2748</v>
      </c>
      <c r="V2516" s="4">
        <v>0</v>
      </c>
      <c r="W2516" s="4">
        <v>1</v>
      </c>
    </row>
    <row r="2517" spans="1:23">
      <c r="A2517" t="s">
        <v>2650</v>
      </c>
      <c r="B2517" s="2">
        <v>46020</v>
      </c>
      <c r="C2517" t="s">
        <v>80</v>
      </c>
      <c r="D2517" t="s">
        <v>81</v>
      </c>
      <c r="E2517" t="s">
        <v>39</v>
      </c>
      <c r="F2517" t="s">
        <v>82</v>
      </c>
      <c r="G2517" t="s">
        <v>98</v>
      </c>
      <c r="H2517" t="s">
        <v>99</v>
      </c>
      <c r="I2517">
        <v>43</v>
      </c>
      <c r="J2517" s="3">
        <v>1118.48</v>
      </c>
      <c r="K2517" s="3">
        <v>48094.64</v>
      </c>
      <c r="L2517" t="s">
        <v>34</v>
      </c>
      <c r="M2517" s="2">
        <v>46029</v>
      </c>
      <c r="N2517" s="2">
        <v>46027</v>
      </c>
      <c r="O2517" t="s">
        <v>60</v>
      </c>
      <c r="P2517" t="s">
        <v>64</v>
      </c>
      <c r="Q2517" t="s">
        <v>28</v>
      </c>
      <c r="R2517" t="s">
        <v>29</v>
      </c>
      <c r="S2517">
        <v>2025</v>
      </c>
      <c r="T2517" t="s">
        <v>2745</v>
      </c>
      <c r="U2517" t="s">
        <v>2746</v>
      </c>
      <c r="V2517" s="4">
        <v>0</v>
      </c>
      <c r="W2517" s="4">
        <v>1</v>
      </c>
    </row>
    <row r="2518" spans="1:23">
      <c r="A2518" t="s">
        <v>2651</v>
      </c>
      <c r="B2518" s="2">
        <v>46173</v>
      </c>
      <c r="C2518" t="s">
        <v>134</v>
      </c>
      <c r="D2518" t="s">
        <v>135</v>
      </c>
      <c r="E2518" t="s">
        <v>39</v>
      </c>
      <c r="F2518" t="s">
        <v>40</v>
      </c>
      <c r="G2518" t="s">
        <v>136</v>
      </c>
      <c r="H2518" t="s">
        <v>137</v>
      </c>
      <c r="I2518">
        <v>47</v>
      </c>
      <c r="J2518" s="3">
        <v>1669.36</v>
      </c>
      <c r="K2518" s="3">
        <v>78459.92</v>
      </c>
      <c r="L2518" t="s">
        <v>25</v>
      </c>
      <c r="M2518" s="2">
        <v>46191</v>
      </c>
      <c r="N2518" s="2">
        <v>46190</v>
      </c>
      <c r="O2518" t="s">
        <v>60</v>
      </c>
      <c r="P2518" t="s">
        <v>64</v>
      </c>
      <c r="Q2518" t="s">
        <v>28</v>
      </c>
      <c r="R2518" t="s">
        <v>29</v>
      </c>
      <c r="S2518">
        <v>2026</v>
      </c>
      <c r="T2518" t="s">
        <v>2766</v>
      </c>
      <c r="U2518" t="s">
        <v>2769</v>
      </c>
      <c r="V2518" s="4">
        <v>0</v>
      </c>
      <c r="W2518" s="4">
        <v>1</v>
      </c>
    </row>
    <row r="2519" spans="1:23">
      <c r="A2519" t="s">
        <v>2652</v>
      </c>
      <c r="B2519" s="2">
        <v>46138</v>
      </c>
      <c r="C2519" t="s">
        <v>107</v>
      </c>
      <c r="D2519" t="s">
        <v>108</v>
      </c>
      <c r="E2519" t="s">
        <v>31</v>
      </c>
      <c r="F2519" t="s">
        <v>91</v>
      </c>
      <c r="G2519" t="s">
        <v>109</v>
      </c>
      <c r="H2519" t="s">
        <v>110</v>
      </c>
      <c r="I2519">
        <v>3</v>
      </c>
      <c r="J2519" s="3">
        <v>13948.99</v>
      </c>
      <c r="K2519" s="3">
        <v>41846.97</v>
      </c>
      <c r="L2519" t="s">
        <v>34</v>
      </c>
      <c r="M2519" s="2">
        <v>46144</v>
      </c>
      <c r="N2519" s="2">
        <v>46142</v>
      </c>
      <c r="O2519" t="s">
        <v>26</v>
      </c>
      <c r="P2519" t="s">
        <v>94</v>
      </c>
      <c r="Q2519" t="s">
        <v>28</v>
      </c>
      <c r="R2519" t="s">
        <v>29</v>
      </c>
      <c r="S2519">
        <v>2026</v>
      </c>
      <c r="T2519" t="s">
        <v>2741</v>
      </c>
      <c r="U2519" t="s">
        <v>2770</v>
      </c>
      <c r="V2519" s="4">
        <v>0</v>
      </c>
      <c r="W2519" s="4">
        <v>1</v>
      </c>
    </row>
    <row r="2520" spans="1:23">
      <c r="A2520" t="s">
        <v>2653</v>
      </c>
      <c r="B2520" s="2">
        <v>45900</v>
      </c>
      <c r="C2520" t="s">
        <v>71</v>
      </c>
      <c r="D2520" t="s">
        <v>72</v>
      </c>
      <c r="E2520" t="s">
        <v>48</v>
      </c>
      <c r="F2520" t="s">
        <v>57</v>
      </c>
      <c r="G2520" t="s">
        <v>86</v>
      </c>
      <c r="H2520" t="s">
        <v>87</v>
      </c>
      <c r="I2520">
        <v>7</v>
      </c>
      <c r="J2520" s="3">
        <v>10488.33</v>
      </c>
      <c r="K2520" s="3">
        <v>73418.31</v>
      </c>
      <c r="L2520" t="s">
        <v>25</v>
      </c>
      <c r="M2520" s="2">
        <v>45914</v>
      </c>
      <c r="N2520" s="2">
        <v>45911</v>
      </c>
      <c r="O2520" t="s">
        <v>43</v>
      </c>
      <c r="P2520" t="s">
        <v>53</v>
      </c>
      <c r="Q2520" t="s">
        <v>28</v>
      </c>
      <c r="R2520" t="s">
        <v>29</v>
      </c>
      <c r="S2520">
        <v>2025</v>
      </c>
      <c r="T2520" t="s">
        <v>2761</v>
      </c>
      <c r="U2520" t="s">
        <v>2762</v>
      </c>
      <c r="V2520" s="4">
        <v>0</v>
      </c>
      <c r="W2520" s="4">
        <v>1</v>
      </c>
    </row>
    <row r="2521" spans="1:23">
      <c r="A2521" t="s">
        <v>2654</v>
      </c>
      <c r="B2521" s="2">
        <v>45874</v>
      </c>
      <c r="C2521" t="s">
        <v>66</v>
      </c>
      <c r="D2521" t="s">
        <v>67</v>
      </c>
      <c r="E2521" t="s">
        <v>48</v>
      </c>
      <c r="F2521" t="s">
        <v>49</v>
      </c>
      <c r="G2521" t="s">
        <v>113</v>
      </c>
      <c r="H2521" t="s">
        <v>114</v>
      </c>
      <c r="I2521">
        <v>1</v>
      </c>
      <c r="J2521" s="3">
        <v>36469.24</v>
      </c>
      <c r="K2521" s="3">
        <v>36469.24</v>
      </c>
      <c r="L2521" t="s">
        <v>25</v>
      </c>
      <c r="M2521" s="2">
        <v>45891</v>
      </c>
      <c r="N2521" s="2">
        <v>45891</v>
      </c>
      <c r="O2521" t="s">
        <v>76</v>
      </c>
      <c r="P2521" t="s">
        <v>53</v>
      </c>
      <c r="Q2521" t="s">
        <v>28</v>
      </c>
      <c r="R2521" t="s">
        <v>29</v>
      </c>
      <c r="S2521">
        <v>2025</v>
      </c>
      <c r="T2521" t="s">
        <v>2761</v>
      </c>
      <c r="U2521" t="s">
        <v>2762</v>
      </c>
      <c r="V2521" s="4">
        <v>0</v>
      </c>
      <c r="W2521" s="4">
        <v>1</v>
      </c>
    </row>
    <row r="2522" spans="1:23">
      <c r="A2522" t="s">
        <v>2655</v>
      </c>
      <c r="B2522" s="2">
        <v>46056</v>
      </c>
      <c r="C2522" t="s">
        <v>147</v>
      </c>
      <c r="D2522" t="s">
        <v>148</v>
      </c>
      <c r="E2522" t="s">
        <v>39</v>
      </c>
      <c r="F2522" t="s">
        <v>40</v>
      </c>
      <c r="G2522" t="s">
        <v>136</v>
      </c>
      <c r="H2522" t="s">
        <v>137</v>
      </c>
      <c r="I2522">
        <v>55</v>
      </c>
      <c r="J2522" s="3">
        <v>1595.68</v>
      </c>
      <c r="K2522" s="3">
        <v>87762.4</v>
      </c>
      <c r="L2522" t="s">
        <v>34</v>
      </c>
      <c r="M2522" s="2">
        <v>46063</v>
      </c>
      <c r="N2522" s="2">
        <v>46061</v>
      </c>
      <c r="O2522" t="s">
        <v>43</v>
      </c>
      <c r="P2522" t="s">
        <v>44</v>
      </c>
      <c r="Q2522" t="s">
        <v>28</v>
      </c>
      <c r="R2522" t="s">
        <v>29</v>
      </c>
      <c r="S2522">
        <v>2026</v>
      </c>
      <c r="T2522" t="s">
        <v>2751</v>
      </c>
      <c r="U2522" t="s">
        <v>2765</v>
      </c>
      <c r="V2522" s="4">
        <v>0</v>
      </c>
      <c r="W2522" s="4">
        <v>1</v>
      </c>
    </row>
    <row r="2523" spans="1:23">
      <c r="A2523" t="s">
        <v>2656</v>
      </c>
      <c r="B2523" s="2">
        <v>45897</v>
      </c>
      <c r="C2523" t="s">
        <v>66</v>
      </c>
      <c r="D2523" t="s">
        <v>67</v>
      </c>
      <c r="E2523" t="s">
        <v>73</v>
      </c>
      <c r="F2523" t="s">
        <v>49</v>
      </c>
      <c r="G2523" t="s">
        <v>50</v>
      </c>
      <c r="H2523" t="s">
        <v>51</v>
      </c>
      <c r="I2523">
        <v>2</v>
      </c>
      <c r="J2523" s="3">
        <v>51331.87</v>
      </c>
      <c r="K2523" s="3">
        <v>102663.74</v>
      </c>
      <c r="L2523" t="s">
        <v>25</v>
      </c>
      <c r="M2523" s="2">
        <v>45914</v>
      </c>
      <c r="N2523" s="2">
        <v>45912</v>
      </c>
      <c r="O2523" t="s">
        <v>60</v>
      </c>
      <c r="P2523" t="s">
        <v>77</v>
      </c>
      <c r="Q2523" t="s">
        <v>28</v>
      </c>
      <c r="R2523" t="s">
        <v>29</v>
      </c>
      <c r="S2523">
        <v>2025</v>
      </c>
      <c r="T2523" t="s">
        <v>2761</v>
      </c>
      <c r="U2523" t="s">
        <v>2762</v>
      </c>
      <c r="V2523" s="4">
        <v>0</v>
      </c>
      <c r="W2523" s="4">
        <v>1</v>
      </c>
    </row>
    <row r="2524" spans="1:23">
      <c r="A2524" t="s">
        <v>2657</v>
      </c>
      <c r="B2524" s="2">
        <v>45988</v>
      </c>
      <c r="C2524" t="s">
        <v>147</v>
      </c>
      <c r="D2524" t="s">
        <v>148</v>
      </c>
      <c r="E2524" t="s">
        <v>39</v>
      </c>
      <c r="F2524" t="s">
        <v>40</v>
      </c>
      <c r="G2524" t="s">
        <v>136</v>
      </c>
      <c r="H2524" t="s">
        <v>137</v>
      </c>
      <c r="I2524">
        <v>26</v>
      </c>
      <c r="J2524" s="3">
        <v>1627.55</v>
      </c>
      <c r="K2524" s="3">
        <v>42316.3</v>
      </c>
      <c r="L2524" t="s">
        <v>52</v>
      </c>
      <c r="M2524" s="2">
        <v>45994</v>
      </c>
      <c r="N2524" s="2">
        <v>45992</v>
      </c>
      <c r="O2524" t="s">
        <v>76</v>
      </c>
      <c r="P2524" t="s">
        <v>44</v>
      </c>
      <c r="Q2524" t="s">
        <v>28</v>
      </c>
      <c r="R2524" t="s">
        <v>29</v>
      </c>
      <c r="S2524">
        <v>2025</v>
      </c>
      <c r="T2524" t="s">
        <v>2763</v>
      </c>
      <c r="U2524" t="s">
        <v>2764</v>
      </c>
      <c r="V2524" s="4">
        <v>0</v>
      </c>
      <c r="W2524" s="4">
        <v>1</v>
      </c>
    </row>
    <row r="2525" spans="1:23">
      <c r="A2525" t="s">
        <v>2658</v>
      </c>
      <c r="B2525" s="2">
        <v>45710</v>
      </c>
      <c r="C2525" t="s">
        <v>131</v>
      </c>
      <c r="D2525" t="s">
        <v>132</v>
      </c>
      <c r="E2525" t="s">
        <v>31</v>
      </c>
      <c r="F2525" t="s">
        <v>57</v>
      </c>
      <c r="G2525" t="s">
        <v>86</v>
      </c>
      <c r="H2525" t="s">
        <v>87</v>
      </c>
      <c r="I2525">
        <v>3</v>
      </c>
      <c r="J2525" s="3">
        <v>11842.95</v>
      </c>
      <c r="K2525" s="3">
        <v>35528.85</v>
      </c>
      <c r="L2525" t="s">
        <v>25</v>
      </c>
      <c r="M2525" s="2">
        <v>45724</v>
      </c>
      <c r="N2525" s="2">
        <v>45721</v>
      </c>
      <c r="O2525" t="s">
        <v>26</v>
      </c>
      <c r="P2525" t="s">
        <v>94</v>
      </c>
      <c r="Q2525" t="s">
        <v>28</v>
      </c>
      <c r="R2525" t="s">
        <v>29</v>
      </c>
      <c r="S2525">
        <v>2025</v>
      </c>
      <c r="T2525" t="s">
        <v>2751</v>
      </c>
      <c r="U2525" t="s">
        <v>2752</v>
      </c>
      <c r="V2525" s="4">
        <v>0</v>
      </c>
      <c r="W2525" s="4">
        <v>1</v>
      </c>
    </row>
    <row r="2526" spans="1:23">
      <c r="A2526" t="s">
        <v>2659</v>
      </c>
      <c r="B2526" s="2">
        <v>46064</v>
      </c>
      <c r="C2526" t="s">
        <v>117</v>
      </c>
      <c r="D2526" t="s">
        <v>118</v>
      </c>
      <c r="E2526" t="s">
        <v>48</v>
      </c>
      <c r="F2526" t="s">
        <v>57</v>
      </c>
      <c r="G2526" t="s">
        <v>86</v>
      </c>
      <c r="H2526" t="s">
        <v>87</v>
      </c>
      <c r="I2526">
        <v>6</v>
      </c>
      <c r="J2526" s="3">
        <v>10758.31</v>
      </c>
      <c r="K2526" s="3">
        <v>64549.86</v>
      </c>
      <c r="L2526" t="s">
        <v>25</v>
      </c>
      <c r="M2526" s="2">
        <v>46073</v>
      </c>
      <c r="N2526" s="2">
        <v>46075</v>
      </c>
      <c r="O2526" t="s">
        <v>76</v>
      </c>
      <c r="P2526" t="s">
        <v>53</v>
      </c>
      <c r="Q2526" t="s">
        <v>28</v>
      </c>
      <c r="R2526" t="s">
        <v>129</v>
      </c>
      <c r="S2526">
        <v>2026</v>
      </c>
      <c r="T2526" t="s">
        <v>2751</v>
      </c>
      <c r="U2526" t="s">
        <v>2765</v>
      </c>
      <c r="V2526" s="4">
        <v>2</v>
      </c>
      <c r="W2526" s="4">
        <v>0</v>
      </c>
    </row>
    <row r="2527" spans="1:23">
      <c r="A2527" t="s">
        <v>2660</v>
      </c>
      <c r="B2527" s="2">
        <v>46008</v>
      </c>
      <c r="C2527" t="s">
        <v>142</v>
      </c>
      <c r="D2527" t="s">
        <v>143</v>
      </c>
      <c r="E2527" t="s">
        <v>39</v>
      </c>
      <c r="F2527" t="s">
        <v>22</v>
      </c>
      <c r="G2527" t="s">
        <v>160</v>
      </c>
      <c r="H2527" t="s">
        <v>161</v>
      </c>
      <c r="I2527">
        <v>6</v>
      </c>
      <c r="J2527" s="3">
        <v>3183.96</v>
      </c>
      <c r="K2527" s="3">
        <v>19103.759999999998</v>
      </c>
      <c r="L2527" t="s">
        <v>34</v>
      </c>
      <c r="M2527" s="2">
        <v>46020</v>
      </c>
      <c r="N2527" s="2">
        <v>46019</v>
      </c>
      <c r="O2527" t="s">
        <v>76</v>
      </c>
      <c r="P2527" t="s">
        <v>64</v>
      </c>
      <c r="Q2527" t="s">
        <v>28</v>
      </c>
      <c r="R2527" t="s">
        <v>29</v>
      </c>
      <c r="S2527">
        <v>2025</v>
      </c>
      <c r="T2527" t="s">
        <v>2745</v>
      </c>
      <c r="U2527" t="s">
        <v>2746</v>
      </c>
      <c r="V2527" s="4">
        <v>0</v>
      </c>
      <c r="W2527" s="4">
        <v>1</v>
      </c>
    </row>
    <row r="2528" spans="1:23">
      <c r="A2528" t="s">
        <v>2661</v>
      </c>
      <c r="B2528" s="2">
        <v>46151</v>
      </c>
      <c r="C2528" t="s">
        <v>142</v>
      </c>
      <c r="D2528" t="s">
        <v>143</v>
      </c>
      <c r="E2528" t="s">
        <v>21</v>
      </c>
      <c r="F2528" t="s">
        <v>22</v>
      </c>
      <c r="G2528" t="s">
        <v>32</v>
      </c>
      <c r="H2528" t="s">
        <v>33</v>
      </c>
      <c r="I2528">
        <v>3</v>
      </c>
      <c r="J2528" s="3">
        <v>7537.37</v>
      </c>
      <c r="K2528" s="3">
        <v>22612.11</v>
      </c>
      <c r="L2528" t="s">
        <v>25</v>
      </c>
      <c r="M2528" s="2">
        <v>46167</v>
      </c>
      <c r="N2528" s="2">
        <v>46166</v>
      </c>
      <c r="O2528" t="s">
        <v>43</v>
      </c>
      <c r="P2528" t="s">
        <v>27</v>
      </c>
      <c r="Q2528" t="s">
        <v>28</v>
      </c>
      <c r="R2528" t="s">
        <v>29</v>
      </c>
      <c r="S2528">
        <v>2026</v>
      </c>
      <c r="T2528" t="s">
        <v>2766</v>
      </c>
      <c r="U2528" t="s">
        <v>2769</v>
      </c>
      <c r="V2528" s="4">
        <v>0</v>
      </c>
      <c r="W2528" s="4">
        <v>1</v>
      </c>
    </row>
    <row r="2529" spans="1:23">
      <c r="A2529" t="s">
        <v>2662</v>
      </c>
      <c r="B2529" s="2">
        <v>45802</v>
      </c>
      <c r="C2529" t="s">
        <v>131</v>
      </c>
      <c r="D2529" t="s">
        <v>132</v>
      </c>
      <c r="E2529" t="s">
        <v>48</v>
      </c>
      <c r="F2529" t="s">
        <v>57</v>
      </c>
      <c r="G2529" t="s">
        <v>58</v>
      </c>
      <c r="H2529" t="s">
        <v>59</v>
      </c>
      <c r="I2529">
        <v>8</v>
      </c>
      <c r="J2529" s="3">
        <v>57692.58</v>
      </c>
      <c r="K2529" s="3">
        <v>461540.64</v>
      </c>
      <c r="L2529" t="s">
        <v>25</v>
      </c>
      <c r="M2529" s="2">
        <v>45815</v>
      </c>
      <c r="N2529" s="2">
        <v>45812</v>
      </c>
      <c r="O2529" t="s">
        <v>26</v>
      </c>
      <c r="P2529" t="s">
        <v>53</v>
      </c>
      <c r="Q2529" t="s">
        <v>28</v>
      </c>
      <c r="R2529" t="s">
        <v>29</v>
      </c>
      <c r="S2529">
        <v>2025</v>
      </c>
      <c r="T2529" t="s">
        <v>2766</v>
      </c>
      <c r="U2529" t="s">
        <v>2767</v>
      </c>
      <c r="V2529" s="4">
        <v>0</v>
      </c>
      <c r="W2529" s="4">
        <v>1</v>
      </c>
    </row>
    <row r="2530" spans="1:23">
      <c r="A2530" t="s">
        <v>2663</v>
      </c>
      <c r="B2530" s="2">
        <v>46177</v>
      </c>
      <c r="C2530" t="s">
        <v>96</v>
      </c>
      <c r="D2530" t="s">
        <v>97</v>
      </c>
      <c r="E2530" t="s">
        <v>39</v>
      </c>
      <c r="F2530" t="s">
        <v>82</v>
      </c>
      <c r="G2530" t="s">
        <v>83</v>
      </c>
      <c r="H2530" t="s">
        <v>84</v>
      </c>
      <c r="I2530">
        <v>56</v>
      </c>
      <c r="J2530" s="3">
        <v>750.76</v>
      </c>
      <c r="K2530" s="3">
        <v>42042.559999999998</v>
      </c>
      <c r="L2530" t="s">
        <v>25</v>
      </c>
      <c r="M2530" s="2">
        <v>46188</v>
      </c>
      <c r="N2530" s="2">
        <v>46193</v>
      </c>
      <c r="O2530" t="s">
        <v>26</v>
      </c>
      <c r="P2530" t="s">
        <v>64</v>
      </c>
      <c r="Q2530" t="s">
        <v>28</v>
      </c>
      <c r="R2530" t="s">
        <v>129</v>
      </c>
      <c r="S2530">
        <v>2026</v>
      </c>
      <c r="T2530" t="s">
        <v>2743</v>
      </c>
      <c r="U2530" t="s">
        <v>2744</v>
      </c>
      <c r="V2530" s="4">
        <v>5</v>
      </c>
      <c r="W2530" s="4">
        <v>0</v>
      </c>
    </row>
    <row r="2531" spans="1:23">
      <c r="A2531" t="s">
        <v>2664</v>
      </c>
      <c r="B2531" s="2">
        <v>45956</v>
      </c>
      <c r="C2531" t="s">
        <v>71</v>
      </c>
      <c r="D2531" t="s">
        <v>72</v>
      </c>
      <c r="E2531" t="s">
        <v>31</v>
      </c>
      <c r="F2531" t="s">
        <v>57</v>
      </c>
      <c r="G2531" t="s">
        <v>86</v>
      </c>
      <c r="H2531" t="s">
        <v>87</v>
      </c>
      <c r="I2531">
        <v>7</v>
      </c>
      <c r="J2531" s="3">
        <v>10522.13</v>
      </c>
      <c r="K2531" s="3">
        <v>73654.91</v>
      </c>
      <c r="L2531" t="s">
        <v>34</v>
      </c>
      <c r="M2531" s="2">
        <v>45961</v>
      </c>
      <c r="N2531" s="2">
        <v>45961</v>
      </c>
      <c r="O2531" t="s">
        <v>26</v>
      </c>
      <c r="P2531" t="s">
        <v>94</v>
      </c>
      <c r="Q2531" t="s">
        <v>28</v>
      </c>
      <c r="R2531" t="s">
        <v>29</v>
      </c>
      <c r="S2531">
        <v>2025</v>
      </c>
      <c r="T2531" t="s">
        <v>2749</v>
      </c>
      <c r="U2531" t="s">
        <v>2750</v>
      </c>
      <c r="V2531" s="4">
        <v>0</v>
      </c>
      <c r="W2531" s="4">
        <v>1</v>
      </c>
    </row>
    <row r="2532" spans="1:23">
      <c r="A2532" t="s">
        <v>2665</v>
      </c>
      <c r="B2532" s="2">
        <v>45885</v>
      </c>
      <c r="C2532" t="s">
        <v>107</v>
      </c>
      <c r="D2532" t="s">
        <v>108</v>
      </c>
      <c r="E2532" t="s">
        <v>31</v>
      </c>
      <c r="F2532" t="s">
        <v>91</v>
      </c>
      <c r="G2532" t="s">
        <v>92</v>
      </c>
      <c r="H2532" t="s">
        <v>93</v>
      </c>
      <c r="I2532">
        <v>3</v>
      </c>
      <c r="J2532" s="3">
        <v>44629.81</v>
      </c>
      <c r="K2532" s="3">
        <v>133889.43</v>
      </c>
      <c r="L2532" t="s">
        <v>34</v>
      </c>
      <c r="M2532" s="2">
        <v>45893</v>
      </c>
      <c r="N2532" s="2">
        <v>45890</v>
      </c>
      <c r="O2532" t="s">
        <v>60</v>
      </c>
      <c r="P2532" t="s">
        <v>35</v>
      </c>
      <c r="Q2532" t="s">
        <v>28</v>
      </c>
      <c r="R2532" t="s">
        <v>29</v>
      </c>
      <c r="S2532">
        <v>2025</v>
      </c>
      <c r="T2532" t="s">
        <v>2761</v>
      </c>
      <c r="U2532" t="s">
        <v>2762</v>
      </c>
      <c r="V2532" s="4">
        <v>0</v>
      </c>
      <c r="W2532" s="4">
        <v>1</v>
      </c>
    </row>
    <row r="2533" spans="1:23">
      <c r="A2533" t="s">
        <v>2666</v>
      </c>
      <c r="B2533" s="2">
        <v>46123</v>
      </c>
      <c r="C2533" t="s">
        <v>104</v>
      </c>
      <c r="D2533" t="s">
        <v>105</v>
      </c>
      <c r="E2533" t="s">
        <v>73</v>
      </c>
      <c r="F2533" t="s">
        <v>49</v>
      </c>
      <c r="G2533" t="s">
        <v>68</v>
      </c>
      <c r="H2533" t="s">
        <v>69</v>
      </c>
      <c r="I2533">
        <v>1</v>
      </c>
      <c r="J2533" s="3">
        <v>47585.93</v>
      </c>
      <c r="K2533" s="3">
        <v>47585.93</v>
      </c>
      <c r="L2533" t="s">
        <v>25</v>
      </c>
      <c r="M2533" s="2">
        <v>46137</v>
      </c>
      <c r="N2533" s="2">
        <v>46136</v>
      </c>
      <c r="O2533" t="s">
        <v>43</v>
      </c>
      <c r="P2533" t="s">
        <v>77</v>
      </c>
      <c r="Q2533" t="s">
        <v>28</v>
      </c>
      <c r="R2533" t="s">
        <v>29</v>
      </c>
      <c r="S2533">
        <v>2026</v>
      </c>
      <c r="T2533" t="s">
        <v>2741</v>
      </c>
      <c r="U2533" t="s">
        <v>2770</v>
      </c>
      <c r="V2533" s="4">
        <v>0</v>
      </c>
      <c r="W2533" s="4">
        <v>1</v>
      </c>
    </row>
    <row r="2534" spans="1:23">
      <c r="A2534" t="s">
        <v>2667</v>
      </c>
      <c r="B2534" s="2">
        <v>45914</v>
      </c>
      <c r="C2534" t="s">
        <v>131</v>
      </c>
      <c r="D2534" t="s">
        <v>132</v>
      </c>
      <c r="E2534" t="s">
        <v>48</v>
      </c>
      <c r="F2534" t="s">
        <v>57</v>
      </c>
      <c r="G2534" t="s">
        <v>101</v>
      </c>
      <c r="H2534" t="s">
        <v>102</v>
      </c>
      <c r="I2534">
        <v>44</v>
      </c>
      <c r="J2534" s="3">
        <v>1835.25</v>
      </c>
      <c r="K2534" s="3">
        <v>80751</v>
      </c>
      <c r="L2534" t="s">
        <v>25</v>
      </c>
      <c r="M2534" s="2">
        <v>45922</v>
      </c>
      <c r="N2534" s="2">
        <v>45920</v>
      </c>
      <c r="O2534" t="s">
        <v>43</v>
      </c>
      <c r="P2534" t="s">
        <v>53</v>
      </c>
      <c r="Q2534" t="s">
        <v>28</v>
      </c>
      <c r="R2534" t="s">
        <v>29</v>
      </c>
      <c r="S2534">
        <v>2025</v>
      </c>
      <c r="T2534" t="s">
        <v>2753</v>
      </c>
      <c r="U2534" t="s">
        <v>2754</v>
      </c>
      <c r="V2534" s="4">
        <v>0</v>
      </c>
      <c r="W2534" s="4">
        <v>1</v>
      </c>
    </row>
    <row r="2535" spans="1:23">
      <c r="A2535" t="s">
        <v>2668</v>
      </c>
      <c r="B2535" s="2">
        <v>45742</v>
      </c>
      <c r="C2535" t="s">
        <v>131</v>
      </c>
      <c r="D2535" t="s">
        <v>132</v>
      </c>
      <c r="E2535" t="s">
        <v>48</v>
      </c>
      <c r="F2535" t="s">
        <v>57</v>
      </c>
      <c r="G2535" t="s">
        <v>58</v>
      </c>
      <c r="H2535" t="s">
        <v>59</v>
      </c>
      <c r="I2535">
        <v>6</v>
      </c>
      <c r="J2535" s="3">
        <v>60075.87</v>
      </c>
      <c r="K2535" s="3">
        <v>360455.22</v>
      </c>
      <c r="L2535" t="s">
        <v>25</v>
      </c>
      <c r="M2535" s="2">
        <v>45758</v>
      </c>
      <c r="N2535" s="2">
        <v>45755</v>
      </c>
      <c r="O2535" t="s">
        <v>60</v>
      </c>
      <c r="P2535" t="s">
        <v>53</v>
      </c>
      <c r="Q2535" t="s">
        <v>28</v>
      </c>
      <c r="R2535" t="s">
        <v>29</v>
      </c>
      <c r="S2535">
        <v>2025</v>
      </c>
      <c r="T2535" t="s">
        <v>2747</v>
      </c>
      <c r="U2535" t="s">
        <v>2748</v>
      </c>
      <c r="V2535" s="4">
        <v>0</v>
      </c>
      <c r="W2535" s="4">
        <v>1</v>
      </c>
    </row>
    <row r="2536" spans="1:23">
      <c r="A2536" t="s">
        <v>2669</v>
      </c>
      <c r="B2536" s="2">
        <v>45675</v>
      </c>
      <c r="C2536" t="s">
        <v>104</v>
      </c>
      <c r="D2536" t="s">
        <v>105</v>
      </c>
      <c r="E2536" t="s">
        <v>48</v>
      </c>
      <c r="F2536" t="s">
        <v>49</v>
      </c>
      <c r="G2536" t="s">
        <v>113</v>
      </c>
      <c r="H2536" t="s">
        <v>114</v>
      </c>
      <c r="I2536">
        <v>1</v>
      </c>
      <c r="J2536" s="3">
        <v>37442.53</v>
      </c>
      <c r="K2536" s="3">
        <v>37442.53</v>
      </c>
      <c r="L2536" t="s">
        <v>34</v>
      </c>
      <c r="M2536" s="2">
        <v>45685</v>
      </c>
      <c r="N2536" s="2">
        <v>45685</v>
      </c>
      <c r="O2536" t="s">
        <v>76</v>
      </c>
      <c r="P2536" t="s">
        <v>53</v>
      </c>
      <c r="Q2536" t="s">
        <v>28</v>
      </c>
      <c r="R2536" t="s">
        <v>29</v>
      </c>
      <c r="S2536">
        <v>2025</v>
      </c>
      <c r="T2536" t="s">
        <v>2757</v>
      </c>
      <c r="U2536" t="s">
        <v>2768</v>
      </c>
      <c r="V2536" s="4">
        <v>0</v>
      </c>
      <c r="W2536" s="4">
        <v>1</v>
      </c>
    </row>
    <row r="2537" spans="1:23">
      <c r="A2537" t="s">
        <v>2670</v>
      </c>
      <c r="B2537" s="2">
        <v>46177</v>
      </c>
      <c r="C2537" t="s">
        <v>134</v>
      </c>
      <c r="D2537" t="s">
        <v>135</v>
      </c>
      <c r="E2537" t="s">
        <v>39</v>
      </c>
      <c r="F2537" t="s">
        <v>40</v>
      </c>
      <c r="G2537" t="s">
        <v>136</v>
      </c>
      <c r="H2537" t="s">
        <v>137</v>
      </c>
      <c r="I2537">
        <v>21</v>
      </c>
      <c r="J2537" s="3">
        <v>1620.34</v>
      </c>
      <c r="K2537" s="3">
        <v>34027.14</v>
      </c>
      <c r="L2537" t="s">
        <v>25</v>
      </c>
      <c r="M2537" s="2">
        <v>46192</v>
      </c>
      <c r="N2537" s="2">
        <v>46189</v>
      </c>
      <c r="O2537" t="s">
        <v>26</v>
      </c>
      <c r="P2537" t="s">
        <v>44</v>
      </c>
      <c r="Q2537" t="s">
        <v>28</v>
      </c>
      <c r="R2537" t="s">
        <v>29</v>
      </c>
      <c r="S2537">
        <v>2026</v>
      </c>
      <c r="T2537" t="s">
        <v>2743</v>
      </c>
      <c r="U2537" t="s">
        <v>2744</v>
      </c>
      <c r="V2537" s="4">
        <v>0</v>
      </c>
      <c r="W2537" s="4">
        <v>1</v>
      </c>
    </row>
    <row r="2538" spans="1:23">
      <c r="A2538" t="s">
        <v>2671</v>
      </c>
      <c r="B2538" s="2">
        <v>45712</v>
      </c>
      <c r="C2538" t="s">
        <v>104</v>
      </c>
      <c r="D2538" t="s">
        <v>105</v>
      </c>
      <c r="E2538" t="s">
        <v>21</v>
      </c>
      <c r="F2538" t="s">
        <v>49</v>
      </c>
      <c r="G2538" t="s">
        <v>50</v>
      </c>
      <c r="H2538" t="s">
        <v>51</v>
      </c>
      <c r="I2538">
        <v>1</v>
      </c>
      <c r="J2538" s="3">
        <v>53040.14</v>
      </c>
      <c r="K2538" s="3">
        <v>53040.14</v>
      </c>
      <c r="L2538" t="s">
        <v>25</v>
      </c>
      <c r="M2538" s="2">
        <v>45720</v>
      </c>
      <c r="N2538" s="2">
        <v>45718</v>
      </c>
      <c r="O2538" t="s">
        <v>26</v>
      </c>
      <c r="P2538" t="s">
        <v>27</v>
      </c>
      <c r="Q2538" t="s">
        <v>28</v>
      </c>
      <c r="R2538" t="s">
        <v>29</v>
      </c>
      <c r="S2538">
        <v>2025</v>
      </c>
      <c r="T2538" t="s">
        <v>2751</v>
      </c>
      <c r="U2538" t="s">
        <v>2752</v>
      </c>
      <c r="V2538" s="4">
        <v>0</v>
      </c>
      <c r="W2538" s="4">
        <v>1</v>
      </c>
    </row>
    <row r="2539" spans="1:23">
      <c r="A2539" t="s">
        <v>2672</v>
      </c>
      <c r="B2539" s="2">
        <v>45822</v>
      </c>
      <c r="C2539" t="s">
        <v>134</v>
      </c>
      <c r="D2539" t="s">
        <v>135</v>
      </c>
      <c r="E2539" t="s">
        <v>39</v>
      </c>
      <c r="F2539" t="s">
        <v>40</v>
      </c>
      <c r="G2539" t="s">
        <v>41</v>
      </c>
      <c r="H2539" t="s">
        <v>42</v>
      </c>
      <c r="I2539">
        <v>12</v>
      </c>
      <c r="J2539" s="3">
        <v>5616.7</v>
      </c>
      <c r="K2539" s="3">
        <v>67400.399999999994</v>
      </c>
      <c r="L2539" t="s">
        <v>34</v>
      </c>
      <c r="M2539" s="2">
        <v>45836</v>
      </c>
      <c r="N2539" s="2">
        <v>45834</v>
      </c>
      <c r="O2539" t="s">
        <v>76</v>
      </c>
      <c r="P2539" t="s">
        <v>64</v>
      </c>
      <c r="Q2539" t="s">
        <v>28</v>
      </c>
      <c r="R2539" t="s">
        <v>29</v>
      </c>
      <c r="S2539">
        <v>2025</v>
      </c>
      <c r="T2539" t="s">
        <v>2743</v>
      </c>
      <c r="U2539" t="s">
        <v>2756</v>
      </c>
      <c r="V2539" s="4">
        <v>0</v>
      </c>
      <c r="W2539" s="4">
        <v>1</v>
      </c>
    </row>
    <row r="2540" spans="1:23">
      <c r="A2540" t="s">
        <v>2673</v>
      </c>
      <c r="B2540" s="2">
        <v>45999</v>
      </c>
      <c r="C2540" t="s">
        <v>80</v>
      </c>
      <c r="D2540" t="s">
        <v>81</v>
      </c>
      <c r="E2540" t="s">
        <v>39</v>
      </c>
      <c r="F2540" t="s">
        <v>82</v>
      </c>
      <c r="G2540" t="s">
        <v>197</v>
      </c>
      <c r="H2540" t="s">
        <v>198</v>
      </c>
      <c r="I2540">
        <v>57</v>
      </c>
      <c r="J2540" s="3">
        <v>1971.5</v>
      </c>
      <c r="K2540" s="3">
        <v>112375.5</v>
      </c>
      <c r="L2540" t="s">
        <v>52</v>
      </c>
      <c r="M2540" s="2">
        <v>46010</v>
      </c>
      <c r="N2540" s="2">
        <v>46008</v>
      </c>
      <c r="O2540" t="s">
        <v>60</v>
      </c>
      <c r="P2540" t="s">
        <v>44</v>
      </c>
      <c r="Q2540" t="s">
        <v>28</v>
      </c>
      <c r="R2540" t="s">
        <v>29</v>
      </c>
      <c r="S2540">
        <v>2025</v>
      </c>
      <c r="T2540" t="s">
        <v>2745</v>
      </c>
      <c r="U2540" t="s">
        <v>2746</v>
      </c>
      <c r="V2540" s="4">
        <v>0</v>
      </c>
      <c r="W2540" s="4">
        <v>1</v>
      </c>
    </row>
    <row r="2541" spans="1:23">
      <c r="A2541" t="s">
        <v>2674</v>
      </c>
      <c r="B2541" s="2">
        <v>45987</v>
      </c>
      <c r="C2541" t="s">
        <v>55</v>
      </c>
      <c r="D2541" t="s">
        <v>56</v>
      </c>
      <c r="E2541" t="s">
        <v>48</v>
      </c>
      <c r="F2541" t="s">
        <v>57</v>
      </c>
      <c r="G2541" t="s">
        <v>101</v>
      </c>
      <c r="H2541" t="s">
        <v>102</v>
      </c>
      <c r="I2541">
        <v>15</v>
      </c>
      <c r="J2541" s="3">
        <v>2092.2399999999998</v>
      </c>
      <c r="K2541" s="3">
        <v>31383.599999999999</v>
      </c>
      <c r="L2541" t="s">
        <v>25</v>
      </c>
      <c r="M2541" s="2">
        <v>45996</v>
      </c>
      <c r="N2541" s="2">
        <v>45993</v>
      </c>
      <c r="O2541" t="s">
        <v>76</v>
      </c>
      <c r="P2541" t="s">
        <v>53</v>
      </c>
      <c r="Q2541" t="s">
        <v>28</v>
      </c>
      <c r="R2541" t="s">
        <v>29</v>
      </c>
      <c r="S2541">
        <v>2025</v>
      </c>
      <c r="T2541" t="s">
        <v>2763</v>
      </c>
      <c r="U2541" t="s">
        <v>2764</v>
      </c>
      <c r="V2541" s="4">
        <v>0</v>
      </c>
      <c r="W2541" s="4">
        <v>1</v>
      </c>
    </row>
    <row r="2542" spans="1:23">
      <c r="A2542" t="s">
        <v>2675</v>
      </c>
      <c r="B2542" s="2">
        <v>45919</v>
      </c>
      <c r="C2542" t="s">
        <v>19</v>
      </c>
      <c r="D2542" t="s">
        <v>20</v>
      </c>
      <c r="E2542" t="s">
        <v>39</v>
      </c>
      <c r="F2542" t="s">
        <v>22</v>
      </c>
      <c r="G2542" t="s">
        <v>32</v>
      </c>
      <c r="H2542" t="s">
        <v>33</v>
      </c>
      <c r="I2542">
        <v>10</v>
      </c>
      <c r="J2542" s="3">
        <v>7461.38</v>
      </c>
      <c r="K2542" s="3">
        <v>74613.8</v>
      </c>
      <c r="L2542" t="s">
        <v>25</v>
      </c>
      <c r="M2542" s="2">
        <v>45934</v>
      </c>
      <c r="N2542" s="2">
        <v>45934</v>
      </c>
      <c r="O2542" t="s">
        <v>76</v>
      </c>
      <c r="P2542" t="s">
        <v>44</v>
      </c>
      <c r="Q2542" t="s">
        <v>28</v>
      </c>
      <c r="R2542" t="s">
        <v>29</v>
      </c>
      <c r="S2542">
        <v>2025</v>
      </c>
      <c r="T2542" t="s">
        <v>2753</v>
      </c>
      <c r="U2542" t="s">
        <v>2754</v>
      </c>
      <c r="V2542" s="4">
        <v>0</v>
      </c>
      <c r="W2542" s="4">
        <v>1</v>
      </c>
    </row>
    <row r="2543" spans="1:23">
      <c r="A2543" t="s">
        <v>2676</v>
      </c>
      <c r="B2543" s="2">
        <v>45891</v>
      </c>
      <c r="C2543" t="s">
        <v>80</v>
      </c>
      <c r="D2543" t="s">
        <v>81</v>
      </c>
      <c r="E2543" t="s">
        <v>39</v>
      </c>
      <c r="F2543" t="s">
        <v>82</v>
      </c>
      <c r="G2543" t="s">
        <v>98</v>
      </c>
      <c r="H2543" t="s">
        <v>99</v>
      </c>
      <c r="I2543">
        <v>37</v>
      </c>
      <c r="J2543" s="3">
        <v>1121.8499999999999</v>
      </c>
      <c r="K2543" s="3">
        <v>41508.449999999997</v>
      </c>
      <c r="L2543" t="s">
        <v>34</v>
      </c>
      <c r="M2543" s="2">
        <v>45907</v>
      </c>
      <c r="N2543" s="2">
        <v>45921</v>
      </c>
      <c r="O2543" t="s">
        <v>43</v>
      </c>
      <c r="P2543" t="s">
        <v>44</v>
      </c>
      <c r="Q2543" t="s">
        <v>28</v>
      </c>
      <c r="R2543" t="s">
        <v>129</v>
      </c>
      <c r="S2543">
        <v>2025</v>
      </c>
      <c r="T2543" t="s">
        <v>2761</v>
      </c>
      <c r="U2543" t="s">
        <v>2762</v>
      </c>
      <c r="V2543" s="4">
        <v>14</v>
      </c>
      <c r="W2543" s="4">
        <v>0</v>
      </c>
    </row>
    <row r="2544" spans="1:23">
      <c r="A2544" t="s">
        <v>2677</v>
      </c>
      <c r="B2544" s="2">
        <v>46165</v>
      </c>
      <c r="C2544" t="s">
        <v>46</v>
      </c>
      <c r="D2544" t="s">
        <v>47</v>
      </c>
      <c r="E2544" t="s">
        <v>48</v>
      </c>
      <c r="F2544" t="s">
        <v>49</v>
      </c>
      <c r="G2544" t="s">
        <v>113</v>
      </c>
      <c r="H2544" t="s">
        <v>114</v>
      </c>
      <c r="I2544">
        <v>1</v>
      </c>
      <c r="J2544" s="3">
        <v>39052.51</v>
      </c>
      <c r="K2544" s="3">
        <v>39052.51</v>
      </c>
      <c r="L2544" t="s">
        <v>34</v>
      </c>
      <c r="M2544" s="2">
        <v>46173</v>
      </c>
      <c r="N2544" s="2">
        <v>46173</v>
      </c>
      <c r="O2544" t="s">
        <v>26</v>
      </c>
      <c r="P2544" t="s">
        <v>53</v>
      </c>
      <c r="Q2544" t="s">
        <v>28</v>
      </c>
      <c r="R2544" t="s">
        <v>29</v>
      </c>
      <c r="S2544">
        <v>2026</v>
      </c>
      <c r="T2544" t="s">
        <v>2766</v>
      </c>
      <c r="U2544" t="s">
        <v>2769</v>
      </c>
      <c r="V2544" s="4">
        <v>0</v>
      </c>
      <c r="W2544" s="4">
        <v>1</v>
      </c>
    </row>
    <row r="2545" spans="1:23">
      <c r="A2545" t="s">
        <v>2678</v>
      </c>
      <c r="B2545" s="2">
        <v>46016</v>
      </c>
      <c r="C2545" t="s">
        <v>104</v>
      </c>
      <c r="D2545" t="s">
        <v>105</v>
      </c>
      <c r="E2545" t="s">
        <v>48</v>
      </c>
      <c r="F2545" t="s">
        <v>49</v>
      </c>
      <c r="G2545" t="s">
        <v>165</v>
      </c>
      <c r="H2545" t="s">
        <v>166</v>
      </c>
      <c r="I2545">
        <v>3</v>
      </c>
      <c r="J2545" s="3">
        <v>43925.69</v>
      </c>
      <c r="K2545" s="3">
        <v>131777.07</v>
      </c>
      <c r="L2545" t="s">
        <v>52</v>
      </c>
      <c r="M2545" s="2">
        <v>46032</v>
      </c>
      <c r="N2545" s="2">
        <v>46031</v>
      </c>
      <c r="O2545" t="s">
        <v>60</v>
      </c>
      <c r="P2545" t="s">
        <v>53</v>
      </c>
      <c r="Q2545" t="s">
        <v>28</v>
      </c>
      <c r="R2545" t="s">
        <v>29</v>
      </c>
      <c r="S2545">
        <v>2025</v>
      </c>
      <c r="T2545" t="s">
        <v>2745</v>
      </c>
      <c r="U2545" t="s">
        <v>2746</v>
      </c>
      <c r="V2545" s="4">
        <v>0</v>
      </c>
      <c r="W2545" s="4">
        <v>1</v>
      </c>
    </row>
    <row r="2546" spans="1:23">
      <c r="A2546" t="s">
        <v>2679</v>
      </c>
      <c r="B2546" s="2">
        <v>46172</v>
      </c>
      <c r="C2546" t="s">
        <v>134</v>
      </c>
      <c r="D2546" t="s">
        <v>135</v>
      </c>
      <c r="E2546" t="s">
        <v>39</v>
      </c>
      <c r="F2546" t="s">
        <v>40</v>
      </c>
      <c r="G2546" t="s">
        <v>41</v>
      </c>
      <c r="H2546" t="s">
        <v>42</v>
      </c>
      <c r="I2546">
        <v>9</v>
      </c>
      <c r="J2546" s="3">
        <v>5613.87</v>
      </c>
      <c r="K2546" s="3">
        <v>50524.83</v>
      </c>
      <c r="L2546" t="s">
        <v>34</v>
      </c>
      <c r="M2546" s="2">
        <v>46185</v>
      </c>
      <c r="N2546" s="2">
        <v>46183</v>
      </c>
      <c r="O2546" t="s">
        <v>43</v>
      </c>
      <c r="P2546" t="s">
        <v>44</v>
      </c>
      <c r="Q2546" t="s">
        <v>28</v>
      </c>
      <c r="R2546" t="s">
        <v>29</v>
      </c>
      <c r="S2546">
        <v>2026</v>
      </c>
      <c r="T2546" t="s">
        <v>2766</v>
      </c>
      <c r="U2546" t="s">
        <v>2769</v>
      </c>
      <c r="V2546" s="4">
        <v>0</v>
      </c>
      <c r="W2546" s="4">
        <v>1</v>
      </c>
    </row>
    <row r="2547" spans="1:23">
      <c r="A2547" t="s">
        <v>2680</v>
      </c>
      <c r="B2547" s="2">
        <v>46084</v>
      </c>
      <c r="C2547" t="s">
        <v>131</v>
      </c>
      <c r="D2547" t="s">
        <v>132</v>
      </c>
      <c r="E2547" t="s">
        <v>73</v>
      </c>
      <c r="F2547" t="s">
        <v>57</v>
      </c>
      <c r="G2547" t="s">
        <v>127</v>
      </c>
      <c r="H2547" t="s">
        <v>128</v>
      </c>
      <c r="I2547">
        <v>4</v>
      </c>
      <c r="J2547" s="3">
        <v>17962.5</v>
      </c>
      <c r="K2547" s="3">
        <v>71850</v>
      </c>
      <c r="L2547" t="s">
        <v>25</v>
      </c>
      <c r="M2547" s="2">
        <v>46095</v>
      </c>
      <c r="N2547" s="2">
        <v>46094</v>
      </c>
      <c r="O2547" t="s">
        <v>60</v>
      </c>
      <c r="P2547" t="s">
        <v>77</v>
      </c>
      <c r="Q2547" t="s">
        <v>28</v>
      </c>
      <c r="R2547" t="s">
        <v>29</v>
      </c>
      <c r="S2547">
        <v>2026</v>
      </c>
      <c r="T2547" t="s">
        <v>2747</v>
      </c>
      <c r="U2547" t="s">
        <v>2755</v>
      </c>
      <c r="V2547" s="4">
        <v>0</v>
      </c>
      <c r="W2547" s="4">
        <v>1</v>
      </c>
    </row>
    <row r="2548" spans="1:23">
      <c r="A2548" t="s">
        <v>2681</v>
      </c>
      <c r="B2548" s="2">
        <v>46007</v>
      </c>
      <c r="C2548" t="s">
        <v>142</v>
      </c>
      <c r="D2548" t="s">
        <v>143</v>
      </c>
      <c r="E2548" t="s">
        <v>73</v>
      </c>
      <c r="F2548" t="s">
        <v>22</v>
      </c>
      <c r="G2548" t="s">
        <v>32</v>
      </c>
      <c r="H2548" t="s">
        <v>33</v>
      </c>
      <c r="I2548">
        <v>2</v>
      </c>
      <c r="J2548" s="3">
        <v>8094.26</v>
      </c>
      <c r="K2548" s="3">
        <v>16188.52</v>
      </c>
      <c r="L2548" t="s">
        <v>25</v>
      </c>
      <c r="M2548" s="2">
        <v>46015</v>
      </c>
      <c r="N2548" s="2">
        <v>46013</v>
      </c>
      <c r="O2548" t="s">
        <v>26</v>
      </c>
      <c r="P2548" t="s">
        <v>77</v>
      </c>
      <c r="Q2548" t="s">
        <v>28</v>
      </c>
      <c r="R2548" t="s">
        <v>29</v>
      </c>
      <c r="S2548">
        <v>2025</v>
      </c>
      <c r="T2548" t="s">
        <v>2745</v>
      </c>
      <c r="U2548" t="s">
        <v>2746</v>
      </c>
      <c r="V2548" s="4">
        <v>0</v>
      </c>
      <c r="W2548" s="4">
        <v>1</v>
      </c>
    </row>
    <row r="2549" spans="1:23">
      <c r="A2549" t="s">
        <v>2682</v>
      </c>
      <c r="B2549" s="2">
        <v>45792</v>
      </c>
      <c r="C2549" t="s">
        <v>142</v>
      </c>
      <c r="D2549" t="s">
        <v>143</v>
      </c>
      <c r="E2549" t="s">
        <v>73</v>
      </c>
      <c r="F2549" t="s">
        <v>22</v>
      </c>
      <c r="G2549" t="s">
        <v>32</v>
      </c>
      <c r="H2549" t="s">
        <v>33</v>
      </c>
      <c r="I2549">
        <v>7</v>
      </c>
      <c r="J2549" s="3">
        <v>7765.24</v>
      </c>
      <c r="K2549" s="3">
        <v>54356.68</v>
      </c>
      <c r="L2549" t="s">
        <v>52</v>
      </c>
      <c r="M2549" s="2">
        <v>45798</v>
      </c>
      <c r="N2549" s="2">
        <v>45798</v>
      </c>
      <c r="O2549" t="s">
        <v>60</v>
      </c>
      <c r="P2549" t="s">
        <v>77</v>
      </c>
      <c r="Q2549" t="s">
        <v>28</v>
      </c>
      <c r="R2549" t="s">
        <v>29</v>
      </c>
      <c r="S2549">
        <v>2025</v>
      </c>
      <c r="T2549" t="s">
        <v>2766</v>
      </c>
      <c r="U2549" t="s">
        <v>2767</v>
      </c>
      <c r="V2549" s="4">
        <v>0</v>
      </c>
      <c r="W2549" s="4">
        <v>1</v>
      </c>
    </row>
    <row r="2550" spans="1:23">
      <c r="A2550" t="s">
        <v>2683</v>
      </c>
      <c r="B2550" s="2">
        <v>45977</v>
      </c>
      <c r="C2550" t="s">
        <v>46</v>
      </c>
      <c r="D2550" t="s">
        <v>47</v>
      </c>
      <c r="E2550" t="s">
        <v>48</v>
      </c>
      <c r="F2550" t="s">
        <v>49</v>
      </c>
      <c r="G2550" t="s">
        <v>68</v>
      </c>
      <c r="H2550" t="s">
        <v>69</v>
      </c>
      <c r="I2550">
        <v>3</v>
      </c>
      <c r="J2550" s="3">
        <v>51251.6</v>
      </c>
      <c r="K2550" s="3">
        <v>153754.79999999999</v>
      </c>
      <c r="L2550" t="s">
        <v>34</v>
      </c>
      <c r="M2550" s="2">
        <v>45994</v>
      </c>
      <c r="N2550" s="2">
        <v>45991</v>
      </c>
      <c r="O2550" t="s">
        <v>43</v>
      </c>
      <c r="P2550" t="s">
        <v>53</v>
      </c>
      <c r="Q2550" t="s">
        <v>28</v>
      </c>
      <c r="R2550" t="s">
        <v>29</v>
      </c>
      <c r="S2550">
        <v>2025</v>
      </c>
      <c r="T2550" t="s">
        <v>2763</v>
      </c>
      <c r="U2550" t="s">
        <v>2764</v>
      </c>
      <c r="V2550" s="4">
        <v>0</v>
      </c>
      <c r="W2550" s="4">
        <v>1</v>
      </c>
    </row>
    <row r="2551" spans="1:23">
      <c r="A2551" t="s">
        <v>2684</v>
      </c>
      <c r="B2551" s="2">
        <v>45887</v>
      </c>
      <c r="C2551" t="s">
        <v>96</v>
      </c>
      <c r="D2551" t="s">
        <v>97</v>
      </c>
      <c r="E2551" t="s">
        <v>39</v>
      </c>
      <c r="F2551" t="s">
        <v>82</v>
      </c>
      <c r="G2551" t="s">
        <v>83</v>
      </c>
      <c r="H2551" t="s">
        <v>84</v>
      </c>
      <c r="I2551">
        <v>41</v>
      </c>
      <c r="J2551" s="3">
        <v>711.52</v>
      </c>
      <c r="K2551" s="3">
        <v>29172.32</v>
      </c>
      <c r="L2551" t="s">
        <v>34</v>
      </c>
      <c r="M2551" s="2">
        <v>45905</v>
      </c>
      <c r="N2551" s="2">
        <v>45904</v>
      </c>
      <c r="O2551" t="s">
        <v>43</v>
      </c>
      <c r="P2551" t="s">
        <v>44</v>
      </c>
      <c r="Q2551" t="s">
        <v>28</v>
      </c>
      <c r="R2551" t="s">
        <v>29</v>
      </c>
      <c r="S2551">
        <v>2025</v>
      </c>
      <c r="T2551" t="s">
        <v>2761</v>
      </c>
      <c r="U2551" t="s">
        <v>2762</v>
      </c>
      <c r="V2551" s="4">
        <v>0</v>
      </c>
      <c r="W2551" s="4">
        <v>1</v>
      </c>
    </row>
    <row r="2552" spans="1:23">
      <c r="A2552" t="s">
        <v>2685</v>
      </c>
      <c r="B2552" s="2">
        <v>45914</v>
      </c>
      <c r="C2552" t="s">
        <v>19</v>
      </c>
      <c r="D2552" t="s">
        <v>20</v>
      </c>
      <c r="E2552" t="s">
        <v>39</v>
      </c>
      <c r="F2552" t="s">
        <v>22</v>
      </c>
      <c r="G2552" t="s">
        <v>23</v>
      </c>
      <c r="H2552" t="s">
        <v>24</v>
      </c>
      <c r="I2552">
        <v>50</v>
      </c>
      <c r="J2552" s="3">
        <v>227.05</v>
      </c>
      <c r="K2552" s="3">
        <v>11352.5</v>
      </c>
      <c r="L2552" t="s">
        <v>25</v>
      </c>
      <c r="M2552" s="2">
        <v>45931</v>
      </c>
      <c r="N2552" s="2">
        <v>45940</v>
      </c>
      <c r="O2552" t="s">
        <v>43</v>
      </c>
      <c r="P2552" t="s">
        <v>64</v>
      </c>
      <c r="Q2552" t="s">
        <v>28</v>
      </c>
      <c r="R2552" t="s">
        <v>129</v>
      </c>
      <c r="S2552">
        <v>2025</v>
      </c>
      <c r="T2552" t="s">
        <v>2753</v>
      </c>
      <c r="U2552" t="s">
        <v>2754</v>
      </c>
      <c r="V2552" s="4">
        <v>9</v>
      </c>
      <c r="W2552" s="4">
        <v>0</v>
      </c>
    </row>
    <row r="2553" spans="1:23">
      <c r="A2553" t="s">
        <v>2686</v>
      </c>
      <c r="B2553" s="2">
        <v>45907</v>
      </c>
      <c r="C2553" t="s">
        <v>55</v>
      </c>
      <c r="D2553" t="s">
        <v>56</v>
      </c>
      <c r="E2553" t="s">
        <v>48</v>
      </c>
      <c r="F2553" t="s">
        <v>57</v>
      </c>
      <c r="G2553" t="s">
        <v>127</v>
      </c>
      <c r="H2553" t="s">
        <v>128</v>
      </c>
      <c r="I2553">
        <v>7</v>
      </c>
      <c r="J2553" s="3">
        <v>17983.080000000002</v>
      </c>
      <c r="K2553" s="3">
        <v>125881.56</v>
      </c>
      <c r="L2553" t="s">
        <v>25</v>
      </c>
      <c r="M2553" s="2">
        <v>45912</v>
      </c>
      <c r="N2553" s="2">
        <v>45911</v>
      </c>
      <c r="O2553" t="s">
        <v>43</v>
      </c>
      <c r="P2553" t="s">
        <v>53</v>
      </c>
      <c r="Q2553" t="s">
        <v>28</v>
      </c>
      <c r="R2553" t="s">
        <v>29</v>
      </c>
      <c r="S2553">
        <v>2025</v>
      </c>
      <c r="T2553" t="s">
        <v>2753</v>
      </c>
      <c r="U2553" t="s">
        <v>2754</v>
      </c>
      <c r="V2553" s="4">
        <v>0</v>
      </c>
      <c r="W2553" s="4">
        <v>1</v>
      </c>
    </row>
    <row r="2554" spans="1:23">
      <c r="A2554" t="s">
        <v>2687</v>
      </c>
      <c r="B2554" s="2">
        <v>45851</v>
      </c>
      <c r="C2554" t="s">
        <v>142</v>
      </c>
      <c r="D2554" t="s">
        <v>143</v>
      </c>
      <c r="E2554" t="s">
        <v>31</v>
      </c>
      <c r="F2554" t="s">
        <v>22</v>
      </c>
      <c r="G2554" t="s">
        <v>32</v>
      </c>
      <c r="H2554" t="s">
        <v>33</v>
      </c>
      <c r="I2554">
        <v>7</v>
      </c>
      <c r="J2554" s="3">
        <v>7807.25</v>
      </c>
      <c r="K2554" s="3">
        <v>54650.75</v>
      </c>
      <c r="L2554" t="s">
        <v>34</v>
      </c>
      <c r="M2554" s="2">
        <v>45865</v>
      </c>
      <c r="N2554" s="2">
        <v>45864</v>
      </c>
      <c r="O2554" t="s">
        <v>76</v>
      </c>
      <c r="P2554" t="s">
        <v>94</v>
      </c>
      <c r="Q2554" t="s">
        <v>28</v>
      </c>
      <c r="R2554" t="s">
        <v>29</v>
      </c>
      <c r="S2554">
        <v>2025</v>
      </c>
      <c r="T2554" t="s">
        <v>2759</v>
      </c>
      <c r="U2554" t="s">
        <v>2760</v>
      </c>
      <c r="V2554" s="4">
        <v>0</v>
      </c>
      <c r="W2554" s="4">
        <v>1</v>
      </c>
    </row>
    <row r="2555" spans="1:23">
      <c r="A2555" t="s">
        <v>2688</v>
      </c>
      <c r="B2555" s="2">
        <v>45694</v>
      </c>
      <c r="C2555" t="s">
        <v>104</v>
      </c>
      <c r="D2555" t="s">
        <v>105</v>
      </c>
      <c r="E2555" t="s">
        <v>48</v>
      </c>
      <c r="F2555" t="s">
        <v>49</v>
      </c>
      <c r="G2555" t="s">
        <v>50</v>
      </c>
      <c r="H2555" t="s">
        <v>51</v>
      </c>
      <c r="I2555">
        <v>1</v>
      </c>
      <c r="J2555" s="3">
        <v>53441.22</v>
      </c>
      <c r="K2555" s="3">
        <v>53441.22</v>
      </c>
      <c r="L2555" t="s">
        <v>25</v>
      </c>
      <c r="M2555" s="2">
        <v>45711</v>
      </c>
      <c r="N2555" s="2">
        <v>45708</v>
      </c>
      <c r="O2555" t="s">
        <v>60</v>
      </c>
      <c r="P2555" t="s">
        <v>53</v>
      </c>
      <c r="Q2555" t="s">
        <v>28</v>
      </c>
      <c r="R2555" t="s">
        <v>29</v>
      </c>
      <c r="S2555">
        <v>2025</v>
      </c>
      <c r="T2555" t="s">
        <v>2751</v>
      </c>
      <c r="U2555" t="s">
        <v>2752</v>
      </c>
      <c r="V2555" s="4">
        <v>0</v>
      </c>
      <c r="W2555" s="4">
        <v>1</v>
      </c>
    </row>
    <row r="2556" spans="1:23">
      <c r="A2556" t="s">
        <v>2689</v>
      </c>
      <c r="B2556" s="2">
        <v>45990</v>
      </c>
      <c r="C2556" t="s">
        <v>104</v>
      </c>
      <c r="D2556" t="s">
        <v>105</v>
      </c>
      <c r="E2556" t="s">
        <v>48</v>
      </c>
      <c r="F2556" t="s">
        <v>49</v>
      </c>
      <c r="G2556" t="s">
        <v>68</v>
      </c>
      <c r="H2556" t="s">
        <v>69</v>
      </c>
      <c r="I2556">
        <v>1</v>
      </c>
      <c r="J2556" s="3">
        <v>48485.33</v>
      </c>
      <c r="K2556" s="3">
        <v>48485.33</v>
      </c>
      <c r="L2556" t="s">
        <v>34</v>
      </c>
      <c r="M2556" s="2">
        <v>45995</v>
      </c>
      <c r="N2556" s="2">
        <v>45995</v>
      </c>
      <c r="O2556" t="s">
        <v>60</v>
      </c>
      <c r="P2556" t="s">
        <v>53</v>
      </c>
      <c r="Q2556" t="s">
        <v>28</v>
      </c>
      <c r="R2556" t="s">
        <v>29</v>
      </c>
      <c r="S2556">
        <v>2025</v>
      </c>
      <c r="T2556" t="s">
        <v>2763</v>
      </c>
      <c r="U2556" t="s">
        <v>2764</v>
      </c>
      <c r="V2556" s="4">
        <v>0</v>
      </c>
      <c r="W2556" s="4">
        <v>1</v>
      </c>
    </row>
    <row r="2557" spans="1:23">
      <c r="A2557" t="s">
        <v>2690</v>
      </c>
      <c r="B2557" s="2">
        <v>45726</v>
      </c>
      <c r="C2557" t="s">
        <v>80</v>
      </c>
      <c r="D2557" t="s">
        <v>81</v>
      </c>
      <c r="E2557" t="s">
        <v>39</v>
      </c>
      <c r="F2557" t="s">
        <v>82</v>
      </c>
      <c r="G2557" t="s">
        <v>197</v>
      </c>
      <c r="H2557" t="s">
        <v>198</v>
      </c>
      <c r="I2557">
        <v>11</v>
      </c>
      <c r="J2557" s="3">
        <v>2042.71</v>
      </c>
      <c r="K2557" s="3">
        <v>22469.81</v>
      </c>
      <c r="L2557" t="s">
        <v>25</v>
      </c>
      <c r="M2557" s="2">
        <v>45741</v>
      </c>
      <c r="N2557" s="2">
        <v>45741</v>
      </c>
      <c r="O2557" t="s">
        <v>43</v>
      </c>
      <c r="P2557" t="s">
        <v>64</v>
      </c>
      <c r="Q2557" t="s">
        <v>28</v>
      </c>
      <c r="R2557" t="s">
        <v>29</v>
      </c>
      <c r="S2557">
        <v>2025</v>
      </c>
      <c r="T2557" t="s">
        <v>2747</v>
      </c>
      <c r="U2557" t="s">
        <v>2748</v>
      </c>
      <c r="V2557" s="4">
        <v>0</v>
      </c>
      <c r="W2557" s="4">
        <v>1</v>
      </c>
    </row>
    <row r="2558" spans="1:23">
      <c r="A2558" t="s">
        <v>2691</v>
      </c>
      <c r="B2558" s="2">
        <v>46058</v>
      </c>
      <c r="C2558" t="s">
        <v>104</v>
      </c>
      <c r="D2558" t="s">
        <v>105</v>
      </c>
      <c r="E2558" t="s">
        <v>73</v>
      </c>
      <c r="F2558" t="s">
        <v>49</v>
      </c>
      <c r="G2558" t="s">
        <v>165</v>
      </c>
      <c r="H2558" t="s">
        <v>166</v>
      </c>
      <c r="I2558">
        <v>1</v>
      </c>
      <c r="J2558" s="3">
        <v>45253.83</v>
      </c>
      <c r="K2558" s="3">
        <v>45253.83</v>
      </c>
      <c r="L2558" t="s">
        <v>34</v>
      </c>
      <c r="M2558" s="2">
        <v>46065</v>
      </c>
      <c r="N2558" s="2">
        <v>46063</v>
      </c>
      <c r="O2558" t="s">
        <v>76</v>
      </c>
      <c r="P2558" t="s">
        <v>77</v>
      </c>
      <c r="Q2558" t="s">
        <v>28</v>
      </c>
      <c r="R2558" t="s">
        <v>29</v>
      </c>
      <c r="S2558">
        <v>2026</v>
      </c>
      <c r="T2558" t="s">
        <v>2751</v>
      </c>
      <c r="U2558" t="s">
        <v>2765</v>
      </c>
      <c r="V2558" s="4">
        <v>0</v>
      </c>
      <c r="W2558" s="4">
        <v>1</v>
      </c>
    </row>
    <row r="2559" spans="1:23">
      <c r="A2559" t="s">
        <v>2692</v>
      </c>
      <c r="B2559" s="2">
        <v>45668</v>
      </c>
      <c r="C2559" t="s">
        <v>147</v>
      </c>
      <c r="D2559" t="s">
        <v>148</v>
      </c>
      <c r="E2559" t="s">
        <v>112</v>
      </c>
      <c r="F2559" t="s">
        <v>40</v>
      </c>
      <c r="G2559" t="s">
        <v>41</v>
      </c>
      <c r="H2559" t="s">
        <v>42</v>
      </c>
      <c r="I2559">
        <v>10</v>
      </c>
      <c r="J2559" s="3">
        <v>5288.23</v>
      </c>
      <c r="K2559" s="3">
        <v>52882.3</v>
      </c>
      <c r="L2559" t="s">
        <v>34</v>
      </c>
      <c r="M2559" s="2">
        <v>45677</v>
      </c>
      <c r="N2559" s="2">
        <v>45677</v>
      </c>
      <c r="O2559" t="s">
        <v>60</v>
      </c>
      <c r="P2559" t="s">
        <v>115</v>
      </c>
      <c r="Q2559" t="s">
        <v>28</v>
      </c>
      <c r="R2559" t="s">
        <v>29</v>
      </c>
      <c r="S2559">
        <v>2025</v>
      </c>
      <c r="T2559" t="s">
        <v>2757</v>
      </c>
      <c r="U2559" t="s">
        <v>2768</v>
      </c>
      <c r="V2559" s="4">
        <v>0</v>
      </c>
      <c r="W2559" s="4">
        <v>1</v>
      </c>
    </row>
    <row r="2560" spans="1:23">
      <c r="A2560" t="s">
        <v>2693</v>
      </c>
      <c r="B2560" s="2">
        <v>45881</v>
      </c>
      <c r="C2560" t="s">
        <v>117</v>
      </c>
      <c r="D2560" t="s">
        <v>118</v>
      </c>
      <c r="E2560" t="s">
        <v>48</v>
      </c>
      <c r="F2560" t="s">
        <v>57</v>
      </c>
      <c r="G2560" t="s">
        <v>120</v>
      </c>
      <c r="H2560" t="s">
        <v>121</v>
      </c>
      <c r="I2560">
        <v>6</v>
      </c>
      <c r="J2560" s="3">
        <v>22577.97</v>
      </c>
      <c r="K2560" s="3">
        <v>135467.82</v>
      </c>
      <c r="L2560" t="s">
        <v>52</v>
      </c>
      <c r="M2560" s="2">
        <v>45888</v>
      </c>
      <c r="N2560" s="2">
        <v>45885</v>
      </c>
      <c r="O2560" t="s">
        <v>76</v>
      </c>
      <c r="P2560" t="s">
        <v>53</v>
      </c>
      <c r="Q2560" t="s">
        <v>28</v>
      </c>
      <c r="R2560" t="s">
        <v>29</v>
      </c>
      <c r="S2560">
        <v>2025</v>
      </c>
      <c r="T2560" t="s">
        <v>2761</v>
      </c>
      <c r="U2560" t="s">
        <v>2762</v>
      </c>
      <c r="V2560" s="4">
        <v>0</v>
      </c>
      <c r="W2560" s="4">
        <v>1</v>
      </c>
    </row>
    <row r="2561" spans="1:23">
      <c r="A2561" t="s">
        <v>2694</v>
      </c>
      <c r="B2561" s="2">
        <v>46008</v>
      </c>
      <c r="C2561" t="s">
        <v>55</v>
      </c>
      <c r="D2561" t="s">
        <v>56</v>
      </c>
      <c r="E2561" t="s">
        <v>48</v>
      </c>
      <c r="F2561" t="s">
        <v>57</v>
      </c>
      <c r="G2561" t="s">
        <v>101</v>
      </c>
      <c r="H2561" t="s">
        <v>102</v>
      </c>
      <c r="I2561">
        <v>40</v>
      </c>
      <c r="J2561" s="3">
        <v>2008.23</v>
      </c>
      <c r="K2561" s="3">
        <v>80329.2</v>
      </c>
      <c r="L2561" t="s">
        <v>25</v>
      </c>
      <c r="M2561" s="2">
        <v>46013</v>
      </c>
      <c r="N2561" s="2">
        <v>46013</v>
      </c>
      <c r="O2561" t="s">
        <v>60</v>
      </c>
      <c r="P2561" t="s">
        <v>53</v>
      </c>
      <c r="Q2561" t="s">
        <v>28</v>
      </c>
      <c r="R2561" t="s">
        <v>29</v>
      </c>
      <c r="S2561">
        <v>2025</v>
      </c>
      <c r="T2561" t="s">
        <v>2745</v>
      </c>
      <c r="U2561" t="s">
        <v>2746</v>
      </c>
      <c r="V2561" s="4">
        <v>0</v>
      </c>
      <c r="W2561" s="4">
        <v>1</v>
      </c>
    </row>
    <row r="2562" spans="1:23">
      <c r="A2562" t="s">
        <v>2695</v>
      </c>
      <c r="B2562" s="2">
        <v>45813</v>
      </c>
      <c r="C2562" t="s">
        <v>134</v>
      </c>
      <c r="D2562" t="s">
        <v>135</v>
      </c>
      <c r="E2562" t="s">
        <v>112</v>
      </c>
      <c r="F2562" t="s">
        <v>40</v>
      </c>
      <c r="G2562" t="s">
        <v>41</v>
      </c>
      <c r="H2562" t="s">
        <v>42</v>
      </c>
      <c r="I2562">
        <v>12</v>
      </c>
      <c r="J2562" s="3">
        <v>5261.75</v>
      </c>
      <c r="K2562" s="3">
        <v>63141</v>
      </c>
      <c r="L2562" t="s">
        <v>25</v>
      </c>
      <c r="M2562" s="2">
        <v>45827</v>
      </c>
      <c r="N2562" s="2">
        <v>45826</v>
      </c>
      <c r="O2562" t="s">
        <v>26</v>
      </c>
      <c r="P2562" t="s">
        <v>115</v>
      </c>
      <c r="Q2562" t="s">
        <v>28</v>
      </c>
      <c r="R2562" t="s">
        <v>29</v>
      </c>
      <c r="S2562">
        <v>2025</v>
      </c>
      <c r="T2562" t="s">
        <v>2743</v>
      </c>
      <c r="U2562" t="s">
        <v>2756</v>
      </c>
      <c r="V2562" s="4">
        <v>0</v>
      </c>
      <c r="W2562" s="4">
        <v>1</v>
      </c>
    </row>
    <row r="2563" spans="1:23">
      <c r="A2563" t="s">
        <v>2696</v>
      </c>
      <c r="B2563" s="2">
        <v>45733</v>
      </c>
      <c r="C2563" t="s">
        <v>104</v>
      </c>
      <c r="D2563" t="s">
        <v>105</v>
      </c>
      <c r="E2563" t="s">
        <v>21</v>
      </c>
      <c r="F2563" t="s">
        <v>49</v>
      </c>
      <c r="G2563" t="s">
        <v>68</v>
      </c>
      <c r="H2563" t="s">
        <v>69</v>
      </c>
      <c r="I2563">
        <v>1</v>
      </c>
      <c r="J2563" s="3">
        <v>47238.83</v>
      </c>
      <c r="K2563" s="3">
        <v>47238.83</v>
      </c>
      <c r="L2563" t="s">
        <v>25</v>
      </c>
      <c r="M2563" s="2">
        <v>45741</v>
      </c>
      <c r="N2563" s="2">
        <v>45741</v>
      </c>
      <c r="O2563" t="s">
        <v>76</v>
      </c>
      <c r="P2563" t="s">
        <v>27</v>
      </c>
      <c r="Q2563" t="s">
        <v>28</v>
      </c>
      <c r="R2563" t="s">
        <v>29</v>
      </c>
      <c r="S2563">
        <v>2025</v>
      </c>
      <c r="T2563" t="s">
        <v>2747</v>
      </c>
      <c r="U2563" t="s">
        <v>2748</v>
      </c>
      <c r="V2563" s="4">
        <v>0</v>
      </c>
      <c r="W2563" s="4">
        <v>1</v>
      </c>
    </row>
    <row r="2564" spans="1:23">
      <c r="A2564" t="s">
        <v>2697</v>
      </c>
      <c r="B2564" s="2">
        <v>45798</v>
      </c>
      <c r="C2564" t="s">
        <v>37</v>
      </c>
      <c r="D2564" t="s">
        <v>38</v>
      </c>
      <c r="E2564" t="s">
        <v>112</v>
      </c>
      <c r="F2564" t="s">
        <v>22</v>
      </c>
      <c r="G2564" t="s">
        <v>32</v>
      </c>
      <c r="H2564" t="s">
        <v>33</v>
      </c>
      <c r="I2564">
        <v>2</v>
      </c>
      <c r="J2564" s="3">
        <v>9090.74</v>
      </c>
      <c r="K2564" s="3">
        <v>18181.48</v>
      </c>
      <c r="L2564" t="s">
        <v>34</v>
      </c>
      <c r="M2564" s="2">
        <v>45816</v>
      </c>
      <c r="N2564" s="2">
        <v>45814</v>
      </c>
      <c r="O2564" t="s">
        <v>43</v>
      </c>
      <c r="P2564" t="s">
        <v>115</v>
      </c>
      <c r="Q2564" t="s">
        <v>28</v>
      </c>
      <c r="R2564" t="s">
        <v>29</v>
      </c>
      <c r="S2564">
        <v>2025</v>
      </c>
      <c r="T2564" t="s">
        <v>2766</v>
      </c>
      <c r="U2564" t="s">
        <v>2767</v>
      </c>
      <c r="V2564" s="4">
        <v>0</v>
      </c>
      <c r="W2564" s="4">
        <v>1</v>
      </c>
    </row>
    <row r="2565" spans="1:23">
      <c r="A2565" t="s">
        <v>2698</v>
      </c>
      <c r="B2565" s="2">
        <v>45970</v>
      </c>
      <c r="C2565" t="s">
        <v>46</v>
      </c>
      <c r="D2565" t="s">
        <v>47</v>
      </c>
      <c r="E2565" t="s">
        <v>21</v>
      </c>
      <c r="F2565" t="s">
        <v>49</v>
      </c>
      <c r="G2565" t="s">
        <v>50</v>
      </c>
      <c r="H2565" t="s">
        <v>51</v>
      </c>
      <c r="I2565">
        <v>1</v>
      </c>
      <c r="J2565" s="3">
        <v>56609.41</v>
      </c>
      <c r="K2565" s="3">
        <v>56609.41</v>
      </c>
      <c r="L2565" t="s">
        <v>25</v>
      </c>
      <c r="M2565" s="2">
        <v>45986</v>
      </c>
      <c r="N2565" s="2">
        <v>45983</v>
      </c>
      <c r="O2565" t="s">
        <v>60</v>
      </c>
      <c r="P2565" t="s">
        <v>27</v>
      </c>
      <c r="Q2565" t="s">
        <v>28</v>
      </c>
      <c r="R2565" t="s">
        <v>29</v>
      </c>
      <c r="S2565">
        <v>2025</v>
      </c>
      <c r="T2565" t="s">
        <v>2763</v>
      </c>
      <c r="U2565" t="s">
        <v>2764</v>
      </c>
      <c r="V2565" s="4">
        <v>0</v>
      </c>
      <c r="W2565" s="4">
        <v>1</v>
      </c>
    </row>
    <row r="2566" spans="1:23">
      <c r="A2566" t="s">
        <v>2699</v>
      </c>
      <c r="B2566" s="2">
        <v>45736</v>
      </c>
      <c r="C2566" t="s">
        <v>80</v>
      </c>
      <c r="D2566" t="s">
        <v>81</v>
      </c>
      <c r="E2566" t="s">
        <v>39</v>
      </c>
      <c r="F2566" t="s">
        <v>82</v>
      </c>
      <c r="G2566" t="s">
        <v>197</v>
      </c>
      <c r="H2566" t="s">
        <v>198</v>
      </c>
      <c r="I2566">
        <v>26</v>
      </c>
      <c r="J2566" s="3">
        <v>1976.83</v>
      </c>
      <c r="K2566" s="3">
        <v>51397.58</v>
      </c>
      <c r="L2566" t="s">
        <v>34</v>
      </c>
      <c r="M2566" s="2">
        <v>45741</v>
      </c>
      <c r="N2566" s="2">
        <v>45741</v>
      </c>
      <c r="O2566" t="s">
        <v>43</v>
      </c>
      <c r="P2566" t="s">
        <v>44</v>
      </c>
      <c r="Q2566" t="s">
        <v>28</v>
      </c>
      <c r="R2566" t="s">
        <v>29</v>
      </c>
      <c r="S2566">
        <v>2025</v>
      </c>
      <c r="T2566" t="s">
        <v>2747</v>
      </c>
      <c r="U2566" t="s">
        <v>2748</v>
      </c>
      <c r="V2566" s="4">
        <v>0</v>
      </c>
      <c r="W2566" s="4">
        <v>1</v>
      </c>
    </row>
    <row r="2567" spans="1:23">
      <c r="A2567" t="s">
        <v>2700</v>
      </c>
      <c r="B2567" s="2">
        <v>46112</v>
      </c>
      <c r="C2567" t="s">
        <v>19</v>
      </c>
      <c r="D2567" t="s">
        <v>20</v>
      </c>
      <c r="E2567" t="s">
        <v>39</v>
      </c>
      <c r="F2567" t="s">
        <v>22</v>
      </c>
      <c r="G2567" t="s">
        <v>32</v>
      </c>
      <c r="H2567" t="s">
        <v>33</v>
      </c>
      <c r="I2567">
        <v>13</v>
      </c>
      <c r="J2567" s="3">
        <v>7599.06</v>
      </c>
      <c r="K2567" s="3">
        <v>98787.78</v>
      </c>
      <c r="L2567" t="s">
        <v>25</v>
      </c>
      <c r="M2567" s="2">
        <v>46129</v>
      </c>
      <c r="N2567" s="2">
        <v>46128</v>
      </c>
      <c r="O2567" t="s">
        <v>43</v>
      </c>
      <c r="P2567" t="s">
        <v>64</v>
      </c>
      <c r="Q2567" t="s">
        <v>28</v>
      </c>
      <c r="R2567" t="s">
        <v>29</v>
      </c>
      <c r="S2567">
        <v>2026</v>
      </c>
      <c r="T2567" t="s">
        <v>2747</v>
      </c>
      <c r="U2567" t="s">
        <v>2755</v>
      </c>
      <c r="V2567" s="4">
        <v>0</v>
      </c>
      <c r="W2567" s="4">
        <v>1</v>
      </c>
    </row>
    <row r="2568" spans="1:23">
      <c r="A2568" t="s">
        <v>2701</v>
      </c>
      <c r="B2568" s="2">
        <v>45949</v>
      </c>
      <c r="C2568" t="s">
        <v>89</v>
      </c>
      <c r="D2568" t="s">
        <v>90</v>
      </c>
      <c r="E2568" t="s">
        <v>31</v>
      </c>
      <c r="F2568" t="s">
        <v>91</v>
      </c>
      <c r="G2568" t="s">
        <v>109</v>
      </c>
      <c r="H2568" t="s">
        <v>110</v>
      </c>
      <c r="I2568">
        <v>1</v>
      </c>
      <c r="J2568" s="3">
        <v>12632.16</v>
      </c>
      <c r="K2568" s="3">
        <v>12632.16</v>
      </c>
      <c r="L2568" t="s">
        <v>34</v>
      </c>
      <c r="M2568" s="2">
        <v>45964</v>
      </c>
      <c r="N2568" s="2">
        <v>45964</v>
      </c>
      <c r="O2568" t="s">
        <v>60</v>
      </c>
      <c r="P2568" t="s">
        <v>94</v>
      </c>
      <c r="Q2568" t="s">
        <v>28</v>
      </c>
      <c r="R2568" t="s">
        <v>29</v>
      </c>
      <c r="S2568">
        <v>2025</v>
      </c>
      <c r="T2568" t="s">
        <v>2749</v>
      </c>
      <c r="U2568" t="s">
        <v>2750</v>
      </c>
      <c r="V2568" s="4">
        <v>0</v>
      </c>
      <c r="W2568" s="4">
        <v>1</v>
      </c>
    </row>
    <row r="2569" spans="1:23">
      <c r="A2569" t="s">
        <v>2702</v>
      </c>
      <c r="B2569" s="2">
        <v>46106</v>
      </c>
      <c r="C2569" t="s">
        <v>131</v>
      </c>
      <c r="D2569" t="s">
        <v>132</v>
      </c>
      <c r="E2569" t="s">
        <v>48</v>
      </c>
      <c r="F2569" t="s">
        <v>57</v>
      </c>
      <c r="G2569" t="s">
        <v>86</v>
      </c>
      <c r="H2569" t="s">
        <v>87</v>
      </c>
      <c r="I2569">
        <v>2</v>
      </c>
      <c r="J2569" s="3">
        <v>11699.04</v>
      </c>
      <c r="K2569" s="3">
        <v>23398.080000000002</v>
      </c>
      <c r="L2569" t="s">
        <v>25</v>
      </c>
      <c r="M2569" s="2">
        <v>46112</v>
      </c>
      <c r="N2569" s="2">
        <v>46109</v>
      </c>
      <c r="O2569" t="s">
        <v>60</v>
      </c>
      <c r="P2569" t="s">
        <v>53</v>
      </c>
      <c r="Q2569" t="s">
        <v>28</v>
      </c>
      <c r="R2569" t="s">
        <v>29</v>
      </c>
      <c r="S2569">
        <v>2026</v>
      </c>
      <c r="T2569" t="s">
        <v>2747</v>
      </c>
      <c r="U2569" t="s">
        <v>2755</v>
      </c>
      <c r="V2569" s="4">
        <v>0</v>
      </c>
      <c r="W2569" s="4">
        <v>1</v>
      </c>
    </row>
    <row r="2570" spans="1:23">
      <c r="A2570" t="s">
        <v>2703</v>
      </c>
      <c r="B2570" s="2">
        <v>45883</v>
      </c>
      <c r="C2570" t="s">
        <v>142</v>
      </c>
      <c r="D2570" t="s">
        <v>143</v>
      </c>
      <c r="E2570" t="s">
        <v>112</v>
      </c>
      <c r="F2570" t="s">
        <v>22</v>
      </c>
      <c r="G2570" t="s">
        <v>32</v>
      </c>
      <c r="H2570" t="s">
        <v>33</v>
      </c>
      <c r="I2570">
        <v>5</v>
      </c>
      <c r="J2570" s="3">
        <v>8156.97</v>
      </c>
      <c r="K2570" s="3">
        <v>40784.85</v>
      </c>
      <c r="L2570" t="s">
        <v>25</v>
      </c>
      <c r="M2570" s="2">
        <v>45896</v>
      </c>
      <c r="N2570" s="2">
        <v>45893</v>
      </c>
      <c r="O2570" t="s">
        <v>60</v>
      </c>
      <c r="P2570" t="s">
        <v>115</v>
      </c>
      <c r="Q2570" t="s">
        <v>28</v>
      </c>
      <c r="R2570" t="s">
        <v>29</v>
      </c>
      <c r="S2570">
        <v>2025</v>
      </c>
      <c r="T2570" t="s">
        <v>2761</v>
      </c>
      <c r="U2570" t="s">
        <v>2762</v>
      </c>
      <c r="V2570" s="4">
        <v>0</v>
      </c>
      <c r="W2570" s="4">
        <v>1</v>
      </c>
    </row>
    <row r="2571" spans="1:23">
      <c r="A2571" t="s">
        <v>2704</v>
      </c>
      <c r="B2571" s="2">
        <v>45660</v>
      </c>
      <c r="C2571" t="s">
        <v>66</v>
      </c>
      <c r="D2571" t="s">
        <v>67</v>
      </c>
      <c r="E2571" t="s">
        <v>48</v>
      </c>
      <c r="F2571" t="s">
        <v>49</v>
      </c>
      <c r="G2571" t="s">
        <v>68</v>
      </c>
      <c r="H2571" t="s">
        <v>69</v>
      </c>
      <c r="I2571">
        <v>1</v>
      </c>
      <c r="J2571" s="3">
        <v>48213.32</v>
      </c>
      <c r="K2571" s="3">
        <v>48213.32</v>
      </c>
      <c r="L2571" t="s">
        <v>25</v>
      </c>
      <c r="M2571" s="2">
        <v>45674</v>
      </c>
      <c r="N2571" s="2">
        <v>45671</v>
      </c>
      <c r="O2571" t="s">
        <v>76</v>
      </c>
      <c r="P2571" t="s">
        <v>53</v>
      </c>
      <c r="Q2571" t="s">
        <v>28</v>
      </c>
      <c r="R2571" t="s">
        <v>29</v>
      </c>
      <c r="S2571">
        <v>2025</v>
      </c>
      <c r="T2571" t="s">
        <v>2757</v>
      </c>
      <c r="U2571" t="s">
        <v>2768</v>
      </c>
      <c r="V2571" s="4">
        <v>0</v>
      </c>
      <c r="W2571" s="4">
        <v>1</v>
      </c>
    </row>
    <row r="2572" spans="1:23">
      <c r="A2572" t="s">
        <v>2705</v>
      </c>
      <c r="B2572" s="2">
        <v>46119</v>
      </c>
      <c r="C2572" t="s">
        <v>46</v>
      </c>
      <c r="D2572" t="s">
        <v>47</v>
      </c>
      <c r="E2572" t="s">
        <v>21</v>
      </c>
      <c r="F2572" t="s">
        <v>49</v>
      </c>
      <c r="G2572" t="s">
        <v>165</v>
      </c>
      <c r="H2572" t="s">
        <v>166</v>
      </c>
      <c r="I2572">
        <v>1</v>
      </c>
      <c r="J2572" s="3">
        <v>45816.2</v>
      </c>
      <c r="K2572" s="3">
        <v>45816.2</v>
      </c>
      <c r="L2572" t="s">
        <v>34</v>
      </c>
      <c r="M2572" s="2">
        <v>46128</v>
      </c>
      <c r="N2572" s="2">
        <v>46125</v>
      </c>
      <c r="O2572" t="s">
        <v>26</v>
      </c>
      <c r="P2572" t="s">
        <v>27</v>
      </c>
      <c r="Q2572" t="s">
        <v>28</v>
      </c>
      <c r="R2572" t="s">
        <v>29</v>
      </c>
      <c r="S2572">
        <v>2026</v>
      </c>
      <c r="T2572" t="s">
        <v>2741</v>
      </c>
      <c r="U2572" t="s">
        <v>2770</v>
      </c>
      <c r="V2572" s="4">
        <v>0</v>
      </c>
      <c r="W2572" s="4">
        <v>1</v>
      </c>
    </row>
    <row r="2573" spans="1:23">
      <c r="A2573" t="s">
        <v>2706</v>
      </c>
      <c r="B2573" s="2">
        <v>46020</v>
      </c>
      <c r="C2573" t="s">
        <v>142</v>
      </c>
      <c r="D2573" t="s">
        <v>143</v>
      </c>
      <c r="E2573" t="s">
        <v>31</v>
      </c>
      <c r="F2573" t="s">
        <v>22</v>
      </c>
      <c r="G2573" t="s">
        <v>23</v>
      </c>
      <c r="H2573" t="s">
        <v>24</v>
      </c>
      <c r="I2573">
        <v>18</v>
      </c>
      <c r="J2573" s="3">
        <v>238.75</v>
      </c>
      <c r="K2573" s="3">
        <v>4297.5</v>
      </c>
      <c r="L2573" t="s">
        <v>25</v>
      </c>
      <c r="M2573" s="2">
        <v>46026</v>
      </c>
      <c r="N2573" s="2">
        <v>46025</v>
      </c>
      <c r="O2573" t="s">
        <v>60</v>
      </c>
      <c r="P2573" t="s">
        <v>94</v>
      </c>
      <c r="Q2573" t="s">
        <v>28</v>
      </c>
      <c r="R2573" t="s">
        <v>29</v>
      </c>
      <c r="S2573">
        <v>2025</v>
      </c>
      <c r="T2573" t="s">
        <v>2745</v>
      </c>
      <c r="U2573" t="s">
        <v>2746</v>
      </c>
      <c r="V2573" s="4">
        <v>0</v>
      </c>
      <c r="W2573" s="4">
        <v>1</v>
      </c>
    </row>
    <row r="2574" spans="1:23">
      <c r="A2574" t="s">
        <v>2707</v>
      </c>
      <c r="B2574" s="2">
        <v>45981</v>
      </c>
      <c r="C2574" t="s">
        <v>19</v>
      </c>
      <c r="D2574" t="s">
        <v>20</v>
      </c>
      <c r="E2574" t="s">
        <v>31</v>
      </c>
      <c r="F2574" t="s">
        <v>22</v>
      </c>
      <c r="G2574" t="s">
        <v>23</v>
      </c>
      <c r="H2574" t="s">
        <v>24</v>
      </c>
      <c r="I2574">
        <v>38</v>
      </c>
      <c r="J2574" s="3">
        <v>230.29</v>
      </c>
      <c r="K2574" s="3">
        <v>8751.02</v>
      </c>
      <c r="L2574" t="s">
        <v>34</v>
      </c>
      <c r="M2574" s="2">
        <v>45986</v>
      </c>
      <c r="N2574" s="2">
        <v>45986</v>
      </c>
      <c r="O2574" t="s">
        <v>60</v>
      </c>
      <c r="P2574" t="s">
        <v>94</v>
      </c>
      <c r="Q2574" t="s">
        <v>28</v>
      </c>
      <c r="R2574" t="s">
        <v>29</v>
      </c>
      <c r="S2574">
        <v>2025</v>
      </c>
      <c r="T2574" t="s">
        <v>2763</v>
      </c>
      <c r="U2574" t="s">
        <v>2764</v>
      </c>
      <c r="V2574" s="4">
        <v>0</v>
      </c>
      <c r="W2574" s="4">
        <v>1</v>
      </c>
    </row>
    <row r="2575" spans="1:23">
      <c r="A2575" t="s">
        <v>2708</v>
      </c>
      <c r="B2575" s="2">
        <v>45981</v>
      </c>
      <c r="C2575" t="s">
        <v>117</v>
      </c>
      <c r="D2575" t="s">
        <v>118</v>
      </c>
      <c r="E2575" t="s">
        <v>73</v>
      </c>
      <c r="F2575" t="s">
        <v>57</v>
      </c>
      <c r="G2575" t="s">
        <v>101</v>
      </c>
      <c r="H2575" t="s">
        <v>102</v>
      </c>
      <c r="I2575">
        <v>42</v>
      </c>
      <c r="J2575" s="3">
        <v>1751.96</v>
      </c>
      <c r="K2575" s="3">
        <v>73582.320000000007</v>
      </c>
      <c r="L2575" t="s">
        <v>25</v>
      </c>
      <c r="M2575" s="2">
        <v>45996</v>
      </c>
      <c r="N2575" s="2">
        <v>45998</v>
      </c>
      <c r="O2575" t="s">
        <v>76</v>
      </c>
      <c r="P2575" t="s">
        <v>77</v>
      </c>
      <c r="Q2575" t="s">
        <v>28</v>
      </c>
      <c r="R2575" t="s">
        <v>129</v>
      </c>
      <c r="S2575">
        <v>2025</v>
      </c>
      <c r="T2575" t="s">
        <v>2763</v>
      </c>
      <c r="U2575" t="s">
        <v>2764</v>
      </c>
      <c r="V2575" s="4">
        <v>2</v>
      </c>
      <c r="W2575" s="4">
        <v>0</v>
      </c>
    </row>
    <row r="2576" spans="1:23">
      <c r="A2576" t="s">
        <v>2709</v>
      </c>
      <c r="B2576" s="2">
        <v>46059</v>
      </c>
      <c r="C2576" t="s">
        <v>55</v>
      </c>
      <c r="D2576" t="s">
        <v>56</v>
      </c>
      <c r="E2576" t="s">
        <v>48</v>
      </c>
      <c r="F2576" t="s">
        <v>57</v>
      </c>
      <c r="G2576" t="s">
        <v>120</v>
      </c>
      <c r="H2576" t="s">
        <v>121</v>
      </c>
      <c r="I2576">
        <v>4</v>
      </c>
      <c r="J2576" s="3">
        <v>24413.07</v>
      </c>
      <c r="K2576" s="3">
        <v>97652.28</v>
      </c>
      <c r="L2576" t="s">
        <v>34</v>
      </c>
      <c r="M2576" s="2">
        <v>46077</v>
      </c>
      <c r="N2576" s="2">
        <v>46076</v>
      </c>
      <c r="O2576" t="s">
        <v>43</v>
      </c>
      <c r="P2576" t="s">
        <v>53</v>
      </c>
      <c r="Q2576" t="s">
        <v>28</v>
      </c>
      <c r="R2576" t="s">
        <v>29</v>
      </c>
      <c r="S2576">
        <v>2026</v>
      </c>
      <c r="T2576" t="s">
        <v>2751</v>
      </c>
      <c r="U2576" t="s">
        <v>2765</v>
      </c>
      <c r="V2576" s="4">
        <v>0</v>
      </c>
      <c r="W2576" s="4">
        <v>1</v>
      </c>
    </row>
    <row r="2577" spans="1:23">
      <c r="A2577" t="s">
        <v>2710</v>
      </c>
      <c r="B2577" s="2">
        <v>45765</v>
      </c>
      <c r="C2577" t="s">
        <v>71</v>
      </c>
      <c r="D2577" t="s">
        <v>72</v>
      </c>
      <c r="E2577" t="s">
        <v>31</v>
      </c>
      <c r="F2577" t="s">
        <v>57</v>
      </c>
      <c r="G2577" t="s">
        <v>127</v>
      </c>
      <c r="H2577" t="s">
        <v>128</v>
      </c>
      <c r="I2577">
        <v>4</v>
      </c>
      <c r="J2577" s="3">
        <v>14769.61</v>
      </c>
      <c r="K2577" s="3">
        <v>59078.44</v>
      </c>
      <c r="L2577" t="s">
        <v>25</v>
      </c>
      <c r="M2577" s="2">
        <v>45772</v>
      </c>
      <c r="N2577" s="2">
        <v>45774</v>
      </c>
      <c r="O2577" t="s">
        <v>26</v>
      </c>
      <c r="P2577" t="s">
        <v>35</v>
      </c>
      <c r="Q2577" t="s">
        <v>28</v>
      </c>
      <c r="R2577" t="s">
        <v>129</v>
      </c>
      <c r="S2577">
        <v>2025</v>
      </c>
      <c r="T2577" t="s">
        <v>2741</v>
      </c>
      <c r="U2577" t="s">
        <v>2742</v>
      </c>
      <c r="V2577" s="4">
        <v>2</v>
      </c>
      <c r="W2577" s="4">
        <v>0</v>
      </c>
    </row>
    <row r="2578" spans="1:23">
      <c r="A2578" t="s">
        <v>2711</v>
      </c>
      <c r="B2578" s="2">
        <v>45837</v>
      </c>
      <c r="C2578" t="s">
        <v>19</v>
      </c>
      <c r="D2578" t="s">
        <v>20</v>
      </c>
      <c r="E2578" t="s">
        <v>39</v>
      </c>
      <c r="F2578" t="s">
        <v>22</v>
      </c>
      <c r="G2578" t="s">
        <v>32</v>
      </c>
      <c r="H2578" t="s">
        <v>33</v>
      </c>
      <c r="I2578">
        <v>6</v>
      </c>
      <c r="J2578" s="3">
        <v>7092.01</v>
      </c>
      <c r="K2578" s="3">
        <v>42552.06</v>
      </c>
      <c r="L2578" t="s">
        <v>34</v>
      </c>
      <c r="M2578" s="2">
        <v>45851</v>
      </c>
      <c r="N2578" s="2">
        <v>45851</v>
      </c>
      <c r="O2578" t="s">
        <v>26</v>
      </c>
      <c r="P2578" t="s">
        <v>44</v>
      </c>
      <c r="Q2578" t="s">
        <v>28</v>
      </c>
      <c r="R2578" t="s">
        <v>29</v>
      </c>
      <c r="S2578">
        <v>2025</v>
      </c>
      <c r="T2578" t="s">
        <v>2743</v>
      </c>
      <c r="U2578" t="s">
        <v>2756</v>
      </c>
      <c r="V2578" s="4">
        <v>0</v>
      </c>
      <c r="W2578" s="4">
        <v>1</v>
      </c>
    </row>
    <row r="2579" spans="1:23">
      <c r="A2579" t="s">
        <v>2712</v>
      </c>
      <c r="B2579" s="2">
        <v>45979</v>
      </c>
      <c r="C2579" t="s">
        <v>142</v>
      </c>
      <c r="D2579" t="s">
        <v>143</v>
      </c>
      <c r="E2579" t="s">
        <v>31</v>
      </c>
      <c r="F2579" t="s">
        <v>22</v>
      </c>
      <c r="G2579" t="s">
        <v>32</v>
      </c>
      <c r="H2579" t="s">
        <v>33</v>
      </c>
      <c r="I2579">
        <v>13</v>
      </c>
      <c r="J2579" s="3">
        <v>7967.64</v>
      </c>
      <c r="K2579" s="3">
        <v>103579.32</v>
      </c>
      <c r="L2579" t="s">
        <v>34</v>
      </c>
      <c r="M2579" s="2">
        <v>45996</v>
      </c>
      <c r="N2579" s="2">
        <v>45993</v>
      </c>
      <c r="O2579" t="s">
        <v>60</v>
      </c>
      <c r="P2579" t="s">
        <v>35</v>
      </c>
      <c r="Q2579" t="s">
        <v>28</v>
      </c>
      <c r="R2579" t="s">
        <v>29</v>
      </c>
      <c r="S2579">
        <v>2025</v>
      </c>
      <c r="T2579" t="s">
        <v>2763</v>
      </c>
      <c r="U2579" t="s">
        <v>2764</v>
      </c>
      <c r="V2579" s="4">
        <v>0</v>
      </c>
      <c r="W2579" s="4">
        <v>1</v>
      </c>
    </row>
    <row r="2580" spans="1:23">
      <c r="A2580" t="s">
        <v>2713</v>
      </c>
      <c r="B2580" s="2">
        <v>46098</v>
      </c>
      <c r="C2580" t="s">
        <v>107</v>
      </c>
      <c r="D2580" t="s">
        <v>108</v>
      </c>
      <c r="E2580" t="s">
        <v>31</v>
      </c>
      <c r="F2580" t="s">
        <v>91</v>
      </c>
      <c r="G2580" t="s">
        <v>109</v>
      </c>
      <c r="H2580" t="s">
        <v>110</v>
      </c>
      <c r="I2580">
        <v>1</v>
      </c>
      <c r="J2580" s="3">
        <v>14236.44</v>
      </c>
      <c r="K2580" s="3">
        <v>14236.44</v>
      </c>
      <c r="L2580" t="s">
        <v>25</v>
      </c>
      <c r="M2580" s="2">
        <v>46115</v>
      </c>
      <c r="N2580" s="2">
        <v>46113</v>
      </c>
      <c r="O2580" t="s">
        <v>26</v>
      </c>
      <c r="P2580" t="s">
        <v>35</v>
      </c>
      <c r="Q2580" t="s">
        <v>28</v>
      </c>
      <c r="R2580" t="s">
        <v>29</v>
      </c>
      <c r="S2580">
        <v>2026</v>
      </c>
      <c r="T2580" t="s">
        <v>2747</v>
      </c>
      <c r="U2580" t="s">
        <v>2755</v>
      </c>
      <c r="V2580" s="4">
        <v>0</v>
      </c>
      <c r="W2580" s="4">
        <v>1</v>
      </c>
    </row>
    <row r="2581" spans="1:23">
      <c r="A2581" t="s">
        <v>2714</v>
      </c>
      <c r="B2581" s="2">
        <v>45881</v>
      </c>
      <c r="C2581" t="s">
        <v>71</v>
      </c>
      <c r="D2581" t="s">
        <v>72</v>
      </c>
      <c r="E2581" t="s">
        <v>21</v>
      </c>
      <c r="F2581" t="s">
        <v>57</v>
      </c>
      <c r="G2581" t="s">
        <v>120</v>
      </c>
      <c r="H2581" t="s">
        <v>121</v>
      </c>
      <c r="I2581">
        <v>2</v>
      </c>
      <c r="J2581" s="3">
        <v>19695.34</v>
      </c>
      <c r="K2581" s="3">
        <v>39390.68</v>
      </c>
      <c r="L2581" t="s">
        <v>25</v>
      </c>
      <c r="M2581" s="2">
        <v>45894</v>
      </c>
      <c r="N2581" s="2">
        <v>45899</v>
      </c>
      <c r="O2581" t="s">
        <v>26</v>
      </c>
      <c r="P2581" t="s">
        <v>27</v>
      </c>
      <c r="Q2581" t="s">
        <v>28</v>
      </c>
      <c r="R2581" t="s">
        <v>129</v>
      </c>
      <c r="S2581">
        <v>2025</v>
      </c>
      <c r="T2581" t="s">
        <v>2761</v>
      </c>
      <c r="U2581" t="s">
        <v>2762</v>
      </c>
      <c r="V2581" s="4">
        <v>5</v>
      </c>
      <c r="W2581" s="4">
        <v>0</v>
      </c>
    </row>
    <row r="2582" spans="1:23">
      <c r="A2582" t="s">
        <v>2715</v>
      </c>
      <c r="B2582" s="2">
        <v>45666</v>
      </c>
      <c r="C2582" t="s">
        <v>117</v>
      </c>
      <c r="D2582" t="s">
        <v>118</v>
      </c>
      <c r="E2582" t="s">
        <v>48</v>
      </c>
      <c r="F2582" t="s">
        <v>57</v>
      </c>
      <c r="G2582" t="s">
        <v>127</v>
      </c>
      <c r="H2582" t="s">
        <v>128</v>
      </c>
      <c r="I2582">
        <v>2</v>
      </c>
      <c r="J2582" s="3">
        <v>15811.98</v>
      </c>
      <c r="K2582" s="3">
        <v>31623.96</v>
      </c>
      <c r="L2582" t="s">
        <v>34</v>
      </c>
      <c r="M2582" s="2">
        <v>45676</v>
      </c>
      <c r="N2582" s="2">
        <v>45676</v>
      </c>
      <c r="O2582" t="s">
        <v>43</v>
      </c>
      <c r="P2582" t="s">
        <v>53</v>
      </c>
      <c r="Q2582" t="s">
        <v>28</v>
      </c>
      <c r="R2582" t="s">
        <v>29</v>
      </c>
      <c r="S2582">
        <v>2025</v>
      </c>
      <c r="T2582" t="s">
        <v>2757</v>
      </c>
      <c r="U2582" t="s">
        <v>2768</v>
      </c>
      <c r="V2582" s="4">
        <v>0</v>
      </c>
      <c r="W2582" s="4">
        <v>1</v>
      </c>
    </row>
    <row r="2583" spans="1:23">
      <c r="A2583" t="s">
        <v>2716</v>
      </c>
      <c r="B2583" s="2">
        <v>45765</v>
      </c>
      <c r="C2583" t="s">
        <v>104</v>
      </c>
      <c r="D2583" t="s">
        <v>105</v>
      </c>
      <c r="E2583" t="s">
        <v>73</v>
      </c>
      <c r="F2583" t="s">
        <v>49</v>
      </c>
      <c r="G2583" t="s">
        <v>113</v>
      </c>
      <c r="H2583" t="s">
        <v>114</v>
      </c>
      <c r="I2583">
        <v>2</v>
      </c>
      <c r="J2583" s="3">
        <v>39315.89</v>
      </c>
      <c r="K2583" s="3">
        <v>78631.78</v>
      </c>
      <c r="L2583" t="s">
        <v>34</v>
      </c>
      <c r="M2583" s="2">
        <v>45783</v>
      </c>
      <c r="N2583" s="2">
        <v>45783</v>
      </c>
      <c r="O2583" t="s">
        <v>26</v>
      </c>
      <c r="P2583" t="s">
        <v>77</v>
      </c>
      <c r="Q2583" t="s">
        <v>28</v>
      </c>
      <c r="R2583" t="s">
        <v>29</v>
      </c>
      <c r="S2583">
        <v>2025</v>
      </c>
      <c r="T2583" t="s">
        <v>2741</v>
      </c>
      <c r="U2583" t="s">
        <v>2742</v>
      </c>
      <c r="V2583" s="4">
        <v>0</v>
      </c>
      <c r="W2583" s="4">
        <v>1</v>
      </c>
    </row>
    <row r="2584" spans="1:23">
      <c r="A2584" t="s">
        <v>2717</v>
      </c>
      <c r="B2584" s="2">
        <v>45891</v>
      </c>
      <c r="C2584" t="s">
        <v>147</v>
      </c>
      <c r="D2584" t="s">
        <v>148</v>
      </c>
      <c r="E2584" t="s">
        <v>39</v>
      </c>
      <c r="F2584" t="s">
        <v>40</v>
      </c>
      <c r="G2584" t="s">
        <v>136</v>
      </c>
      <c r="H2584" t="s">
        <v>137</v>
      </c>
      <c r="I2584">
        <v>27</v>
      </c>
      <c r="J2584" s="3">
        <v>1559.1</v>
      </c>
      <c r="K2584" s="3">
        <v>42095.7</v>
      </c>
      <c r="L2584" t="s">
        <v>25</v>
      </c>
      <c r="M2584" s="2">
        <v>45904</v>
      </c>
      <c r="N2584" s="2">
        <v>45903</v>
      </c>
      <c r="O2584" t="s">
        <v>43</v>
      </c>
      <c r="P2584" t="s">
        <v>64</v>
      </c>
      <c r="Q2584" t="s">
        <v>28</v>
      </c>
      <c r="R2584" t="s">
        <v>29</v>
      </c>
      <c r="S2584">
        <v>2025</v>
      </c>
      <c r="T2584" t="s">
        <v>2761</v>
      </c>
      <c r="U2584" t="s">
        <v>2762</v>
      </c>
      <c r="V2584" s="4">
        <v>0</v>
      </c>
      <c r="W2584" s="4">
        <v>1</v>
      </c>
    </row>
    <row r="2585" spans="1:23">
      <c r="A2585" t="s">
        <v>2718</v>
      </c>
      <c r="B2585" s="2">
        <v>46085</v>
      </c>
      <c r="C2585" t="s">
        <v>117</v>
      </c>
      <c r="D2585" t="s">
        <v>118</v>
      </c>
      <c r="E2585" t="s">
        <v>73</v>
      </c>
      <c r="F2585" t="s">
        <v>57</v>
      </c>
      <c r="G2585" t="s">
        <v>74</v>
      </c>
      <c r="H2585" t="s">
        <v>75</v>
      </c>
      <c r="I2585">
        <v>3</v>
      </c>
      <c r="J2585" s="3">
        <v>9057.5499999999993</v>
      </c>
      <c r="K2585" s="3">
        <v>27172.65</v>
      </c>
      <c r="L2585" t="s">
        <v>34</v>
      </c>
      <c r="M2585" s="2">
        <v>46094</v>
      </c>
      <c r="N2585" s="2">
        <v>46091</v>
      </c>
      <c r="O2585" t="s">
        <v>26</v>
      </c>
      <c r="P2585" t="s">
        <v>77</v>
      </c>
      <c r="Q2585" t="s">
        <v>28</v>
      </c>
      <c r="R2585" t="s">
        <v>29</v>
      </c>
      <c r="S2585">
        <v>2026</v>
      </c>
      <c r="T2585" t="s">
        <v>2747</v>
      </c>
      <c r="U2585" t="s">
        <v>2755</v>
      </c>
      <c r="V2585" s="4">
        <v>0</v>
      </c>
      <c r="W2585" s="4">
        <v>1</v>
      </c>
    </row>
    <row r="2586" spans="1:23">
      <c r="A2586" t="s">
        <v>2719</v>
      </c>
      <c r="B2586" s="2">
        <v>45989</v>
      </c>
      <c r="C2586" t="s">
        <v>37</v>
      </c>
      <c r="D2586" t="s">
        <v>38</v>
      </c>
      <c r="E2586" t="s">
        <v>112</v>
      </c>
      <c r="F2586" t="s">
        <v>22</v>
      </c>
      <c r="G2586" t="s">
        <v>23</v>
      </c>
      <c r="H2586" t="s">
        <v>24</v>
      </c>
      <c r="I2586">
        <v>58</v>
      </c>
      <c r="J2586" s="3">
        <v>273.81</v>
      </c>
      <c r="K2586" s="3">
        <v>15880.98</v>
      </c>
      <c r="L2586" t="s">
        <v>34</v>
      </c>
      <c r="M2586" s="2">
        <v>46000</v>
      </c>
      <c r="N2586" s="2">
        <v>45998</v>
      </c>
      <c r="O2586" t="s">
        <v>43</v>
      </c>
      <c r="P2586" t="s">
        <v>115</v>
      </c>
      <c r="Q2586" t="s">
        <v>28</v>
      </c>
      <c r="R2586" t="s">
        <v>29</v>
      </c>
      <c r="S2586">
        <v>2025</v>
      </c>
      <c r="T2586" t="s">
        <v>2763</v>
      </c>
      <c r="U2586" t="s">
        <v>2764</v>
      </c>
      <c r="V2586" s="4">
        <v>0</v>
      </c>
      <c r="W2586" s="4">
        <v>1</v>
      </c>
    </row>
    <row r="2587" spans="1:23">
      <c r="A2587" t="s">
        <v>2720</v>
      </c>
      <c r="B2587" s="2">
        <v>45981</v>
      </c>
      <c r="C2587" t="s">
        <v>142</v>
      </c>
      <c r="D2587" t="s">
        <v>143</v>
      </c>
      <c r="E2587" t="s">
        <v>21</v>
      </c>
      <c r="F2587" t="s">
        <v>22</v>
      </c>
      <c r="G2587" t="s">
        <v>160</v>
      </c>
      <c r="H2587" t="s">
        <v>161</v>
      </c>
      <c r="I2587">
        <v>13</v>
      </c>
      <c r="J2587" s="3">
        <v>3109.18</v>
      </c>
      <c r="K2587" s="3">
        <v>40419.339999999997</v>
      </c>
      <c r="L2587" t="s">
        <v>52</v>
      </c>
      <c r="M2587" s="2">
        <v>45990</v>
      </c>
      <c r="N2587" s="2">
        <v>45989</v>
      </c>
      <c r="O2587" t="s">
        <v>76</v>
      </c>
      <c r="P2587" t="s">
        <v>27</v>
      </c>
      <c r="Q2587" t="s">
        <v>28</v>
      </c>
      <c r="R2587" t="s">
        <v>29</v>
      </c>
      <c r="S2587">
        <v>2025</v>
      </c>
      <c r="T2587" t="s">
        <v>2763</v>
      </c>
      <c r="U2587" t="s">
        <v>2764</v>
      </c>
      <c r="V2587" s="4">
        <v>0</v>
      </c>
      <c r="W2587" s="4">
        <v>1</v>
      </c>
    </row>
    <row r="2588" spans="1:23">
      <c r="A2588" t="s">
        <v>2721</v>
      </c>
      <c r="B2588" s="2">
        <v>46087</v>
      </c>
      <c r="C2588" t="s">
        <v>46</v>
      </c>
      <c r="D2588" t="s">
        <v>47</v>
      </c>
      <c r="E2588" t="s">
        <v>112</v>
      </c>
      <c r="F2588" t="s">
        <v>49</v>
      </c>
      <c r="G2588" t="s">
        <v>113</v>
      </c>
      <c r="H2588" t="s">
        <v>114</v>
      </c>
      <c r="I2588">
        <v>1</v>
      </c>
      <c r="J2588" s="3">
        <v>41628.31</v>
      </c>
      <c r="K2588" s="3">
        <v>41628.31</v>
      </c>
      <c r="L2588" t="s">
        <v>34</v>
      </c>
      <c r="M2588" s="2">
        <v>46093</v>
      </c>
      <c r="N2588" s="2">
        <v>46093</v>
      </c>
      <c r="O2588" t="s">
        <v>76</v>
      </c>
      <c r="P2588" t="s">
        <v>115</v>
      </c>
      <c r="Q2588" t="s">
        <v>28</v>
      </c>
      <c r="R2588" t="s">
        <v>29</v>
      </c>
      <c r="S2588">
        <v>2026</v>
      </c>
      <c r="T2588" t="s">
        <v>2747</v>
      </c>
      <c r="U2588" t="s">
        <v>2755</v>
      </c>
      <c r="V2588" s="4">
        <v>0</v>
      </c>
      <c r="W2588" s="4">
        <v>1</v>
      </c>
    </row>
    <row r="2589" spans="1:23">
      <c r="A2589" t="s">
        <v>2722</v>
      </c>
      <c r="B2589" s="2">
        <v>45895</v>
      </c>
      <c r="C2589" t="s">
        <v>104</v>
      </c>
      <c r="D2589" t="s">
        <v>105</v>
      </c>
      <c r="E2589" t="s">
        <v>21</v>
      </c>
      <c r="F2589" t="s">
        <v>49</v>
      </c>
      <c r="G2589" t="s">
        <v>68</v>
      </c>
      <c r="H2589" t="s">
        <v>69</v>
      </c>
      <c r="I2589">
        <v>2</v>
      </c>
      <c r="J2589" s="3">
        <v>49259.64</v>
      </c>
      <c r="K2589" s="3">
        <v>98519.28</v>
      </c>
      <c r="L2589" t="s">
        <v>34</v>
      </c>
      <c r="M2589" s="2">
        <v>45900</v>
      </c>
      <c r="N2589" s="2">
        <v>45900</v>
      </c>
      <c r="O2589" t="s">
        <v>43</v>
      </c>
      <c r="P2589" t="s">
        <v>27</v>
      </c>
      <c r="Q2589" t="s">
        <v>28</v>
      </c>
      <c r="R2589" t="s">
        <v>29</v>
      </c>
      <c r="S2589">
        <v>2025</v>
      </c>
      <c r="T2589" t="s">
        <v>2761</v>
      </c>
      <c r="U2589" t="s">
        <v>2762</v>
      </c>
      <c r="V2589" s="4">
        <v>0</v>
      </c>
      <c r="W2589" s="4">
        <v>1</v>
      </c>
    </row>
    <row r="2590" spans="1:23">
      <c r="A2590" t="s">
        <v>2724</v>
      </c>
      <c r="B2590" s="2">
        <v>45886</v>
      </c>
      <c r="C2590" t="s">
        <v>19</v>
      </c>
      <c r="D2590" t="s">
        <v>20</v>
      </c>
      <c r="E2590" t="s">
        <v>21</v>
      </c>
      <c r="F2590" t="s">
        <v>22</v>
      </c>
      <c r="G2590" t="s">
        <v>23</v>
      </c>
      <c r="H2590" t="s">
        <v>24</v>
      </c>
      <c r="I2590">
        <v>32</v>
      </c>
      <c r="J2590" s="3">
        <v>225.3</v>
      </c>
      <c r="K2590" s="3">
        <v>7209.6</v>
      </c>
      <c r="L2590" t="s">
        <v>34</v>
      </c>
      <c r="M2590" s="2">
        <v>45891</v>
      </c>
      <c r="N2590" s="2">
        <v>45889</v>
      </c>
      <c r="O2590" t="s">
        <v>76</v>
      </c>
      <c r="P2590" t="s">
        <v>27</v>
      </c>
      <c r="Q2590" t="s">
        <v>28</v>
      </c>
      <c r="R2590" t="s">
        <v>29</v>
      </c>
      <c r="S2590">
        <v>2025</v>
      </c>
      <c r="T2590" t="s">
        <v>2761</v>
      </c>
      <c r="U2590" t="s">
        <v>2762</v>
      </c>
      <c r="V2590" s="4">
        <v>0</v>
      </c>
      <c r="W2590" s="4">
        <v>1</v>
      </c>
    </row>
    <row r="2591" spans="1:23">
      <c r="A2591" t="s">
        <v>2725</v>
      </c>
      <c r="B2591" s="2">
        <v>45812</v>
      </c>
      <c r="C2591" t="s">
        <v>55</v>
      </c>
      <c r="D2591" t="s">
        <v>56</v>
      </c>
      <c r="E2591" t="s">
        <v>31</v>
      </c>
      <c r="F2591" t="s">
        <v>57</v>
      </c>
      <c r="G2591" t="s">
        <v>86</v>
      </c>
      <c r="H2591" t="s">
        <v>87</v>
      </c>
      <c r="I2591">
        <v>1</v>
      </c>
      <c r="J2591" s="3">
        <v>11961.64</v>
      </c>
      <c r="K2591" s="3">
        <v>11961.64</v>
      </c>
      <c r="L2591" t="s">
        <v>34</v>
      </c>
      <c r="M2591" s="2">
        <v>45822</v>
      </c>
      <c r="N2591" s="2">
        <v>45820</v>
      </c>
      <c r="O2591" t="s">
        <v>26</v>
      </c>
      <c r="P2591" t="s">
        <v>35</v>
      </c>
      <c r="Q2591" t="s">
        <v>28</v>
      </c>
      <c r="R2591" t="s">
        <v>29</v>
      </c>
      <c r="S2591">
        <v>2025</v>
      </c>
      <c r="T2591" t="s">
        <v>2743</v>
      </c>
      <c r="U2591" t="s">
        <v>2756</v>
      </c>
      <c r="V2591" s="4">
        <v>0</v>
      </c>
      <c r="W2591" s="4">
        <v>1</v>
      </c>
    </row>
    <row r="2592" spans="1:23">
      <c r="A2592" t="s">
        <v>2726</v>
      </c>
      <c r="B2592" s="2">
        <v>45854</v>
      </c>
      <c r="C2592" t="s">
        <v>80</v>
      </c>
      <c r="D2592" t="s">
        <v>81</v>
      </c>
      <c r="E2592" t="s">
        <v>39</v>
      </c>
      <c r="F2592" t="s">
        <v>82</v>
      </c>
      <c r="G2592" t="s">
        <v>83</v>
      </c>
      <c r="H2592" t="s">
        <v>84</v>
      </c>
      <c r="I2592">
        <v>48</v>
      </c>
      <c r="J2592" s="3">
        <v>715.83</v>
      </c>
      <c r="K2592" s="3">
        <v>34359.839999999997</v>
      </c>
      <c r="L2592" t="s">
        <v>25</v>
      </c>
      <c r="M2592" s="2">
        <v>45870</v>
      </c>
      <c r="N2592" s="2">
        <v>45869</v>
      </c>
      <c r="O2592" t="s">
        <v>60</v>
      </c>
      <c r="P2592" t="s">
        <v>64</v>
      </c>
      <c r="Q2592" t="s">
        <v>28</v>
      </c>
      <c r="R2592" t="s">
        <v>29</v>
      </c>
      <c r="S2592">
        <v>2025</v>
      </c>
      <c r="T2592" t="s">
        <v>2759</v>
      </c>
      <c r="U2592" t="s">
        <v>2760</v>
      </c>
      <c r="V2592" s="4">
        <v>0</v>
      </c>
      <c r="W2592" s="4">
        <v>1</v>
      </c>
    </row>
    <row r="2593" spans="1:23">
      <c r="A2593" t="s">
        <v>2727</v>
      </c>
      <c r="B2593" s="2">
        <v>46044</v>
      </c>
      <c r="C2593" t="s">
        <v>71</v>
      </c>
      <c r="D2593" t="s">
        <v>72</v>
      </c>
      <c r="E2593" t="s">
        <v>73</v>
      </c>
      <c r="F2593" t="s">
        <v>57</v>
      </c>
      <c r="G2593" t="s">
        <v>58</v>
      </c>
      <c r="H2593" t="s">
        <v>59</v>
      </c>
      <c r="I2593">
        <v>3</v>
      </c>
      <c r="J2593" s="3">
        <v>54571.23</v>
      </c>
      <c r="K2593" s="3">
        <v>163713.69</v>
      </c>
      <c r="L2593" t="s">
        <v>25</v>
      </c>
      <c r="M2593" s="2">
        <v>46052</v>
      </c>
      <c r="N2593" s="2">
        <v>46052</v>
      </c>
      <c r="O2593" t="s">
        <v>76</v>
      </c>
      <c r="P2593" t="s">
        <v>77</v>
      </c>
      <c r="Q2593" t="s">
        <v>28</v>
      </c>
      <c r="R2593" t="s">
        <v>29</v>
      </c>
      <c r="S2593">
        <v>2026</v>
      </c>
      <c r="T2593" t="s">
        <v>2757</v>
      </c>
      <c r="U2593" t="s">
        <v>2758</v>
      </c>
      <c r="V2593" s="4">
        <v>0</v>
      </c>
      <c r="W2593" s="4">
        <v>1</v>
      </c>
    </row>
    <row r="2594" spans="1:23">
      <c r="A2594" t="s">
        <v>2728</v>
      </c>
      <c r="B2594" s="2">
        <v>46138</v>
      </c>
      <c r="C2594" t="s">
        <v>71</v>
      </c>
      <c r="D2594" t="s">
        <v>72</v>
      </c>
      <c r="E2594" t="s">
        <v>73</v>
      </c>
      <c r="F2594" t="s">
        <v>57</v>
      </c>
      <c r="G2594" t="s">
        <v>86</v>
      </c>
      <c r="H2594" t="s">
        <v>87</v>
      </c>
      <c r="I2594">
        <v>4</v>
      </c>
      <c r="J2594" s="3">
        <v>9872.36</v>
      </c>
      <c r="K2594" s="3">
        <v>39489.440000000002</v>
      </c>
      <c r="L2594" t="s">
        <v>25</v>
      </c>
      <c r="M2594" s="2">
        <v>46144</v>
      </c>
      <c r="N2594" s="2">
        <v>46143</v>
      </c>
      <c r="O2594" t="s">
        <v>76</v>
      </c>
      <c r="P2594" t="s">
        <v>77</v>
      </c>
      <c r="Q2594" t="s">
        <v>28</v>
      </c>
      <c r="R2594" t="s">
        <v>29</v>
      </c>
      <c r="S2594">
        <v>2026</v>
      </c>
      <c r="T2594" t="s">
        <v>2741</v>
      </c>
      <c r="U2594" t="s">
        <v>2770</v>
      </c>
      <c r="V2594" s="4">
        <v>0</v>
      </c>
      <c r="W2594" s="4">
        <v>1</v>
      </c>
    </row>
    <row r="2595" spans="1:23">
      <c r="A2595" t="s">
        <v>2729</v>
      </c>
      <c r="B2595" s="2">
        <v>45886</v>
      </c>
      <c r="C2595" t="s">
        <v>117</v>
      </c>
      <c r="D2595" t="s">
        <v>118</v>
      </c>
      <c r="E2595" t="s">
        <v>48</v>
      </c>
      <c r="F2595" t="s">
        <v>57</v>
      </c>
      <c r="G2595" t="s">
        <v>74</v>
      </c>
      <c r="H2595" t="s">
        <v>75</v>
      </c>
      <c r="I2595">
        <v>10</v>
      </c>
      <c r="J2595" s="3">
        <v>8562.0300000000007</v>
      </c>
      <c r="K2595" s="3">
        <v>85620.3</v>
      </c>
      <c r="L2595" t="s">
        <v>52</v>
      </c>
      <c r="M2595" s="2">
        <v>45895</v>
      </c>
      <c r="N2595" s="2">
        <v>45895</v>
      </c>
      <c r="O2595" t="s">
        <v>76</v>
      </c>
      <c r="P2595" t="s">
        <v>53</v>
      </c>
      <c r="Q2595" t="s">
        <v>28</v>
      </c>
      <c r="R2595" t="s">
        <v>29</v>
      </c>
      <c r="S2595">
        <v>2025</v>
      </c>
      <c r="T2595" t="s">
        <v>2761</v>
      </c>
      <c r="U2595" t="s">
        <v>2762</v>
      </c>
      <c r="V2595" s="4">
        <v>0</v>
      </c>
      <c r="W2595" s="4">
        <v>1</v>
      </c>
    </row>
    <row r="2596" spans="1:23">
      <c r="A2596" t="s">
        <v>2730</v>
      </c>
      <c r="B2596" s="2">
        <v>46007</v>
      </c>
      <c r="C2596" t="s">
        <v>96</v>
      </c>
      <c r="D2596" t="s">
        <v>97</v>
      </c>
      <c r="E2596" t="s">
        <v>39</v>
      </c>
      <c r="F2596" t="s">
        <v>82</v>
      </c>
      <c r="G2596" t="s">
        <v>197</v>
      </c>
      <c r="H2596" t="s">
        <v>198</v>
      </c>
      <c r="I2596">
        <v>38</v>
      </c>
      <c r="J2596" s="3">
        <v>2139.0100000000002</v>
      </c>
      <c r="K2596" s="3">
        <v>81282.38</v>
      </c>
      <c r="L2596" t="s">
        <v>25</v>
      </c>
      <c r="M2596" s="2">
        <v>46015</v>
      </c>
      <c r="N2596" s="2">
        <v>46015</v>
      </c>
      <c r="O2596" t="s">
        <v>26</v>
      </c>
      <c r="P2596" t="s">
        <v>44</v>
      </c>
      <c r="Q2596" t="s">
        <v>28</v>
      </c>
      <c r="R2596" t="s">
        <v>29</v>
      </c>
      <c r="S2596">
        <v>2025</v>
      </c>
      <c r="T2596" t="s">
        <v>2745</v>
      </c>
      <c r="U2596" t="s">
        <v>2746</v>
      </c>
      <c r="V2596" s="4">
        <v>0</v>
      </c>
      <c r="W2596" s="4">
        <v>1</v>
      </c>
    </row>
    <row r="2597" spans="1:23">
      <c r="A2597" t="s">
        <v>2731</v>
      </c>
      <c r="B2597" s="2">
        <v>46069</v>
      </c>
      <c r="C2597" t="s">
        <v>142</v>
      </c>
      <c r="D2597" t="s">
        <v>143</v>
      </c>
      <c r="E2597" t="s">
        <v>39</v>
      </c>
      <c r="F2597" t="s">
        <v>22</v>
      </c>
      <c r="G2597" t="s">
        <v>32</v>
      </c>
      <c r="H2597" t="s">
        <v>33</v>
      </c>
      <c r="I2597">
        <v>6</v>
      </c>
      <c r="J2597" s="3">
        <v>7821.34</v>
      </c>
      <c r="K2597" s="3">
        <v>46928.04</v>
      </c>
      <c r="L2597" t="s">
        <v>25</v>
      </c>
      <c r="M2597" s="2">
        <v>46084</v>
      </c>
      <c r="N2597" s="2">
        <v>46084</v>
      </c>
      <c r="O2597" t="s">
        <v>60</v>
      </c>
      <c r="P2597" t="s">
        <v>44</v>
      </c>
      <c r="Q2597" t="s">
        <v>28</v>
      </c>
      <c r="R2597" t="s">
        <v>29</v>
      </c>
      <c r="S2597">
        <v>2026</v>
      </c>
      <c r="T2597" t="s">
        <v>2751</v>
      </c>
      <c r="U2597" t="s">
        <v>2765</v>
      </c>
      <c r="V2597" s="4">
        <v>0</v>
      </c>
      <c r="W2597" s="4">
        <v>1</v>
      </c>
    </row>
    <row r="2598" spans="1:23">
      <c r="A2598" t="s">
        <v>2732</v>
      </c>
      <c r="B2598" s="2">
        <v>46026</v>
      </c>
      <c r="C2598" t="s">
        <v>71</v>
      </c>
      <c r="D2598" t="s">
        <v>72</v>
      </c>
      <c r="E2598" t="s">
        <v>73</v>
      </c>
      <c r="F2598" t="s">
        <v>57</v>
      </c>
      <c r="G2598" t="s">
        <v>127</v>
      </c>
      <c r="H2598" t="s">
        <v>128</v>
      </c>
      <c r="I2598">
        <v>2</v>
      </c>
      <c r="J2598" s="3">
        <v>15576.67</v>
      </c>
      <c r="K2598" s="3">
        <v>31153.34</v>
      </c>
      <c r="L2598" t="s">
        <v>34</v>
      </c>
      <c r="M2598" s="2">
        <v>46034</v>
      </c>
      <c r="N2598" s="2">
        <v>46047</v>
      </c>
      <c r="O2598" t="s">
        <v>43</v>
      </c>
      <c r="P2598" t="s">
        <v>77</v>
      </c>
      <c r="Q2598" t="s">
        <v>28</v>
      </c>
      <c r="R2598" t="s">
        <v>129</v>
      </c>
      <c r="S2598">
        <v>2026</v>
      </c>
      <c r="T2598" t="s">
        <v>2757</v>
      </c>
      <c r="U2598" t="s">
        <v>2758</v>
      </c>
      <c r="V2598" s="4">
        <v>13</v>
      </c>
      <c r="W2598" s="4">
        <v>0</v>
      </c>
    </row>
    <row r="2599" spans="1:23">
      <c r="A2599" t="s">
        <v>2733</v>
      </c>
      <c r="B2599" s="2">
        <v>45979</v>
      </c>
      <c r="C2599" t="s">
        <v>142</v>
      </c>
      <c r="D2599" t="s">
        <v>143</v>
      </c>
      <c r="E2599" t="s">
        <v>112</v>
      </c>
      <c r="F2599" t="s">
        <v>22</v>
      </c>
      <c r="G2599" t="s">
        <v>160</v>
      </c>
      <c r="H2599" t="s">
        <v>161</v>
      </c>
      <c r="I2599">
        <v>11</v>
      </c>
      <c r="J2599" s="3">
        <v>3220.63</v>
      </c>
      <c r="K2599" s="3">
        <v>35426.93</v>
      </c>
      <c r="L2599" t="s">
        <v>25</v>
      </c>
      <c r="M2599" s="2">
        <v>45992</v>
      </c>
      <c r="N2599" s="2">
        <v>45991</v>
      </c>
      <c r="O2599" t="s">
        <v>26</v>
      </c>
      <c r="P2599" t="s">
        <v>115</v>
      </c>
      <c r="Q2599" t="s">
        <v>28</v>
      </c>
      <c r="R2599" t="s">
        <v>29</v>
      </c>
      <c r="S2599">
        <v>2025</v>
      </c>
      <c r="T2599" t="s">
        <v>2763</v>
      </c>
      <c r="U2599" t="s">
        <v>2764</v>
      </c>
      <c r="V2599" s="4">
        <v>0</v>
      </c>
      <c r="W2599" s="4">
        <v>1</v>
      </c>
    </row>
    <row r="2600" spans="1:23">
      <c r="A2600" t="s">
        <v>2734</v>
      </c>
      <c r="B2600" s="2">
        <v>46107</v>
      </c>
      <c r="C2600" t="s">
        <v>142</v>
      </c>
      <c r="D2600" t="s">
        <v>143</v>
      </c>
      <c r="E2600" t="s">
        <v>31</v>
      </c>
      <c r="F2600" t="s">
        <v>22</v>
      </c>
      <c r="G2600" t="s">
        <v>32</v>
      </c>
      <c r="H2600" t="s">
        <v>33</v>
      </c>
      <c r="I2600">
        <v>15</v>
      </c>
      <c r="J2600" s="3">
        <v>7815.72</v>
      </c>
      <c r="K2600" s="3">
        <v>117235.8</v>
      </c>
      <c r="L2600" t="s">
        <v>25</v>
      </c>
      <c r="M2600" s="2">
        <v>46122</v>
      </c>
      <c r="N2600" s="2">
        <v>46121</v>
      </c>
      <c r="O2600" t="s">
        <v>26</v>
      </c>
      <c r="P2600" t="s">
        <v>94</v>
      </c>
      <c r="Q2600" t="s">
        <v>28</v>
      </c>
      <c r="R2600" t="s">
        <v>29</v>
      </c>
      <c r="S2600">
        <v>2026</v>
      </c>
      <c r="T2600" t="s">
        <v>2747</v>
      </c>
      <c r="U2600" t="s">
        <v>2755</v>
      </c>
      <c r="V2600" s="4">
        <v>0</v>
      </c>
      <c r="W2600" s="4">
        <v>1</v>
      </c>
    </row>
    <row r="2601" spans="1:23">
      <c r="A2601" t="s">
        <v>2735</v>
      </c>
      <c r="B2601" s="2">
        <v>45958</v>
      </c>
      <c r="C2601" t="s">
        <v>142</v>
      </c>
      <c r="D2601" t="s">
        <v>143</v>
      </c>
      <c r="E2601" t="s">
        <v>39</v>
      </c>
      <c r="F2601" t="s">
        <v>22</v>
      </c>
      <c r="G2601" t="s">
        <v>32</v>
      </c>
      <c r="H2601" t="s">
        <v>33</v>
      </c>
      <c r="I2601">
        <v>9</v>
      </c>
      <c r="J2601" s="3">
        <v>8114.3</v>
      </c>
      <c r="K2601" s="3">
        <v>73028.7</v>
      </c>
      <c r="L2601" t="s">
        <v>34</v>
      </c>
      <c r="M2601" s="2">
        <v>45975</v>
      </c>
      <c r="N2601" s="2">
        <v>45980</v>
      </c>
      <c r="O2601" t="s">
        <v>60</v>
      </c>
      <c r="P2601" t="s">
        <v>44</v>
      </c>
      <c r="Q2601" t="s">
        <v>28</v>
      </c>
      <c r="R2601" t="s">
        <v>129</v>
      </c>
      <c r="S2601">
        <v>2025</v>
      </c>
      <c r="T2601" t="s">
        <v>2749</v>
      </c>
      <c r="U2601" t="s">
        <v>2750</v>
      </c>
      <c r="V2601" s="4">
        <v>5</v>
      </c>
      <c r="W2601" s="4">
        <v>0</v>
      </c>
    </row>
  </sheetData>
  <conditionalFormatting sqref="V2:V260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{FCB810CC-DECA-032F-85AE-0737B93DA44B}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810CC-DECA-032F-85AE-0737B93DA44B}">
            <x14:dataBar>
              <x14:cfvo type="min"/>
              <x14:cfvo type="max"/>
              <x14:negativeFillColor auto="1"/>
              <x14:axisColor auto="1"/>
            </x14:dataBar>
          </x14:cfRule>
          <xm:sqref>V2:V2601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topLeftCell="P13" workbookViewId="0">
      <selection sqref="A1:H1"/>
    </sheetView>
  </sheetViews>
  <sheetFormatPr defaultRowHeight="14"/>
  <cols>
    <col min="1" max="1" width="26" customWidth="1"/>
    <col min="2" max="2" width="18" customWidth="1"/>
    <col min="3" max="3" width="14" customWidth="1"/>
    <col min="4" max="4" width="18" customWidth="1"/>
    <col min="5" max="5" width="26" customWidth="1"/>
    <col min="6" max="6" width="16" customWidth="1"/>
    <col min="7" max="7" width="13" customWidth="1"/>
    <col min="8" max="8" width="3" customWidth="1"/>
    <col min="9" max="9" width="28" customWidth="1"/>
    <col min="10" max="10" width="18" customWidth="1"/>
    <col min="11" max="11" width="14" customWidth="1"/>
    <col min="12" max="12" width="12" customWidth="1"/>
    <col min="13" max="13" width="10" customWidth="1"/>
    <col min="14" max="14" width="13" customWidth="1"/>
  </cols>
  <sheetData>
    <row r="1" spans="1:14" ht="20">
      <c r="A1" s="15" t="s">
        <v>2771</v>
      </c>
      <c r="B1" s="16"/>
      <c r="C1" s="16"/>
      <c r="D1" s="16"/>
      <c r="E1" s="16"/>
      <c r="F1" s="16"/>
      <c r="G1" s="16"/>
      <c r="H1" s="16"/>
    </row>
    <row r="3" spans="1:14">
      <c r="A3" s="7" t="s">
        <v>2772</v>
      </c>
      <c r="B3" s="7" t="s">
        <v>2773</v>
      </c>
      <c r="C3" s="7" t="s">
        <v>2774</v>
      </c>
      <c r="D3" s="7" t="s">
        <v>2775</v>
      </c>
      <c r="E3" s="7" t="s">
        <v>2776</v>
      </c>
      <c r="F3" s="7" t="s">
        <v>2777</v>
      </c>
    </row>
    <row r="4" spans="1:14" ht="18">
      <c r="A4" s="8">
        <f>SUM(Cleaned_Data!$K$2:$K$2601)</f>
        <v>157864068.28000021</v>
      </c>
      <c r="B4" s="9">
        <f>COUNTA(Cleaned_Data!$A$2:$A$2601)</f>
        <v>2600</v>
      </c>
      <c r="C4" s="8">
        <f>A4/B4</f>
        <v>60716.949338461622</v>
      </c>
      <c r="D4" s="10">
        <f>COUNTIF(Cleaned_Data!$R$2:$R$2601,"On Time")/(COUNTIF(Cleaned_Data!$R$2:$R$2601,"On Time")+COUNTIF(Cleaned_Data!$R$2:$R$2601,"Late"))</f>
        <v>0.9024485036921881</v>
      </c>
      <c r="E4" s="9">
        <f>COUNTIF(Cleaned_Data!$R$2:$R$2601,"Late")</f>
        <v>251</v>
      </c>
      <c r="F4" s="10">
        <f>SUM(J8:J10)/A4</f>
        <v>0.37098609676094152</v>
      </c>
    </row>
    <row r="7" spans="1:14">
      <c r="A7" s="1" t="s">
        <v>2738</v>
      </c>
      <c r="B7" s="1" t="s">
        <v>2778</v>
      </c>
      <c r="C7" s="1" t="s">
        <v>2779</v>
      </c>
      <c r="I7" s="1" t="s">
        <v>2780</v>
      </c>
      <c r="J7" s="1" t="s">
        <v>2778</v>
      </c>
      <c r="K7" s="1" t="s">
        <v>2781</v>
      </c>
      <c r="L7" s="1" t="s">
        <v>2782</v>
      </c>
      <c r="M7" s="1" t="s">
        <v>2783</v>
      </c>
      <c r="N7" s="1" t="s">
        <v>2784</v>
      </c>
    </row>
    <row r="8" spans="1:14">
      <c r="A8" t="s">
        <v>2768</v>
      </c>
      <c r="B8" s="11">
        <f>SUMIF(Cleaned_Data!$U$2:$U$2601,A8,Cleaned_Data!$K$2:$K$2601)</f>
        <v>8281696.4500000011</v>
      </c>
      <c r="C8" s="12">
        <f>COUNTIF(Cleaned_Data!$U$2:$U$2601,A8)</f>
        <v>140</v>
      </c>
      <c r="I8" t="s">
        <v>72</v>
      </c>
      <c r="J8" s="11">
        <f>SUMIF(Cleaned_Data!$D$2:$D$2601,I8,Cleaned_Data!$K$2:$K$2601)</f>
        <v>25491861.140000015</v>
      </c>
      <c r="K8" s="13">
        <f t="shared" ref="K8:K23" si="0">J8/$A$4</f>
        <v>0.16147981879439235</v>
      </c>
      <c r="L8">
        <f>COUNTIFS(Cleaned_Data!$D$2:$D$2601,I8,Cleaned_Data!$Q$2:$Q$2601,"Closed")</f>
        <v>294</v>
      </c>
      <c r="M8">
        <f>COUNTIFS(Cleaned_Data!$D$2:$D$2601,I8,Cleaned_Data!$R$2:$R$2601,"Late")</f>
        <v>66</v>
      </c>
      <c r="N8" s="13">
        <f t="shared" ref="N8:N23" si="1">IF(L8=0,0,(L8-M8)/L8)</f>
        <v>0.77551020408163263</v>
      </c>
    </row>
    <row r="9" spans="1:14">
      <c r="A9" t="s">
        <v>2752</v>
      </c>
      <c r="B9" s="11">
        <f>SUMIF(Cleaned_Data!$U$2:$U$2601,A9,Cleaned_Data!$K$2:$K$2601)</f>
        <v>6915595.3000000017</v>
      </c>
      <c r="C9" s="12">
        <f>COUNTIF(Cleaned_Data!$U$2:$U$2601,A9)</f>
        <v>119</v>
      </c>
      <c r="I9" t="s">
        <v>105</v>
      </c>
      <c r="J9" s="11">
        <f>SUMIF(Cleaned_Data!$D$2:$D$2601,I9,Cleaned_Data!$K$2:$K$2601)</f>
        <v>20279625.900000013</v>
      </c>
      <c r="K9" s="13">
        <f t="shared" si="0"/>
        <v>0.12846258253037329</v>
      </c>
      <c r="L9">
        <f>COUNTIFS(Cleaned_Data!$D$2:$D$2601,I9,Cleaned_Data!$Q$2:$Q$2601,"Closed")</f>
        <v>277</v>
      </c>
      <c r="M9">
        <f>COUNTIFS(Cleaned_Data!$D$2:$D$2601,I9,Cleaned_Data!$R$2:$R$2601,"Late")</f>
        <v>17</v>
      </c>
      <c r="N9" s="13">
        <f t="shared" si="1"/>
        <v>0.93862815884476536</v>
      </c>
    </row>
    <row r="10" spans="1:14">
      <c r="A10" t="s">
        <v>2748</v>
      </c>
      <c r="B10" s="11">
        <f>SUMIF(Cleaned_Data!$U$2:$U$2601,A10,Cleaned_Data!$K$2:$K$2601)</f>
        <v>10956499.01</v>
      </c>
      <c r="C10" s="12">
        <f>COUNTIF(Cleaned_Data!$U$2:$U$2601,A10)</f>
        <v>179</v>
      </c>
      <c r="I10" t="s">
        <v>38</v>
      </c>
      <c r="J10" s="11">
        <f>SUMIF(Cleaned_Data!$D$2:$D$2601,I10,Cleaned_Data!$K$2:$K$2601)</f>
        <v>12793887.470000006</v>
      </c>
      <c r="K10" s="13">
        <f t="shared" si="0"/>
        <v>8.1043695436175858E-2</v>
      </c>
      <c r="L10">
        <f>COUNTIFS(Cleaned_Data!$D$2:$D$2601,I10,Cleaned_Data!$Q$2:$Q$2601,"Closed")</f>
        <v>280</v>
      </c>
      <c r="M10">
        <f>COUNTIFS(Cleaned_Data!$D$2:$D$2601,I10,Cleaned_Data!$R$2:$R$2601,"Late")</f>
        <v>11</v>
      </c>
      <c r="N10" s="13">
        <f t="shared" si="1"/>
        <v>0.96071428571428574</v>
      </c>
    </row>
    <row r="11" spans="1:14">
      <c r="A11" t="s">
        <v>2742</v>
      </c>
      <c r="B11" s="11">
        <f>SUMIF(Cleaned_Data!$U$2:$U$2601,A11,Cleaned_Data!$K$2:$K$2601)</f>
        <v>7751137.6500000013</v>
      </c>
      <c r="C11" s="12">
        <f>COUNTIF(Cleaned_Data!$U$2:$U$2601,A11)</f>
        <v>129</v>
      </c>
      <c r="I11" t="s">
        <v>118</v>
      </c>
      <c r="J11" s="11">
        <f>SUMIF(Cleaned_Data!$D$2:$D$2601,I11,Cleaned_Data!$K$2:$K$2601)</f>
        <v>12263849.780000005</v>
      </c>
      <c r="K11" s="13">
        <f t="shared" si="0"/>
        <v>7.7686137913586958E-2</v>
      </c>
      <c r="L11">
        <f>COUNTIFS(Cleaned_Data!$D$2:$D$2601,I11,Cleaned_Data!$Q$2:$Q$2601,"Closed")</f>
        <v>123</v>
      </c>
      <c r="M11">
        <f>COUNTIFS(Cleaned_Data!$D$2:$D$2601,I11,Cleaned_Data!$R$2:$R$2601,"Late")</f>
        <v>14</v>
      </c>
      <c r="N11" s="13">
        <f t="shared" si="1"/>
        <v>0.88617886178861793</v>
      </c>
    </row>
    <row r="12" spans="1:14">
      <c r="A12" t="s">
        <v>2767</v>
      </c>
      <c r="B12" s="11">
        <f>SUMIF(Cleaned_Data!$U$2:$U$2601,A12,Cleaned_Data!$K$2:$K$2601)</f>
        <v>9736516.9699999969</v>
      </c>
      <c r="C12" s="12">
        <f>COUNTIF(Cleaned_Data!$U$2:$U$2601,A12)</f>
        <v>144</v>
      </c>
      <c r="I12" t="s">
        <v>143</v>
      </c>
      <c r="J12" s="11">
        <f>SUMIF(Cleaned_Data!$D$2:$D$2601,I12,Cleaned_Data!$K$2:$K$2601)</f>
        <v>12072508.370000005</v>
      </c>
      <c r="K12" s="13">
        <f t="shared" si="0"/>
        <v>7.6474073559204422E-2</v>
      </c>
      <c r="L12">
        <f>COUNTIFS(Cleaned_Data!$D$2:$D$2601,I12,Cleaned_Data!$Q$2:$Q$2601,"Closed")</f>
        <v>354</v>
      </c>
      <c r="M12">
        <f>COUNTIFS(Cleaned_Data!$D$2:$D$2601,I12,Cleaned_Data!$R$2:$R$2601,"Late")</f>
        <v>25</v>
      </c>
      <c r="N12" s="13">
        <f t="shared" si="1"/>
        <v>0.92937853107344637</v>
      </c>
    </row>
    <row r="13" spans="1:14">
      <c r="A13" t="s">
        <v>2756</v>
      </c>
      <c r="B13" s="11">
        <f>SUMIF(Cleaned_Data!$U$2:$U$2601,A13,Cleaned_Data!$K$2:$K$2601)</f>
        <v>8315221.04</v>
      </c>
      <c r="C13" s="12">
        <f>COUNTIF(Cleaned_Data!$U$2:$U$2601,A13)</f>
        <v>140</v>
      </c>
      <c r="I13" t="s">
        <v>47</v>
      </c>
      <c r="J13" s="11">
        <f>SUMIF(Cleaned_Data!$D$2:$D$2601,I13,Cleaned_Data!$K$2:$K$2601)</f>
        <v>11774496.599999987</v>
      </c>
      <c r="K13" s="13">
        <f t="shared" si="0"/>
        <v>7.4586299012108365E-2</v>
      </c>
      <c r="L13">
        <f>COUNTIFS(Cleaned_Data!$D$2:$D$2601,I13,Cleaned_Data!$Q$2:$Q$2601,"Closed")</f>
        <v>150</v>
      </c>
      <c r="M13">
        <f>COUNTIFS(Cleaned_Data!$D$2:$D$2601,I13,Cleaned_Data!$R$2:$R$2601,"Late")</f>
        <v>7</v>
      </c>
      <c r="N13" s="13">
        <f t="shared" si="1"/>
        <v>0.95333333333333337</v>
      </c>
    </row>
    <row r="14" spans="1:14">
      <c r="A14" t="s">
        <v>2760</v>
      </c>
      <c r="B14" s="11">
        <f>SUMIF(Cleaned_Data!$U$2:$U$2601,A14,Cleaned_Data!$K$2:$K$2601)</f>
        <v>7115578.1800000016</v>
      </c>
      <c r="C14" s="12">
        <f>COUNTIF(Cleaned_Data!$U$2:$U$2601,A14)</f>
        <v>127</v>
      </c>
      <c r="I14" t="s">
        <v>132</v>
      </c>
      <c r="J14" s="11">
        <f>SUMIF(Cleaned_Data!$D$2:$D$2601,I14,Cleaned_Data!$K$2:$K$2601)</f>
        <v>11127771.659999998</v>
      </c>
      <c r="K14" s="13">
        <f t="shared" si="0"/>
        <v>7.0489578668800693E-2</v>
      </c>
      <c r="L14">
        <f>COUNTIFS(Cleaned_Data!$D$2:$D$2601,I14,Cleaned_Data!$Q$2:$Q$2601,"Closed")</f>
        <v>91</v>
      </c>
      <c r="M14">
        <f>COUNTIFS(Cleaned_Data!$D$2:$D$2601,I14,Cleaned_Data!$R$2:$R$2601,"Late")</f>
        <v>5</v>
      </c>
      <c r="N14" s="13">
        <f t="shared" si="1"/>
        <v>0.94505494505494503</v>
      </c>
    </row>
    <row r="15" spans="1:14">
      <c r="A15" t="s">
        <v>2762</v>
      </c>
      <c r="B15" s="11">
        <f>SUMIF(Cleaned_Data!$U$2:$U$2601,A15,Cleaned_Data!$K$2:$K$2601)</f>
        <v>9123032.4299999997</v>
      </c>
      <c r="C15" s="12">
        <f>COUNTIF(Cleaned_Data!$U$2:$U$2601,A15)</f>
        <v>151</v>
      </c>
      <c r="I15" t="s">
        <v>56</v>
      </c>
      <c r="J15" s="11">
        <f>SUMIF(Cleaned_Data!$D$2:$D$2601,I15,Cleaned_Data!$K$2:$K$2601)</f>
        <v>9926619.3899999969</v>
      </c>
      <c r="K15" s="13">
        <f t="shared" si="0"/>
        <v>6.2880803074157179E-2</v>
      </c>
      <c r="L15">
        <f>COUNTIFS(Cleaned_Data!$D$2:$D$2601,I15,Cleaned_Data!$Q$2:$Q$2601,"Closed")</f>
        <v>85</v>
      </c>
      <c r="M15">
        <f>COUNTIFS(Cleaned_Data!$D$2:$D$2601,I15,Cleaned_Data!$R$2:$R$2601,"Late")</f>
        <v>6</v>
      </c>
      <c r="N15" s="13">
        <f t="shared" si="1"/>
        <v>0.92941176470588238</v>
      </c>
    </row>
    <row r="16" spans="1:14">
      <c r="A16" t="s">
        <v>2754</v>
      </c>
      <c r="B16" s="11">
        <f>SUMIF(Cleaned_Data!$U$2:$U$2601,A16,Cleaned_Data!$K$2:$K$2601)</f>
        <v>8475354.9799999986</v>
      </c>
      <c r="C16" s="12">
        <f>COUNTIF(Cleaned_Data!$U$2:$U$2601,A16)</f>
        <v>152</v>
      </c>
      <c r="I16" t="s">
        <v>67</v>
      </c>
      <c r="J16" s="11">
        <f>SUMIF(Cleaned_Data!$D$2:$D$2601,I16,Cleaned_Data!$K$2:$K$2601)</f>
        <v>8985970.6600000001</v>
      </c>
      <c r="K16" s="13">
        <f t="shared" si="0"/>
        <v>5.6922203753559497E-2</v>
      </c>
      <c r="L16">
        <f>COUNTIFS(Cleaned_Data!$D$2:$D$2601,I16,Cleaned_Data!$Q$2:$Q$2601,"Closed")</f>
        <v>130</v>
      </c>
      <c r="M16">
        <f>COUNTIFS(Cleaned_Data!$D$2:$D$2601,I16,Cleaned_Data!$R$2:$R$2601,"Late")</f>
        <v>10</v>
      </c>
      <c r="N16" s="13">
        <f t="shared" si="1"/>
        <v>0.92307692307692313</v>
      </c>
    </row>
    <row r="17" spans="1:14">
      <c r="A17" t="s">
        <v>2750</v>
      </c>
      <c r="B17" s="11">
        <f>SUMIF(Cleaned_Data!$U$2:$U$2601,A17,Cleaned_Data!$K$2:$K$2601)</f>
        <v>9567563.7099999934</v>
      </c>
      <c r="C17" s="12">
        <f>COUNTIF(Cleaned_Data!$U$2:$U$2601,A17)</f>
        <v>167</v>
      </c>
      <c r="I17" t="s">
        <v>148</v>
      </c>
      <c r="J17" s="11">
        <f>SUMIF(Cleaned_Data!$D$2:$D$2601,I17,Cleaned_Data!$K$2:$K$2601)</f>
        <v>6287986.0999999987</v>
      </c>
      <c r="K17" s="13">
        <f t="shared" si="0"/>
        <v>3.9831648636136301E-2</v>
      </c>
      <c r="L17">
        <f>COUNTIFS(Cleaned_Data!$D$2:$D$2601,I17,Cleaned_Data!$Q$2:$Q$2601,"Closed")</f>
        <v>116</v>
      </c>
      <c r="M17">
        <f>COUNTIFS(Cleaned_Data!$D$2:$D$2601,I17,Cleaned_Data!$R$2:$R$2601,"Late")</f>
        <v>19</v>
      </c>
      <c r="N17" s="13">
        <f t="shared" si="1"/>
        <v>0.83620689655172409</v>
      </c>
    </row>
    <row r="18" spans="1:14">
      <c r="A18" t="s">
        <v>2764</v>
      </c>
      <c r="B18" s="11">
        <f>SUMIF(Cleaned_Data!$U$2:$U$2601,A18,Cleaned_Data!$K$2:$K$2601)</f>
        <v>10569728.999999998</v>
      </c>
      <c r="C18" s="12">
        <f>COUNTIF(Cleaned_Data!$U$2:$U$2601,A18)</f>
        <v>188</v>
      </c>
      <c r="I18" t="s">
        <v>20</v>
      </c>
      <c r="J18" s="11">
        <f>SUMIF(Cleaned_Data!$D$2:$D$2601,I18,Cleaned_Data!$K$2:$K$2601)</f>
        <v>6022850.9899999974</v>
      </c>
      <c r="K18" s="13">
        <f t="shared" si="0"/>
        <v>3.8152133386790667E-2</v>
      </c>
      <c r="L18">
        <f>COUNTIFS(Cleaned_Data!$D$2:$D$2601,I18,Cleaned_Data!$Q$2:$Q$2601,"Closed")</f>
        <v>217</v>
      </c>
      <c r="M18">
        <f>COUNTIFS(Cleaned_Data!$D$2:$D$2601,I18,Cleaned_Data!$R$2:$R$2601,"Late")</f>
        <v>48</v>
      </c>
      <c r="N18" s="13">
        <f t="shared" si="1"/>
        <v>0.77880184331797231</v>
      </c>
    </row>
    <row r="19" spans="1:14">
      <c r="A19" t="s">
        <v>2746</v>
      </c>
      <c r="B19" s="11">
        <f>SUMIF(Cleaned_Data!$U$2:$U$2601,A19,Cleaned_Data!$K$2:$K$2601)</f>
        <v>8023721.0599999996</v>
      </c>
      <c r="C19" s="12">
        <f>COUNTIF(Cleaned_Data!$U$2:$U$2601,A19)</f>
        <v>123</v>
      </c>
      <c r="I19" t="s">
        <v>135</v>
      </c>
      <c r="J19" s="11">
        <f>SUMIF(Cleaned_Data!$D$2:$D$2601,I19,Cleaned_Data!$K$2:$K$2601)</f>
        <v>5551035.8100000015</v>
      </c>
      <c r="K19" s="13">
        <f t="shared" si="0"/>
        <v>3.5163390063875997E-2</v>
      </c>
      <c r="L19">
        <f>COUNTIFS(Cleaned_Data!$D$2:$D$2601,I19,Cleaned_Data!$Q$2:$Q$2601,"Closed")</f>
        <v>106</v>
      </c>
      <c r="M19">
        <f>COUNTIFS(Cleaned_Data!$D$2:$D$2601,I19,Cleaned_Data!$R$2:$R$2601,"Late")</f>
        <v>5</v>
      </c>
      <c r="N19" s="13">
        <f t="shared" si="1"/>
        <v>0.95283018867924529</v>
      </c>
    </row>
    <row r="20" spans="1:14">
      <c r="A20" t="s">
        <v>2758</v>
      </c>
      <c r="B20" s="11">
        <f>SUMIF(Cleaned_Data!$U$2:$U$2601,A20,Cleaned_Data!$K$2:$K$2601)</f>
        <v>8460833.2199999988</v>
      </c>
      <c r="C20" s="12">
        <f>COUNTIF(Cleaned_Data!$U$2:$U$2601,A20)</f>
        <v>129</v>
      </c>
      <c r="I20" t="s">
        <v>97</v>
      </c>
      <c r="J20" s="11">
        <f>SUMIF(Cleaned_Data!$D$2:$D$2601,I20,Cleaned_Data!$K$2:$K$2601)</f>
        <v>5241903.7999999961</v>
      </c>
      <c r="K20" s="13">
        <f t="shared" si="0"/>
        <v>3.3205173647891426E-2</v>
      </c>
      <c r="L20">
        <f>COUNTIFS(Cleaned_Data!$D$2:$D$2601,I20,Cleaned_Data!$Q$2:$Q$2601,"Closed")</f>
        <v>110</v>
      </c>
      <c r="M20">
        <f>COUNTIFS(Cleaned_Data!$D$2:$D$2601,I20,Cleaned_Data!$R$2:$R$2601,"Late")</f>
        <v>5</v>
      </c>
      <c r="N20" s="13">
        <f t="shared" si="1"/>
        <v>0.95454545454545459</v>
      </c>
    </row>
    <row r="21" spans="1:14">
      <c r="A21" t="s">
        <v>2765</v>
      </c>
      <c r="B21" s="11">
        <f>SUMIF(Cleaned_Data!$U$2:$U$2601,A21,Cleaned_Data!$K$2:$K$2601)</f>
        <v>7735946.2999999998</v>
      </c>
      <c r="C21" s="12">
        <f>COUNTIF(Cleaned_Data!$U$2:$U$2601,A21)</f>
        <v>139</v>
      </c>
      <c r="I21" t="s">
        <v>81</v>
      </c>
      <c r="J21" s="11">
        <f>SUMIF(Cleaned_Data!$D$2:$D$2601,I21,Cleaned_Data!$K$2:$K$2601)</f>
        <v>4635478.3699999982</v>
      </c>
      <c r="K21" s="13">
        <f t="shared" si="0"/>
        <v>2.9363733118660966E-2</v>
      </c>
      <c r="L21">
        <f>COUNTIFS(Cleaned_Data!$D$2:$D$2601,I21,Cleaned_Data!$Q$2:$Q$2601,"Closed")</f>
        <v>105</v>
      </c>
      <c r="M21">
        <f>COUNTIFS(Cleaned_Data!$D$2:$D$2601,I21,Cleaned_Data!$R$2:$R$2601,"Late")</f>
        <v>9</v>
      </c>
      <c r="N21" s="13">
        <f t="shared" si="1"/>
        <v>0.91428571428571426</v>
      </c>
    </row>
    <row r="22" spans="1:14">
      <c r="A22" t="s">
        <v>2755</v>
      </c>
      <c r="B22" s="11">
        <f>SUMIF(Cleaned_Data!$U$2:$U$2601,A22,Cleaned_Data!$K$2:$K$2601)</f>
        <v>11864690.369999999</v>
      </c>
      <c r="C22" s="12">
        <f>COUNTIF(Cleaned_Data!$U$2:$U$2601,A22)</f>
        <v>174</v>
      </c>
      <c r="I22" t="s">
        <v>108</v>
      </c>
      <c r="J22" s="11">
        <f>SUMIF(Cleaned_Data!$D$2:$D$2601,I22,Cleaned_Data!$K$2:$K$2601)</f>
        <v>2791905.5800000005</v>
      </c>
      <c r="K22" s="13">
        <f t="shared" si="0"/>
        <v>1.7685503803487795E-2</v>
      </c>
      <c r="L22">
        <f>COUNTIFS(Cleaned_Data!$D$2:$D$2601,I22,Cleaned_Data!$Q$2:$Q$2601,"Closed")</f>
        <v>71</v>
      </c>
      <c r="M22">
        <f>COUNTIFS(Cleaned_Data!$D$2:$D$2601,I22,Cleaned_Data!$R$2:$R$2601,"Late")</f>
        <v>1</v>
      </c>
      <c r="N22" s="13">
        <f t="shared" si="1"/>
        <v>0.9859154929577465</v>
      </c>
    </row>
    <row r="23" spans="1:14">
      <c r="A23" t="s">
        <v>2770</v>
      </c>
      <c r="B23" s="11">
        <f>SUMIF(Cleaned_Data!$U$2:$U$2601,A23,Cleaned_Data!$K$2:$K$2601)</f>
        <v>7781307.9099999992</v>
      </c>
      <c r="C23" s="12">
        <f>COUNTIF(Cleaned_Data!$U$2:$U$2601,A23)</f>
        <v>130</v>
      </c>
      <c r="I23" t="s">
        <v>90</v>
      </c>
      <c r="J23" s="11">
        <f>SUMIF(Cleaned_Data!$D$2:$D$2601,I23,Cleaned_Data!$K$2:$K$2601)</f>
        <v>2616316.6600000006</v>
      </c>
      <c r="K23" s="13">
        <f t="shared" si="0"/>
        <v>1.6573224600797024E-2</v>
      </c>
      <c r="L23">
        <f>COUNTIFS(Cleaned_Data!$D$2:$D$2601,I23,Cleaned_Data!$Q$2:$Q$2601,"Closed")</f>
        <v>64</v>
      </c>
      <c r="M23">
        <f>COUNTIFS(Cleaned_Data!$D$2:$D$2601,I23,Cleaned_Data!$R$2:$R$2601,"Late")</f>
        <v>3</v>
      </c>
      <c r="N23" s="13">
        <f t="shared" si="1"/>
        <v>0.953125</v>
      </c>
    </row>
    <row r="24" spans="1:14">
      <c r="A24" t="s">
        <v>2769</v>
      </c>
      <c r="B24" s="11">
        <f>SUMIF(Cleaned_Data!$U$2:$U$2601,A24,Cleaned_Data!$K$2:$K$2601)</f>
        <v>8439161.410000002</v>
      </c>
      <c r="C24" s="12">
        <f>COUNTIF(Cleaned_Data!$U$2:$U$2601,A24)</f>
        <v>134</v>
      </c>
    </row>
    <row r="25" spans="1:14">
      <c r="A25" t="s">
        <v>2744</v>
      </c>
      <c r="B25" s="11">
        <f>SUMIF(Cleaned_Data!$U$2:$U$2601,A25,Cleaned_Data!$K$2:$K$2601)</f>
        <v>8750483.2900000028</v>
      </c>
      <c r="C25" s="12">
        <f>COUNTIF(Cleaned_Data!$U$2:$U$2601,A25)</f>
        <v>135</v>
      </c>
    </row>
    <row r="27" spans="1:14">
      <c r="I27" s="1" t="s">
        <v>4</v>
      </c>
      <c r="J27" s="1" t="s">
        <v>2778</v>
      </c>
      <c r="K27" s="1" t="s">
        <v>2781</v>
      </c>
    </row>
    <row r="28" spans="1:14">
      <c r="I28" t="s">
        <v>48</v>
      </c>
      <c r="J28" s="11">
        <f>SUMIF(Cleaned_Data!$E$2:$E$2601,I28,Cleaned_Data!$K$2:$K$2601)</f>
        <v>44482039.959999986</v>
      </c>
      <c r="K28" s="13">
        <f t="shared" ref="K28:K33" si="2">J28/$A$4</f>
        <v>0.281774316629818</v>
      </c>
    </row>
    <row r="29" spans="1:14">
      <c r="A29" s="1" t="s">
        <v>5</v>
      </c>
      <c r="B29" s="1" t="s">
        <v>2778</v>
      </c>
      <c r="C29" s="1" t="s">
        <v>2781</v>
      </c>
      <c r="I29" t="s">
        <v>39</v>
      </c>
      <c r="J29" s="11">
        <f>SUMIF(Cleaned_Data!$E$2:$E$2601,I29,Cleaned_Data!$K$2:$K$2601)</f>
        <v>26975095.869999997</v>
      </c>
      <c r="K29" s="13">
        <f t="shared" si="2"/>
        <v>0.1708754637068825</v>
      </c>
    </row>
    <row r="30" spans="1:14">
      <c r="A30" t="s">
        <v>57</v>
      </c>
      <c r="B30" s="11">
        <f>SUMIF(Cleaned_Data!$F$2:$F$2601,A30,Cleaned_Data!$K$2:$K$2601)</f>
        <v>58810101.969999991</v>
      </c>
      <c r="C30" s="13">
        <f t="shared" ref="C30:C35" si="3">B30/$A$4</f>
        <v>0.37253633845093703</v>
      </c>
      <c r="I30" t="s">
        <v>31</v>
      </c>
      <c r="J30" s="11">
        <f>SUMIF(Cleaned_Data!$E$2:$E$2601,I30,Cleaned_Data!$K$2:$K$2601)</f>
        <v>25504722.529999997</v>
      </c>
      <c r="K30" s="13">
        <f t="shared" si="2"/>
        <v>0.16156129008890613</v>
      </c>
    </row>
    <row r="31" spans="1:14">
      <c r="A31" t="s">
        <v>49</v>
      </c>
      <c r="B31" s="11">
        <f>SUMIF(Cleaned_Data!$F$2:$F$2601,A31,Cleaned_Data!$K$2:$K$2601)</f>
        <v>41040093.159999996</v>
      </c>
      <c r="C31" s="13">
        <f t="shared" si="3"/>
        <v>0.25997108529604113</v>
      </c>
      <c r="I31" t="s">
        <v>112</v>
      </c>
      <c r="J31" s="11">
        <f>SUMIF(Cleaned_Data!$E$2:$E$2601,I31,Cleaned_Data!$K$2:$K$2601)</f>
        <v>21305236.089999992</v>
      </c>
      <c r="K31" s="13">
        <f t="shared" si="2"/>
        <v>0.13495937563329066</v>
      </c>
    </row>
    <row r="32" spans="1:14">
      <c r="A32" t="s">
        <v>22</v>
      </c>
      <c r="B32" s="11">
        <f>SUMIF(Cleaned_Data!$F$2:$F$2601,A32,Cleaned_Data!$K$2:$K$2601)</f>
        <v>24028236.29999999</v>
      </c>
      <c r="C32" s="13">
        <f t="shared" si="3"/>
        <v>0.15220839397969654</v>
      </c>
      <c r="I32" t="s">
        <v>21</v>
      </c>
      <c r="J32" s="11">
        <f>SUMIF(Cleaned_Data!$E$2:$E$2601,I32,Cleaned_Data!$K$2:$K$2601)</f>
        <v>21206343.000000004</v>
      </c>
      <c r="K32" s="13">
        <f t="shared" si="2"/>
        <v>0.13433293105297878</v>
      </c>
    </row>
    <row r="33" spans="1:11">
      <c r="A33" t="s">
        <v>40</v>
      </c>
      <c r="B33" s="11">
        <f>SUMIF(Cleaned_Data!$F$2:$F$2601,A33,Cleaned_Data!$K$2:$K$2601)</f>
        <v>18700032.43999999</v>
      </c>
      <c r="C33" s="13">
        <f t="shared" si="3"/>
        <v>0.1184565471024865</v>
      </c>
      <c r="I33" t="s">
        <v>73</v>
      </c>
      <c r="J33" s="11">
        <f>SUMIF(Cleaned_Data!$E$2:$E$2601,I33,Cleaned_Data!$K$2:$K$2601)</f>
        <v>18390630.830000002</v>
      </c>
      <c r="K33" s="13">
        <f t="shared" si="2"/>
        <v>0.11649662288812247</v>
      </c>
    </row>
    <row r="34" spans="1:11">
      <c r="A34" t="s">
        <v>82</v>
      </c>
      <c r="B34" s="11">
        <f>SUMIF(Cleaned_Data!$F$2:$F$2601,A34,Cleaned_Data!$K$2:$K$2601)</f>
        <v>9877382.1699999999</v>
      </c>
      <c r="C34" s="13">
        <f t="shared" si="3"/>
        <v>6.2568906766552426E-2</v>
      </c>
    </row>
    <row r="35" spans="1:11">
      <c r="A35" t="s">
        <v>91</v>
      </c>
      <c r="B35" s="11">
        <f>SUMIF(Cleaned_Data!$F$2:$F$2601,A35,Cleaned_Data!$K$2:$K$2601)</f>
        <v>5408222.2400000021</v>
      </c>
      <c r="C35" s="13">
        <f t="shared" si="3"/>
        <v>3.4258728404284823E-2</v>
      </c>
    </row>
    <row r="39" spans="1:11">
      <c r="A39" s="1" t="s">
        <v>6</v>
      </c>
      <c r="B39" s="1" t="s">
        <v>7</v>
      </c>
      <c r="C39" s="1" t="s">
        <v>2785</v>
      </c>
      <c r="D39" s="1" t="s">
        <v>2786</v>
      </c>
      <c r="E39" s="1" t="s">
        <v>2787</v>
      </c>
      <c r="F39" s="1" t="s">
        <v>2788</v>
      </c>
      <c r="G39" s="1" t="s">
        <v>2789</v>
      </c>
    </row>
    <row r="40" spans="1:11">
      <c r="A40" t="s">
        <v>127</v>
      </c>
      <c r="B40" t="s">
        <v>128</v>
      </c>
      <c r="C40" t="s">
        <v>72</v>
      </c>
      <c r="D40" s="3">
        <v>15401.435957446809</v>
      </c>
      <c r="E40" s="3" t="s">
        <v>56</v>
      </c>
      <c r="F40" s="3">
        <v>18474.241249999999</v>
      </c>
      <c r="G40" s="13">
        <v>0.19951420770395412</v>
      </c>
    </row>
    <row r="41" spans="1:11">
      <c r="A41" t="s">
        <v>74</v>
      </c>
      <c r="B41" t="s">
        <v>75</v>
      </c>
      <c r="C41" t="s">
        <v>72</v>
      </c>
      <c r="D41" s="3">
        <v>8141.0154347826092</v>
      </c>
      <c r="E41" s="3" t="s">
        <v>56</v>
      </c>
      <c r="F41" s="3">
        <v>9727.9927777777775</v>
      </c>
      <c r="G41" s="13">
        <v>0.19493604399947262</v>
      </c>
    </row>
    <row r="42" spans="1:11">
      <c r="A42" t="s">
        <v>58</v>
      </c>
      <c r="B42" t="s">
        <v>59</v>
      </c>
      <c r="C42" t="s">
        <v>72</v>
      </c>
      <c r="D42" s="3">
        <v>53554.881666666661</v>
      </c>
      <c r="E42" s="3" t="s">
        <v>56</v>
      </c>
      <c r="F42" s="3">
        <v>63476.974000000002</v>
      </c>
      <c r="G42" s="13">
        <v>0.1852696154776306</v>
      </c>
    </row>
    <row r="43" spans="1:11">
      <c r="A43" t="s">
        <v>120</v>
      </c>
      <c r="B43" t="s">
        <v>121</v>
      </c>
      <c r="C43" t="s">
        <v>72</v>
      </c>
      <c r="D43" s="3">
        <v>20691.943529411768</v>
      </c>
      <c r="E43" s="3" t="s">
        <v>56</v>
      </c>
      <c r="F43" s="3">
        <v>24464.364375000001</v>
      </c>
      <c r="G43" s="13">
        <v>0.18231350961431292</v>
      </c>
    </row>
    <row r="44" spans="1:11">
      <c r="A44" t="s">
        <v>101</v>
      </c>
      <c r="B44" t="s">
        <v>102</v>
      </c>
      <c r="C44" t="s">
        <v>72</v>
      </c>
      <c r="D44" s="3">
        <v>1696.7585714285713</v>
      </c>
      <c r="E44" s="3" t="s">
        <v>56</v>
      </c>
      <c r="F44" s="3">
        <v>1993.3270588235293</v>
      </c>
      <c r="G44" s="13">
        <v>0.17478531854137905</v>
      </c>
    </row>
    <row r="45" spans="1:11">
      <c r="A45" t="s">
        <v>86</v>
      </c>
      <c r="B45" t="s">
        <v>87</v>
      </c>
      <c r="C45" t="s">
        <v>72</v>
      </c>
      <c r="D45" s="3">
        <v>10235.146666666666</v>
      </c>
      <c r="E45" s="3" t="s">
        <v>56</v>
      </c>
      <c r="F45" s="3">
        <v>12018.92923076923</v>
      </c>
      <c r="G45" s="13">
        <v>0.17428011753968334</v>
      </c>
    </row>
    <row r="46" spans="1:11">
      <c r="A46" t="s">
        <v>23</v>
      </c>
      <c r="B46" t="s">
        <v>24</v>
      </c>
      <c r="C46" t="s">
        <v>20</v>
      </c>
      <c r="D46" s="3">
        <v>230.20270270270271</v>
      </c>
      <c r="E46" s="3" t="s">
        <v>38</v>
      </c>
      <c r="F46" s="3">
        <v>267.3976923076923</v>
      </c>
      <c r="G46" s="13">
        <v>0.1615749475062653</v>
      </c>
    </row>
    <row r="47" spans="1:11">
      <c r="A47" t="s">
        <v>160</v>
      </c>
      <c r="B47" t="s">
        <v>161</v>
      </c>
      <c r="C47" t="s">
        <v>20</v>
      </c>
      <c r="D47" s="3">
        <v>2979.9647560975609</v>
      </c>
      <c r="E47" s="3" t="s">
        <v>38</v>
      </c>
      <c r="F47" s="3">
        <v>3445.6963043478258</v>
      </c>
      <c r="G47" s="13">
        <v>0.15628760283063475</v>
      </c>
    </row>
    <row r="48" spans="1:11">
      <c r="A48" t="s">
        <v>32</v>
      </c>
      <c r="B48" t="s">
        <v>33</v>
      </c>
      <c r="C48" t="s">
        <v>20</v>
      </c>
      <c r="D48" s="3">
        <v>7369.4118032786882</v>
      </c>
      <c r="E48" s="3" t="s">
        <v>38</v>
      </c>
      <c r="F48" s="3">
        <v>8482.2011666666676</v>
      </c>
      <c r="G48" s="13">
        <v>0.15100111014191037</v>
      </c>
    </row>
    <row r="49" spans="1:7">
      <c r="A49" t="s">
        <v>136</v>
      </c>
      <c r="B49" t="s">
        <v>137</v>
      </c>
      <c r="C49" t="s">
        <v>148</v>
      </c>
      <c r="D49" s="3">
        <v>1587.9130434782608</v>
      </c>
      <c r="E49" s="3" t="s">
        <v>38</v>
      </c>
      <c r="F49" s="3">
        <v>1780.162</v>
      </c>
      <c r="G49" s="13">
        <v>0.12107020426044586</v>
      </c>
    </row>
  </sheetData>
  <mergeCells count="1">
    <mergeCell ref="A1:H1"/>
  </mergeCells>
  <conditionalFormatting sqref="G40:G49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{27D9DE3F-7B9A-39AB-4A5B-F5EFCB69F650}</x14:id>
        </ext>
      </extLst>
    </cfRule>
  </conditionalFormatting>
  <conditionalFormatting sqref="N8:N2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D9DE3F-7B9A-39AB-4A5B-F5EFCB69F650}">
            <x14:dataBar>
              <x14:cfvo type="min"/>
              <x14:cfvo type="max"/>
              <x14:negativeFillColor auto="1"/>
              <x14:axisColor auto="1"/>
            </x14:dataBar>
          </x14:cfRule>
          <xm:sqref>G40:G49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topLeftCell="A40" workbookViewId="0">
      <selection activeCell="A50" sqref="A50:L50"/>
    </sheetView>
  </sheetViews>
  <sheetFormatPr defaultRowHeight="14"/>
  <cols>
    <col min="1" max="12" width="12" customWidth="1"/>
    <col min="14" max="15" width="2" customWidth="1"/>
  </cols>
  <sheetData>
    <row r="1" spans="1:15">
      <c r="A1" s="17" t="s">
        <v>2790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N1" t="s">
        <v>2780</v>
      </c>
      <c r="O1" t="s">
        <v>2791</v>
      </c>
    </row>
    <row r="2" spans="1: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N2" t="s">
        <v>72</v>
      </c>
      <c r="O2" s="14">
        <v>77.599999999999994</v>
      </c>
    </row>
    <row r="3" spans="1:15">
      <c r="N3" t="s">
        <v>105</v>
      </c>
      <c r="O3" s="14">
        <v>93.9</v>
      </c>
    </row>
    <row r="4" spans="1:15">
      <c r="A4" s="18" t="s">
        <v>2772</v>
      </c>
      <c r="B4" s="18"/>
      <c r="D4" s="18" t="s">
        <v>2773</v>
      </c>
      <c r="E4" s="18"/>
      <c r="G4" s="18" t="s">
        <v>2792</v>
      </c>
      <c r="H4" s="18"/>
      <c r="J4" s="18" t="s">
        <v>2777</v>
      </c>
      <c r="K4" s="18"/>
      <c r="N4" t="s">
        <v>38</v>
      </c>
      <c r="O4" s="14">
        <v>96.1</v>
      </c>
    </row>
    <row r="5" spans="1:15">
      <c r="A5" s="19" t="str">
        <f>"₹"&amp;TEXT(Excel_Analysis!A4,"#,##0")</f>
        <v>₹157,864,068</v>
      </c>
      <c r="B5" s="20"/>
      <c r="D5" s="21" t="str">
        <f>TEXT(Excel_Analysis!B4,"#,##0")</f>
        <v>2,600</v>
      </c>
      <c r="E5" s="20"/>
      <c r="G5" s="22" t="str">
        <f>TEXT(Excel_Analysis!D4,"0.0%")</f>
        <v>90.2%</v>
      </c>
      <c r="H5" s="20"/>
      <c r="J5" s="22" t="str">
        <f>TEXT(Excel_Analysis!F4,"0.0%")</f>
        <v>37.1%</v>
      </c>
      <c r="K5" s="20"/>
      <c r="N5" t="s">
        <v>118</v>
      </c>
      <c r="O5" s="14">
        <v>88.6</v>
      </c>
    </row>
    <row r="6" spans="1:15">
      <c r="A6" s="20"/>
      <c r="B6" s="20"/>
      <c r="D6" s="20"/>
      <c r="E6" s="20"/>
      <c r="G6" s="20"/>
      <c r="H6" s="20"/>
      <c r="J6" s="20"/>
      <c r="K6" s="20"/>
      <c r="N6" t="s">
        <v>143</v>
      </c>
      <c r="O6" s="14">
        <v>92.9</v>
      </c>
    </row>
    <row r="7" spans="1:15">
      <c r="N7" t="s">
        <v>47</v>
      </c>
      <c r="O7" s="14">
        <v>95.3</v>
      </c>
    </row>
    <row r="8" spans="1:15">
      <c r="N8" t="s">
        <v>132</v>
      </c>
      <c r="O8" s="14">
        <v>94.5</v>
      </c>
    </row>
    <row r="9" spans="1:15">
      <c r="N9" t="s">
        <v>56</v>
      </c>
      <c r="O9" s="14">
        <v>92.9</v>
      </c>
    </row>
    <row r="41" spans="1:12">
      <c r="A41" s="23" t="s">
        <v>2793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20" customHeight="1">
      <c r="A42" s="24" t="s">
        <v>2794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ht="20" customHeight="1">
      <c r="A43" s="24" t="s">
        <v>2795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ht="20" customHeight="1">
      <c r="A44" s="24" t="s">
        <v>2796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ht="20" customHeight="1">
      <c r="A45" s="24" t="s">
        <v>2797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ht="20" customHeight="1">
      <c r="A46" s="24" t="s">
        <v>2798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ht="20" customHeight="1">
      <c r="A47" s="24" t="s">
        <v>2799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12" ht="20" customHeight="1"/>
    <row r="50" spans="1:12">
      <c r="A50" s="24" t="s">
        <v>2800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</sheetData>
  <mergeCells count="17">
    <mergeCell ref="A47:L47"/>
    <mergeCell ref="A50:L50"/>
    <mergeCell ref="A42:L42"/>
    <mergeCell ref="A43:L43"/>
    <mergeCell ref="A44:L44"/>
    <mergeCell ref="A45:L45"/>
    <mergeCell ref="A46:L46"/>
    <mergeCell ref="A5:B6"/>
    <mergeCell ref="D5:E6"/>
    <mergeCell ref="G5:H6"/>
    <mergeCell ref="J5:K6"/>
    <mergeCell ref="A41:L41"/>
    <mergeCell ref="A1:L2"/>
    <mergeCell ref="A4:B4"/>
    <mergeCell ref="D4:E4"/>
    <mergeCell ref="G4:H4"/>
    <mergeCell ref="J4:K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topLeftCell="A15" workbookViewId="0">
      <selection activeCell="B29" sqref="B29"/>
    </sheetView>
  </sheetViews>
  <sheetFormatPr defaultRowHeight="14"/>
  <cols>
    <col min="1" max="1" width="24" customWidth="1"/>
    <col min="2" max="2" width="152.58203125" customWidth="1"/>
  </cols>
  <sheetData>
    <row r="1" spans="1:2" ht="15">
      <c r="A1" s="25" t="s">
        <v>2801</v>
      </c>
      <c r="B1" s="24"/>
    </row>
    <row r="2" spans="1:2">
      <c r="A2" s="5" t="s">
        <v>2802</v>
      </c>
      <c r="B2" s="5" t="s">
        <v>2803</v>
      </c>
    </row>
    <row r="3" spans="1:2">
      <c r="A3" t="s">
        <v>2804</v>
      </c>
      <c r="B3" t="s">
        <v>2805</v>
      </c>
    </row>
    <row r="4" spans="1:2">
      <c r="A4" t="s">
        <v>2806</v>
      </c>
      <c r="B4" t="s">
        <v>2807</v>
      </c>
    </row>
    <row r="5" spans="1:2">
      <c r="A5" t="s">
        <v>2808</v>
      </c>
      <c r="B5" t="s">
        <v>2809</v>
      </c>
    </row>
    <row r="6" spans="1:2">
      <c r="A6" t="s">
        <v>2810</v>
      </c>
      <c r="B6" t="s">
        <v>2811</v>
      </c>
    </row>
    <row r="7" spans="1:2">
      <c r="A7" t="s">
        <v>2812</v>
      </c>
      <c r="B7" t="s">
        <v>2813</v>
      </c>
    </row>
    <row r="9" spans="1:2">
      <c r="A9" s="5" t="s">
        <v>2814</v>
      </c>
      <c r="B9" s="5" t="s">
        <v>2815</v>
      </c>
    </row>
    <row r="11" spans="1:2">
      <c r="A11" s="5" t="s">
        <v>2816</v>
      </c>
      <c r="B11" s="5"/>
    </row>
    <row r="12" spans="1:2">
      <c r="A12" t="s">
        <v>2817</v>
      </c>
      <c r="B12" t="s">
        <v>2818</v>
      </c>
    </row>
    <row r="13" spans="1:2">
      <c r="A13" t="s">
        <v>2819</v>
      </c>
      <c r="B13" t="s">
        <v>2820</v>
      </c>
    </row>
    <row r="14" spans="1:2">
      <c r="A14" t="s">
        <v>2821</v>
      </c>
      <c r="B14" t="s">
        <v>2822</v>
      </c>
    </row>
    <row r="15" spans="1:2">
      <c r="A15" t="s">
        <v>2823</v>
      </c>
      <c r="B15" t="s">
        <v>2824</v>
      </c>
    </row>
    <row r="16" spans="1:2">
      <c r="A16" t="s">
        <v>2825</v>
      </c>
      <c r="B16" t="s">
        <v>2826</v>
      </c>
    </row>
    <row r="17" spans="1:2">
      <c r="A17" t="s">
        <v>2827</v>
      </c>
      <c r="B17" t="s">
        <v>2828</v>
      </c>
    </row>
    <row r="18" spans="1:2">
      <c r="A18" t="s">
        <v>2829</v>
      </c>
      <c r="B18" t="s">
        <v>2830</v>
      </c>
    </row>
    <row r="20" spans="1:2">
      <c r="A20" s="5" t="s">
        <v>2831</v>
      </c>
      <c r="B20" s="5" t="s">
        <v>2832</v>
      </c>
    </row>
    <row r="22" spans="1:2">
      <c r="A22" s="5" t="s">
        <v>2833</v>
      </c>
      <c r="B22" s="5" t="s">
        <v>2834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tabSelected="1" topLeftCell="E31" workbookViewId="0"/>
  </sheetViews>
  <sheetFormatPr defaultRowHeight="14"/>
  <cols>
    <col min="1" max="1" width="28" customWidth="1"/>
    <col min="2" max="2" width="88" customWidth="1"/>
  </cols>
  <sheetData>
    <row r="1" spans="1:2">
      <c r="A1" s="6" t="s">
        <v>2835</v>
      </c>
      <c r="B1" s="6" t="s">
        <v>2836</v>
      </c>
    </row>
    <row r="2" spans="1:2">
      <c r="A2" t="s">
        <v>0</v>
      </c>
      <c r="B2" t="s">
        <v>2837</v>
      </c>
    </row>
    <row r="3" spans="1:2">
      <c r="A3" t="s">
        <v>1</v>
      </c>
      <c r="B3" t="s">
        <v>2838</v>
      </c>
    </row>
    <row r="4" spans="1:2">
      <c r="A4" t="s">
        <v>2</v>
      </c>
      <c r="B4" t="s">
        <v>2839</v>
      </c>
    </row>
    <row r="5" spans="1:2">
      <c r="A5" t="s">
        <v>3</v>
      </c>
      <c r="B5" t="s">
        <v>2840</v>
      </c>
    </row>
    <row r="6" spans="1:2">
      <c r="A6" t="s">
        <v>4</v>
      </c>
      <c r="B6" t="s">
        <v>2841</v>
      </c>
    </row>
    <row r="7" spans="1:2">
      <c r="A7" t="s">
        <v>5</v>
      </c>
      <c r="B7" t="s">
        <v>2842</v>
      </c>
    </row>
    <row r="8" spans="1:2">
      <c r="A8" t="s">
        <v>6</v>
      </c>
      <c r="B8" t="s">
        <v>2843</v>
      </c>
    </row>
    <row r="9" spans="1:2">
      <c r="A9" t="s">
        <v>7</v>
      </c>
      <c r="B9" t="s">
        <v>2844</v>
      </c>
    </row>
    <row r="10" spans="1:2">
      <c r="A10" t="s">
        <v>8</v>
      </c>
      <c r="B10" t="s">
        <v>2845</v>
      </c>
    </row>
    <row r="11" spans="1:2">
      <c r="A11" t="s">
        <v>9</v>
      </c>
      <c r="B11" t="s">
        <v>2846</v>
      </c>
    </row>
    <row r="12" spans="1:2">
      <c r="A12" t="s">
        <v>10</v>
      </c>
      <c r="B12" t="s">
        <v>2847</v>
      </c>
    </row>
    <row r="13" spans="1:2">
      <c r="A13" t="s">
        <v>11</v>
      </c>
      <c r="B13" t="s">
        <v>2848</v>
      </c>
    </row>
    <row r="14" spans="1:2">
      <c r="A14" t="s">
        <v>12</v>
      </c>
      <c r="B14" t="s">
        <v>2849</v>
      </c>
    </row>
    <row r="15" spans="1:2">
      <c r="A15" t="s">
        <v>13</v>
      </c>
      <c r="B15" t="s">
        <v>2850</v>
      </c>
    </row>
    <row r="16" spans="1:2">
      <c r="A16" t="s">
        <v>14</v>
      </c>
      <c r="B16" t="s">
        <v>2851</v>
      </c>
    </row>
    <row r="17" spans="1:2">
      <c r="A17" t="s">
        <v>15</v>
      </c>
      <c r="B17" t="s">
        <v>2852</v>
      </c>
    </row>
    <row r="18" spans="1:2">
      <c r="A18" t="s">
        <v>16</v>
      </c>
      <c r="B18" t="s">
        <v>2853</v>
      </c>
    </row>
    <row r="19" spans="1:2">
      <c r="A19" t="s">
        <v>17</v>
      </c>
      <c r="B19" t="s">
        <v>2854</v>
      </c>
    </row>
    <row r="20" spans="1:2">
      <c r="A20" t="s">
        <v>2736</v>
      </c>
      <c r="B20" t="s">
        <v>2855</v>
      </c>
    </row>
    <row r="21" spans="1:2">
      <c r="A21" t="s">
        <v>2737</v>
      </c>
      <c r="B21" t="s">
        <v>2856</v>
      </c>
    </row>
    <row r="22" spans="1:2">
      <c r="A22" t="s">
        <v>2738</v>
      </c>
      <c r="B22" t="s">
        <v>2857</v>
      </c>
    </row>
    <row r="23" spans="1:2">
      <c r="A23" t="s">
        <v>2739</v>
      </c>
      <c r="B23" t="s">
        <v>2858</v>
      </c>
    </row>
    <row r="24" spans="1:2">
      <c r="A24" t="s">
        <v>2740</v>
      </c>
      <c r="B24" t="s">
        <v>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Excel_Analysis</vt:lpstr>
      <vt:lpstr>Dashboard</vt:lpstr>
      <vt:lpstr>Project_Guide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Manasa Ramaka</cp:lastModifiedBy>
  <dcterms:modified xsi:type="dcterms:W3CDTF">2026-09-05T22:39:59Z</dcterms:modified>
</cp:coreProperties>
</file>